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Lists" sheetId="5" state="hidden" r:id="rId5"/>
    <sheet xmlns:r="http://schemas.openxmlformats.org/officeDocument/2006/relationships" name="AI original" sheetId="6" state="hidden" r:id="rId6"/>
  </sheets>
  <definedNames>
    <definedName name="_xlnm._FilterDatabase" localSheetId="0" hidden="1">'Deal ledger'!$A$1:$AM$46</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6">
    <font>
      <name val="Calibri"/>
      <family val="2"/>
      <color theme="1"/>
      <sz val="11"/>
      <scheme val="minor"/>
    </font>
    <font>
      <b val="1"/>
      <color rgb="00FFFFFF"/>
    </font>
    <font>
      <b val="1"/>
    </font>
    <font>
      <color rgb="000563C1"/>
      <u val="single"/>
    </font>
    <font>
      <b val="1"/>
      <sz val="14"/>
    </font>
    <font>
      <b val="1"/>
      <color rgb="001F4E78"/>
      <sz val="12"/>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 fontId="0" fillId="0" borderId="0" applyAlignment="1" pivotButton="0" quotePrefix="0" xfId="0">
      <alignment vertical="top" wrapText="1"/>
    </xf>
    <xf numFmtId="0" fontId="3" fillId="0" borderId="0" applyAlignment="1" pivotButton="0" quotePrefix="0" xfId="0">
      <alignment vertical="top" wrapText="1"/>
    </xf>
    <xf numFmtId="165" fontId="0" fillId="0" borderId="0" applyAlignment="1" pivotButton="0" quotePrefix="0" xfId="0">
      <alignment vertical="top" wrapText="1"/>
    </xf>
    <xf numFmtId="4" fontId="0" fillId="0" borderId="0" applyAlignment="1" pivotButton="0" quotePrefix="0" xfId="0">
      <alignment vertical="top" wrapText="1"/>
    </xf>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1" fillId="2" borderId="0" applyAlignment="1" pivotButton="0" quotePrefix="0" xfId="0">
      <alignment horizontal="center" wrapText="1"/>
    </xf>
    <xf numFmtId="0" fontId="2" fillId="0" borderId="0" pivotButton="0" quotePrefix="0" xfId="0"/>
    <xf numFmtId="0" fontId="1" fillId="2" borderId="0" applyAlignment="1" pivotButton="0" quotePrefix="0" xfId="0">
      <alignment horizontal="center"/>
    </xf>
  </cellXfs>
  <cellStyles count="1">
    <cellStyle name="Normal" xfId="0" builtinId="0" hidden="0"/>
  </cellStyles>
  <dxfs count="1">
    <dxf>
      <font>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27" customWidth="1" min="3" max="3"/>
    <col width="19" customWidth="1" min="4" max="4"/>
    <col width="8" customWidth="1" min="5" max="5"/>
    <col width="7.5" customWidth="1" min="6" max="6"/>
    <col width="11" customWidth="1" min="7" max="7"/>
    <col width="52" customWidth="1" min="8" max="8"/>
    <col width="11" customWidth="1" min="9" max="9"/>
    <col width="11" customWidth="1" min="10" max="10"/>
    <col width="62" customWidth="1" min="11" max="11"/>
    <col width="15" customWidth="1" min="12" max="12"/>
    <col width="7" customWidth="1" min="13" max="13"/>
    <col width="14" customWidth="1" min="14" max="14"/>
    <col hidden="1" outlineLevel="1" width="7.5" customWidth="1" min="15" max="16"/>
    <col hidden="1" outlineLevel="1" width="7" customWidth="1" min="17" max="17"/>
    <col hidden="1" outlineLevel="1" width="10.5" customWidth="1" min="18" max="22"/>
    <col hidden="1" outlineLevel="1" width="9.5" customWidth="1" min="23" max="27"/>
    <col hidden="1" outlineLevel="1" width="9" customWidth="1" min="28" max="29"/>
    <col hidden="1" outlineLevel="1" width="38" customWidth="1" min="30" max="30"/>
    <col hidden="1" outlineLevel="1" width="11" customWidth="1" min="31" max="33"/>
    <col hidden="1" outlineLevel="1" width="9" customWidth="1" min="34" max="36"/>
    <col hidden="1" outlineLevel="1" width="6" customWidth="1" min="37" max="37"/>
    <col hidden="1" outlineLevel="1" width="21" customWidth="1" min="38" max="38"/>
    <col hidden="1" outlineLevel="1" width="9" customWidth="1" min="39" max="39"/>
  </cols>
  <sheetData>
    <row r="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ht="77.792" customHeight="1">
      <c r="A2" s="2" t="n">
        <v>1</v>
      </c>
      <c r="B2" s="2" t="inlineStr">
        <is>
          <t>06/18/2014 (first service observed)</t>
        </is>
      </c>
      <c r="C2" s="2" t="inlineStr">
        <is>
          <t>PetSmart — Wachtell, Lipton, Rosen &amp; Katz (legal adviser)</t>
        </is>
      </c>
      <c r="D2" s="2" t="inlineStr">
        <is>
          <t>Adviser service observed</t>
        </is>
      </c>
      <c r="E2" s="3" t="n">
        <v>1</v>
      </c>
      <c r="F2" s="2" t="n">
        <v>0</v>
      </c>
      <c r="G2" s="2" t="n"/>
      <c r="H2" s="2" t="inlineStr">
        <is>
          <t>Legal adviser to PetSmart; observed advising the board at the 06/18/2014 meeting and throughout the process. Retention date not disclosed.</t>
        </is>
      </c>
      <c r="I2" s="2" t="n"/>
      <c r="J2" s="2" t="n"/>
      <c r="K2" s="2" t="inlineStr">
        <is>
          <t>Service observed at the board meeting reviewing strategic and financial alternatives: “the board reviewed, together with a financial advisor and with Wachtell, Lipton, Rosen &amp; Katz (“Wachtell Lipton”), its legal advisor, the various strategic and financial alternatives potentially available to the Company”. First narrative mention is not proof of retention on that date; no engagement date is reported (p. 21).</t>
        </is>
      </c>
      <c r="L2" s="4" t="inlineStr">
        <is>
          <t>P-009</t>
        </is>
      </c>
      <c r="M2" s="2" t="inlineStr">
        <is>
          <t>Q7</t>
        </is>
      </c>
      <c r="N2" s="2" t="n"/>
      <c r="O2" s="2" t="inlineStr">
        <is>
          <t>R001</t>
        </is>
      </c>
      <c r="P2" s="2" t="inlineStr">
        <is>
          <t>Yes</t>
        </is>
      </c>
      <c r="Q2" s="2" t="n"/>
      <c r="R2" s="5" t="n">
        <v>41808</v>
      </c>
      <c r="S2" s="5" t="n">
        <v>41808</v>
      </c>
      <c r="T2" s="5" t="n">
        <v>41808</v>
      </c>
      <c r="U2" s="2" t="inlineStr">
        <is>
          <t>Reported day</t>
        </is>
      </c>
      <c r="V2" s="2" t="inlineStr">
        <is>
          <t>Reported</t>
        </is>
      </c>
      <c r="W2" s="2" t="n"/>
      <c r="X2" s="2" t="n"/>
      <c r="Y2" s="2" t="n"/>
      <c r="Z2" s="2" t="n"/>
      <c r="AA2" s="2" t="n"/>
      <c r="AB2" s="2" t="n"/>
      <c r="AC2" s="2" t="n"/>
      <c r="AD2" s="2" t="n"/>
      <c r="AE2" s="2" t="n"/>
      <c r="AF2" s="2" t="n"/>
      <c r="AG2" s="2" t="n"/>
      <c r="AH2" s="2" t="n"/>
      <c r="AI2" s="2" t="n"/>
      <c r="AJ2" s="2" t="n"/>
      <c r="AK2" s="3" t="n">
        <v>21</v>
      </c>
      <c r="AL2" s="2" t="inlineStr">
        <is>
          <t>R004 (co-adviser)</t>
        </is>
      </c>
      <c r="AM2" s="2" t="inlineStr">
        <is>
          <t>PetSmart</t>
        </is>
      </c>
    </row>
    <row r="3" ht="80.256" customHeight="1">
      <c r="A3" s="2" t="n">
        <v>2</v>
      </c>
      <c r="B3" s="2" t="inlineStr">
        <is>
          <t>07/03/2014; advocacy continued over July–August 2014</t>
        </is>
      </c>
      <c r="C3" s="2" t="inlineStr">
        <is>
          <t>JANA Partners (activist stockholder)</t>
        </is>
      </c>
      <c r="D3" s="2" t="inlineStr">
        <is>
          <t>Activist pressure</t>
        </is>
      </c>
      <c r="E3" s="3" t="n">
        <v>1</v>
      </c>
      <c r="F3" s="2" t="n">
        <v>0</v>
      </c>
      <c r="G3" s="2" t="n"/>
      <c r="H3" s="2" t="inlineStr">
        <is>
          <t>Schedule 13D disclosing a 9.9% stake and intent to engage with management and the board on a strategic review including a sale; amendments and public letters advocating a sale over July–August; in-person meeting with Company representatives 07/10/2014.</t>
        </is>
      </c>
      <c r="I3" s="2" t="n"/>
      <c r="J3" s="2" t="n"/>
      <c r="K3" s="2" t="inlineStr">
        <is>
          <t>Sale advocacy by a disclosed 9.9% holder: “JANA had acquired 9.9% of the Company’s outstanding common stock and that JANA intended to engage in discussions with management and the board with respect to a review of strategic alternatives, including a sale of the Company”; later “JANA Partners filed several amendments to its Schedule 13D and publicly disclosed letters to the board, advocating for a sale of PetSmart” (p. 22).</t>
        </is>
      </c>
      <c r="L3" s="4" t="inlineStr">
        <is>
          <t>P-011</t>
        </is>
      </c>
      <c r="M3" s="2" t="inlineStr">
        <is>
          <t>Q1</t>
        </is>
      </c>
      <c r="N3" s="2" t="n"/>
      <c r="O3" s="2" t="inlineStr">
        <is>
          <t>R002</t>
        </is>
      </c>
      <c r="P3" s="2" t="inlineStr">
        <is>
          <t>Yes</t>
        </is>
      </c>
      <c r="Q3" s="2" t="n"/>
      <c r="R3" s="5" t="n">
        <v>41823</v>
      </c>
      <c r="S3" s="5" t="n">
        <v>41882</v>
      </c>
      <c r="T3" s="5" t="n">
        <v>41823</v>
      </c>
      <c r="U3" s="2" t="inlineStr">
        <is>
          <t>Reported interval</t>
        </is>
      </c>
      <c r="V3" s="2" t="inlineStr">
        <is>
          <t>Assigned: bound</t>
        </is>
      </c>
      <c r="W3" s="2" t="n"/>
      <c r="X3" s="2" t="n"/>
      <c r="Y3" s="2" t="n"/>
      <c r="Z3" s="2" t="n"/>
      <c r="AA3" s="2" t="n"/>
      <c r="AB3" s="2" t="n"/>
      <c r="AC3" s="2" t="n"/>
      <c r="AD3" s="2" t="n"/>
      <c r="AE3" s="2" t="n"/>
      <c r="AF3" s="2" t="n"/>
      <c r="AG3" s="2" t="n"/>
      <c r="AH3" s="2" t="n"/>
      <c r="AI3" s="2" t="n"/>
      <c r="AJ3" s="2" t="n"/>
      <c r="AK3" s="3" t="n">
        <v>22</v>
      </c>
      <c r="AL3" s="2" t="n"/>
      <c r="AM3" s="2" t="inlineStr">
        <is>
          <t>PetSmart</t>
        </is>
      </c>
    </row>
    <row r="4" ht="81.664" customHeight="1">
      <c r="A4" s="2" t="n">
        <v>3</v>
      </c>
      <c r="B4" s="2" t="inlineStr">
        <is>
          <t>07/07/2014 (letter); call 07/10/2014</t>
        </is>
      </c>
      <c r="C4" s="2" t="inlineStr">
        <is>
          <t>Longview Asset Management (stockholder)</t>
        </is>
      </c>
      <c r="D4" s="2" t="inlineStr">
        <is>
          <t>Activist pressure</t>
        </is>
      </c>
      <c r="E4" s="3" t="n">
        <v>1</v>
      </c>
      <c r="F4" s="2" t="n">
        <v>0</v>
      </c>
      <c r="G4" s="2" t="n"/>
      <c r="H4" s="2" t="inlineStr">
        <is>
          <t>Public letter urging the board to consider a sale and stating Longview would consider rolling part or all of its holdings into acquirer equity rather than receive cash if needed to enable a transaction; long-term investor; reiterated sale advocacy in a 07/10/2014 call. Rollover support later formed 12/12/2014 (R034).</t>
        </is>
      </c>
      <c r="I4" s="2" t="n"/>
      <c r="J4" s="2" t="n"/>
      <c r="K4" s="2" t="inlineStr">
        <is>
          <t>“Longview made public a letter to the board in which Longview stated that the board should consider the a sale of the Company (as well as other strategic alternatives)”; Longview said it “would consider, depending on the parties and terms involved, rolling part or all of its holdings into equity of the acquiring entity rather than receive cash consideration” (p. 22). The filing describes Longview as “a long-term investor” (p. 29).</t>
        </is>
      </c>
      <c r="L4" s="4" t="inlineStr">
        <is>
          <t>P-011; P-020</t>
        </is>
      </c>
      <c r="M4" s="2" t="inlineStr">
        <is>
          <t>Q7</t>
        </is>
      </c>
      <c r="N4" s="2" t="n"/>
      <c r="O4" s="2" t="inlineStr">
        <is>
          <t>R003</t>
        </is>
      </c>
      <c r="P4" s="2" t="inlineStr">
        <is>
          <t>Yes</t>
        </is>
      </c>
      <c r="Q4" s="2" t="n"/>
      <c r="R4" s="5" t="n">
        <v>41827</v>
      </c>
      <c r="S4" s="5" t="n">
        <v>41830</v>
      </c>
      <c r="T4" s="5" t="n">
        <v>41827</v>
      </c>
      <c r="U4" s="2" t="inlineStr">
        <is>
          <t>Reported interval</t>
        </is>
      </c>
      <c r="V4" s="2" t="inlineStr">
        <is>
          <t>Assigned: bound</t>
        </is>
      </c>
      <c r="W4" s="2" t="n"/>
      <c r="X4" s="2" t="n"/>
      <c r="Y4" s="2" t="n"/>
      <c r="Z4" s="2" t="n"/>
      <c r="AA4" s="2" t="n"/>
      <c r="AB4" s="2" t="n"/>
      <c r="AC4" s="2" t="n"/>
      <c r="AD4" s="2" t="n"/>
      <c r="AE4" s="2" t="n"/>
      <c r="AF4" s="2" t="n"/>
      <c r="AG4" s="2" t="n"/>
      <c r="AH4" s="2" t="n"/>
      <c r="AI4" s="2" t="n"/>
      <c r="AJ4" s="2" t="n"/>
      <c r="AK4" s="3" t="n">
        <v>22</v>
      </c>
      <c r="AL4" s="2" t="n"/>
      <c r="AM4" s="2" t="inlineStr">
        <is>
          <t>PetSmart</t>
        </is>
      </c>
    </row>
    <row r="5" ht="113.74" customHeight="1">
      <c r="A5" s="2" t="n">
        <v>4</v>
      </c>
      <c r="B5" s="2" t="inlineStr">
        <is>
          <t>July 2014 (retained); engagement letter effective 08/21/2014</t>
        </is>
      </c>
      <c r="C5" s="2" t="inlineStr">
        <is>
          <t>PetSmart — J.P. Morgan Securities LLC (financial adviser)</t>
        </is>
      </c>
      <c r="D5" s="2" t="inlineStr">
        <is>
          <t>Adviser engaged</t>
        </is>
      </c>
      <c r="E5" s="3" t="n">
        <v>1</v>
      </c>
      <c r="F5" s="2" t="n">
        <v>0</v>
      </c>
      <c r="G5" s="2" t="n"/>
      <c r="H5" s="2" t="inlineStr">
        <is>
          <t>Retained July 2014 after interviewing several candidates for M&amp;A, valuation, financing and capital-markets experience; engagement letter effective 08/21/2014; rendered the board's fairness opinion (oral 12/13/2014; written 12/14/2014); fee up to approximately $39 million, a substantial portion payable only if the merger is consummated. Disclosed relationships with Buyer Group members of approximately $110 million over two years (p. 37) and a James Crown/Longview connection (p. 37, p. 45).</t>
        </is>
      </c>
      <c r="I5" s="2" t="n"/>
      <c r="J5" s="2" t="n"/>
      <c r="K5" s="2" t="inlineStr">
        <is>
          <t>“In July, after interviewing several potential financial advisors, the Company retained J.P. Morgan as financial advisor” (p. 22). “Pursuant to an engagement letter effective as of August 21, 2014, the Company retained J.P. Morgan as its financial advisor in connection with a possible transaction” (p. 30).</t>
        </is>
      </c>
      <c r="L5" s="4" t="inlineStr">
        <is>
          <t>P-010; X-006; X-009; X-040; X-022</t>
        </is>
      </c>
      <c r="M5" s="2" t="inlineStr">
        <is>
          <t>Q7</t>
        </is>
      </c>
      <c r="N5" s="2" t="n"/>
      <c r="O5" s="2" t="inlineStr">
        <is>
          <t>R004</t>
        </is>
      </c>
      <c r="P5" s="2" t="inlineStr">
        <is>
          <t>Yes</t>
        </is>
      </c>
      <c r="Q5" s="2" t="n"/>
      <c r="R5" s="5" t="n">
        <v>41821</v>
      </c>
      <c r="S5" s="5" t="n">
        <v>41851</v>
      </c>
      <c r="T5" s="5" t="n">
        <v>41836</v>
      </c>
      <c r="U5" s="2" t="inlineStr">
        <is>
          <t>Reported interval</t>
        </is>
      </c>
      <c r="V5" s="2" t="inlineStr">
        <is>
          <t>Assigned: midpoint</t>
        </is>
      </c>
      <c r="W5" s="2" t="n"/>
      <c r="X5" s="2" t="n"/>
      <c r="Y5" s="2" t="n"/>
      <c r="Z5" s="2" t="n"/>
      <c r="AA5" s="2" t="n"/>
      <c r="AB5" s="2" t="n"/>
      <c r="AC5" s="2" t="n"/>
      <c r="AD5" s="2" t="n"/>
      <c r="AE5" s="2" t="n"/>
      <c r="AF5" s="2" t="n"/>
      <c r="AG5" s="2" t="n"/>
      <c r="AH5" s="2" t="n"/>
      <c r="AI5" s="2" t="n"/>
      <c r="AJ5" s="2" t="n"/>
      <c r="AK5" s="3" t="n">
        <v>22</v>
      </c>
      <c r="AL5" s="2" t="inlineStr">
        <is>
          <t>R001 (co-adviser)</t>
        </is>
      </c>
      <c r="AM5" s="2" t="inlineStr">
        <is>
          <t>PetSmart</t>
        </is>
      </c>
    </row>
    <row r="6" ht="73.04000000000001" customHeight="1">
      <c r="A6" s="2" t="n">
        <v>5</v>
      </c>
      <c r="B6" s="2" t="inlineStr">
        <is>
          <t>08/07/2014</t>
        </is>
      </c>
      <c r="C6" s="2" t="inlineStr">
        <is>
          <t>Industry Participant (unnamed privately held strategic party)</t>
        </is>
      </c>
      <c r="D6" s="2" t="inlineStr">
        <is>
          <t>Bidder interest</t>
        </is>
      </c>
      <c r="E6" s="3" t="n">
        <v>1</v>
      </c>
      <c r="F6" s="2" t="n">
        <v>0</v>
      </c>
      <c r="G6" s="2" t="inlineStr">
        <is>
          <t>Strategic</t>
        </is>
      </c>
      <c r="H6" s="2" t="inlineStr">
        <is>
          <t>Unpriced inbound approach: Industry Participant told J.P. Morgan it might be interested in re-visiting Spring 2014 discussions about a possible combination of the two companies if PetSmart pursued strategic alternatives. Scope: whole-company combination. Not invited into the process (R010).</t>
        </is>
      </c>
      <c r="I6" s="2" t="n"/>
      <c r="J6" s="2" t="n"/>
      <c r="K6" s="2" t="inlineStr">
        <is>
          <t>“Industry Participant might be interested in re-visiting the conversations that had taken place in the Spring concerning the feasibility of a possible combination of the two Companies” (p. 22). Spring 2014 discussions were PetSmart-initiated explorations of acquiring Industry Participant, which said it was not for sale and raised antitrust concerns (p. 21); retained only as context.</t>
        </is>
      </c>
      <c r="L6" s="4" t="inlineStr">
        <is>
          <t>P-012; P-007</t>
        </is>
      </c>
      <c r="M6" s="2" t="inlineStr">
        <is>
          <t>Q7</t>
        </is>
      </c>
      <c r="N6" s="2" t="n"/>
      <c r="O6" s="2" t="inlineStr">
        <is>
          <t>R005</t>
        </is>
      </c>
      <c r="P6" s="2" t="inlineStr">
        <is>
          <t>Yes</t>
        </is>
      </c>
      <c r="Q6" s="2" t="n"/>
      <c r="R6" s="5" t="n">
        <v>41858</v>
      </c>
      <c r="S6" s="5" t="n">
        <v>41858</v>
      </c>
      <c r="T6" s="5" t="n">
        <v>41858</v>
      </c>
      <c r="U6" s="2" t="inlineStr">
        <is>
          <t>Reported day</t>
        </is>
      </c>
      <c r="V6" s="2" t="inlineStr">
        <is>
          <t>Reported</t>
        </is>
      </c>
      <c r="W6" s="2" t="n"/>
      <c r="X6" s="2" t="n"/>
      <c r="Y6" s="2" t="n"/>
      <c r="Z6" s="2" t="n"/>
      <c r="AA6" s="2" t="n"/>
      <c r="AB6" s="2" t="n"/>
      <c r="AC6" s="2" t="n"/>
      <c r="AD6" s="2" t="n"/>
      <c r="AE6" s="2" t="n"/>
      <c r="AF6" s="2" t="n"/>
      <c r="AG6" s="2" t="n"/>
      <c r="AH6" s="2" t="n"/>
      <c r="AI6" s="2" t="n"/>
      <c r="AJ6" s="2" t="n"/>
      <c r="AK6" s="3" t="n">
        <v>22</v>
      </c>
      <c r="AL6" s="2" t="inlineStr">
        <is>
          <t>R010 (exclusion)</t>
        </is>
      </c>
      <c r="AM6" s="2" t="inlineStr">
        <is>
          <t>PetSmart</t>
        </is>
      </c>
    </row>
    <row r="7" ht="106.92" customHeight="1">
      <c r="A7" s="2" t="n">
        <v>6</v>
      </c>
      <c r="B7" s="2" t="inlineStr">
        <is>
          <t>08/13/2014</t>
        </is>
      </c>
      <c r="C7" s="2" t="inlineStr">
        <is>
          <t>PetSmart board</t>
        </is>
      </c>
      <c r="D7" s="2" t="inlineStr">
        <is>
          <t>Target sale decision</t>
        </is>
      </c>
      <c r="E7" s="3" t="n">
        <v>1</v>
      </c>
      <c r="F7" s="2" t="n">
        <v>0</v>
      </c>
      <c r="G7" s="2" t="n"/>
      <c r="H7" s="2" t="inlineStr">
        <is>
          <t>Determined to explore strategic alternatives including a possible sale to maximize stockholder value; instructed management to plan the Profit Improvement Plan; authorized the ad hoc committee (Chairman Gregory Josefowicz; Rakesh Gangwal; Thomas Stemberg) to oversee the process; decided to announce the exploration publicly; planned J.P. Morgan outreach for the second half of September or early October 2014. Exploration, not an irrevocable commitment to sell.</t>
        </is>
      </c>
      <c r="I7" s="2" t="n"/>
      <c r="J7" s="2" t="n"/>
      <c r="K7" s="2" t="inlineStr">
        <is>
          <t>“(1) determined to explore strategic alternatives (including a possible sale of the Company) for the Company to maximize value for stockholders including by commencing a process to determine the potential value that could be achieved via a sale of the Company”; “(3) authorized the ad hoc committee to oversee the sale exploration process” (p. 22).</t>
        </is>
      </c>
      <c r="L7" s="4" t="inlineStr">
        <is>
          <t>P-013</t>
        </is>
      </c>
      <c r="M7" s="2" t="inlineStr">
        <is>
          <t>Q1</t>
        </is>
      </c>
      <c r="N7" s="2" t="n"/>
      <c r="O7" s="2" t="inlineStr">
        <is>
          <t>R006</t>
        </is>
      </c>
      <c r="P7" s="2" t="inlineStr">
        <is>
          <t>Yes</t>
        </is>
      </c>
      <c r="Q7" s="2" t="n"/>
      <c r="R7" s="5" t="n">
        <v>41864</v>
      </c>
      <c r="S7" s="5" t="n">
        <v>41864</v>
      </c>
      <c r="T7" s="5" t="n">
        <v>41864</v>
      </c>
      <c r="U7" s="2" t="inlineStr">
        <is>
          <t>Reported day</t>
        </is>
      </c>
      <c r="V7" s="2" t="inlineStr">
        <is>
          <t>Reported</t>
        </is>
      </c>
      <c r="W7" s="2" t="n"/>
      <c r="X7" s="2" t="n"/>
      <c r="Y7" s="2" t="n"/>
      <c r="Z7" s="2" t="n"/>
      <c r="AA7" s="2" t="n"/>
      <c r="AB7" s="2" t="n"/>
      <c r="AC7" s="2" t="n"/>
      <c r="AD7" s="2" t="n"/>
      <c r="AE7" s="2" t="n"/>
      <c r="AF7" s="2" t="n"/>
      <c r="AG7" s="2" t="n"/>
      <c r="AH7" s="2" t="n"/>
      <c r="AI7" s="2" t="n"/>
      <c r="AJ7" s="2" t="n"/>
      <c r="AK7" s="3" t="n">
        <v>22</v>
      </c>
      <c r="AL7" s="2" t="n"/>
      <c r="AM7" s="2" t="inlineStr">
        <is>
          <t>PetSmart</t>
        </is>
      </c>
    </row>
    <row r="8" ht="103.488" customHeight="1">
      <c r="A8" s="2" t="n">
        <v>7</v>
      </c>
      <c r="B8" s="2" t="inlineStr">
        <is>
          <t>mid-August through 10/31/2014</t>
        </is>
      </c>
      <c r="C8" s="2" t="inlineStr">
        <is>
          <t>24 financial participants (cohort)</t>
        </is>
      </c>
      <c r="D8" s="2" t="inlineStr">
        <is>
          <t>Contact</t>
        </is>
      </c>
      <c r="E8" s="3" t="n">
        <v>1</v>
      </c>
      <c r="F8" s="2" t="n">
        <v>0</v>
      </c>
      <c r="G8" s="2" t="inlineStr">
        <is>
          <t>Financial</t>
        </is>
      </c>
      <c r="H8" s="2" t="inlineStr">
        <is>
          <t>Inbound sale-process contacts of the 27 potential participants disclosed for the period from the middle of August to the end of October 2014: 24 financial participants (potential lead buyers as well as large suppliers of equity capital to lead buyers). Spans the run-up to Round 1; assigned to Round 0 as the pre-opening contact wave.</t>
        </is>
      </c>
      <c r="I8" s="2" t="n"/>
      <c r="J8" s="2" t="n"/>
      <c r="K8" s="2" t="inlineStr">
        <is>
          <t>“During this period, J.P. Morgan was contacted by 27 potential participants in a sale process, including three strategic parties (not counting Industry Participant) and 24 financial participants (including potential lead buyers as well as large suppliers of equity capital to lead buyers)” (p. 23). Date bounded by “since the August 13 board meeting” and “the middle of August through the end of October”. Conflict preserved: the reasons section states “more than 25 potential participants” (p. 27); the specific 27 is used and both are shown in the Summary.</t>
        </is>
      </c>
      <c r="L8" s="4" t="inlineStr">
        <is>
          <t>P-016; P-017</t>
        </is>
      </c>
      <c r="M8" s="2" t="inlineStr">
        <is>
          <t>Q1; Q2</t>
        </is>
      </c>
      <c r="N8" s="2" t="n"/>
      <c r="O8" s="2" t="inlineStr">
        <is>
          <t>R007</t>
        </is>
      </c>
      <c r="P8" s="2" t="inlineStr">
        <is>
          <t>Yes</t>
        </is>
      </c>
      <c r="Q8" s="3" t="n">
        <v>24</v>
      </c>
      <c r="R8" s="5" t="n">
        <v>41865</v>
      </c>
      <c r="S8" s="5" t="n">
        <v>41943</v>
      </c>
      <c r="T8" s="5" t="n">
        <v>41865</v>
      </c>
      <c r="U8" s="2" t="inlineStr">
        <is>
          <t>Approximate window</t>
        </is>
      </c>
      <c r="V8" s="2" t="inlineStr">
        <is>
          <t>Assigned: bound</t>
        </is>
      </c>
      <c r="W8" s="2" t="n"/>
      <c r="X8" s="2" t="n"/>
      <c r="Y8" s="2" t="n"/>
      <c r="Z8" s="2" t="n"/>
      <c r="AA8" s="2" t="n"/>
      <c r="AB8" s="2" t="n"/>
      <c r="AC8" s="2" t="n"/>
      <c r="AD8" s="2" t="n"/>
      <c r="AE8" s="2" t="n"/>
      <c r="AF8" s="2" t="n"/>
      <c r="AG8" s="2" t="n"/>
      <c r="AH8" s="2" t="n"/>
      <c r="AI8" s="2" t="n"/>
      <c r="AJ8" s="2" t="n"/>
      <c r="AK8" s="3" t="n">
        <v>23</v>
      </c>
      <c r="AL8" s="2" t="n"/>
      <c r="AM8" s="2" t="inlineStr">
        <is>
          <t>PetSmart</t>
        </is>
      </c>
    </row>
    <row r="9" ht="54.34" customHeight="1">
      <c r="A9" s="2" t="n">
        <v>8</v>
      </c>
      <c r="B9" s="2" t="inlineStr">
        <is>
          <t>mid-August through 10/31/2014</t>
        </is>
      </c>
      <c r="C9" s="2" t="inlineStr">
        <is>
          <t>3 strategic parties (cohort; excluding Industry Participant)</t>
        </is>
      </c>
      <c r="D9" s="2" t="inlineStr">
        <is>
          <t>Contact</t>
        </is>
      </c>
      <c r="E9" s="3" t="n">
        <v>1</v>
      </c>
      <c r="F9" s="2" t="n">
        <v>0</v>
      </c>
      <c r="G9" s="2" t="inlineStr">
        <is>
          <t>Strategic</t>
        </is>
      </c>
      <c r="H9" s="2" t="inlineStr">
        <is>
          <t>Strategic share of the 27 disclosed inbound contacts from the middle of August to the end of October 2014; no strategic party signed a non-disclosure agreement or submitted an indication of interest on the filing's account.</t>
        </is>
      </c>
      <c r="I9" s="2" t="n"/>
      <c r="J9" s="2" t="n"/>
      <c r="K9" s="2" t="inlineStr">
        <is>
          <t>“including three strategic parties (not counting Industry Participant) and 24 financial participants” (p. 23). None of the 15 confidentiality agreements in the first week of October 2014 was with a strategic party (“15 potentially interested financial buyers”, p. 23).</t>
        </is>
      </c>
      <c r="L9" s="4" t="inlineStr">
        <is>
          <t>P-016; P-018</t>
        </is>
      </c>
      <c r="M9" s="2" t="inlineStr">
        <is>
          <t>Q2</t>
        </is>
      </c>
      <c r="N9" s="2" t="n"/>
      <c r="O9" s="2" t="inlineStr">
        <is>
          <t>R008</t>
        </is>
      </c>
      <c r="P9" s="2" t="inlineStr">
        <is>
          <t>Yes</t>
        </is>
      </c>
      <c r="Q9" s="3" t="n">
        <v>3</v>
      </c>
      <c r="R9" s="5" t="n">
        <v>41865</v>
      </c>
      <c r="S9" s="5" t="n">
        <v>41943</v>
      </c>
      <c r="T9" s="5" t="n">
        <v>41865</v>
      </c>
      <c r="U9" s="2" t="inlineStr">
        <is>
          <t>Approximate window</t>
        </is>
      </c>
      <c r="V9" s="2" t="inlineStr">
        <is>
          <t>Assigned: bound</t>
        </is>
      </c>
      <c r="W9" s="2" t="n"/>
      <c r="X9" s="2" t="n"/>
      <c r="Y9" s="2" t="n"/>
      <c r="Z9" s="2" t="n"/>
      <c r="AA9" s="2" t="n"/>
      <c r="AB9" s="2" t="n"/>
      <c r="AC9" s="2" t="n"/>
      <c r="AD9" s="2" t="n"/>
      <c r="AE9" s="2" t="n"/>
      <c r="AF9" s="2" t="n"/>
      <c r="AG9" s="2" t="n"/>
      <c r="AH9" s="2" t="n"/>
      <c r="AI9" s="2" t="n"/>
      <c r="AJ9" s="2" t="n"/>
      <c r="AK9" s="3" t="n">
        <v>23</v>
      </c>
      <c r="AL9" s="2" t="n"/>
      <c r="AM9" s="2" t="inlineStr">
        <is>
          <t>PetSmart</t>
        </is>
      </c>
    </row>
    <row r="10" ht="65.78" customHeight="1">
      <c r="A10" s="2" t="n">
        <v>9</v>
      </c>
      <c r="B10" s="2" t="inlineStr">
        <is>
          <t>08/19/2014</t>
        </is>
      </c>
      <c r="C10" s="2" t="inlineStr">
        <is>
          <t>PetSmart (issuer)</t>
        </is>
      </c>
      <c r="D10" s="2" t="inlineStr">
        <is>
          <t>Sale process announced</t>
        </is>
      </c>
      <c r="E10" s="3" t="n">
        <v>1</v>
      </c>
      <c r="F10" s="2" t="n">
        <v>0</v>
      </c>
      <c r="G10" s="2" t="n"/>
      <c r="H10" s="2" t="inlineStr">
        <is>
          <t>Press release issued concurrent with the second quarter earnings announcement: the Company determined to explore strategic alternatives including a possible sale to maximize stockholder value. Purpose included alerting parties not contacted so they could contact J.P. Morgan.</t>
        </is>
      </c>
      <c r="I10" s="2" t="n"/>
      <c r="J10" s="2" t="n"/>
      <c r="K10" s="2" t="inlineStr">
        <is>
          <t>“On August 19, 2014, concurrent with its second quarter earnings announcement, the Company issued a press release announcing that it determined to explore strategic alternatives for the Company to maximize value for stockholders, including a possible sale of the Company” (p. 23).</t>
        </is>
      </c>
      <c r="L10" s="4" t="inlineStr">
        <is>
          <t>P-014; P-013</t>
        </is>
      </c>
      <c r="M10" s="2" t="inlineStr">
        <is>
          <t>Q1</t>
        </is>
      </c>
      <c r="N10" s="2" t="n"/>
      <c r="O10" s="2" t="inlineStr">
        <is>
          <t>R009</t>
        </is>
      </c>
      <c r="P10" s="2" t="inlineStr">
        <is>
          <t>Yes</t>
        </is>
      </c>
      <c r="Q10" s="2" t="n"/>
      <c r="R10" s="5" t="n">
        <v>41870</v>
      </c>
      <c r="S10" s="5" t="n">
        <v>41870</v>
      </c>
      <c r="T10" s="5" t="n">
        <v>41870</v>
      </c>
      <c r="U10" s="2" t="inlineStr">
        <is>
          <t>Reported day</t>
        </is>
      </c>
      <c r="V10" s="2" t="inlineStr">
        <is>
          <t>Reported</t>
        </is>
      </c>
      <c r="W10" s="2" t="n"/>
      <c r="X10" s="2" t="n"/>
      <c r="Y10" s="2" t="n"/>
      <c r="Z10" s="2" t="n"/>
      <c r="AA10" s="2" t="n"/>
      <c r="AB10" s="2" t="n"/>
      <c r="AC10" s="2" t="n"/>
      <c r="AD10" s="2" t="n"/>
      <c r="AE10" s="2" t="n"/>
      <c r="AF10" s="2" t="n"/>
      <c r="AG10" s="2" t="n"/>
      <c r="AH10" s="2" t="n"/>
      <c r="AI10" s="2" t="n"/>
      <c r="AJ10" s="2" t="n"/>
      <c r="AK10" s="3" t="n">
        <v>23</v>
      </c>
      <c r="AL10" s="2" t="n"/>
      <c r="AM10" s="2" t="inlineStr">
        <is>
          <t>PetSmart</t>
        </is>
      </c>
    </row>
    <row r="11" ht="130.46" customHeight="1">
      <c r="A11" s="2" t="n">
        <v>10</v>
      </c>
      <c r="B11" s="2" t="inlineStr">
        <is>
          <t>by 08/27/2014 (committee direction after 08/13/2014; communicated 08/22 and 08/27/2014)</t>
        </is>
      </c>
      <c r="C11" s="2" t="inlineStr">
        <is>
          <t>PetSmart board / ad hoc committee</t>
        </is>
      </c>
      <c r="D11" s="2" t="inlineStr">
        <is>
          <t>Target decision</t>
        </is>
      </c>
      <c r="E11" s="3" t="n">
        <v>1</v>
      </c>
      <c r="F11" s="2" t="n">
        <v>0</v>
      </c>
      <c r="G11" s="2" t="n"/>
      <c r="H11" s="2" t="inlineStr">
        <is>
          <t>Industry Participant not invited into the exploratory sale process because of the very high antitrust-clearance risk (near-certain second request; eight months to a year or longer, with no assurance of success), the risk of providing competitively advantageous information, and the risk of disrupting or delaying the process. J.P. Morgan communicated the concerns on 08/22; Industry Participant again expressed interest on 08/27; J.P. Morgan said it would not be invited but any proposal would be considered by the board; no contact since. Reaffirmed 10/03/2014 (R013).</t>
        </is>
      </c>
      <c r="I11" s="2" t="n"/>
      <c r="J11" s="2" t="n"/>
      <c r="K11" s="2" t="inlineStr">
        <is>
          <t>Committee direction after the 08/13 meeting: “the ad hoc committee directed J.P. Morgan to communicate to Industry Participant the board’s concerns as a result of which Industry Participant would not be invited to participate in the exploratory process”;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 (p. 23).</t>
        </is>
      </c>
      <c r="L11" s="4" t="inlineStr">
        <is>
          <t>P-015; P-014; P-017</t>
        </is>
      </c>
      <c r="M11" s="2" t="inlineStr">
        <is>
          <t>Q1</t>
        </is>
      </c>
      <c r="N11" s="2" t="n"/>
      <c r="O11" s="2" t="inlineStr">
        <is>
          <t>R010</t>
        </is>
      </c>
      <c r="P11" s="2" t="inlineStr">
        <is>
          <t>Yes</t>
        </is>
      </c>
      <c r="Q11" s="2" t="n"/>
      <c r="R11" s="5" t="n">
        <v>41864</v>
      </c>
      <c r="S11" s="5" t="n">
        <v>41878</v>
      </c>
      <c r="T11" s="5" t="n">
        <v>41878</v>
      </c>
      <c r="U11" s="2" t="inlineStr">
        <is>
          <t>Approximate window</t>
        </is>
      </c>
      <c r="V11" s="2" t="inlineStr">
        <is>
          <t>Assigned: bound</t>
        </is>
      </c>
      <c r="W11" s="2" t="n"/>
      <c r="X11" s="2" t="n"/>
      <c r="Y11" s="2" t="n"/>
      <c r="Z11" s="2" t="n"/>
      <c r="AA11" s="2" t="n"/>
      <c r="AB11" s="2" t="n"/>
      <c r="AC11" s="2" t="n"/>
      <c r="AD11" s="2" t="n"/>
      <c r="AE11" s="2" t="n"/>
      <c r="AF11" s="2" t="n"/>
      <c r="AG11" s="2" t="n"/>
      <c r="AH11" s="2" t="n"/>
      <c r="AI11" s="2" t="n"/>
      <c r="AJ11" s="2" t="n"/>
      <c r="AK11" s="3" t="n">
        <v>23</v>
      </c>
      <c r="AL11" s="2" t="inlineStr">
        <is>
          <t>R005 (IP interest)</t>
        </is>
      </c>
      <c r="AM11" s="2" t="inlineStr">
        <is>
          <t>PetSmart</t>
        </is>
      </c>
    </row>
    <row r="12" ht="161.04" customHeight="1">
      <c r="A12" s="2" t="n">
        <v>11</v>
      </c>
      <c r="B12" s="2" t="inlineStr">
        <is>
          <t>first week of October 2014 (10/01–10/07)</t>
        </is>
      </c>
      <c r="C12" s="2" t="inlineStr">
        <is>
          <t>PetSmart / J.P. Morgan</t>
        </is>
      </c>
      <c r="D12" s="2" t="inlineStr">
        <is>
          <t>Round opened</t>
        </is>
      </c>
      <c r="E12" s="3" t="n">
        <v>1</v>
      </c>
      <c r="F12" s="2" t="n">
        <v>1</v>
      </c>
      <c r="G12" s="2" t="n"/>
      <c r="H12" s="2" t="inlineStr">
        <is>
          <t>R1 anchor: confidentiality-agreement wave — the Company entered into confidentiality and standstill agreements with 15 potentially interested financial buyers (R012). Purpose: solicit non-binding preliminary indications of interest (due 10/30/2014) and select the final round. Candidate anchors rejected and preserved as rows: R006 (08/13/2014 sale decision; planned outreach was for the second half of September/early October, not within about a week of the decision), R009 (08/19/2014 public announcement, which supplemented rather than replaced solicitation), R013 (10/03/2014 board meeting), R007/R008 (mid-August–October inbound contact wave, which the filing reports as contacts coming to J.P. Morgan).</t>
        </is>
      </c>
      <c r="I12" s="2" t="n"/>
      <c r="J12" s="2" t="n"/>
      <c r="K12" s="2" t="inlineStr">
        <is>
          <t>The filing reports no dated target outreach wave; participants came to the target. The first target-organized step admitting participants to a stage is the confidentiality-agreement wave: “In the first week of October 2014, the Company entered into confidentiality and standstill agreements with 15 potentially interested financial buyers” (p. 23).</t>
        </is>
      </c>
      <c r="L12" s="4" t="inlineStr">
        <is>
          <t>P-018; P-019; P-016; P-017</t>
        </is>
      </c>
      <c r="M12" s="2" t="inlineStr">
        <is>
          <t>Q1</t>
        </is>
      </c>
      <c r="N12" s="2" t="n"/>
      <c r="O12" s="2" t="inlineStr">
        <is>
          <t>R011</t>
        </is>
      </c>
      <c r="P12" s="2" t="inlineStr">
        <is>
          <t>Yes</t>
        </is>
      </c>
      <c r="Q12" s="2" t="n"/>
      <c r="R12" s="5" t="n">
        <v>41913</v>
      </c>
      <c r="S12" s="5" t="n">
        <v>41919</v>
      </c>
      <c r="T12" s="5" t="n">
        <v>41913</v>
      </c>
      <c r="U12" s="2" t="inlineStr">
        <is>
          <t>Approximate window</t>
        </is>
      </c>
      <c r="V12" s="2" t="inlineStr">
        <is>
          <t>Assigned: bound</t>
        </is>
      </c>
      <c r="W12" s="2" t="n"/>
      <c r="X12" s="2" t="n"/>
      <c r="Y12" s="2" t="n"/>
      <c r="Z12" s="2" t="n"/>
      <c r="AA12" s="2" t="n"/>
      <c r="AB12" s="2" t="n"/>
      <c r="AC12" s="2" t="n"/>
      <c r="AD12" s="2" t="n"/>
      <c r="AE12" s="2" t="n"/>
      <c r="AF12" s="2" t="n"/>
      <c r="AG12" s="2" t="inlineStr">
        <is>
          <t>Not final</t>
        </is>
      </c>
      <c r="AH12" s="2" t="n"/>
      <c r="AI12" s="2" t="n"/>
      <c r="AJ12" s="2" t="n"/>
      <c r="AK12" s="3" t="n">
        <v>23</v>
      </c>
      <c r="AL12" s="2" t="inlineStr">
        <is>
          <t>R012 (anchor event); R006; R009; R013 (rejected candidates)</t>
        </is>
      </c>
      <c r="AM12" s="2" t="inlineStr">
        <is>
          <t>PetSmart</t>
        </is>
      </c>
    </row>
    <row r="13" ht="108.02" customHeight="1">
      <c r="A13" s="2" t="n">
        <v>12</v>
      </c>
      <c r="B13" s="2" t="inlineStr">
        <is>
          <t>first week of October 2014 (10/01–10/07)</t>
        </is>
      </c>
      <c r="C13" s="2" t="inlineStr">
        <is>
          <t>15 financial buyers (cohort)</t>
        </is>
      </c>
      <c r="D13" s="2" t="inlineStr">
        <is>
          <t>NDA signed</t>
        </is>
      </c>
      <c r="E13" s="3" t="n">
        <v>1</v>
      </c>
      <c r="F13" s="2" t="n">
        <v>1</v>
      </c>
      <c r="G13" s="2" t="inlineStr">
        <is>
          <t>Financial</t>
        </is>
      </c>
      <c r="H13" s="2" t="inlineStr">
        <is>
          <t>Confidentiality and standstill agreements executed with 15 potentially interested financial buyers; all 15 engaged in due diligence during October, received management presentations with senior management, and received detailed financial and business-plan information including the Profit Improvement Plan. Standstill provisions bar these parties from submitting (or seeking permission to submit) a higher bid once a definitive transaction agreement is signed (R043).</t>
        </is>
      </c>
      <c r="I13" s="2" t="n"/>
      <c r="J13" s="2" t="n"/>
      <c r="K13" s="2" t="inlineStr">
        <is>
          <t>“In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(p. 23).</t>
        </is>
      </c>
      <c r="L13" s="4" t="inlineStr">
        <is>
          <t>P-018; X-002</t>
        </is>
      </c>
      <c r="M13" s="2" t="inlineStr">
        <is>
          <t>Q2</t>
        </is>
      </c>
      <c r="N13" s="2" t="n"/>
      <c r="O13" s="2" t="inlineStr">
        <is>
          <t>R012</t>
        </is>
      </c>
      <c r="P13" s="2" t="inlineStr">
        <is>
          <t>Yes</t>
        </is>
      </c>
      <c r="Q13" s="3" t="n">
        <v>15</v>
      </c>
      <c r="R13" s="5" t="n">
        <v>41913</v>
      </c>
      <c r="S13" s="5" t="n">
        <v>41919</v>
      </c>
      <c r="T13" s="5" t="n">
        <v>41913</v>
      </c>
      <c r="U13" s="2" t="inlineStr">
        <is>
          <t>Approximate window</t>
        </is>
      </c>
      <c r="V13" s="2" t="inlineStr">
        <is>
          <t>Assigned: bound</t>
        </is>
      </c>
      <c r="W13" s="2" t="n"/>
      <c r="X13" s="2" t="n"/>
      <c r="Y13" s="2" t="n"/>
      <c r="Z13" s="2" t="n"/>
      <c r="AA13" s="2" t="n"/>
      <c r="AB13" s="2" t="n"/>
      <c r="AC13" s="2" t="n"/>
      <c r="AD13" s="2" t="n"/>
      <c r="AE13" s="2" t="n"/>
      <c r="AF13" s="2" t="n"/>
      <c r="AG13" s="2" t="n"/>
      <c r="AH13" s="2" t="n"/>
      <c r="AI13" s="2" t="n"/>
      <c r="AJ13" s="2" t="n"/>
      <c r="AK13" s="3" t="n">
        <v>23</v>
      </c>
      <c r="AL13" s="2" t="inlineStr">
        <is>
          <t>R011 (round anchor); R020 (below-$80 submitters); R045 (inferred non-submitters)</t>
        </is>
      </c>
      <c r="AM13" s="2" t="inlineStr">
        <is>
          <t>PetSmart</t>
        </is>
      </c>
    </row>
    <row r="14" ht="73.26000000000001" customHeight="1">
      <c r="A14" s="2" t="n">
        <v>13</v>
      </c>
      <c r="B14" s="2" t="inlineStr">
        <is>
          <t>10/03/2014</t>
        </is>
      </c>
      <c r="C14" s="2" t="inlineStr">
        <is>
          <t>PetSmart board</t>
        </is>
      </c>
      <c r="D14" s="2" t="inlineStr">
        <is>
          <t>Material process update</t>
        </is>
      </c>
      <c r="E14" s="3" t="n">
        <v>1</v>
      </c>
      <c r="F14" s="2" t="n">
        <v>1</v>
      </c>
      <c r="G14" s="2" t="n"/>
      <c r="H14" s="2" t="inlineStr">
        <is>
          <t>Board updated on the sale process and the completed Profit Improvement Plan: approximately 15 parties had expressed interest among the 27 contacted; board reaffirmed, for the August reasons, the determination not to invite Industry Participant into the process. (Aggregate contacts are recorded at R007/R008.)</t>
        </is>
      </c>
      <c r="I14" s="2" t="n"/>
      <c r="J14" s="2" t="n"/>
      <c r="K14" s="2" t="inlineStr">
        <is>
          <t>“the board was informed that approximately 15 parties had expressed interest in participating in the process”; “the board reviewed and, for the reasons discussed in August, reaffirmed the determination not to invite Industry Participant to participate in the sale process” (p. 23).</t>
        </is>
      </c>
      <c r="L14" s="4" t="inlineStr">
        <is>
          <t>P-017</t>
        </is>
      </c>
      <c r="M14" s="2" t="inlineStr">
        <is>
          <t>Q1</t>
        </is>
      </c>
      <c r="N14" s="2" t="n"/>
      <c r="O14" s="2" t="inlineStr">
        <is>
          <t>R013</t>
        </is>
      </c>
      <c r="P14" s="2" t="inlineStr">
        <is>
          <t>Yes</t>
        </is>
      </c>
      <c r="Q14" s="2" t="n"/>
      <c r="R14" s="5" t="n">
        <v>41915</v>
      </c>
      <c r="S14" s="5" t="n">
        <v>41915</v>
      </c>
      <c r="T14" s="5" t="n">
        <v>41915</v>
      </c>
      <c r="U14" s="2" t="inlineStr">
        <is>
          <t>Reported day</t>
        </is>
      </c>
      <c r="V14" s="2" t="inlineStr">
        <is>
          <t>Reported</t>
        </is>
      </c>
      <c r="W14" s="2" t="n"/>
      <c r="X14" s="2" t="n"/>
      <c r="Y14" s="2" t="n"/>
      <c r="Z14" s="2" t="n"/>
      <c r="AA14" s="2" t="n"/>
      <c r="AB14" s="2" t="n"/>
      <c r="AC14" s="2" t="n"/>
      <c r="AD14" s="2" t="n"/>
      <c r="AE14" s="2" t="n"/>
      <c r="AF14" s="2" t="n"/>
      <c r="AG14" s="2" t="n"/>
      <c r="AH14" s="2" t="n"/>
      <c r="AI14" s="2" t="n"/>
      <c r="AJ14" s="2" t="n"/>
      <c r="AK14" s="3" t="n">
        <v>23</v>
      </c>
      <c r="AL14" s="2" t="inlineStr">
        <is>
          <t>R007; R008; R010</t>
        </is>
      </c>
      <c r="AM14" s="2" t="inlineStr">
        <is>
          <t>PetSmart</t>
        </is>
      </c>
    </row>
    <row r="15" ht="84.7" customHeight="1">
      <c r="A15" s="2" t="n">
        <v>14</v>
      </c>
      <c r="B15" s="2" t="inlineStr">
        <is>
          <t>10/30/2014</t>
        </is>
      </c>
      <c r="C15" s="2" t="inlineStr">
        <is>
          <t>PetSmart (deadline for bidders)</t>
        </is>
      </c>
      <c r="D15" s="2" t="inlineStr">
        <is>
          <t>Deadline</t>
        </is>
      </c>
      <c r="E15" s="3" t="n">
        <v>1</v>
      </c>
      <c r="F15" s="2" t="n">
        <v>1</v>
      </c>
      <c r="G15" s="2" t="n"/>
      <c r="H15" s="2" t="inlineStr">
        <is>
          <t>Non-binding preliminary indications of interest due; six of the potentially interested parties submitted on this date; J.P. Morgan spoke with all parties, including non-submitters, from 10/30 to 11/02 about their rationales; the board reviewed the indications on 11/03 (R021). Deadline communicated during October 2014 (day not disclosed; carried on R011/R014).</t>
        </is>
      </c>
      <c r="I15" s="2" t="n"/>
      <c r="J15" s="2" t="n"/>
      <c r="K15" s="2" t="inlineStr">
        <is>
          <t>“During October, the potential bidders were informed that non-binding preliminary indications of interest would be due on October 30, 2014”; “On October 30, six of the potentially interested parties submitted indications of interest” (p. 23–24).</t>
        </is>
      </c>
      <c r="L15" s="4" t="inlineStr">
        <is>
          <t>P-019; P-021; P-022</t>
        </is>
      </c>
      <c r="M15" s="2" t="inlineStr">
        <is>
          <t>Q5</t>
        </is>
      </c>
      <c r="N15" s="2" t="n"/>
      <c r="O15" s="2" t="inlineStr">
        <is>
          <t>R014</t>
        </is>
      </c>
      <c r="P15" s="2" t="inlineStr">
        <is>
          <t>Yes</t>
        </is>
      </c>
      <c r="Q15" s="2" t="n"/>
      <c r="R15" s="5" t="n">
        <v>41942</v>
      </c>
      <c r="S15" s="5" t="n">
        <v>41942</v>
      </c>
      <c r="T15" s="5" t="n">
        <v>41942</v>
      </c>
      <c r="U15" s="2" t="inlineStr">
        <is>
          <t>Reported day</t>
        </is>
      </c>
      <c r="V15" s="2" t="inlineStr">
        <is>
          <t>Reported</t>
        </is>
      </c>
      <c r="W15" s="2" t="n"/>
      <c r="X15" s="2" t="n"/>
      <c r="Y15" s="2" t="n"/>
      <c r="Z15" s="2" t="n"/>
      <c r="AA15" s="2" t="n"/>
      <c r="AB15" s="2" t="n"/>
      <c r="AC15" s="2" t="n"/>
      <c r="AD15" s="2" t="n"/>
      <c r="AE15" s="5" t="n">
        <v>41942</v>
      </c>
      <c r="AF15" s="2" t="inlineStr">
        <is>
          <t>Enforced</t>
        </is>
      </c>
      <c r="AG15" s="2" t="n"/>
      <c r="AH15" s="2" t="n"/>
      <c r="AI15" s="2" t="n"/>
      <c r="AJ15" s="2" t="n"/>
      <c r="AK15" s="3" t="n">
        <v>23</v>
      </c>
      <c r="AL15" s="2" t="inlineStr">
        <is>
          <t>R011; R021</t>
        </is>
      </c>
      <c r="AM15" s="2" t="inlineStr">
        <is>
          <t>PetSmart</t>
        </is>
      </c>
    </row>
    <row r="16" ht="102.784" customHeight="1">
      <c r="A16" s="2" t="n">
        <v>15</v>
      </c>
      <c r="B16" s="2" t="inlineStr">
        <is>
          <t>10/30/2014</t>
        </is>
      </c>
      <c r="C16" s="2" t="inlineStr">
        <is>
          <t>Buyer Group (BC Partners-led consortium)</t>
        </is>
      </c>
      <c r="D16" s="2" t="inlineStr">
        <is>
          <t>Bid</t>
        </is>
      </c>
      <c r="E16" s="3" t="n">
        <v>1</v>
      </c>
      <c r="F16" s="2" t="n">
        <v>1</v>
      </c>
      <c r="G16" s="2" t="inlineStr">
        <is>
          <t>Financial</t>
        </is>
      </c>
      <c r="H16" s="2" t="inlineStr">
        <is>
          <t>Non-binding preliminary indication of a range of $81.00–$83.00 per share, in cash; one of the three submitters whose ranges reached at least $80.00; advanced to the final round on 11/03 (R021).</t>
        </is>
      </c>
      <c r="I16" s="2" t="inlineStr">
        <is>
          <t>Informal</t>
        </is>
      </c>
      <c r="J16" s="2" t="inlineStr">
        <is>
          <t>Heavy</t>
        </is>
      </c>
      <c r="K16"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Range: “the Buyer Group, which indicated a range of $81.00 to $83.00 per share” (p. 24).</t>
        </is>
      </c>
      <c r="L16" s="4" t="inlineStr">
        <is>
          <t>P-021; P-019; P-022</t>
        </is>
      </c>
      <c r="M16" s="2" t="inlineStr">
        <is>
          <t>Q4</t>
        </is>
      </c>
      <c r="N16" s="2" t="n"/>
      <c r="O16" s="2" t="inlineStr">
        <is>
          <t>R015</t>
        </is>
      </c>
      <c r="P16" s="2" t="inlineStr">
        <is>
          <t>Yes</t>
        </is>
      </c>
      <c r="Q16" s="3" t="n">
        <v>1</v>
      </c>
      <c r="R16" s="5" t="n">
        <v>41942</v>
      </c>
      <c r="S16" s="5" t="n">
        <v>41942</v>
      </c>
      <c r="T16" s="5" t="n">
        <v>41942</v>
      </c>
      <c r="U16" s="2" t="inlineStr">
        <is>
          <t>Reported day</t>
        </is>
      </c>
      <c r="V16" s="2" t="inlineStr">
        <is>
          <t>Reported</t>
        </is>
      </c>
      <c r="W16" s="6" t="n">
        <v>81</v>
      </c>
      <c r="X16" s="6" t="n">
        <v>83</v>
      </c>
      <c r="Y16" s="2" t="inlineStr">
        <is>
          <t>Bidder range</t>
        </is>
      </c>
      <c r="Z16" s="2" t="inlineStr">
        <is>
          <t>Stated</t>
        </is>
      </c>
      <c r="AA16" s="2" t="inlineStr">
        <is>
          <t>USD</t>
        </is>
      </c>
      <c r="AB16" s="2" t="inlineStr">
        <is>
          <t>Not stated</t>
        </is>
      </c>
      <c r="AC16" s="2" t="n"/>
      <c r="AD16" s="2" t="inlineStr">
        <is>
          <t>Fin: not stated; DD required: substantive (period not stated); DD open: yes; Excl: not stated</t>
        </is>
      </c>
      <c r="AE16" s="2" t="n"/>
      <c r="AF16" s="2" t="n"/>
      <c r="AG16" s="2" t="n"/>
      <c r="AH16" s="2" t="n"/>
      <c r="AI16" s="2" t="n"/>
      <c r="AJ16" s="2" t="n"/>
      <c r="AK16" s="3" t="n">
        <v>24</v>
      </c>
      <c r="AL16" s="2" t="inlineStr">
        <is>
          <t>R029 (later bid); R021</t>
        </is>
      </c>
      <c r="AM16" s="2" t="inlineStr">
        <is>
          <t>PetSmart</t>
        </is>
      </c>
    </row>
    <row r="17" ht="101.376" customHeight="1">
      <c r="A17" s="2" t="n">
        <v>16</v>
      </c>
      <c r="B17" s="2" t="inlineStr">
        <is>
          <t>10/30/2014</t>
        </is>
      </c>
      <c r="C17" s="2" t="inlineStr">
        <is>
          <t>Unnamed financial bidder 1 (IOI range $80.00–$85.00)</t>
        </is>
      </c>
      <c r="D17" s="2" t="inlineStr">
        <is>
          <t>Bid</t>
        </is>
      </c>
      <c r="E17" s="3" t="n">
        <v>1</v>
      </c>
      <c r="F17" s="2" t="n">
        <v>1</v>
      </c>
      <c r="G17" s="2" t="inlineStr">
        <is>
          <t>Financial</t>
        </is>
      </c>
      <c r="H17" s="2" t="inlineStr">
        <is>
          <t>Non-binding preliminary indication of a range of $80.00–$85.00 per share; one of the three submitters whose ranges reached at least $80.00; advanced to the final round (R021). Identity as a Bidder 3 member is a hypothesis only (Q3).</t>
        </is>
      </c>
      <c r="I17" s="2" t="inlineStr">
        <is>
          <t>Informal</t>
        </is>
      </c>
      <c r="J17" s="2" t="inlineStr">
        <is>
          <t>Heavy</t>
        </is>
      </c>
      <c r="K17"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“another bidder, which suggested a range of $80.00 to $85.00 per share” (p. 24).</t>
        </is>
      </c>
      <c r="L17" s="4" t="inlineStr">
        <is>
          <t>P-021; P-022</t>
        </is>
      </c>
      <c r="M17" s="2" t="inlineStr">
        <is>
          <t>Q4</t>
        </is>
      </c>
      <c r="N17" s="2" t="n"/>
      <c r="O17" s="2" t="inlineStr">
        <is>
          <t>R016</t>
        </is>
      </c>
      <c r="P17" s="2" t="inlineStr">
        <is>
          <t>Yes</t>
        </is>
      </c>
      <c r="Q17" s="3" t="n">
        <v>1</v>
      </c>
      <c r="R17" s="5" t="n">
        <v>41942</v>
      </c>
      <c r="S17" s="5" t="n">
        <v>41942</v>
      </c>
      <c r="T17" s="5" t="n">
        <v>41942</v>
      </c>
      <c r="U17" s="2" t="inlineStr">
        <is>
          <t>Reported day</t>
        </is>
      </c>
      <c r="V17" s="2" t="inlineStr">
        <is>
          <t>Reported</t>
        </is>
      </c>
      <c r="W17" s="6" t="n">
        <v>80</v>
      </c>
      <c r="X17" s="6" t="n">
        <v>85</v>
      </c>
      <c r="Y17" s="2" t="inlineStr">
        <is>
          <t>Bidder range</t>
        </is>
      </c>
      <c r="Z17" s="2" t="inlineStr">
        <is>
          <t>Stated</t>
        </is>
      </c>
      <c r="AA17" s="2" t="inlineStr">
        <is>
          <t>USD</t>
        </is>
      </c>
      <c r="AB17" s="2" t="inlineStr">
        <is>
          <t>Not stated</t>
        </is>
      </c>
      <c r="AC17" s="2" t="n"/>
      <c r="AD17" s="2" t="inlineStr">
        <is>
          <t>Fin: not stated; DD required: substantive (period not stated); DD open: yes; Excl: not stated</t>
        </is>
      </c>
      <c r="AE17" s="2" t="n"/>
      <c r="AF17" s="2" t="n"/>
      <c r="AG17" s="2" t="n"/>
      <c r="AH17" s="2" t="n"/>
      <c r="AI17" s="2" t="n"/>
      <c r="AJ17" s="2" t="n"/>
      <c r="AK17" s="3" t="n">
        <v>24</v>
      </c>
      <c r="AL17" s="2" t="inlineStr">
        <is>
          <t>R021; R023–R025 (possible identity; Q3)</t>
        </is>
      </c>
      <c r="AM17" s="2" t="inlineStr">
        <is>
          <t>PetSmart</t>
        </is>
      </c>
    </row>
    <row r="18" ht="129.888" customHeight="1">
      <c r="A18" s="2" t="n">
        <v>17</v>
      </c>
      <c r="B18" s="2" t="inlineStr">
        <is>
          <t>10/30/2014</t>
        </is>
      </c>
      <c r="C18" s="2" t="inlineStr">
        <is>
          <t>Unnamed financial bidder 2 (IOI range reached at least $80.00)</t>
        </is>
      </c>
      <c r="D18" s="2" t="inlineStr">
        <is>
          <t>Bid</t>
        </is>
      </c>
      <c r="E18" s="3" t="n">
        <v>1</v>
      </c>
      <c r="F18" s="2" t="n">
        <v>1</v>
      </c>
      <c r="G18" s="2" t="inlineStr">
        <is>
          <t>Financial</t>
        </is>
      </c>
      <c r="H18" s="2" t="inlineStr">
        <is>
          <t>Bound: ≥ $80 — one of the three bidders whose initially indicated ranges “reached at least $80.00 per share”; endpoints not disclosed; advanced to the final round (R021). Identity as a Bidder 3 member is a hypothesis only (Q3).</t>
        </is>
      </c>
      <c r="I18" s="2" t="inlineStr">
        <is>
          <t>Informal</t>
        </is>
      </c>
      <c r="J18" s="2" t="inlineStr">
        <is>
          <t>Heavy</t>
        </is>
      </c>
      <c r="K18"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“Three bidders initially indicated price ranges that reached at least $80.00 per share” (p. 24). The filing does not give this bidder's endpoints; the wording is ambiguous between a floor on the whole range and a level the range reached (Q6).</t>
        </is>
      </c>
      <c r="L18" s="4" t="inlineStr">
        <is>
          <t>P-021; P-022</t>
        </is>
      </c>
      <c r="M18" s="2" t="inlineStr">
        <is>
          <t>Q4; Q6</t>
        </is>
      </c>
      <c r="N18" s="2" t="n"/>
      <c r="O18" s="2" t="inlineStr">
        <is>
          <t>R017</t>
        </is>
      </c>
      <c r="P18" s="2" t="inlineStr">
        <is>
          <t>Yes</t>
        </is>
      </c>
      <c r="Q18" s="3" t="n">
        <v>1</v>
      </c>
      <c r="R18" s="5" t="n">
        <v>41942</v>
      </c>
      <c r="S18" s="5" t="n">
        <v>41942</v>
      </c>
      <c r="T18" s="5" t="n">
        <v>41942</v>
      </c>
      <c r="U18" s="2" t="inlineStr">
        <is>
          <t>Reported day</t>
        </is>
      </c>
      <c r="V18" s="2" t="inlineStr">
        <is>
          <t>Reported</t>
        </is>
      </c>
      <c r="W18" s="6" t="n">
        <v>80</v>
      </c>
      <c r="X18" s="2" t="n"/>
      <c r="Y18" s="2" t="inlineStr">
        <is>
          <t>Bound only</t>
        </is>
      </c>
      <c r="Z18" s="2" t="inlineStr">
        <is>
          <t>Stated</t>
        </is>
      </c>
      <c r="AA18" s="2" t="inlineStr">
        <is>
          <t>USD</t>
        </is>
      </c>
      <c r="AB18" s="2" t="inlineStr">
        <is>
          <t>Not stated</t>
        </is>
      </c>
      <c r="AC18" s="2" t="n"/>
      <c r="AD18" s="2" t="inlineStr">
        <is>
          <t>Fin: not stated; DD required: substantive (period not stated); DD open: yes; Excl: not stated</t>
        </is>
      </c>
      <c r="AE18" s="2" t="n"/>
      <c r="AF18" s="2" t="n"/>
      <c r="AG18" s="2" t="n"/>
      <c r="AH18" s="2" t="n"/>
      <c r="AI18" s="2" t="n"/>
      <c r="AJ18" s="2" t="n"/>
      <c r="AK18" s="3" t="n">
        <v>24</v>
      </c>
      <c r="AL18" s="2" t="inlineStr">
        <is>
          <t>R021; R023–R025 (possible identity; Q3)</t>
        </is>
      </c>
      <c r="AM18" s="2" t="inlineStr">
        <is>
          <t>PetSmart</t>
        </is>
      </c>
    </row>
    <row r="19" ht="106.304" customHeight="1">
      <c r="A19" s="2" t="n">
        <v>18</v>
      </c>
      <c r="B19" s="2" t="inlineStr">
        <is>
          <t>10/30/2014</t>
        </is>
      </c>
      <c r="C19" s="2" t="inlineStr">
        <is>
          <t>Bidder 2</t>
        </is>
      </c>
      <c r="D19" s="2" t="inlineStr">
        <is>
          <t>Bid</t>
        </is>
      </c>
      <c r="E19" s="3" t="n">
        <v>1</v>
      </c>
      <c r="F19" s="2" t="n">
        <v>1</v>
      </c>
      <c r="G19" s="2" t="inlineStr">
        <is>
          <t>Financial</t>
        </is>
      </c>
      <c r="H19" s="2" t="inlineStr">
        <is>
          <t>Non-binding preliminary indication of $78.00 per share; increased to a range of $81.00–$84.00 during 10/30–11/02 discussions (R019); advanced to the final round (R021).</t>
        </is>
      </c>
      <c r="I19" s="2" t="inlineStr">
        <is>
          <t>Informal</t>
        </is>
      </c>
      <c r="J19" s="2" t="inlineStr">
        <is>
          <t>Heavy</t>
        </is>
      </c>
      <c r="K19"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“another bidder (which we refer to as “Bidder 2”), which had initially indicated a price of $78.00” (p. 24).</t>
        </is>
      </c>
      <c r="L19" s="4" t="inlineStr">
        <is>
          <t>P-021; P-019</t>
        </is>
      </c>
      <c r="M19" s="2" t="inlineStr">
        <is>
          <t>Q4</t>
        </is>
      </c>
      <c r="N19" s="2" t="n"/>
      <c r="O19" s="2" t="inlineStr">
        <is>
          <t>R018</t>
        </is>
      </c>
      <c r="P19" s="2" t="inlineStr">
        <is>
          <t>Yes</t>
        </is>
      </c>
      <c r="Q19" s="3" t="n">
        <v>1</v>
      </c>
      <c r="R19" s="5" t="n">
        <v>41942</v>
      </c>
      <c r="S19" s="5" t="n">
        <v>41942</v>
      </c>
      <c r="T19" s="5" t="n">
        <v>41942</v>
      </c>
      <c r="U19" s="2" t="inlineStr">
        <is>
          <t>Reported day</t>
        </is>
      </c>
      <c r="V19" s="2" t="inlineStr">
        <is>
          <t>Reported</t>
        </is>
      </c>
      <c r="W19" s="6" t="n">
        <v>78</v>
      </c>
      <c r="X19" s="6" t="n">
        <v>78</v>
      </c>
      <c r="Y19" s="2" t="inlineStr">
        <is>
          <t>Point</t>
        </is>
      </c>
      <c r="Z19" s="2" t="inlineStr">
        <is>
          <t>Stated</t>
        </is>
      </c>
      <c r="AA19" s="2" t="inlineStr">
        <is>
          <t>USD</t>
        </is>
      </c>
      <c r="AB19" s="2" t="inlineStr">
        <is>
          <t>Not stated</t>
        </is>
      </c>
      <c r="AC19" s="6" t="n">
        <v>78</v>
      </c>
      <c r="AD19" s="2" t="inlineStr">
        <is>
          <t>Fin: not stated; DD required: substantive (period not stated); DD open: yes; Excl: not stated</t>
        </is>
      </c>
      <c r="AE19" s="2" t="n"/>
      <c r="AF19" s="2" t="n"/>
      <c r="AG19" s="2" t="n"/>
      <c r="AH19" s="2" t="n"/>
      <c r="AI19" s="2" t="n"/>
      <c r="AJ19" s="2" t="n"/>
      <c r="AK19" s="3" t="n">
        <v>24</v>
      </c>
      <c r="AL19" s="2" t="inlineStr">
        <is>
          <t>R019 (revises); R021</t>
        </is>
      </c>
      <c r="AM19" s="2" t="inlineStr">
        <is>
          <t>PetSmart</t>
        </is>
      </c>
    </row>
    <row r="20" ht="126.896" customHeight="1">
      <c r="A20" s="2" t="n">
        <v>19</v>
      </c>
      <c r="B20" s="2" t="inlineStr">
        <is>
          <t>10/30/2014</t>
        </is>
      </c>
      <c r="C20" s="2" t="inlineStr">
        <is>
          <t>2 unnamed financial submitters (cohort; indications below $80.00)</t>
        </is>
      </c>
      <c r="D20" s="2" t="inlineStr">
        <is>
          <t>Bid</t>
        </is>
      </c>
      <c r="E20" s="3" t="n">
        <v>1</v>
      </c>
      <c r="F20" s="2" t="n">
        <v>1</v>
      </c>
      <c r="G20" s="2" t="inlineStr">
        <is>
          <t>Financial</t>
        </is>
      </c>
      <c r="H20" s="2" t="inlineStr">
        <is>
          <t>Two of the six submitters indicated prices below $80.00 per share; values not disclosed; not advanced to the final round (closed at R022). Count 2 = the two submitting units; no individual prices exist in the filing.</t>
        </is>
      </c>
      <c r="I20" s="2" t="inlineStr">
        <is>
          <t>Informal</t>
        </is>
      </c>
      <c r="J20" s="2" t="inlineStr">
        <is>
          <t>Heavy</t>
        </is>
      </c>
      <c r="K20"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Six parties submitted on 10/30 and only four “bidders that had indicated a price or range at or above $80.00” were allowed to proceed (p. 24), leaving two submitters below the threshold whose prices are not disclosed (p. 24).</t>
        </is>
      </c>
      <c r="L20" s="4" t="inlineStr">
        <is>
          <t>P-021; P-022</t>
        </is>
      </c>
      <c r="M20" s="2" t="inlineStr">
        <is>
          <t>Q2</t>
        </is>
      </c>
      <c r="N20" s="2" t="n"/>
      <c r="O20" s="2" t="inlineStr">
        <is>
          <t>R020</t>
        </is>
      </c>
      <c r="P20" s="2" t="inlineStr">
        <is>
          <t>Yes</t>
        </is>
      </c>
      <c r="Q20" s="3" t="n">
        <v>2</v>
      </c>
      <c r="R20" s="5" t="n">
        <v>41942</v>
      </c>
      <c r="S20" s="5" t="n">
        <v>41942</v>
      </c>
      <c r="T20" s="5" t="n">
        <v>41942</v>
      </c>
      <c r="U20" s="2" t="inlineStr">
        <is>
          <t>Reported day</t>
        </is>
      </c>
      <c r="V20" s="2" t="inlineStr">
        <is>
          <t>Reported</t>
        </is>
      </c>
      <c r="W20" s="2" t="n"/>
      <c r="X20" s="2" t="n"/>
      <c r="Y20" s="2" t="inlineStr">
        <is>
          <t>Undisclosed</t>
        </is>
      </c>
      <c r="Z20" s="2" t="n"/>
      <c r="AA20" s="2" t="n"/>
      <c r="AB20" s="2" t="inlineStr">
        <is>
          <t>Not stated</t>
        </is>
      </c>
      <c r="AC20" s="2" t="n"/>
      <c r="AD20" s="2" t="inlineStr">
        <is>
          <t>Fin: not stated; DD required: substantive (period not stated); DD open: yes; Excl: not stated</t>
        </is>
      </c>
      <c r="AE20" s="2" t="n"/>
      <c r="AF20" s="2" t="n"/>
      <c r="AG20" s="2" t="n"/>
      <c r="AH20" s="2" t="n"/>
      <c r="AI20" s="2" t="n"/>
      <c r="AJ20" s="2" t="n"/>
      <c r="AK20" s="3" t="n">
        <v>24</v>
      </c>
      <c r="AL20" s="2" t="inlineStr">
        <is>
          <t>R022 (dropped)</t>
        </is>
      </c>
      <c r="AM20" s="2" t="inlineStr">
        <is>
          <t>PetSmart</t>
        </is>
      </c>
    </row>
    <row r="21" ht="83.42399999999999" customHeight="1">
      <c r="A21" s="2" t="n">
        <v>19.5</v>
      </c>
      <c r="B21" s="2" t="inlineStr">
        <is>
          <t>by 10/30/2014</t>
        </is>
      </c>
      <c r="C21" s="2" t="inlineStr">
        <is>
          <t>9 unnamed financial NDA signers (cohort; no indication submitted)</t>
        </is>
      </c>
      <c r="D21" s="2" t="inlineStr">
        <is>
          <t>Did not submit</t>
        </is>
      </c>
      <c r="E21" s="3" t="n">
        <v>1</v>
      </c>
      <c r="F21" s="2" t="n">
        <v>1</v>
      </c>
      <c r="G21" s="2" t="inlineStr">
        <is>
          <t>Financial</t>
        </is>
      </c>
      <c r="H21" s="2" t="inlineStr">
        <is>
          <t>Inferred: residual — 15 NDA signers − 6 submitters = 9 non-submitters; no indication of interest reported from these signers by the 10/30/2014 deadline. CLOSED by inference; no decision date, motive or voluntary withdrawal is inferred, and no individual rows are created for anonymous members.</t>
        </is>
      </c>
      <c r="I21" s="2" t="n"/>
      <c r="J21" s="2" t="n"/>
      <c r="K21" s="2" t="inlineStr">
        <is>
          <t>Base and continuing set from the same passages: “In the first week of October 2014, the Company entered into confidentiality and standstill agreements with 15 potentially interested financial buyers” (p. 23); “On October 30, six of the potentially interested parties submitted indications of interest” (p. 24). Arithmetic 15 − 6 = 9. Base assumes every submitter was among the 15 signers and that the Buyer Group counts as one signer/unit (Q2).</t>
        </is>
      </c>
      <c r="L21" s="4" t="inlineStr">
        <is>
          <t>P-018; P-021; P-022</t>
        </is>
      </c>
      <c r="M21" s="2" t="inlineStr">
        <is>
          <t>Q2; Q3</t>
        </is>
      </c>
      <c r="N21" s="2" t="n"/>
      <c r="O21" s="2" t="inlineStr">
        <is>
          <t>R045</t>
        </is>
      </c>
      <c r="P21" s="2" t="inlineStr">
        <is>
          <t>Yes</t>
        </is>
      </c>
      <c r="Q21" s="3" t="n">
        <v>9</v>
      </c>
      <c r="R21" s="5" t="n">
        <v>41942</v>
      </c>
      <c r="S21" s="2" t="n"/>
      <c r="T21" s="5" t="n">
        <v>41942</v>
      </c>
      <c r="U21" s="2" t="inlineStr">
        <is>
          <t>Relative only</t>
        </is>
      </c>
      <c r="V21" s="2" t="inlineStr">
        <is>
          <t>Assigned: deadline</t>
        </is>
      </c>
      <c r="W21" s="2" t="n"/>
      <c r="X21" s="2" t="n"/>
      <c r="Y21" s="2" t="n"/>
      <c r="Z21" s="2" t="n"/>
      <c r="AA21" s="2" t="n"/>
      <c r="AB21" s="2" t="n"/>
      <c r="AC21" s="2" t="n"/>
      <c r="AD21" s="2" t="n"/>
      <c r="AE21" s="2" t="n"/>
      <c r="AF21" s="2" t="n"/>
      <c r="AG21" s="2" t="n"/>
      <c r="AH21" s="2" t="inlineStr">
        <is>
          <t>Unknown</t>
        </is>
      </c>
      <c r="AI21" s="2" t="inlineStr">
        <is>
          <t>Not stated</t>
        </is>
      </c>
      <c r="AJ21" s="2" t="inlineStr">
        <is>
          <t>Inferred: residual</t>
        </is>
      </c>
      <c r="AK21" s="3" t="n">
        <v>23</v>
      </c>
      <c r="AL21" s="2" t="inlineStr">
        <is>
          <t>R012 (base population); R015–R020 (submitters)</t>
        </is>
      </c>
      <c r="AM21" s="2" t="inlineStr">
        <is>
          <t>PetSmart</t>
        </is>
      </c>
    </row>
    <row r="22" ht="137.984" customHeight="1">
      <c r="A22" s="2" t="n">
        <v>21</v>
      </c>
      <c r="B22" s="2" t="inlineStr">
        <is>
          <t>10/30–11/02/2014; day not disclosed</t>
        </is>
      </c>
      <c r="C22" s="2" t="inlineStr">
        <is>
          <t>Bidder 2</t>
        </is>
      </c>
      <c r="D22" s="2" t="inlineStr">
        <is>
          <t>Bid</t>
        </is>
      </c>
      <c r="E22" s="3" t="n">
        <v>1</v>
      </c>
      <c r="F22" s="2" t="n">
        <v>1</v>
      </c>
      <c r="G22" s="2" t="inlineStr">
        <is>
          <t>Financial</t>
        </is>
      </c>
      <c r="H22" s="2" t="inlineStr">
        <is>
          <t>Revised indication of $81.00–$84.00 per share after J.P. Morgan's 10/30–11/02 calls; first Bid row for this bidder in the round (R018) carries the Count.</t>
        </is>
      </c>
      <c r="I22" s="2" t="inlineStr">
        <is>
          <t>Informal</t>
        </is>
      </c>
      <c r="J22" s="2" t="inlineStr">
        <is>
          <t>Heavy</t>
        </is>
      </c>
      <c r="K22"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“As a result of its discussions with J.P. Morgan, another bidder (which we refer to as “Bidder 2”), which had initially indicated a price of $78.00, increased its indication to a range of $81.00 to $84.00 per share” (p. 24). Discussions ran 10/30–11/02; the revision day is not disclosed.</t>
        </is>
      </c>
      <c r="L22" s="4" t="inlineStr">
        <is>
          <t>P-021</t>
        </is>
      </c>
      <c r="M22" s="2" t="inlineStr">
        <is>
          <t>Q6</t>
        </is>
      </c>
      <c r="N22" s="2" t="n"/>
      <c r="O22" s="2" t="inlineStr">
        <is>
          <t>R019</t>
        </is>
      </c>
      <c r="P22" s="2" t="inlineStr">
        <is>
          <t>Yes</t>
        </is>
      </c>
      <c r="Q22" s="3" t="n">
        <v>0</v>
      </c>
      <c r="R22" s="5" t="n">
        <v>41942</v>
      </c>
      <c r="S22" s="5" t="n">
        <v>41945</v>
      </c>
      <c r="T22" s="5" t="n">
        <v>41944</v>
      </c>
      <c r="U22" s="2" t="inlineStr">
        <is>
          <t>Reported interval</t>
        </is>
      </c>
      <c r="V22" s="2" t="inlineStr">
        <is>
          <t>Assigned: midpoint</t>
        </is>
      </c>
      <c r="W22" s="6" t="n">
        <v>81</v>
      </c>
      <c r="X22" s="6" t="n">
        <v>84</v>
      </c>
      <c r="Y22" s="2" t="inlineStr">
        <is>
          <t>Bidder range</t>
        </is>
      </c>
      <c r="Z22" s="2" t="inlineStr">
        <is>
          <t>Stated</t>
        </is>
      </c>
      <c r="AA22" s="2" t="inlineStr">
        <is>
          <t>USD</t>
        </is>
      </c>
      <c r="AB22" s="2" t="inlineStr">
        <is>
          <t>Not stated</t>
        </is>
      </c>
      <c r="AC22" s="2" t="n"/>
      <c r="AD22" s="2" t="inlineStr">
        <is>
          <t>Fin: not stated; DD required: substantive (period not stated); DD open: yes; Excl: not stated</t>
        </is>
      </c>
      <c r="AE22" s="2" t="n"/>
      <c r="AF22" s="2" t="n"/>
      <c r="AG22" s="2" t="n"/>
      <c r="AH22" s="2" t="n"/>
      <c r="AI22" s="2" t="n"/>
      <c r="AJ22" s="2" t="n"/>
      <c r="AK22" s="3" t="n">
        <v>24</v>
      </c>
      <c r="AL22" s="2" t="inlineStr">
        <is>
          <t>revises R018; R021</t>
        </is>
      </c>
      <c r="AM22" s="2" t="inlineStr">
        <is>
          <t>PetSmart</t>
        </is>
      </c>
    </row>
    <row r="23" ht="127.38" customHeight="1">
      <c r="A23" s="2" t="n">
        <v>22</v>
      </c>
      <c r="B23" s="2" t="inlineStr">
        <is>
          <t>11/03/2014</t>
        </is>
      </c>
      <c r="C23" s="2" t="inlineStr">
        <is>
          <t>PetSmart board</t>
        </is>
      </c>
      <c r="D23" s="2" t="inlineStr">
        <is>
          <t>Round opened</t>
        </is>
      </c>
      <c r="E23" s="3" t="n">
        <v>1</v>
      </c>
      <c r="F23" s="2" t="n">
        <v>2</v>
      </c>
      <c r="G23" s="2" t="n"/>
      <c r="H23" s="2" t="inlineStr">
        <is>
          <t>Board selected the four bidders whose indications were at or above $80.00 per share (Buyer Group, Bidder 2 and two unnamed bidders) to proceed to the final round of the sale process. Purpose: final-round diligence, negotiation of definitive documentation and final bids; the Company circulated a form of merger agreement with instructions to submit comments together with final bids (p. 24). Final bids were initially planned for 12/05/2014 (communication date not disclosed), then revised to 12/10 and an improvement deadline of 12/12 (R027, R028, R033).</t>
        </is>
      </c>
      <c r="I23" s="2" t="n"/>
      <c r="J23" s="2" t="n"/>
      <c r="K23" s="2" t="inlineStr">
        <is>
          <t>“The board determined to allow the four bidders that had indicated a price or range at or above $80.00 per share to proceed to the final round of the sale process” (p. 24). The filing calls this stage the final round and the later solicitation was for “final bids” and “best and final” offers (pp. 24–26).</t>
        </is>
      </c>
      <c r="L23" s="4" t="inlineStr">
        <is>
          <t>P-022; P-025; P-026</t>
        </is>
      </c>
      <c r="M23" s="2" t="inlineStr">
        <is>
          <t>Q1</t>
        </is>
      </c>
      <c r="N23" s="2" t="n"/>
      <c r="O23" s="2" t="inlineStr">
        <is>
          <t>R021</t>
        </is>
      </c>
      <c r="P23" s="2" t="inlineStr">
        <is>
          <t>Yes</t>
        </is>
      </c>
      <c r="Q23" s="2" t="n"/>
      <c r="R23" s="5" t="n">
        <v>41946</v>
      </c>
      <c r="S23" s="5" t="n">
        <v>41946</v>
      </c>
      <c r="T23" s="5" t="n">
        <v>41946</v>
      </c>
      <c r="U23" s="2" t="inlineStr">
        <is>
          <t>Reported day</t>
        </is>
      </c>
      <c r="V23" s="2" t="inlineStr">
        <is>
          <t>Reported</t>
        </is>
      </c>
      <c r="W23" s="2" t="n"/>
      <c r="X23" s="2" t="n"/>
      <c r="Y23" s="2" t="n"/>
      <c r="Z23" s="2" t="n"/>
      <c r="AA23" s="2" t="n"/>
      <c r="AB23" s="2" t="n"/>
      <c r="AC23" s="2" t="n"/>
      <c r="AD23" s="2" t="n"/>
      <c r="AE23" s="2" t="n"/>
      <c r="AF23" s="2" t="n"/>
      <c r="AG23" s="2" t="inlineStr">
        <is>
          <t>Announced as final</t>
        </is>
      </c>
      <c r="AH23" s="2" t="n"/>
      <c r="AI23" s="2" t="n"/>
      <c r="AJ23" s="2" t="n"/>
      <c r="AK23" s="3" t="n">
        <v>24</v>
      </c>
      <c r="AL23" s="2" t="inlineStr">
        <is>
          <t>R011 (prior round); R022; R027</t>
        </is>
      </c>
      <c r="AM23" s="2" t="inlineStr">
        <is>
          <t>PetSmart</t>
        </is>
      </c>
    </row>
    <row r="24" ht="58.52" customHeight="1">
      <c r="A24" s="2" t="n">
        <v>23</v>
      </c>
      <c r="B24" s="2" t="inlineStr">
        <is>
          <t>by 11/03/2014 (notified after the board meeting; day not disclosed)</t>
        </is>
      </c>
      <c r="C24" s="2" t="inlineStr">
        <is>
          <t>2 unnamed financial submitters (cohort; indications below $80.00)</t>
        </is>
      </c>
      <c r="D24" s="2" t="inlineStr">
        <is>
          <t>Dropped by target</t>
        </is>
      </c>
      <c r="E24" s="3" t="n">
        <v>1</v>
      </c>
      <c r="F24" s="2" t="n">
        <v>1</v>
      </c>
      <c r="G24" s="2" t="inlineStr">
        <is>
          <t>Financial</t>
        </is>
      </c>
      <c r="H24" s="2" t="inlineStr">
        <is>
          <t>Notified by J.P. Morgan following the 11/03 board meeting that they were eliminated; none indicated any interest or ability to remain in the process at price levels above their own initial indications. Excluded from the final round (Round 2).</t>
        </is>
      </c>
      <c r="I24" s="2" t="n"/>
      <c r="J24" s="2" t="n"/>
      <c r="K24" s="2" t="inlineStr">
        <is>
          <t>“Following this meeting, representatives of J.P. Morgan notified the eliminated parties, none of which indicated any interest or ability to remain in the process at price levels above their respective initial indications” (p. 24).</t>
        </is>
      </c>
      <c r="L24" s="4" t="inlineStr">
        <is>
          <t>P-022; P-021</t>
        </is>
      </c>
      <c r="M24" s="2" t="inlineStr">
        <is>
          <t>Q3</t>
        </is>
      </c>
      <c r="N24" s="2" t="n"/>
      <c r="O24" s="2" t="inlineStr">
        <is>
          <t>R022</t>
        </is>
      </c>
      <c r="P24" s="2" t="inlineStr">
        <is>
          <t>Yes</t>
        </is>
      </c>
      <c r="Q24" s="3" t="n">
        <v>2</v>
      </c>
      <c r="R24" s="5" t="n">
        <v>41946</v>
      </c>
      <c r="S24" s="2" t="n"/>
      <c r="T24" s="5" t="n">
        <v>41946</v>
      </c>
      <c r="U24" s="2" t="inlineStr">
        <is>
          <t>Relative only</t>
        </is>
      </c>
      <c r="V24" s="2" t="inlineStr">
        <is>
          <t>Assigned: decision day</t>
        </is>
      </c>
      <c r="W24" s="2" t="n"/>
      <c r="X24" s="2" t="n"/>
      <c r="Y24" s="2" t="n"/>
      <c r="Z24" s="2" t="n"/>
      <c r="AA24" s="2" t="n"/>
      <c r="AB24" s="2" t="n"/>
      <c r="AC24" s="2" t="n"/>
      <c r="AD24" s="2" t="n"/>
      <c r="AE24" s="2" t="n"/>
      <c r="AF24" s="2" t="n"/>
      <c r="AG24" s="2" t="n"/>
      <c r="AH24" s="2" t="inlineStr">
        <is>
          <t>Target</t>
        </is>
      </c>
      <c r="AI24" s="2" t="inlineStr">
        <is>
          <t>Lower offer than rivals</t>
        </is>
      </c>
      <c r="AJ24" s="2" t="inlineStr">
        <is>
          <t>Stated</t>
        </is>
      </c>
      <c r="AK24" s="3" t="n">
        <v>24</v>
      </c>
      <c r="AL24" s="2" t="inlineStr">
        <is>
          <t>R020 (their bids); R021</t>
        </is>
      </c>
      <c r="AM24" s="2" t="inlineStr">
        <is>
          <t>PetSmart</t>
        </is>
      </c>
    </row>
    <row r="25" ht="137.72" customHeight="1">
      <c r="A25" s="2" t="n">
        <v>24</v>
      </c>
      <c r="B25" s="2" t="inlineStr">
        <is>
          <t>after 11/03/2014; day not disclosed</t>
        </is>
      </c>
      <c r="C25" s="2" t="inlineStr">
        <is>
          <t>Unnamed finalist (sought equity partner); Unnamed finalist (would exit unless permitted to partner) → Bidder 3</t>
        </is>
      </c>
      <c r="D25" s="2" t="inlineStr">
        <is>
          <t>Bidding group changed</t>
        </is>
      </c>
      <c r="E25" s="3" t="n">
        <v>1</v>
      </c>
      <c r="F25" s="2" t="n">
        <v>2</v>
      </c>
      <c r="G25" s="2" t="n"/>
      <c r="H25" s="2" t="inlineStr">
        <is>
          <t>Formation of “Bidder 3”: two of the four final-round bidders requested, and the ad hoc committee authorized, working together — one had indicated a desire to work with an equity partner given the size of a PetSmart acquisition, the other had said it would drop out of the process if not permitted to work together; they had worked together on previous large leveraged buyouts. Composition: 4 independent final-round units → 3; the net units −1 is effected through the two Joined group rows (R024, R025); this row states the composition and carries no unit change of its own. Count 2 = members affected.</t>
        </is>
      </c>
      <c r="I25" s="2" t="n"/>
      <c r="J25" s="2" t="n"/>
      <c r="K25" s="2" t="inlineStr">
        <is>
          <t>“Two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 ad hoc committee authorized these two bidders to work together. We refer to these two bidders together as “Bidder 3.”” (p. 24).</t>
        </is>
      </c>
      <c r="L25" s="4" t="inlineStr">
        <is>
          <t>P-023; P-022</t>
        </is>
      </c>
      <c r="M25" s="2" t="inlineStr">
        <is>
          <t>Q3</t>
        </is>
      </c>
      <c r="N25" s="2" t="n"/>
      <c r="O25" s="2" t="inlineStr">
        <is>
          <t>R023</t>
        </is>
      </c>
      <c r="P25" s="2" t="inlineStr">
        <is>
          <t>Yes</t>
        </is>
      </c>
      <c r="Q25" s="3" t="n">
        <v>2</v>
      </c>
      <c r="R25" s="5" t="n">
        <v>41946</v>
      </c>
      <c r="S25" s="2" t="n"/>
      <c r="T25" s="5" t="n">
        <v>41946</v>
      </c>
      <c r="U25" s="2" t="inlineStr">
        <is>
          <t>Relative only</t>
        </is>
      </c>
      <c r="V25" s="2" t="inlineStr">
        <is>
          <t>Assigned: bound</t>
        </is>
      </c>
      <c r="W25" s="2" t="n"/>
      <c r="X25" s="2" t="n"/>
      <c r="Y25" s="2" t="n"/>
      <c r="Z25" s="2" t="n"/>
      <c r="AA25" s="2" t="n"/>
      <c r="AB25" s="2" t="n"/>
      <c r="AC25" s="2" t="n"/>
      <c r="AD25" s="2" t="n"/>
      <c r="AE25" s="2" t="n"/>
      <c r="AF25" s="2" t="n"/>
      <c r="AG25" s="2" t="n"/>
      <c r="AH25" s="2" t="n"/>
      <c r="AI25" s="2" t="n"/>
      <c r="AJ25" s="2" t="n"/>
      <c r="AK25" s="3" t="n">
        <v>24</v>
      </c>
      <c r="AL25" s="2" t="inlineStr">
        <is>
          <t>R024; R025; R032</t>
        </is>
      </c>
      <c r="AM25" s="2" t="inlineStr">
        <is>
          <t>PetSmart</t>
        </is>
      </c>
    </row>
    <row r="26" ht="57.552" customHeight="1">
      <c r="A26" s="2" t="n">
        <v>25</v>
      </c>
      <c r="B26" s="2" t="inlineStr">
        <is>
          <t>after 11/03/2014; day not disclosed</t>
        </is>
      </c>
      <c r="C26" s="2" t="inlineStr">
        <is>
          <t>Unnamed finalist (sought equity partner)</t>
        </is>
      </c>
      <c r="D26" s="2" t="inlineStr">
        <is>
          <t>Joined group</t>
        </is>
      </c>
      <c r="E26" s="3" t="n">
        <v>1</v>
      </c>
      <c r="F26" s="2" t="n">
        <v>2</v>
      </c>
      <c r="G26" s="2" t="inlineStr">
        <is>
          <t>Financial</t>
        </is>
      </c>
      <c r="H26" s="2" t="inlineStr">
        <is>
          <t>Joined Bidder 3 (with the other unnamed finalist); independent participation closed. Stage count falls by one: 4 independent units → 3 with Bidder 3 counting as one unit. Not an economic exit.</t>
        </is>
      </c>
      <c r="I26" s="2" t="n"/>
      <c r="J26" s="2" t="n"/>
      <c r="K26" s="2" t="inlineStr">
        <is>
          <t>One of the two finalists that “requested permission to work together”; “the ad hoc committee authorized these two bidders to work together. We refer to these two bidders together as “Bidder 3.”” (p. 24). Closing of the independent unit follows section 5.3; net unit effect stated once on this row.</t>
        </is>
      </c>
      <c r="L26" s="4" t="inlineStr">
        <is>
          <t>P-023</t>
        </is>
      </c>
      <c r="M26" s="2" t="inlineStr">
        <is>
          <t>Q3</t>
        </is>
      </c>
      <c r="N26" s="2" t="n"/>
      <c r="O26" s="2" t="inlineStr">
        <is>
          <t>R024</t>
        </is>
      </c>
      <c r="P26" s="2" t="inlineStr">
        <is>
          <t>Yes</t>
        </is>
      </c>
      <c r="Q26" s="3" t="n">
        <v>1</v>
      </c>
      <c r="R26" s="5" t="n">
        <v>41946</v>
      </c>
      <c r="S26" s="2" t="n"/>
      <c r="T26" s="5" t="n">
        <v>41946</v>
      </c>
      <c r="U26" s="2" t="inlineStr">
        <is>
          <t>Relative only</t>
        </is>
      </c>
      <c r="V26" s="2" t="inlineStr">
        <is>
          <t>Assigned: bound</t>
        </is>
      </c>
      <c r="W26" s="2" t="n"/>
      <c r="X26" s="2" t="n"/>
      <c r="Y26" s="2" t="n"/>
      <c r="Z26" s="2" t="n"/>
      <c r="AA26" s="2" t="n"/>
      <c r="AB26" s="2" t="n"/>
      <c r="AC26" s="2" t="n"/>
      <c r="AD26" s="2" t="n"/>
      <c r="AE26" s="2" t="n"/>
      <c r="AF26" s="2" t="n"/>
      <c r="AG26" s="2" t="n"/>
      <c r="AH26" s="2" t="n"/>
      <c r="AI26" s="2" t="n"/>
      <c r="AJ26" s="2" t="inlineStr">
        <is>
          <t>Stated</t>
        </is>
      </c>
      <c r="AK26" s="3" t="n">
        <v>24</v>
      </c>
      <c r="AL26" s="2" t="inlineStr">
        <is>
          <t>R023 (formation); R025</t>
        </is>
      </c>
      <c r="AM26" s="2" t="inlineStr">
        <is>
          <t>PetSmart</t>
        </is>
      </c>
    </row>
    <row r="27" ht="41.14" customHeight="1">
      <c r="A27" s="2" t="n">
        <v>26</v>
      </c>
      <c r="B27" s="2" t="inlineStr">
        <is>
          <t>after 11/03/2014; day not disclosed</t>
        </is>
      </c>
      <c r="C27" s="2" t="inlineStr">
        <is>
          <t>Unnamed finalist (would exit unless permitted to partner)</t>
        </is>
      </c>
      <c r="D27" s="2" t="inlineStr">
        <is>
          <t>Joined group</t>
        </is>
      </c>
      <c r="E27" s="3" t="n">
        <v>1</v>
      </c>
      <c r="F27" s="2" t="n">
        <v>2</v>
      </c>
      <c r="G27" s="2" t="inlineStr">
        <is>
          <t>Financial</t>
        </is>
      </c>
      <c r="H27" s="2" t="inlineStr">
        <is>
          <t>Joined Bidder 3 (with the other unnamed finalist); independent participation closed; no separate count effect — the net 4 → 3 unit change is recorded once at R024.</t>
        </is>
      </c>
      <c r="I27" s="2" t="n"/>
      <c r="J27" s="2" t="n"/>
      <c r="K27" s="2" t="inlineStr">
        <is>
          <t>One of the two finalists that “requested permission to work together”; “the ad hoc committee authorized these two bidders to work together. We refer to these two bidders together as “Bidder 3.”” (p. 24).</t>
        </is>
      </c>
      <c r="L27" s="4" t="inlineStr">
        <is>
          <t>P-023</t>
        </is>
      </c>
      <c r="M27" s="2" t="inlineStr">
        <is>
          <t>Q3</t>
        </is>
      </c>
      <c r="N27" s="2" t="n"/>
      <c r="O27" s="2" t="inlineStr">
        <is>
          <t>R025</t>
        </is>
      </c>
      <c r="P27" s="2" t="inlineStr">
        <is>
          <t>Yes</t>
        </is>
      </c>
      <c r="Q27" s="3" t="n">
        <v>1</v>
      </c>
      <c r="R27" s="5" t="n">
        <v>41946</v>
      </c>
      <c r="S27" s="2" t="n"/>
      <c r="T27" s="5" t="n">
        <v>41946</v>
      </c>
      <c r="U27" s="2" t="inlineStr">
        <is>
          <t>Relative only</t>
        </is>
      </c>
      <c r="V27" s="2" t="inlineStr">
        <is>
          <t>Assigned: bound</t>
        </is>
      </c>
      <c r="W27" s="2" t="n"/>
      <c r="X27" s="2" t="n"/>
      <c r="Y27" s="2" t="n"/>
      <c r="Z27" s="2" t="n"/>
      <c r="AA27" s="2" t="n"/>
      <c r="AB27" s="2" t="n"/>
      <c r="AC27" s="2" t="n"/>
      <c r="AD27" s="2" t="n"/>
      <c r="AE27" s="2" t="n"/>
      <c r="AF27" s="2" t="n"/>
      <c r="AG27" s="2" t="n"/>
      <c r="AH27" s="2" t="n"/>
      <c r="AI27" s="2" t="n"/>
      <c r="AJ27" s="2" t="inlineStr">
        <is>
          <t>Stated</t>
        </is>
      </c>
      <c r="AK27" s="3" t="n">
        <v>24</v>
      </c>
      <c r="AL27" s="2" t="inlineStr">
        <is>
          <t>R023 (formation); R024</t>
        </is>
      </c>
      <c r="AM27" s="2" t="inlineStr">
        <is>
          <t>PetSmart</t>
        </is>
      </c>
    </row>
    <row r="28" ht="138.16" customHeight="1">
      <c r="A28" s="2" t="n">
        <v>27</v>
      </c>
      <c r="B28" s="2" t="inlineStr">
        <is>
          <t>November 2014; after the third quarter earnings announcement (day not disclosed)</t>
        </is>
      </c>
      <c r="C28" s="2" t="inlineStr">
        <is>
          <t>PetSmart / J.P. Morgan</t>
        </is>
      </c>
      <c r="D28" s="2" t="inlineStr">
        <is>
          <t>Information access changed</t>
        </is>
      </c>
      <c r="E28" s="3" t="n">
        <v>1</v>
      </c>
      <c r="F28" s="2" t="n">
        <v>2</v>
      </c>
      <c r="G28" s="2" t="n"/>
      <c r="H28" s="2" t="inlineStr">
        <is>
          <t>Updated FY2014 financial projections: following the Q3 earnings announcement, at the request of bidders and the direction of the board, J.P. Morgan provided the bidders with updates to the Company's FY2014 projections. FY2014–FY2019 projections had earlier been provided to the board and J.P. Morgan, with portions made available to Parent, Merger Sub and Buyer Group members; FY2020–2024 extrapolations and certain metrics were provided to the board and J.P. Morgan only (R026 covers the revision of projections after bidding began; the update was given to the bidders alike).</t>
        </is>
      </c>
      <c r="I28" s="2" t="n"/>
      <c r="J28" s="2" t="n"/>
      <c r="K28" s="2" t="inlineStr">
        <is>
          <t>“Following the Company’s third quarter earnings announcement and, at the request of bidders and the direction of the board and the Company, representatives of J.P. Morgan provided the bidders with updates to the Company’s fiscal year 2014 financial projections” (p. 24); “Following the release of the Company’s third fiscal quarter financial results, selected income statement line items for fiscal year 2014 only were updated to reflect actual performance and better visibility into the performance of the Company’s profit improvement plan”; “Portions of these projections were also made available to Parent, Merger Sub and members of the Buyer Group in connection with their respective consideration and evaluation of a merger with the Company” (p. 37).</t>
        </is>
      </c>
      <c r="L28" s="4" t="inlineStr">
        <is>
          <t>P-024; X-010; X-034; X-035; X-036</t>
        </is>
      </c>
      <c r="M28" s="2" t="inlineStr">
        <is>
          <t>Q1</t>
        </is>
      </c>
      <c r="N28" s="2" t="n"/>
      <c r="O28" s="2" t="inlineStr">
        <is>
          <t>R026</t>
        </is>
      </c>
      <c r="P28" s="2" t="inlineStr">
        <is>
          <t>Yes</t>
        </is>
      </c>
      <c r="Q28" s="2" t="n"/>
      <c r="R28" s="5" t="n">
        <v>41944</v>
      </c>
      <c r="S28" s="5" t="n">
        <v>41973</v>
      </c>
      <c r="T28" s="5" t="n">
        <v>41958</v>
      </c>
      <c r="U28" s="2" t="inlineStr">
        <is>
          <t>Reported interval</t>
        </is>
      </c>
      <c r="V28" s="2" t="inlineStr">
        <is>
          <t>Assigned: midpoint</t>
        </is>
      </c>
      <c r="W28" s="2" t="n"/>
      <c r="X28" s="2" t="n"/>
      <c r="Y28" s="2" t="n"/>
      <c r="Z28" s="2" t="n"/>
      <c r="AA28" s="2" t="n"/>
      <c r="AB28" s="2" t="n"/>
      <c r="AC28" s="2" t="n"/>
      <c r="AD28" s="2" t="n"/>
      <c r="AE28" s="2" t="n"/>
      <c r="AF28" s="2" t="n"/>
      <c r="AG28" s="2" t="n"/>
      <c r="AH28" s="2" t="n"/>
      <c r="AI28" s="2" t="n"/>
      <c r="AJ28" s="2" t="n"/>
      <c r="AK28" s="3" t="n">
        <v>24</v>
      </c>
      <c r="AL28" s="2" t="n"/>
      <c r="AM28" s="2" t="inlineStr">
        <is>
          <t>PetSmart</t>
        </is>
      </c>
    </row>
    <row r="29" ht="152.02" customHeight="1">
      <c r="A29" s="2" t="n">
        <v>28</v>
      </c>
      <c r="B29" s="2" t="inlineStr">
        <is>
          <t>12/04–12/05/2014; due date changed from 12/05/2014 to the evening of 12/10/2014</t>
        </is>
      </c>
      <c r="C29" s="2" t="inlineStr">
        <is>
          <t>PetSmart ad hoc committee / J.P. Morgan</t>
        </is>
      </c>
      <c r="D29" s="2" t="inlineStr">
        <is>
          <t>Deadline revised</t>
        </is>
      </c>
      <c r="E29" s="3" t="n">
        <v>1</v>
      </c>
      <c r="F29" s="2" t="n">
        <v>2</v>
      </c>
      <c r="G29" s="2" t="n"/>
      <c r="H29" s="2" t="inlineStr">
        <is>
          <t>Extension: the initial plan set Friday 12/05/2014 as the date for submission of bids (communication day not disclosed; the board had targeted 12/15/2014 for completion); on 12/04–12/05 the ad hoc committee concluded matters could be accomplished faster and set the evening of Wednesday 12/10/2014 as the deadline for final bids (five rather than ten days before the anticipated completion date), reducing leak/public-disclosure risk. Bidders were asked to submit mark-ups of the merger agreement, other transaction documents and financing commitments in advance. Due date field carries the superseded 12/05/2014 date; no separate milestone row for it per section 8.3.</t>
        </is>
      </c>
      <c r="I29" s="2" t="n"/>
      <c r="J29" s="2" t="n"/>
      <c r="K29" s="2" t="inlineStr">
        <is>
          <t>“The board had initially targeted Monday, December 15 for completion of the sale process, and had initially set Friday, December 5 as the date for submission of bids”; “on December 4 and December 5, 2014, after consultation with the Company’s financial and legal advisors, the ad hoc committee concluded that these matters could be accomplished in a shorter period of time”; “the Company set the evening of Wednesday, December 10 (five days, rather than 10 days prior to the anticipated December 15 completion date) as the deadline for submission of final bids” (pp. 24–25).</t>
        </is>
      </c>
      <c r="L29" s="4" t="inlineStr">
        <is>
          <t>P-025; P-026</t>
        </is>
      </c>
      <c r="M29" s="2" t="inlineStr">
        <is>
          <t>Q5</t>
        </is>
      </c>
      <c r="N29" s="2" t="n"/>
      <c r="O29" s="2" t="inlineStr">
        <is>
          <t>R027</t>
        </is>
      </c>
      <c r="P29" s="2" t="inlineStr">
        <is>
          <t>Yes</t>
        </is>
      </c>
      <c r="Q29" s="2" t="n"/>
      <c r="R29" s="5" t="n">
        <v>41977</v>
      </c>
      <c r="S29" s="5" t="n">
        <v>41978</v>
      </c>
      <c r="T29" s="5" t="n">
        <v>41977</v>
      </c>
      <c r="U29" s="2" t="inlineStr">
        <is>
          <t>Reported interval</t>
        </is>
      </c>
      <c r="V29" s="2" t="inlineStr">
        <is>
          <t>Assigned: bound</t>
        </is>
      </c>
      <c r="W29" s="2" t="n"/>
      <c r="X29" s="2" t="n"/>
      <c r="Y29" s="2" t="n"/>
      <c r="Z29" s="2" t="n"/>
      <c r="AA29" s="2" t="n"/>
      <c r="AB29" s="2" t="n"/>
      <c r="AC29" s="2" t="n"/>
      <c r="AD29" s="2" t="n"/>
      <c r="AE29" s="5" t="n">
        <v>41978</v>
      </c>
      <c r="AF29" s="2" t="inlineStr">
        <is>
          <t>Extended</t>
        </is>
      </c>
      <c r="AG29" s="2" t="n"/>
      <c r="AH29" s="2" t="n"/>
      <c r="AI29" s="2" t="n"/>
      <c r="AJ29" s="2" t="n"/>
      <c r="AK29" s="3" t="n">
        <v>24</v>
      </c>
      <c r="AL29" s="2" t="inlineStr">
        <is>
          <t>R021; R028</t>
        </is>
      </c>
      <c r="AM29" s="2" t="inlineStr">
        <is>
          <t>PetSmart</t>
        </is>
      </c>
    </row>
    <row r="30" ht="79.024" customHeight="1">
      <c r="A30" s="2" t="n">
        <v>29</v>
      </c>
      <c r="B30" s="2" t="inlineStr">
        <is>
          <t>12/10/2014 (evening)</t>
        </is>
      </c>
      <c r="C30" s="2" t="inlineStr">
        <is>
          <t>PetSmart (deadline for finalists)</t>
        </is>
      </c>
      <c r="D30" s="2" t="inlineStr">
        <is>
          <t>Deadline</t>
        </is>
      </c>
      <c r="E30" s="3" t="n">
        <v>1</v>
      </c>
      <c r="F30" s="2" t="n">
        <v>2</v>
      </c>
      <c r="G30" s="2" t="n"/>
      <c r="H30" s="2" t="inlineStr">
        <is>
          <t>Final bids due; received in writing from the Buyer Group and Bidder 2 with revised transaction documents; Bidder 3 gave only a verbal indication and no written offer (R031, R032). The ad hoc committee then required improved bids (R033).</t>
        </is>
      </c>
      <c r="I30" s="2" t="n"/>
      <c r="J30" s="2" t="n"/>
      <c r="K30" s="2" t="inlineStr">
        <is>
          <t>“the Company set the evening of Wednesday, December 10 (five days, rather than 10 days prior to the anticipated December 15 completion date) as the deadline for submission of final bids” (p. 25); “On December 10, PetSmart received final bid letters along with revised versions of the merger agreement and other transaction documents from the Buyer Group and from Bidder 2 and a verbal indication from Bidder 3” (p. 25).</t>
        </is>
      </c>
      <c r="L30" s="4" t="inlineStr">
        <is>
          <t>P-026; P-030; P-031</t>
        </is>
      </c>
      <c r="M30" s="2" t="inlineStr">
        <is>
          <t>Q5</t>
        </is>
      </c>
      <c r="N30" s="2" t="n"/>
      <c r="O30" s="2" t="inlineStr">
        <is>
          <t>R028</t>
        </is>
      </c>
      <c r="P30" s="2" t="inlineStr">
        <is>
          <t>Yes</t>
        </is>
      </c>
      <c r="Q30" s="2" t="n"/>
      <c r="R30" s="5" t="n">
        <v>41983</v>
      </c>
      <c r="S30" s="5" t="n">
        <v>41983</v>
      </c>
      <c r="T30" s="5" t="n">
        <v>41983</v>
      </c>
      <c r="U30" s="2" t="inlineStr">
        <is>
          <t>Reported day</t>
        </is>
      </c>
      <c r="V30" s="2" t="inlineStr">
        <is>
          <t>Reported</t>
        </is>
      </c>
      <c r="W30" s="2" t="n"/>
      <c r="X30" s="2" t="n"/>
      <c r="Y30" s="2" t="n"/>
      <c r="Z30" s="2" t="n"/>
      <c r="AA30" s="2" t="n"/>
      <c r="AB30" s="2" t="n"/>
      <c r="AC30" s="2" t="n"/>
      <c r="AD30" s="2" t="n"/>
      <c r="AE30" s="5" t="n">
        <v>41983</v>
      </c>
      <c r="AF30" s="2" t="inlineStr">
        <is>
          <t>Extended</t>
        </is>
      </c>
      <c r="AG30" s="2" t="n"/>
      <c r="AH30" s="2" t="n"/>
      <c r="AI30" s="2" t="n"/>
      <c r="AJ30" s="2" t="n"/>
      <c r="AK30" s="3" t="n">
        <v>25</v>
      </c>
      <c r="AL30" s="2" t="inlineStr">
        <is>
          <t>R027; R033</t>
        </is>
      </c>
      <c r="AM30" s="2" t="inlineStr">
        <is>
          <t>PetSmart</t>
        </is>
      </c>
    </row>
    <row r="31" ht="122.672" customHeight="1">
      <c r="A31" s="2" t="n">
        <v>30</v>
      </c>
      <c r="B31" s="2" t="inlineStr">
        <is>
          <t>12/10/2014</t>
        </is>
      </c>
      <c r="C31" s="2" t="inlineStr">
        <is>
          <t>Buyer Group</t>
        </is>
      </c>
      <c r="D31" s="2" t="inlineStr">
        <is>
          <t>Bid</t>
        </is>
      </c>
      <c r="E31" s="3" t="n">
        <v>1</v>
      </c>
      <c r="F31" s="2" t="n">
        <v>2</v>
      </c>
      <c r="G31" s="2" t="inlineStr">
        <is>
          <t>Financial</t>
        </is>
      </c>
      <c r="H31" s="2" t="inlineStr">
        <is>
          <t>Final bid letter: $80.70 per share, in cash, with revised versions of the merger agreement and other transaction documents; financing commitment documents provided 12/06/2014 (p. 25); docs described as more favorable to the Company, less conditional and reflecting substantially more acceptance of the Company's positions. Bid not dependent on a Longview rollover.</t>
        </is>
      </c>
      <c r="I31" s="2" t="inlineStr">
        <is>
          <t>Formal</t>
        </is>
      </c>
      <c r="J31" s="2" t="inlineStr">
        <is>
          <t>Light</t>
        </is>
      </c>
      <c r="K31" s="2" t="inlineStr">
        <is>
          <t>“The Buyer Group offered $80.70 per share, in cash” (p. 25). Formal signal: “revised versions of the merger agreement and other transaction documents”; the Buyer Group's documents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(p. 25); financing commitments provided (p. 25). Heavy triggers absent; the bid remained subject to final documentation; no diligence or financing condition is reported.</t>
        </is>
      </c>
      <c r="L31" s="4" t="inlineStr">
        <is>
          <t>P-030; P-027</t>
        </is>
      </c>
      <c r="M31" s="2" t="inlineStr">
        <is>
          <t>Q4</t>
        </is>
      </c>
      <c r="N31" s="2" t="n"/>
      <c r="O31" s="2" t="inlineStr">
        <is>
          <t>R029</t>
        </is>
      </c>
      <c r="P31" s="2" t="inlineStr">
        <is>
          <t>Yes</t>
        </is>
      </c>
      <c r="Q31" s="3" t="n">
        <v>1</v>
      </c>
      <c r="R31" s="5" t="n">
        <v>41983</v>
      </c>
      <c r="S31" s="5" t="n">
        <v>41983</v>
      </c>
      <c r="T31" s="5" t="n">
        <v>41983</v>
      </c>
      <c r="U31" s="2" t="inlineStr">
        <is>
          <t>Reported day</t>
        </is>
      </c>
      <c r="V31" s="2" t="inlineStr">
        <is>
          <t>Reported</t>
        </is>
      </c>
      <c r="W31" s="6" t="n">
        <v>80.7</v>
      </c>
      <c r="X31" s="6" t="n">
        <v>80.7</v>
      </c>
      <c r="Y31" s="2" t="inlineStr">
        <is>
          <t>Point</t>
        </is>
      </c>
      <c r="Z31" s="2" t="inlineStr">
        <is>
          <t>Stated</t>
        </is>
      </c>
      <c r="AA31" s="2" t="inlineStr">
        <is>
          <t>USD</t>
        </is>
      </c>
      <c r="AB31" s="2" t="inlineStr">
        <is>
          <t>Yes</t>
        </is>
      </c>
      <c r="AC31" s="6" t="n">
        <v>80.7</v>
      </c>
      <c r="AD31" s="2" t="inlineStr">
        <is>
          <t>Fin: committed; DD required: not stated; DD open: not disclosed; Excl: not stated</t>
        </is>
      </c>
      <c r="AE31" s="2" t="n"/>
      <c r="AF31" s="2" t="n"/>
      <c r="AG31" s="2" t="n"/>
      <c r="AH31" s="2" t="n"/>
      <c r="AI31" s="2" t="n"/>
      <c r="AJ31" s="2" t="n"/>
      <c r="AK31" s="3" t="n">
        <v>25</v>
      </c>
      <c r="AL31" s="2" t="inlineStr">
        <is>
          <t>R015 (initial indication); R037 (revised)</t>
        </is>
      </c>
      <c r="AM31" s="2" t="inlineStr">
        <is>
          <t>PetSmart</t>
        </is>
      </c>
    </row>
    <row r="32" ht="65.12" customHeight="1">
      <c r="A32" s="2" t="n">
        <v>31</v>
      </c>
      <c r="B32" s="2" t="inlineStr">
        <is>
          <t>12/10/2014</t>
        </is>
      </c>
      <c r="C32" s="2" t="inlineStr">
        <is>
          <t>Bidder 2</t>
        </is>
      </c>
      <c r="D32" s="2" t="inlineStr">
        <is>
          <t>Bid</t>
        </is>
      </c>
      <c r="E32" s="3" t="n">
        <v>1</v>
      </c>
      <c r="F32" s="2" t="n">
        <v>2</v>
      </c>
      <c r="G32" s="2" t="inlineStr">
        <is>
          <t>Financial</t>
        </is>
      </c>
      <c r="H32" s="2" t="inlineStr">
        <is>
          <t>Final bid letter: $80.35 per share, in cash, with revised versions of the merger agreement and other transaction documents; indicated any Longview partnering would occur only after execution of a definitive agreement; bid not dependent on a Longview rollover.</t>
        </is>
      </c>
      <c r="I32" s="2" t="inlineStr">
        <is>
          <t>Formal</t>
        </is>
      </c>
      <c r="J32" s="2" t="inlineStr">
        <is>
          <t>Light</t>
        </is>
      </c>
      <c r="K32" s="2" t="inlineStr">
        <is>
          <t>“Bidder 2 offered $80.35 per share, in cash” (p. 25); “final bid letters along with revised versions of the merger agreement and other transaction documents” (p. 25). No Heavy trigger reported; the bid remained subject to final documentation; financing not stated at this date (commitment documents appear with the 12/12 submission, p. 26).</t>
        </is>
      </c>
      <c r="L32" s="4" t="inlineStr">
        <is>
          <t>P-030; P-031</t>
        </is>
      </c>
      <c r="M32" s="2" t="inlineStr">
        <is>
          <t>Q4</t>
        </is>
      </c>
      <c r="N32" s="2" t="n"/>
      <c r="O32" s="2" t="inlineStr">
        <is>
          <t>R030</t>
        </is>
      </c>
      <c r="P32" s="2" t="inlineStr">
        <is>
          <t>Yes</t>
        </is>
      </c>
      <c r="Q32" s="3" t="n">
        <v>1</v>
      </c>
      <c r="R32" s="5" t="n">
        <v>41983</v>
      </c>
      <c r="S32" s="5" t="n">
        <v>41983</v>
      </c>
      <c r="T32" s="5" t="n">
        <v>41983</v>
      </c>
      <c r="U32" s="2" t="inlineStr">
        <is>
          <t>Reported day</t>
        </is>
      </c>
      <c r="V32" s="2" t="inlineStr">
        <is>
          <t>Reported</t>
        </is>
      </c>
      <c r="W32" s="6" t="n">
        <v>80.34999999999999</v>
      </c>
      <c r="X32" s="6" t="n">
        <v>80.34999999999999</v>
      </c>
      <c r="Y32" s="2" t="inlineStr">
        <is>
          <t>Point</t>
        </is>
      </c>
      <c r="Z32" s="2" t="inlineStr">
        <is>
          <t>Stated</t>
        </is>
      </c>
      <c r="AA32" s="2" t="inlineStr">
        <is>
          <t>USD</t>
        </is>
      </c>
      <c r="AB32" s="2" t="inlineStr">
        <is>
          <t>Yes</t>
        </is>
      </c>
      <c r="AC32" s="6" t="n">
        <v>80.34999999999999</v>
      </c>
      <c r="AD32" s="2" t="inlineStr">
        <is>
          <t>Fin: not stated; DD required: not stated; DD open: not disclosed; Excl: not stated</t>
        </is>
      </c>
      <c r="AE32" s="2" t="n"/>
      <c r="AF32" s="2" t="n"/>
      <c r="AG32" s="2" t="n"/>
      <c r="AH32" s="2" t="n"/>
      <c r="AI32" s="2" t="n"/>
      <c r="AJ32" s="2" t="n"/>
      <c r="AK32" s="3" t="n">
        <v>25</v>
      </c>
      <c r="AL32" s="2" t="inlineStr">
        <is>
          <t>R019 (earlier indication); R035 (revised)</t>
        </is>
      </c>
      <c r="AM32" s="2" t="inlineStr">
        <is>
          <t>PetSmart</t>
        </is>
      </c>
    </row>
    <row r="33" ht="72.16" customHeight="1">
      <c r="A33" s="2" t="n">
        <v>32</v>
      </c>
      <c r="B33" s="2" t="inlineStr">
        <is>
          <t>12/10/2014</t>
        </is>
      </c>
      <c r="C33" s="2" t="inlineStr">
        <is>
          <t>Bidder 3 (combined finalist group)</t>
        </is>
      </c>
      <c r="D33" s="2" t="inlineStr">
        <is>
          <t>Valuation statement</t>
        </is>
      </c>
      <c r="E33" s="3" t="n">
        <v>1</v>
      </c>
      <c r="F33" s="2" t="n">
        <v>2</v>
      </c>
      <c r="G33" s="2" t="n"/>
      <c r="H33" s="2" t="inlineStr">
        <is>
          <t>Verbal communication that its valuation would not be above the current stock price of approximately $78 per share; J.P. Morgan told Bidder 3 it was unlikely to be competitive. Treated as a valuation statement, not a priced bid: no per-share bid cells populated and no formality/conditionality assessment.</t>
        </is>
      </c>
      <c r="I33" s="2" t="n"/>
      <c r="J33" s="2" t="n"/>
      <c r="K33" s="2" t="inlineStr">
        <is>
          <t>“Bidder 3 verbally communicated to J.P. Morgan that their valuation would not be above the current stock price of approximately $78 per share. J.P. Morgan communicated to Bidder 3 that it was unlikely to be competitive and accordingly Bidder 3 did not submit a written offer” (p. 25). A valuation statement is not an offer (section 9.4).</t>
        </is>
      </c>
      <c r="L33" s="4" t="inlineStr">
        <is>
          <t>P-030</t>
        </is>
      </c>
      <c r="M33" s="2" t="inlineStr">
        <is>
          <t>Q4</t>
        </is>
      </c>
      <c r="N33" s="2" t="n"/>
      <c r="O33" s="2" t="inlineStr">
        <is>
          <t>R031</t>
        </is>
      </c>
      <c r="P33" s="2" t="inlineStr">
        <is>
          <t>Yes</t>
        </is>
      </c>
      <c r="Q33" s="2" t="n"/>
      <c r="R33" s="5" t="n">
        <v>41983</v>
      </c>
      <c r="S33" s="5" t="n">
        <v>41983</v>
      </c>
      <c r="T33" s="5" t="n">
        <v>41983</v>
      </c>
      <c r="U33" s="2" t="inlineStr">
        <is>
          <t>Reported day</t>
        </is>
      </c>
      <c r="V33" s="2" t="inlineStr">
        <is>
          <t>Reported</t>
        </is>
      </c>
      <c r="W33" s="2" t="n"/>
      <c r="X33" s="2" t="n"/>
      <c r="Y33" s="2" t="n"/>
      <c r="Z33" s="2" t="n"/>
      <c r="AA33" s="2" t="n"/>
      <c r="AB33" s="2" t="n"/>
      <c r="AC33" s="2" t="n"/>
      <c r="AD33" s="2" t="n"/>
      <c r="AE33" s="2" t="n"/>
      <c r="AF33" s="2" t="n"/>
      <c r="AG33" s="2" t="n"/>
      <c r="AH33" s="2" t="n"/>
      <c r="AI33" s="2" t="n"/>
      <c r="AJ33" s="2" t="n"/>
      <c r="AK33" s="3" t="n">
        <v>25</v>
      </c>
      <c r="AL33" s="2" t="inlineStr">
        <is>
          <t>R032; R023</t>
        </is>
      </c>
      <c r="AM33" s="2" t="inlineStr">
        <is>
          <t>PetSmart</t>
        </is>
      </c>
    </row>
    <row r="34" ht="53.02" customHeight="1">
      <c r="A34" s="2" t="n">
        <v>33</v>
      </c>
      <c r="B34" s="2" t="inlineStr">
        <is>
          <t>by 12/10/2014 (final bid deadline; no written offer submitted)</t>
        </is>
      </c>
      <c r="C34" s="2" t="inlineStr">
        <is>
          <t>Bidder 3 (combined finalist group)</t>
        </is>
      </c>
      <c r="D34" s="2" t="inlineStr">
        <is>
          <t>Did not submit</t>
        </is>
      </c>
      <c r="E34" s="3" t="n">
        <v>1</v>
      </c>
      <c r="F34" s="2" t="n">
        <v>2</v>
      </c>
      <c r="G34" s="2" t="inlineStr">
        <is>
          <t>Financial</t>
        </is>
      </c>
      <c r="H34" s="2" t="inlineStr">
        <is>
          <t>No written final bid after J.P. Morgan told Bidder 3 its indication was unlikely to be competitive. Affects the two combined units (Count 2); the combination itself is recorded at R023–R025. Exit from the final round.</t>
        </is>
      </c>
      <c r="I34" s="2" t="n"/>
      <c r="J34" s="2" t="n"/>
      <c r="K34" s="2" t="inlineStr">
        <is>
          <t>“J.P. Morgan communicated to Bidder 3 that it was unlikely to be competitive and accordingly Bidder 3 did not submit a written offer” (p. 25). Mixed mechanism — target discouragement followed by non-participation (Decided by Both).</t>
        </is>
      </c>
      <c r="L34" s="4" t="inlineStr">
        <is>
          <t>P-030; P-023</t>
        </is>
      </c>
      <c r="M34" s="2" t="inlineStr">
        <is>
          <t>Q3; Q4</t>
        </is>
      </c>
      <c r="N34" s="2" t="n"/>
      <c r="O34" s="2" t="inlineStr">
        <is>
          <t>R032</t>
        </is>
      </c>
      <c r="P34" s="2" t="inlineStr">
        <is>
          <t>Yes</t>
        </is>
      </c>
      <c r="Q34" s="3" t="n">
        <v>2</v>
      </c>
      <c r="R34" s="5" t="n">
        <v>41983</v>
      </c>
      <c r="S34" s="2" t="n"/>
      <c r="T34" s="5" t="n">
        <v>41983</v>
      </c>
      <c r="U34" s="2" t="inlineStr">
        <is>
          <t>Relative only</t>
        </is>
      </c>
      <c r="V34" s="2" t="inlineStr">
        <is>
          <t>Assigned: deadline</t>
        </is>
      </c>
      <c r="W34" s="2" t="n"/>
      <c r="X34" s="2" t="n"/>
      <c r="Y34" s="2" t="n"/>
      <c r="Z34" s="2" t="n"/>
      <c r="AA34" s="2" t="n"/>
      <c r="AB34" s="2" t="n"/>
      <c r="AC34" s="2" t="n"/>
      <c r="AD34" s="2" t="n"/>
      <c r="AE34" s="2" t="n"/>
      <c r="AF34" s="2" t="n"/>
      <c r="AG34" s="2" t="n"/>
      <c r="AH34" s="2" t="inlineStr">
        <is>
          <t>Both</t>
        </is>
      </c>
      <c r="AI34" s="2" t="inlineStr">
        <is>
          <t>Value at or below market price</t>
        </is>
      </c>
      <c r="AJ34" s="2" t="inlineStr">
        <is>
          <t>Stated</t>
        </is>
      </c>
      <c r="AK34" s="3" t="n">
        <v>25</v>
      </c>
      <c r="AL34" s="2" t="inlineStr">
        <is>
          <t>R031 (valuation); R023–R025</t>
        </is>
      </c>
      <c r="AM34" s="2" t="inlineStr">
        <is>
          <t>PetSmart</t>
        </is>
      </c>
    </row>
    <row r="35" ht="128.04" customHeight="1">
      <c r="A35" s="2" t="n">
        <v>34</v>
      </c>
      <c r="B35" s="2" t="inlineStr">
        <is>
          <t>12/10/2014; improved bids due 12/12/2014</t>
        </is>
      </c>
      <c r="C35" s="2" t="inlineStr">
        <is>
          <t>PetSmart ad hoc committee / J.P. Morgan</t>
        </is>
      </c>
      <c r="D35" s="2" t="inlineStr">
        <is>
          <t>Deadline revised</t>
        </is>
      </c>
      <c r="E35" s="3" t="n">
        <v>1</v>
      </c>
      <c r="F35" s="2" t="n">
        <v>2</v>
      </c>
      <c r="G35" s="2" t="n"/>
      <c r="H35" s="2" t="inlineStr">
        <is>
          <t>Extension and improvement request after the 12/10 deadline had passed: neither bid was viewed as the bidders' best offers and the bids were close; the ad hoc committee instructed J.P. Morgan to tell each bidder it needed to increase and to submit improved bids on 12/12/2014. J.P. Morgan confirmed to Bidder 2 on the evening of 12/12 that $81.50 was its best and final offer; both remaining bidders submitted improved offers that evening (R035–R037). The 12/12 date was reached and no further extension followed; the board acted on the bids in hand on 12/13.</t>
        </is>
      </c>
      <c r="I35" s="2" t="n"/>
      <c r="J35" s="2" t="n"/>
      <c r="K35" s="2" t="inlineStr">
        <is>
          <t>“the ad hoc committee instructed J.P. Morgan to inform each bidder that it would need to increase its bid, and to instruct the bidders to submit improved bids on December 12, 2014” (p. 25); “neither of the bids represented the bidders’ respective best offers” (p. 25). Deadline revised, not a new round or fresh deadline set (section 8.3).</t>
        </is>
      </c>
      <c r="L35" s="4" t="inlineStr">
        <is>
          <t>P-031; P-034</t>
        </is>
      </c>
      <c r="M35" s="2" t="inlineStr">
        <is>
          <t>Q5</t>
        </is>
      </c>
      <c r="N35" s="2" t="n"/>
      <c r="O35" s="2" t="inlineStr">
        <is>
          <t>R033</t>
        </is>
      </c>
      <c r="P35" s="2" t="inlineStr">
        <is>
          <t>Yes</t>
        </is>
      </c>
      <c r="Q35" s="2" t="n"/>
      <c r="R35" s="5" t="n">
        <v>41983</v>
      </c>
      <c r="S35" s="5" t="n">
        <v>41983</v>
      </c>
      <c r="T35" s="5" t="n">
        <v>41983</v>
      </c>
      <c r="U35" s="2" t="inlineStr">
        <is>
          <t>Reported day</t>
        </is>
      </c>
      <c r="V35" s="2" t="inlineStr">
        <is>
          <t>Reported</t>
        </is>
      </c>
      <c r="W35" s="2" t="n"/>
      <c r="X35" s="2" t="n"/>
      <c r="Y35" s="2" t="n"/>
      <c r="Z35" s="2" t="n"/>
      <c r="AA35" s="2" t="n"/>
      <c r="AB35" s="2" t="n"/>
      <c r="AC35" s="2" t="n"/>
      <c r="AD35" s="2" t="n"/>
      <c r="AE35" s="5" t="n">
        <v>41985</v>
      </c>
      <c r="AF35" s="2" t="inlineStr">
        <is>
          <t>Enforced</t>
        </is>
      </c>
      <c r="AG35" s="2" t="n"/>
      <c r="AH35" s="2" t="n"/>
      <c r="AI35" s="2" t="n"/>
      <c r="AJ35" s="2" t="n"/>
      <c r="AK35" s="3" t="n">
        <v>25</v>
      </c>
      <c r="AL35" s="2" t="inlineStr">
        <is>
          <t>R028 (prior due date); R035; R037</t>
        </is>
      </c>
      <c r="AM35" s="2" t="inlineStr">
        <is>
          <t>PetSmart</t>
        </is>
      </c>
    </row>
    <row r="36" ht="195.8" customHeight="1">
      <c r="A36" s="2" t="n">
        <v>35</v>
      </c>
      <c r="B36" s="2" t="inlineStr">
        <is>
          <t>12/12/2014 (request early in the day; approval and confidentiality agreement later the same day)</t>
        </is>
      </c>
      <c r="C36" s="2" t="inlineStr">
        <is>
          <t>Buyer Group / Longview (rollover support)</t>
        </is>
      </c>
      <c r="D36" s="2" t="inlineStr">
        <is>
          <t>Material process update</t>
        </is>
      </c>
      <c r="E36" s="3" t="n">
        <v>1</v>
      </c>
      <c r="F36" s="2" t="n">
        <v>2</v>
      </c>
      <c r="G36" s="2" t="n"/>
      <c r="H36" s="2" t="inlineStr">
        <is>
          <t>Rollover support formed/permitted: the Buyer Group requested permission to work more closely with Longview to include a rollover of a portion of Longview-managed shares in its bid, saying this might help achieve a higher price; the ad hoc committee approved; Longview and the Buyer Group executed a confidentiality agreement permitting exchange of detailed information including bid price (not previously shared); Wachtell Lipton instructed to provide a voting-agreement form to Longview. History: Longview offered a rollover on 07/07/2014; in October bidders were told Longview would roll up to 7.5 million shares on terms and price acceptable to Longview and were asked to indicate interest (not a participation condition); J.P. Morgan confirmed Longview's continued interest on the evening of 12/11/2014. Rollover support is not a bidding-group membership change.</t>
        </is>
      </c>
      <c r="I36" s="2" t="n"/>
      <c r="J36" s="2" t="n"/>
      <c r="K36" s="2" t="inlineStr">
        <is>
          <t>“the Buyer Group requested permission to work more closely with Longview in order to include a rollover of a portion of the Company shares managed by Longview in the Buyer Group’s bid”; “After consultation with the Company’s financial and legal advisors, the ad hoc committee approved the Buyer Group’s request” (p. 25); “later that day, Longview and the Buyer Group entered into a confidentiality agreement permitting the exchange of detailed information between them, including bid price” (p. 26); October disclosure: “Longview had informed the Company that it would be willing to “roll-over” up to 7.5 million shares on terms and price acceptable to Longview” (p. 23).</t>
        </is>
      </c>
      <c r="L36" s="4" t="inlineStr">
        <is>
          <t>P-032; P-033; P-031; P-019; P-020</t>
        </is>
      </c>
      <c r="M36" s="2" t="inlineStr">
        <is>
          <t>Q6</t>
        </is>
      </c>
      <c r="N36" s="2" t="n"/>
      <c r="O36" s="2" t="inlineStr">
        <is>
          <t>R034</t>
        </is>
      </c>
      <c r="P36" s="2" t="inlineStr">
        <is>
          <t>Yes</t>
        </is>
      </c>
      <c r="Q36" s="2" t="n"/>
      <c r="R36" s="5" t="n">
        <v>41985</v>
      </c>
      <c r="S36" s="5" t="n">
        <v>41985</v>
      </c>
      <c r="T36" s="5" t="n">
        <v>41985</v>
      </c>
      <c r="U36" s="2" t="inlineStr">
        <is>
          <t>Reported day</t>
        </is>
      </c>
      <c r="V36" s="2" t="inlineStr">
        <is>
          <t>Reported</t>
        </is>
      </c>
      <c r="W36" s="2" t="n"/>
      <c r="X36" s="2" t="n"/>
      <c r="Y36" s="2" t="n"/>
      <c r="Z36" s="2" t="n"/>
      <c r="AA36" s="2" t="n"/>
      <c r="AB36" s="2" t="n"/>
      <c r="AC36" s="2" t="n"/>
      <c r="AD36" s="2" t="n"/>
      <c r="AE36" s="2" t="n"/>
      <c r="AF36" s="2" t="n"/>
      <c r="AG36" s="2" t="n"/>
      <c r="AH36" s="2" t="n"/>
      <c r="AI36" s="2" t="n"/>
      <c r="AJ36" s="2" t="n"/>
      <c r="AK36" s="3" t="n">
        <v>25</v>
      </c>
      <c r="AL36" s="2" t="inlineStr">
        <is>
          <t>R039 (resolved); R037; R003</t>
        </is>
      </c>
      <c r="AM36" s="2" t="inlineStr">
        <is>
          <t>PetSmart</t>
        </is>
      </c>
    </row>
    <row r="37" ht="92.39999999999999" customHeight="1">
      <c r="A37" s="2" t="n">
        <v>36</v>
      </c>
      <c r="B37" s="2" t="inlineStr">
        <is>
          <t>12/12/2014 (evening)</t>
        </is>
      </c>
      <c r="C37" s="2" t="inlineStr">
        <is>
          <t>Bidder 2</t>
        </is>
      </c>
      <c r="D37" s="2" t="inlineStr">
        <is>
          <t>Bid</t>
        </is>
      </c>
      <c r="E37" s="3" t="n">
        <v>1</v>
      </c>
      <c r="F37" s="2" t="n">
        <v>2</v>
      </c>
      <c r="G37" s="2" t="inlineStr">
        <is>
          <t>Financial</t>
        </is>
      </c>
      <c r="H37" s="2" t="inlineStr">
        <is>
          <t>Improved best-and-final offer: $81.50 per share, in cash, with a revised draft merger agreement and other transaction agreements and copies of its financing commitment documents; J.P. Morgan confirmed the same evening that $81.50 was Bidder 2's best and final offer.</t>
        </is>
      </c>
      <c r="I37" s="2" t="inlineStr">
        <is>
          <t>Formal</t>
        </is>
      </c>
      <c r="J37" s="2" t="inlineStr">
        <is>
          <t>Light</t>
        </is>
      </c>
      <c r="K37" s="2" t="inlineStr">
        <is>
          <t>“Bidder 2 submitted an offer of $81.50 per share, in cash.”; “Representatives of J.P. Morgan confirmed via a conversation with Bidder 2 on the evening of December 12, 2014 that $81.50 per share was its best and final offer” (p. 26); “each bidder submitted a revised draft of the merger agreement and other transaction agreements, and copies of their respective financing commitment documents” (p. 26). Responded to the established best-and-final solicitation (Formal); no Heavy trigger reported.</t>
        </is>
      </c>
      <c r="L37" s="4" t="inlineStr">
        <is>
          <t>P-034; P-031</t>
        </is>
      </c>
      <c r="M37" s="2" t="inlineStr">
        <is>
          <t>Q4</t>
        </is>
      </c>
      <c r="N37" s="2" t="n"/>
      <c r="O37" s="2" t="inlineStr">
        <is>
          <t>R035</t>
        </is>
      </c>
      <c r="P37" s="2" t="inlineStr">
        <is>
          <t>Yes</t>
        </is>
      </c>
      <c r="Q37" s="3" t="n">
        <v>0</v>
      </c>
      <c r="R37" s="5" t="n">
        <v>41985</v>
      </c>
      <c r="S37" s="5" t="n">
        <v>41985</v>
      </c>
      <c r="T37" s="5" t="n">
        <v>41985</v>
      </c>
      <c r="U37" s="2" t="inlineStr">
        <is>
          <t>Reported day</t>
        </is>
      </c>
      <c r="V37" s="2" t="inlineStr">
        <is>
          <t>Reported</t>
        </is>
      </c>
      <c r="W37" s="6" t="n">
        <v>81.5</v>
      </c>
      <c r="X37" s="6" t="n">
        <v>81.5</v>
      </c>
      <c r="Y37" s="2" t="inlineStr">
        <is>
          <t>Point</t>
        </is>
      </c>
      <c r="Z37" s="2" t="inlineStr">
        <is>
          <t>Stated</t>
        </is>
      </c>
      <c r="AA37" s="2" t="inlineStr">
        <is>
          <t>USD</t>
        </is>
      </c>
      <c r="AB37" s="2" t="inlineStr">
        <is>
          <t>Yes</t>
        </is>
      </c>
      <c r="AC37" s="6" t="n">
        <v>81.5</v>
      </c>
      <c r="AD37" s="2" t="inlineStr">
        <is>
          <t>Fin: committed; DD required: not stated; DD open: not disclosed; Excl: not stated</t>
        </is>
      </c>
      <c r="AE37" s="2" t="n"/>
      <c r="AF37" s="2" t="n"/>
      <c r="AG37" s="2" t="n"/>
      <c r="AH37" s="2" t="n"/>
      <c r="AI37" s="2" t="n"/>
      <c r="AJ37" s="2" t="n"/>
      <c r="AK37" s="3" t="n">
        <v>26</v>
      </c>
      <c r="AL37" s="2" t="inlineStr">
        <is>
          <t>revises R030; R042</t>
        </is>
      </c>
      <c r="AM37" s="2" t="inlineStr">
        <is>
          <t>PetSmart</t>
        </is>
      </c>
    </row>
    <row r="38" ht="57.904" customHeight="1">
      <c r="A38" s="2" t="n">
        <v>37</v>
      </c>
      <c r="B38" s="2" t="inlineStr">
        <is>
          <t>12/12/2014 (evening)</t>
        </is>
      </c>
      <c r="C38" s="2" t="inlineStr">
        <is>
          <t>Buyer Group</t>
        </is>
      </c>
      <c r="D38" s="2" t="inlineStr">
        <is>
          <t>Bid</t>
        </is>
      </c>
      <c r="E38" s="3" t="n">
        <v>1</v>
      </c>
      <c r="F38" s="2" t="n">
        <v>2</v>
      </c>
      <c r="G38" s="2" t="inlineStr">
        <is>
          <t>Financial</t>
        </is>
      </c>
      <c r="H38" s="2" t="inlineStr">
        <is>
          <t>Oral improved offer of $82.50 per share, in cash; stated it was working to increase within the next few hours; superseded later the same evening (R037).</t>
        </is>
      </c>
      <c r="I38" s="2" t="inlineStr">
        <is>
          <t>Formal</t>
        </is>
      </c>
      <c r="J38" s="2" t="inlineStr">
        <is>
          <t>Light</t>
        </is>
      </c>
      <c r="K38" s="2" t="inlineStr">
        <is>
          <t>“The Buyer Group initially submitted an oral offer of $82.50 per share, in cash, but stated that it was working to increase the offer within the next few hours” (p. 26). Formal documentation carried forward from the 12/10 submission (p. 25) and the revised drafts submitted the same evening (p. 26).</t>
        </is>
      </c>
      <c r="L38" s="4" t="inlineStr">
        <is>
          <t>P-034; P-030</t>
        </is>
      </c>
      <c r="M38" s="2" t="inlineStr">
        <is>
          <t>Q4; Q6</t>
        </is>
      </c>
      <c r="N38" s="2" t="n"/>
      <c r="O38" s="2" t="inlineStr">
        <is>
          <t>R036</t>
        </is>
      </c>
      <c r="P38" s="2" t="inlineStr">
        <is>
          <t>Yes</t>
        </is>
      </c>
      <c r="Q38" s="3" t="n">
        <v>0</v>
      </c>
      <c r="R38" s="5" t="n">
        <v>41985</v>
      </c>
      <c r="S38" s="5" t="n">
        <v>41985</v>
      </c>
      <c r="T38" s="5" t="n">
        <v>41985</v>
      </c>
      <c r="U38" s="2" t="inlineStr">
        <is>
          <t>Reported day</t>
        </is>
      </c>
      <c r="V38" s="2" t="inlineStr">
        <is>
          <t>Reported</t>
        </is>
      </c>
      <c r="W38" s="6" t="n">
        <v>82.5</v>
      </c>
      <c r="X38" s="6" t="n">
        <v>82.5</v>
      </c>
      <c r="Y38" s="2" t="inlineStr">
        <is>
          <t>Point</t>
        </is>
      </c>
      <c r="Z38" s="2" t="inlineStr">
        <is>
          <t>Stated</t>
        </is>
      </c>
      <c r="AA38" s="2" t="inlineStr">
        <is>
          <t>USD</t>
        </is>
      </c>
      <c r="AB38" s="2" t="inlineStr">
        <is>
          <t>Yes</t>
        </is>
      </c>
      <c r="AC38" s="6" t="n">
        <v>82.5</v>
      </c>
      <c r="AD38" s="2" t="inlineStr">
        <is>
          <t>Fin: committed; DD required: not stated; DD open: not disclosed; Excl: not stated</t>
        </is>
      </c>
      <c r="AE38" s="2" t="n"/>
      <c r="AF38" s="2" t="n"/>
      <c r="AG38" s="2" t="n"/>
      <c r="AH38" s="2" t="n"/>
      <c r="AI38" s="2" t="n"/>
      <c r="AJ38" s="2" t="n"/>
      <c r="AK38" s="3" t="n">
        <v>26</v>
      </c>
      <c r="AL38" s="2" t="inlineStr">
        <is>
          <t>R037 (supersedes); R029</t>
        </is>
      </c>
      <c r="AM38" s="2" t="inlineStr">
        <is>
          <t>PetSmart</t>
        </is>
      </c>
    </row>
    <row r="39" ht="110.22" customHeight="1">
      <c r="A39" s="2" t="n">
        <v>38</v>
      </c>
      <c r="B39" s="2" t="inlineStr">
        <is>
          <t>12/12/2014 (evening)</t>
        </is>
      </c>
      <c r="C39" s="2" t="inlineStr">
        <is>
          <t>Buyer Group</t>
        </is>
      </c>
      <c r="D39" s="2" t="inlineStr">
        <is>
          <t>Bid</t>
        </is>
      </c>
      <c r="E39" s="3" t="n">
        <v>1</v>
      </c>
      <c r="F39" s="2" t="n">
        <v>2</v>
      </c>
      <c r="G39" s="2" t="inlineStr">
        <is>
          <t>Financial</t>
        </is>
      </c>
      <c r="H39" s="2" t="inlineStr">
        <is>
          <t>Best-and-final offer of $83.00 per share, in cash, submitted with a revised merger agreement and other transaction agreements (“with few exceptions, in substantially executable form”) and financing commitment documents; the Buyer Group said that after increasing from $82.50 to $83.00 some or all members were unwilling or unable to offer additional consideration; Longview's $250 million rollover participation was described as helpful in achieving $83.00. Winning bid (R040).</t>
        </is>
      </c>
      <c r="I39" s="2" t="inlineStr">
        <is>
          <t>Formal</t>
        </is>
      </c>
      <c r="J39" s="2" t="inlineStr">
        <is>
          <t>Light</t>
        </is>
      </c>
      <c r="K39" s="2" t="inlineStr">
        <is>
          <t>“Later in the evening,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 (p. 26); “Longview’s willingness to participate in the Buyer Group with respect to $250 million of the common stock was helpful in achieving an $83.00 per share price” (p. 27).</t>
        </is>
      </c>
      <c r="L39" s="4" t="inlineStr">
        <is>
          <t>P-034; X-001</t>
        </is>
      </c>
      <c r="M39" s="2" t="inlineStr">
        <is>
          <t>Q4</t>
        </is>
      </c>
      <c r="N39" s="2" t="n"/>
      <c r="O39" s="2" t="inlineStr">
        <is>
          <t>R037</t>
        </is>
      </c>
      <c r="P39" s="2" t="inlineStr">
        <is>
          <t>Yes</t>
        </is>
      </c>
      <c r="Q39" s="3" t="n">
        <v>0</v>
      </c>
      <c r="R39" s="5" t="n">
        <v>41985</v>
      </c>
      <c r="S39" s="5" t="n">
        <v>41985</v>
      </c>
      <c r="T39" s="5" t="n">
        <v>41985</v>
      </c>
      <c r="U39" s="2" t="inlineStr">
        <is>
          <t>Reported day</t>
        </is>
      </c>
      <c r="V39" s="2" t="inlineStr">
        <is>
          <t>Reported</t>
        </is>
      </c>
      <c r="W39" s="6" t="n">
        <v>83</v>
      </c>
      <c r="X39" s="6" t="n">
        <v>83</v>
      </c>
      <c r="Y39" s="2" t="inlineStr">
        <is>
          <t>Point</t>
        </is>
      </c>
      <c r="Z39" s="2" t="inlineStr">
        <is>
          <t>Stated</t>
        </is>
      </c>
      <c r="AA39" s="2" t="inlineStr">
        <is>
          <t>USD</t>
        </is>
      </c>
      <c r="AB39" s="2" t="inlineStr">
        <is>
          <t>Yes</t>
        </is>
      </c>
      <c r="AC39" s="6" t="n">
        <v>83</v>
      </c>
      <c r="AD39" s="2" t="inlineStr">
        <is>
          <t>Fin: committed; DD required: not stated; DD open: not disclosed; Excl: not stated</t>
        </is>
      </c>
      <c r="AE39" s="2" t="n"/>
      <c r="AF39" s="2" t="n"/>
      <c r="AG39" s="2" t="n"/>
      <c r="AH39" s="2" t="n"/>
      <c r="AI39" s="2" t="n"/>
      <c r="AJ39" s="2" t="n"/>
      <c r="AK39" s="3" t="n">
        <v>26</v>
      </c>
      <c r="AL39" s="2" t="inlineStr">
        <is>
          <t>revises R036; R029; R040</t>
        </is>
      </c>
      <c r="AM39" s="2" t="inlineStr">
        <is>
          <t>PetSmart</t>
        </is>
      </c>
    </row>
    <row r="40" ht="99.792" customHeight="1">
      <c r="A40" s="2" t="n">
        <v>39</v>
      </c>
      <c r="B40" s="2" t="inlineStr">
        <is>
          <t>12/13/2014</t>
        </is>
      </c>
      <c r="C40" s="2" t="inlineStr">
        <is>
          <t>PetSmart board</t>
        </is>
      </c>
      <c r="D40" s="2" t="inlineStr">
        <is>
          <t>Target decision</t>
        </is>
      </c>
      <c r="E40" s="3" t="n">
        <v>1</v>
      </c>
      <c r="F40" s="2" t="n">
        <v>2</v>
      </c>
      <c r="G40" s="2" t="n"/>
      <c r="H40" s="2" t="inlineStr">
        <is>
          <t>Board reviewed the final bids and selected the Buyer Group; J.P. Morgan rendered its oral fairness opinion on the $83.00 all-cash consideration (written opinion 12/14/2014); the board unanimously determined the merger advisable and recommended adoption, subject to confirmation that remaining open points in the merger agreement were satisfactorily resolved, with authority to reconvene if needed.</t>
        </is>
      </c>
      <c r="I40" s="2" t="n"/>
      <c r="J40" s="2" t="n"/>
      <c r="K40" s="2" t="inlineStr">
        <is>
          <t>“the merger consideration of $83.00 in cash to be paid to the holders of the Company’s common stock in the merger was fair, from a financial point of view, to such holders”; “the board unanimously determined that the merger agreement and the transactions contemplated thereby, including the merger, were advisable and in the best interests of PetSmart and its stockholders”; “The board’s determination was subject, however, to confirmation that the remaining open points in the merger agreement had been satisfactorily resolved” (p. 26).</t>
        </is>
      </c>
      <c r="L40" s="4" t="inlineStr">
        <is>
          <t>P-035; X-007</t>
        </is>
      </c>
      <c r="M40" s="2" t="inlineStr">
        <is>
          <t>Q1</t>
        </is>
      </c>
      <c r="N40" s="2" t="n"/>
      <c r="O40" s="2" t="inlineStr">
        <is>
          <t>R038</t>
        </is>
      </c>
      <c r="P40" s="2" t="inlineStr">
        <is>
          <t>Yes</t>
        </is>
      </c>
      <c r="Q40" s="2" t="n"/>
      <c r="R40" s="5" t="n">
        <v>41986</v>
      </c>
      <c r="S40" s="5" t="n">
        <v>41986</v>
      </c>
      <c r="T40" s="5" t="n">
        <v>41986</v>
      </c>
      <c r="U40" s="2" t="inlineStr">
        <is>
          <t>Reported day</t>
        </is>
      </c>
      <c r="V40" s="2" t="inlineStr">
        <is>
          <t>Reported</t>
        </is>
      </c>
      <c r="W40" s="2" t="n"/>
      <c r="X40" s="2" t="n"/>
      <c r="Y40" s="2" t="n"/>
      <c r="Z40" s="2" t="n"/>
      <c r="AA40" s="2" t="n"/>
      <c r="AB40" s="2" t="n"/>
      <c r="AC40" s="2" t="n"/>
      <c r="AD40" s="2" t="n"/>
      <c r="AE40" s="2" t="n"/>
      <c r="AF40" s="2" t="n"/>
      <c r="AG40" s="2" t="n"/>
      <c r="AH40" s="2" t="n"/>
      <c r="AI40" s="2" t="n"/>
      <c r="AJ40" s="2" t="n"/>
      <c r="AK40" s="3" t="n">
        <v>26</v>
      </c>
      <c r="AL40" s="2" t="inlineStr">
        <is>
          <t>R037; R040</t>
        </is>
      </c>
      <c r="AM40" s="2" t="inlineStr">
        <is>
          <t>PetSmart</t>
        </is>
      </c>
    </row>
    <row r="41" ht="130.24" customHeight="1">
      <c r="A41" s="2" t="n">
        <v>40</v>
      </c>
      <c r="B41" s="2" t="inlineStr">
        <is>
          <t>12/14/2014</t>
        </is>
      </c>
      <c r="C41" s="2" t="inlineStr">
        <is>
          <t>Parent / Longview (rollover support)</t>
        </is>
      </c>
      <c r="D41" s="2" t="inlineStr">
        <is>
          <t>Material process update</t>
        </is>
      </c>
      <c r="E41" s="3" t="n">
        <v>1</v>
      </c>
      <c r="F41" s="2" t="n">
        <v>2</v>
      </c>
      <c r="G41" s="2" t="n"/>
      <c r="H41" s="2" t="inlineStr">
        <is>
          <t>Rollover support resolved: Parent and Longview entered into the rollover agreement — Longview contributes 3,012,050 shares (approximately $250 million worth) to Parent immediately before the effective time in exchange for equity interests in Parent; Longview receives the same $83.00 per share cash consideration for all other shares. Voting agreement among the Company, Parent and Longview covering 7,424,591 shares (approximately 7.5% of shares outstanding on the record date) to vote for the merger, subject to exceptions including a board change of recommendation.</t>
        </is>
      </c>
      <c r="I41" s="2" t="n"/>
      <c r="J41" s="2" t="n"/>
      <c r="K41" s="2" t="inlineStr">
        <is>
          <t>“On December 14, 2014, the Parent and Longview entered into a rollover agreement (the “rollover agreement”) under which Longview has agreed to contribute 3,012,050 shares (“rollover shares”) to Parent immediately prior to the effective time in exchange for equity interests in Parent” (p. 41); “Longview will receive the same $83.00 per share merger consideration as the other holders of the Company’s common stock for all other shares of common stock beneficially owned by it (other than the rollover shares)” (p. 41); voting agreement: “to vote or cause to be voted 7,424,591 shares of common stock, which represent approximately 7.5% of the total outstanding shares” (p. 45).</t>
        </is>
      </c>
      <c r="L41" s="4" t="inlineStr">
        <is>
          <t>X-016; X-017; X-022</t>
        </is>
      </c>
      <c r="M41" s="2" t="inlineStr">
        <is>
          <t>Q6</t>
        </is>
      </c>
      <c r="N41" s="2" t="n"/>
      <c r="O41" s="2" t="inlineStr">
        <is>
          <t>R039</t>
        </is>
      </c>
      <c r="P41" s="2" t="inlineStr">
        <is>
          <t>Yes</t>
        </is>
      </c>
      <c r="Q41" s="2" t="n"/>
      <c r="R41" s="5" t="n">
        <v>41987</v>
      </c>
      <c r="S41" s="5" t="n">
        <v>41987</v>
      </c>
      <c r="T41" s="5" t="n">
        <v>41987</v>
      </c>
      <c r="U41" s="2" t="inlineStr">
        <is>
          <t>Reported day</t>
        </is>
      </c>
      <c r="V41" s="2" t="inlineStr">
        <is>
          <t>Reported</t>
        </is>
      </c>
      <c r="W41" s="2" t="n"/>
      <c r="X41" s="2" t="n"/>
      <c r="Y41" s="2" t="n"/>
      <c r="Z41" s="2" t="n"/>
      <c r="AA41" s="2" t="n"/>
      <c r="AB41" s="2" t="n"/>
      <c r="AC41" s="2" t="n"/>
      <c r="AD41" s="2" t="n"/>
      <c r="AE41" s="2" t="n"/>
      <c r="AF41" s="2" t="n"/>
      <c r="AG41" s="2" t="n"/>
      <c r="AH41" s="2" t="n"/>
      <c r="AI41" s="2" t="n"/>
      <c r="AJ41" s="2" t="n"/>
      <c r="AK41" s="3" t="n">
        <v>41</v>
      </c>
      <c r="AL41" s="2" t="inlineStr">
        <is>
          <t>R034 (formed); R040</t>
        </is>
      </c>
      <c r="AM41" s="2" t="inlineStr">
        <is>
          <t>PetSmart</t>
        </is>
      </c>
    </row>
    <row r="42" ht="144.98" customHeight="1">
      <c r="A42" s="2" t="n">
        <v>41</v>
      </c>
      <c r="B42" s="2" t="inlineStr">
        <is>
          <t>12/14/2014</t>
        </is>
      </c>
      <c r="C42" s="2" t="inlineStr">
        <is>
          <t>PetSmart; Argos Holdings Inc. (Parent); Argos Merger Sub Inc.</t>
        </is>
      </c>
      <c r="D42" s="2" t="inlineStr">
        <is>
          <t>Merger agreement signed</t>
        </is>
      </c>
      <c r="E42" s="3" t="n">
        <v>1</v>
      </c>
      <c r="F42" s="2" t="n">
        <v>2</v>
      </c>
      <c r="G42" s="2" t="n"/>
      <c r="H42" s="2" t="inlineStr">
        <is>
          <t>Agreed consideration $83.00 per share in cash (all-cash; no CVR or contingent component). Merger agreement dated as of 12/14/2014 executed with the Longview rollover and voting agreements, equity commitment letters from the Buyer Group (up to approximately $1.83 billion), termination fee commitment letters (aggregate cap $510 million) and committed debt financing (up to $6.95 billion of facilities; no financing condition to the merger). At closing Parent will be owned by the Buyer Group (BC Partners funds, La Caisse de dépôt et placement du Québec, affiliates of GIC Special Investments, affiliates of StepStone Group, Longview).</t>
        </is>
      </c>
      <c r="I42" s="2" t="n"/>
      <c r="J42" s="2" t="n"/>
      <c r="K42" s="2" t="inlineStr">
        <is>
          <t>“On December 14, 2014, the parties executed the merger agreement, the voting agreement and related transaction agreements and issued a press release announcing the transaction” (p. 26); “each share of common stock outstanding at the effective time of the merger”; “will be cancelled and converted into the right to receive $83.00 in cash” (front letter); rollover/equity commitments (pp. 40–41). Signing is not an additional bid; price cells and formality/conditionality cells left blank per instruction.</t>
        </is>
      </c>
      <c r="L42" s="4" t="inlineStr">
        <is>
          <t>P-036; X-032; X-031; X-015; X-018; X-020; X-021</t>
        </is>
      </c>
      <c r="M42" s="2" t="inlineStr">
        <is>
          <t>Q6</t>
        </is>
      </c>
      <c r="N42" s="2" t="n"/>
      <c r="O42" s="2" t="inlineStr">
        <is>
          <t>R040</t>
        </is>
      </c>
      <c r="P42" s="2" t="inlineStr">
        <is>
          <t>Yes</t>
        </is>
      </c>
      <c r="Q42" s="2" t="n"/>
      <c r="R42" s="5" t="n">
        <v>41987</v>
      </c>
      <c r="S42" s="5" t="n">
        <v>41987</v>
      </c>
      <c r="T42" s="5" t="n">
        <v>41987</v>
      </c>
      <c r="U42" s="2" t="inlineStr">
        <is>
          <t>Reported day</t>
        </is>
      </c>
      <c r="V42" s="2" t="inlineStr">
        <is>
          <t>Reported</t>
        </is>
      </c>
      <c r="W42" s="2" t="n"/>
      <c r="X42" s="2" t="n"/>
      <c r="Y42" s="2" t="n"/>
      <c r="Z42" s="2" t="n"/>
      <c r="AA42" s="2" t="inlineStr">
        <is>
          <t>USD</t>
        </is>
      </c>
      <c r="AB42" s="2" t="inlineStr">
        <is>
          <t>Yes</t>
        </is>
      </c>
      <c r="AC42" s="6" t="n">
        <v>83</v>
      </c>
      <c r="AD42" s="2" t="n"/>
      <c r="AE42" s="2" t="n"/>
      <c r="AF42" s="2" t="n"/>
      <c r="AG42" s="2" t="n"/>
      <c r="AH42" s="2" t="n"/>
      <c r="AI42" s="2" t="n"/>
      <c r="AJ42" s="2" t="n"/>
      <c r="AK42" s="3" t="n">
        <v>26</v>
      </c>
      <c r="AL42" s="2" t="inlineStr">
        <is>
          <t>R037 (winning bid); R041; R043</t>
        </is>
      </c>
      <c r="AM42" s="2" t="inlineStr">
        <is>
          <t>PetSmart</t>
        </is>
      </c>
    </row>
    <row r="43" ht="56.53999999999999" customHeight="1">
      <c r="A43" s="2" t="n">
        <v>42</v>
      </c>
      <c r="B43" s="2" t="inlineStr">
        <is>
          <t>12/14/2014</t>
        </is>
      </c>
      <c r="C43" s="2" t="inlineStr">
        <is>
          <t>PetSmart / Parent (issuer)</t>
        </is>
      </c>
      <c r="D43" s="2" t="inlineStr">
        <is>
          <t>Merger announced</t>
        </is>
      </c>
      <c r="E43" s="3" t="n">
        <v>1</v>
      </c>
      <c r="F43" s="2" t="n">
        <v>2</v>
      </c>
      <c r="G43" s="2" t="n"/>
      <c r="H43" s="2" t="inlineStr">
        <is>
          <t>Press release issued 12/14/2014 announcing the transaction: merger at $83.00 per share in cash; Parent to be owned by the Buyer Group; expected closing in the first half of 2015 (subject to stockholder adoption and other conditions).</t>
        </is>
      </c>
      <c r="I43" s="2" t="n"/>
      <c r="J43" s="2" t="n"/>
      <c r="K43" s="2" t="inlineStr">
        <is>
          <t>“On December 14, 2014, the parties executed the merger agreement, the voting agreement and related transaction agreements and issued a press release announcing the transaction” (p. 26); expected timing: “We anticipate completing the merger in the first half of 2015” (p. 3).</t>
        </is>
      </c>
      <c r="L43" s="4" t="inlineStr">
        <is>
          <t>P-036; X-038</t>
        </is>
      </c>
      <c r="M43" s="2" t="inlineStr">
        <is>
          <t>Q8</t>
        </is>
      </c>
      <c r="N43" s="2" t="n"/>
      <c r="O43" s="2" t="inlineStr">
        <is>
          <t>R041</t>
        </is>
      </c>
      <c r="P43" s="2" t="inlineStr">
        <is>
          <t>Yes</t>
        </is>
      </c>
      <c r="Q43" s="2" t="n"/>
      <c r="R43" s="5" t="n">
        <v>41987</v>
      </c>
      <c r="S43" s="5" t="n">
        <v>41987</v>
      </c>
      <c r="T43" s="5" t="n">
        <v>41987</v>
      </c>
      <c r="U43" s="2" t="inlineStr">
        <is>
          <t>Reported day</t>
        </is>
      </c>
      <c r="V43" s="2" t="inlineStr">
        <is>
          <t>Reported</t>
        </is>
      </c>
      <c r="W43" s="2" t="n"/>
      <c r="X43" s="2" t="n"/>
      <c r="Y43" s="2" t="n"/>
      <c r="Z43" s="2" t="n"/>
      <c r="AA43" s="2" t="n"/>
      <c r="AB43" s="2" t="n"/>
      <c r="AC43" s="2" t="n"/>
      <c r="AD43" s="2" t="n"/>
      <c r="AE43" s="2" t="n"/>
      <c r="AF43" s="2" t="n"/>
      <c r="AG43" s="2" t="n"/>
      <c r="AH43" s="2" t="n"/>
      <c r="AI43" s="2" t="n"/>
      <c r="AJ43" s="2" t="n"/>
      <c r="AK43" s="3" t="n">
        <v>26</v>
      </c>
      <c r="AL43" s="2" t="inlineStr">
        <is>
          <t>R040</t>
        </is>
      </c>
      <c r="AM43" s="2" t="inlineStr">
        <is>
          <t>PetSmart</t>
        </is>
      </c>
    </row>
    <row r="44" ht="75.02" customHeight="1">
      <c r="A44" s="2" t="n">
        <v>43</v>
      </c>
      <c r="B44" s="2" t="inlineStr">
        <is>
          <t>by 12/14/2014 (signing)</t>
        </is>
      </c>
      <c r="C44" s="2" t="inlineStr">
        <is>
          <t>Bidder 2</t>
        </is>
      </c>
      <c r="D44" s="2" t="inlineStr">
        <is>
          <t>Not selected at signing</t>
        </is>
      </c>
      <c r="E44" s="3" t="n">
        <v>1</v>
      </c>
      <c r="F44" s="2" t="n">
        <v>2</v>
      </c>
      <c r="G44" s="2" t="inlineStr">
        <is>
          <t>Financial</t>
        </is>
      </c>
      <c r="H44" s="2" t="inlineStr">
        <is>
          <t>Bidder 2's $81.50 best-and-final offer (lower than the winning $83.00) was not selected; the board noted Bidder 2 had informed the Company its $81.50 was best and final. Bidder 2 remained willing to accommodate a Longview rollover only after execution of a merger agreement with it. No further participation reported.</t>
        </is>
      </c>
      <c r="I44" s="2" t="n"/>
      <c r="J44" s="2" t="n"/>
      <c r="K44" s="2" t="inlineStr">
        <is>
          <t>“ultimately negotiated with the Buyer Group as well as two other bidding groups, neither of which was willing to make a definitive offer at a price above $81.50, which was lower than the $83.00 price offered by the Buyer Group.”; “The board noted that Bidder 2 had informed the Company’s representatives that $81.50 per share was its best and final offer” (p. 27).</t>
        </is>
      </c>
      <c r="L44" s="4" t="inlineStr">
        <is>
          <t>X-001; P-035; P-034</t>
        </is>
      </c>
      <c r="M44" s="2" t="inlineStr">
        <is>
          <t>Q3</t>
        </is>
      </c>
      <c r="N44" s="2" t="n"/>
      <c r="O44" s="2" t="inlineStr">
        <is>
          <t>R042</t>
        </is>
      </c>
      <c r="P44" s="2" t="inlineStr">
        <is>
          <t>Yes</t>
        </is>
      </c>
      <c r="Q44" s="3" t="n">
        <v>1</v>
      </c>
      <c r="R44" s="5" t="n">
        <v>41987</v>
      </c>
      <c r="S44" s="2" t="n"/>
      <c r="T44" s="5" t="n">
        <v>41987</v>
      </c>
      <c r="U44" s="2" t="inlineStr">
        <is>
          <t>Relative only</t>
        </is>
      </c>
      <c r="V44" s="2" t="inlineStr">
        <is>
          <t>Assigned: bound</t>
        </is>
      </c>
      <c r="W44" s="2" t="n"/>
      <c r="X44" s="2" t="n"/>
      <c r="Y44" s="2" t="n"/>
      <c r="Z44" s="2" t="n"/>
      <c r="AA44" s="2" t="n"/>
      <c r="AB44" s="2" t="n"/>
      <c r="AC44" s="2" t="n"/>
      <c r="AD44" s="2" t="n"/>
      <c r="AE44" s="2" t="n"/>
      <c r="AF44" s="2" t="n"/>
      <c r="AG44" s="2" t="n"/>
      <c r="AH44" s="2" t="inlineStr">
        <is>
          <t>Target</t>
        </is>
      </c>
      <c r="AI44" s="2" t="inlineStr">
        <is>
          <t>Lower offer than rivals</t>
        </is>
      </c>
      <c r="AJ44" s="2" t="inlineStr">
        <is>
          <t>Stated</t>
        </is>
      </c>
      <c r="AK44" s="3" t="n">
        <v>27</v>
      </c>
      <c r="AL44" s="2" t="inlineStr">
        <is>
          <t>R035 (its final offer); R040</t>
        </is>
      </c>
      <c r="AM44" s="2" t="inlineStr">
        <is>
          <t>PetSmart</t>
        </is>
      </c>
    </row>
    <row r="45" ht="69.08" customHeight="1">
      <c r="A45" s="2" t="n">
        <v>44</v>
      </c>
      <c r="B45" s="2" t="inlineStr">
        <is>
          <t>by 12/14/2014 (first appearance; earlier service not disclosed)</t>
        </is>
      </c>
      <c r="C45" s="2" t="inlineStr">
        <is>
          <t>Parent / Merger Sub — Simpson Thacher &amp; Bartlett LLP (legal counsel)</t>
        </is>
      </c>
      <c r="D45" s="2" t="inlineStr">
        <is>
          <t>Adviser service observed</t>
        </is>
      </c>
      <c r="E45" s="3" t="n">
        <v>1</v>
      </c>
      <c r="F45" s="2" t="n">
        <v>2</v>
      </c>
      <c r="G45" s="2" t="n"/>
      <c r="H45" s="2" t="inlineStr">
        <is>
          <t>Counsel to Parent and Merger Sub; identified as the Parent-side notice recipient in the executed merger agreement (Attention: Ryerson Symons). First appearance in the filing is the 12/14/2014 agreement; no engagement date disclosed. Flagged for review with adviser client affiliations (Q7).</t>
        </is>
      </c>
      <c r="I45" s="2" t="n"/>
      <c r="J45" s="2" t="n"/>
      <c r="K45" s="2" t="inlineStr">
        <is>
          <t>Merger agreement notice provision: “Simpson Thacher and Bartlett LLP 425 Lexington Avenue New York, NY 10017” and “Attention: Ryerson Symons” in the Parent/Merger Sub notice block (Annex A). First narrative mention is not proof of retention that day; the earliest supported date is the execution of the agreement.</t>
        </is>
      </c>
      <c r="L45" s="4" t="inlineStr">
        <is>
          <t>X-039</t>
        </is>
      </c>
      <c r="M45" s="2" t="inlineStr">
        <is>
          <t>Q7</t>
        </is>
      </c>
      <c r="N45" s="2" t="n"/>
      <c r="O45" s="2" t="inlineStr">
        <is>
          <t>R044</t>
        </is>
      </c>
      <c r="P45" s="2" t="inlineStr">
        <is>
          <t>Yes</t>
        </is>
      </c>
      <c r="Q45" s="2" t="n"/>
      <c r="R45" s="5" t="n">
        <v>41987</v>
      </c>
      <c r="S45" s="2" t="n"/>
      <c r="T45" s="5" t="n">
        <v>41987</v>
      </c>
      <c r="U45" s="2" t="inlineStr">
        <is>
          <t>Relative only</t>
        </is>
      </c>
      <c r="V45" s="2" t="inlineStr">
        <is>
          <t>Assigned: bound</t>
        </is>
      </c>
      <c r="W45" s="2" t="n"/>
      <c r="X45" s="2" t="n"/>
      <c r="Y45" s="2" t="n"/>
      <c r="Z45" s="2" t="n"/>
      <c r="AA45" s="2" t="n"/>
      <c r="AB45" s="2" t="n"/>
      <c r="AC45" s="2" t="n"/>
      <c r="AD45" s="2" t="n"/>
      <c r="AE45" s="2" t="n"/>
      <c r="AF45" s="2" t="n"/>
      <c r="AG45" s="2" t="n"/>
      <c r="AH45" s="2" t="n"/>
      <c r="AI45" s="2" t="n"/>
      <c r="AJ45" s="2" t="n"/>
      <c r="AK45" s="2" t="inlineStr">
        <is>
          <t>A-46</t>
        </is>
      </c>
      <c r="AL45" s="2" t="n"/>
      <c r="AM45" s="2" t="inlineStr">
        <is>
          <t>PetSmart</t>
        </is>
      </c>
    </row>
    <row r="46" ht="106.92" customHeight="1">
      <c r="A46" s="2" t="n">
        <v>45</v>
      </c>
      <c r="B46" s="2" t="inlineStr">
        <is>
          <t>as of 02/02/2015</t>
        </is>
      </c>
      <c r="C46" s="2" t="inlineStr">
        <is>
          <t>PetSmart</t>
        </is>
      </c>
      <c r="D46" s="2" t="inlineStr">
        <is>
          <t>Material process update</t>
        </is>
      </c>
      <c r="E46" s="3" t="n">
        <v>1</v>
      </c>
      <c r="F46" s="2" t="inlineStr">
        <is>
          <t>post</t>
        </is>
      </c>
      <c r="G46" s="2" t="n"/>
      <c r="H46" s="2" t="inlineStr">
        <is>
          <t>Post-signing: as of the proxy date no person had made an unsolicited offer or proposal to acquire PetSmart. The 15 parties that engaged in due diligence are subject to standstill provisions preventing them from submitting (or even seeking permission to submit) a higher bid once a definitive transaction agreement was signed. The filing describes no post-signing solicitation (go-shop) period. No competing proposal, agreement termination or closing is reported.</t>
        </is>
      </c>
      <c r="I46" s="2" t="n"/>
      <c r="J46" s="2" t="n"/>
      <c r="K46" s="2" t="inlineStr">
        <is>
          <t>“the fact that as of February 2, 2015, the date of this proxy statement, no person has made an unsolicited offer or proposal to acquire PetSmart” (p. 28); “the confidentiality agreements entered into by the 15 potentially interested parties that engaged in due diligence contained standstill provisions that prevent those parties from submitting (or even seeking permission to submit) a higher bid once the Company entered into a definitive transaction agreement with the winning sale process participant” (p. 28).</t>
        </is>
      </c>
      <c r="L46" s="4" t="inlineStr">
        <is>
          <t>X-004; X-002; P-036</t>
        </is>
      </c>
      <c r="M46" s="2" t="inlineStr">
        <is>
          <t>Q8</t>
        </is>
      </c>
      <c r="N46" s="2" t="n"/>
      <c r="O46" s="2" t="inlineStr">
        <is>
          <t>R043</t>
        </is>
      </c>
      <c r="P46" s="2" t="inlineStr">
        <is>
          <t>Yes</t>
        </is>
      </c>
      <c r="Q46" s="2" t="n"/>
      <c r="R46" s="5" t="n">
        <v>42037</v>
      </c>
      <c r="S46" s="5" t="n">
        <v>42037</v>
      </c>
      <c r="T46" s="5" t="n">
        <v>42037</v>
      </c>
      <c r="U46" s="2" t="inlineStr">
        <is>
          <t>Reported day</t>
        </is>
      </c>
      <c r="V46" s="2" t="inlineStr">
        <is>
          <t>Reported</t>
        </is>
      </c>
      <c r="W46" s="2" t="n"/>
      <c r="X46" s="2" t="n"/>
      <c r="Y46" s="2" t="n"/>
      <c r="Z46" s="2" t="n"/>
      <c r="AA46" s="2" t="n"/>
      <c r="AB46" s="2" t="n"/>
      <c r="AC46" s="2" t="n"/>
      <c r="AD46" s="2" t="n"/>
      <c r="AE46" s="2" t="n"/>
      <c r="AF46" s="2" t="n"/>
      <c r="AG46" s="2" t="n"/>
      <c r="AH46" s="2" t="n"/>
      <c r="AI46" s="2" t="n"/>
      <c r="AJ46" s="2" t="n"/>
      <c r="AK46" s="3" t="n">
        <v>28</v>
      </c>
      <c r="AL46" s="2" t="inlineStr">
        <is>
          <t>R040</t>
        </is>
      </c>
      <c r="AM46" s="2" t="inlineStr">
        <is>
          <t>PetSmart</t>
        </is>
      </c>
    </row>
  </sheetData>
  <autoFilter ref="A1:AM46"/>
  <conditionalFormatting sqref="A2:AM46">
    <cfRule type="expression" priority="1" dxfId="0" stopIfTrue="0">
      <formula>AND($O2&lt;&gt;"",ISNA(MATCH($O2,'AI original'!$O:$O,0)))</formula>
    </cfRule>
    <cfRule type="expression" priority="2" dxfId="0" stopIfTrue="0">
      <formula>AND($O2&lt;&gt;"",NOT(ISNA(MATCH($O2,'AI original'!$O:$O,0))),NOT(EXACT(""&amp;INDEX('AI original'!$A:$AM,MATCH($O2,'AI original'!$O:$O,0),COLUMN()),""&amp;A2)))</formula>
    </cfRule>
  </conditionalFormatting>
  <dataValidations count="15">
    <dataValidation sqref="D2:D46" showDropDown="0" showInputMessage="0" showErrorMessage="0" allowBlank="1" errorTitle="Controlled category" error="Use a value from the Lists sheet." type="list">
      <formula1>Lists!$A$2:$A$41</formula1>
    </dataValidation>
    <dataValidation sqref="G2:G46" showDropDown="0" showInputMessage="0" showErrorMessage="0" allowBlank="1" errorTitle="Controlled category" error="Use a value from the Lists sheet." type="list">
      <formula1>Lists!$B$2:$B$5</formula1>
    </dataValidation>
    <dataValidation sqref="I2:I46" showDropDown="0" showInputMessage="0" showErrorMessage="0" allowBlank="1" errorTitle="Controlled category" error="Use a value from the Lists sheet." type="list">
      <formula1>Lists!$C$2:$C$5</formula1>
    </dataValidation>
    <dataValidation sqref="J2:J46" showDropDown="0" showInputMessage="0" showErrorMessage="0" allowBlank="1" errorTitle="Controlled category" error="Use a value from the Lists sheet." type="list">
      <formula1>Lists!$D$2:$D$6</formula1>
    </dataValidation>
    <dataValidation sqref="P2:P46" showDropDown="0" showInputMessage="0" showErrorMessage="0" allowBlank="1" errorTitle="Controlled category" error="Use a value from the Lists sheet." type="list">
      <formula1>Lists!$E$2:$E$3</formula1>
    </dataValidation>
    <dataValidation sqref="U2:U46" showDropDown="0" showInputMessage="0" showErrorMessage="0" allowBlank="1" errorTitle="Controlled category" error="Use a value from the Lists sheet." type="list">
      <formula1>Lists!$F$2:$F$7</formula1>
    </dataValidation>
    <dataValidation sqref="V2:V46" showDropDown="0" showInputMessage="0" showErrorMessage="0" allowBlank="1" errorTitle="Controlled category" error="Use a value from the Lists sheet." type="list">
      <formula1>Lists!$G$2:$G$8</formula1>
    </dataValidation>
    <dataValidation sqref="Y2:Y46" showDropDown="0" showInputMessage="0" showErrorMessage="0" allowBlank="1" errorTitle="Controlled category" error="Use a value from the Lists sheet." type="list">
      <formula1>Lists!$H$2:$H$6</formula1>
    </dataValidation>
    <dataValidation sqref="Z2:Z46" showDropDown="0" showInputMessage="0" showErrorMessage="0" allowBlank="1" errorTitle="Controlled category" error="Use a value from the Lists sheet." type="list">
      <formula1>Lists!$I$2:$I$4</formula1>
    </dataValidation>
    <dataValidation sqref="AB2:AB46" showDropDown="0" showInputMessage="0" showErrorMessage="0" allowBlank="1" errorTitle="Controlled category" error="Use a value from the Lists sheet." type="list">
      <formula1>Lists!$J$2:$J$4</formula1>
    </dataValidation>
    <dataValidation sqref="AF2:AF46" showDropDown="0" showInputMessage="0" showErrorMessage="0" allowBlank="1" errorTitle="Controlled category" error="Use a value from the Lists sheet." type="list">
      <formula1>Lists!$K$2:$K$7</formula1>
    </dataValidation>
    <dataValidation sqref="AG2:AG46" showDropDown="0" showInputMessage="0" showErrorMessage="0" allowBlank="1" errorTitle="Controlled category" error="Use a value from the Lists sheet." type="list">
      <formula1>Lists!$L$2:$L$4</formula1>
    </dataValidation>
    <dataValidation sqref="AH2:AH46" showDropDown="0" showInputMessage="0" showErrorMessage="0" allowBlank="1" errorTitle="Controlled category" error="Use a value from the Lists sheet." type="list">
      <formula1>Lists!$M$2:$M$5</formula1>
    </dataValidation>
    <dataValidation sqref="AI2:AI46" showDropDown="0" showInputMessage="0" showErrorMessage="0" allowBlank="1" errorTitle="Controlled category" error="Use a value from the Lists sheet." type="list">
      <formula1>Lists!$N$2:$N$10</formula1>
    </dataValidation>
    <dataValidation sqref="AJ2:AJ46" showDropDown="0" showInputMessage="0" showErrorMessage="0" allowBlank="1" errorTitle="Controlled category" error="Use a value from the Lists sheet." type="list">
      <formula1>Lists!$O$2:$O$6</formula1>
    </dataValidation>
  </dataValidations>
  <hyperlinks>
    <hyperlink ref="L2" location="'Source text'!A11"/>
    <hyperlink ref="L3" location="'Source text'!A13"/>
    <hyperlink ref="L4" location="'Source text'!A13"/>
    <hyperlink ref="L5" location="'Source text'!A12"/>
    <hyperlink ref="L6" location="'Source text'!A14"/>
    <hyperlink ref="L7" location="'Source text'!A15"/>
    <hyperlink ref="L8" location="'Source text'!A19"/>
    <hyperlink ref="L9" location="'Source text'!A19"/>
    <hyperlink ref="L10" location="'Source text'!A17"/>
    <hyperlink ref="L11" location="'Source text'!A18"/>
    <hyperlink ref="L12" location="'Source text'!A21"/>
    <hyperlink ref="L13" location="'Source text'!A21"/>
    <hyperlink ref="L14" location="'Source text'!A20"/>
    <hyperlink ref="L15" location="'Source text'!A22"/>
    <hyperlink ref="L16" location="'Source text'!A24"/>
    <hyperlink ref="L17" location="'Source text'!A24"/>
    <hyperlink ref="L18" location="'Source text'!A24"/>
    <hyperlink ref="L19" location="'Source text'!A24"/>
    <hyperlink ref="L20" location="'Source text'!A24"/>
    <hyperlink ref="L21" location="'Source text'!A21"/>
    <hyperlink ref="L22" location="'Source text'!A24"/>
    <hyperlink ref="L23" location="'Source text'!A25"/>
    <hyperlink ref="L24" location="'Source text'!A25"/>
    <hyperlink ref="L25" location="'Source text'!A26"/>
    <hyperlink ref="L26" location="'Source text'!A26"/>
    <hyperlink ref="L27" location="'Source text'!A26"/>
    <hyperlink ref="L28" location="'Source text'!A27"/>
    <hyperlink ref="L29" location="'Source text'!A28"/>
    <hyperlink ref="L30" location="'Source text'!A29"/>
    <hyperlink ref="L31" location="'Source text'!A33"/>
    <hyperlink ref="L32" location="'Source text'!A33"/>
    <hyperlink ref="L33" location="'Source text'!A33"/>
    <hyperlink ref="L34" location="'Source text'!A33"/>
    <hyperlink ref="L35" location="'Source text'!A34"/>
    <hyperlink ref="L36" location="'Source text'!A35"/>
    <hyperlink ref="L37" location="'Source text'!A37"/>
    <hyperlink ref="L38" location="'Source text'!A37"/>
    <hyperlink ref="L39" location="'Source text'!A37"/>
    <hyperlink ref="L40" location="'Source text'!A38"/>
    <hyperlink ref="L41" location="'Source text'!A59"/>
    <hyperlink ref="L42" location="'Source text'!A39"/>
    <hyperlink ref="L43" location="'Source text'!A39"/>
    <hyperlink ref="L44" location="'Source text'!A44"/>
    <hyperlink ref="L45" location="'Source text'!A82"/>
    <hyperlink ref="L46" location="'Source text'!A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4" customWidth="1" min="1" max="1"/>
    <col width="150" customWidth="1" min="2" max="2"/>
  </cols>
  <sheetData>
    <row r="1">
      <c r="A1" s="7" t="inlineStr">
        <is>
          <t>PetSmart / Argos Holdings — deal ledger summary (first pass)</t>
        </is>
      </c>
    </row>
    <row r="2">
      <c r="A2" s="8" t="inlineStr">
        <is>
          <t>Status</t>
        </is>
      </c>
    </row>
    <row r="3">
      <c r="A3" s="9" t="inlineStr">
        <is>
          <t>Status</t>
        </is>
      </c>
      <c r="B3" s="2" t="inlineStr">
        <is>
          <t>AI first pass; not human-approved. Instruction revision: 19 September 2026 (Pro). Supplied source: PetSmart, Inc. Definitive Proxy Statement (DEFM14A), filed 2015-02-02; source file raw_filing/petsmart_2015-02-02_DEFM14A.htm; background at printed pp. 21–26; annexes A–C included. Coverage: entire filing (85 numbered pages + annexes). Last recheck: not run since delivery; AI original mirrors the delivered ledger.</t>
        </is>
      </c>
    </row>
    <row r="4">
      <c r="A4" s="9" t="inlineStr">
        <is>
          <t>Commercial account</t>
        </is>
      </c>
      <c r="B4" s="2" t="inlineStr">
        <is>
          <t>PetSmart's board was already reviewing strategic and capital-structure alternatives after a weak Q1 2014 earnings report when JANA Partners filed a 9.9% Schedule 13D (07/03/2014) and Longview publicly urged a sale (07/07/2014); the board decided on 08/13/2014 to explore strategic alternatives including a possible sale, announced the exploration on 08/19/2014 and retained J.P. Morgan (engagement letter effective 08/21/2014). J.P. Morgan was contacted by 27 potential participants (24 financial; 3 strategic) and the Company signed confidentiality and standstill agreements with 15 financial buyers in the first week of October 2014; six submitted non-binding indications of interest on 10/30/2014. On 11/03/2014 the board advanced the four bidders whose indications were at or above $80.00 — the Buyer Group (a BC Partners-led consortium), Bidder 2 and two unnamed finalists that were authorized to combine as “Bidder 3” — to a final round. Final bids on 12/10/2014 were $80.70 (Buyer Group) and $80.35 (Bidder 2) per share in cash; Bidder 3 dropped out. Asked to improve, Bidder 2 submitted a best-and-final $81.50 on 12/12/2014 while the Buyer Group moved from an oral $82.50 to a best-and-final $83.00; the board approved the Buyer Group's offer on 12/13/2014 and the merger agreement, Longview rollover and voting agreements were executed and announced on 12/14/2014. As of the 02/02/2015 proxy date no alternative proposal had emerged; closing (expected in the first half of 2015) is not observed in this filing.</t>
        </is>
      </c>
    </row>
    <row r="5">
      <c r="A5" s="8" t="inlineStr">
        <is>
          <t>Deal facts</t>
        </is>
      </c>
    </row>
    <row r="6">
      <c r="A6" s="9" t="inlineStr">
        <is>
          <t>Target</t>
        </is>
      </c>
      <c r="B6" s="2" t="inlineStr">
        <is>
          <t>PetSmart, Inc. (Delaware; NASDAQ: PETM; 1,404 stores and 202 in-store boarding facilities in the United States, Canada and Puerto Rico) (p. 16).</t>
        </is>
      </c>
    </row>
    <row r="7">
      <c r="A7" s="9" t="inlineStr">
        <is>
          <t>Focal acquirer</t>
        </is>
      </c>
      <c r="B7" s="2" t="inlineStr">
        <is>
          <t>Argos Holdings Inc. (“Parent”) and Argos Merger Sub Inc.; at closing owned by the Buyer Group — a consortium of funds advised by BC Partners, Inc., La Caisse de dépôt et placement du Québec, affiliates of GIC Special Investments Pte Ltd, affiliates of StepStone Group LP and, after 12/12/2014, Longview Asset Management, LLC. Type: Financial (PE-led consortium; Sources X-027, X-033).</t>
        </is>
      </c>
    </row>
    <row r="8">
      <c r="A8" s="9" t="inlineStr">
        <is>
          <t>Agreed consideration</t>
        </is>
      </c>
      <c r="B8" s="2" t="inlineStr">
        <is>
          <t>$83.00 per share in cash; all cash; no CVR or contingent component (pp. 1–2, 21). Merger agreement dated as of 12/14/2014 (Annex A; X-032).</t>
        </is>
      </c>
    </row>
    <row r="9">
      <c r="A9" s="9" t="inlineStr">
        <is>
          <t>Signing / announcement / completion</t>
        </is>
      </c>
      <c r="B9" s="2" t="inlineStr">
        <is>
          <t>Signed 12/14/2014; announced by joint press release 12/14/2014; expected closing first half of 2015 — no completion observed in this filing (R040, R041).</t>
        </is>
      </c>
    </row>
    <row r="10">
      <c r="A10" s="9" t="inlineStr">
        <is>
          <t>Filing</t>
        </is>
      </c>
      <c r="B10" s="2" t="inlineStr">
        <is>
          <t>DEFM14A definitive proxy statement, dated/filed 02/02/2015 (t1500073-defm14a.htm); special meeting 03/06/2015; record date 01/29/2015; 99,455,151 shares outstanding on the record date (pp. 2, 17).</t>
        </is>
      </c>
    </row>
    <row r="11">
      <c r="A11" s="9" t="inlineStr">
        <is>
          <t>Source file</t>
        </is>
      </c>
      <c r="B11" s="2" t="inlineStr">
        <is>
          <t>raw_filing/petsmart_2015-02-02_DEFM14A.htm (background pp. 21–26; annexes A–C).</t>
        </is>
      </c>
    </row>
    <row r="12">
      <c r="A12" s="9" t="inlineStr">
        <is>
          <t>Market benchmarks</t>
        </is>
      </c>
      <c r="B12" s="2" t="inlineStr">
        <is>
          <t>Unaffected closing price 07/02/2014: $59.81 (premium of 38.8% per the filing, p. 26); closing 12/09/2014: $78.82; closing 12/12/2014 (last trading day before announcement): $77.67; closing 01/30/2015: $81.71 (pp. 34, 76).</t>
        </is>
      </c>
    </row>
    <row r="13">
      <c r="A13" s="8" t="inlineStr">
        <is>
          <t>Process and round map</t>
        </is>
      </c>
    </row>
    <row r="14">
      <c r="A14" s="9" t="inlineStr">
        <is>
          <t>Process 1</t>
        </is>
      </c>
      <c r="B14" s="2" t="inlineStr">
        <is>
          <t>Single continuing sale attempt (08/2014–12/2014); outcome: signed with the Buyer Group 12/14/2014. No process termination, restart, exclusivity grant or competing post-signing proposal is reported; no multi-process assessment required (Q1).</t>
        </is>
      </c>
    </row>
    <row r="15">
      <c r="A15" s="9" t="inlineStr">
        <is>
          <t>Round 0</t>
        </is>
      </c>
      <c r="B15" s="2" t="inlineStr">
        <is>
          <t>Pre-process (March–mid-August 2014): March authorization to contact Industry Participant, May earnings and stockholder communications, 06/18 board review and committee formation, JANA/Longview advocacy and the inbound contacts wave (R002–R010). No Round opened row required (section 6.3).</t>
        </is>
      </c>
    </row>
    <row r="16">
      <c r="A16" s="9" t="inlineStr">
        <is>
          <t>Round 1</t>
        </is>
      </c>
      <c r="B16" s="2" t="inlineStr">
        <is>
          <t>Opened R011 (Working 10/01/2014; anchor = first confidentiality-agreement wave; rejected candidates kept at R006, R009, R013, R007/R008). Objective: solicit non-binding preliminary indications and select the final round. Participants: 15 financial NDA signers (R012). Deadline: 10/30/2014, treatment Enforced (R014). Finality: Not final (non-binding preliminary indications; no final/best-and-final solicitation and no move to definitive negotiation in this round). Ended with the 11/03/2014 selection; tally: 15 entering − 9 inferred non-submitters − 2 stated eliminations = 4 continuing.</t>
        </is>
      </c>
    </row>
    <row r="17">
      <c r="A17" s="9" t="inlineStr">
        <is>
          <t>Round 2</t>
        </is>
      </c>
      <c r="B17" s="2" t="inlineStr">
        <is>
          <t>Opened R021 (11/03/2014; selection of the four bidders ≥$80.00). Objective: final-round diligence, definitive-document negotiation and final bids. Deadline history: initially 12/05/2014 (communication day not disclosed) → revised to the evening of 12/10/2014 (R027; Extended) → improved bids due 12/12/2014 (R033; 12/10 treated Extended, 12/12 Enforced) (R028, R033). Finality: Announced as final (the filing describes the final round and solicited final/best-and-final offers). Ended in signing: 4 entering independent units → 2 Joined closures + Bidder 3 = 3 units → Bidder 3 out (R032; Count 2 affected members) → Bidder 2 out at signing (R042) → 1 winner (Buyer Group).</t>
        </is>
      </c>
    </row>
    <row r="18">
      <c r="A18" s="9" t="inlineStr">
        <is>
          <t>Post-signing</t>
        </is>
      </c>
      <c r="B18" s="2" t="inlineStr">
        <is>
          <t>R043: no unsolicited alternative proposal as of 02/02/2015; the 15 diligence parties' standstills bar higher bids after a definitive agreement; no go-shop period described. No competing proposal, agreement termination or closing reported.</t>
        </is>
      </c>
    </row>
    <row r="19">
      <c r="A19" s="9" t="inlineStr">
        <is>
          <t>Auction screen</t>
        </is>
      </c>
      <c r="B19" s="2" t="inlineStr">
        <is>
          <t>MET — 15 independent prospective acquiring bidder units executed bidder-target confidentiality agreements for this process (all financial; no lender-only, adviser or rollover-holder agreements counted; Longview's confidentiality agreement with the Buyer Group is excluded; no earlier-attempt agreements reused). Evidence: R012 (p. 23).</t>
        </is>
      </c>
    </row>
    <row r="20">
      <c r="A20" s="8" t="inlineStr">
        <is>
          <t>Participants and advisers</t>
        </is>
      </c>
    </row>
    <row r="21">
      <c r="A21" s="9" t="inlineStr">
        <is>
          <t>Buyer Group</t>
        </is>
      </c>
      <c r="B21" s="2" t="inlineStr">
        <is>
          <t>Financial (PE-led consortium of BC Partners, CDPQ, GIC affiliates, StepStone affiliates; Longview admitted as rollover supporter effective 12/12/2014). First bid: 10/30/2014 ($81.00–$83.00); final bids $80.70 (12/10) → oral $82.50 → best-and-final $83.00 (12/12); winner (no exit row). Carried Count 1 in Round 1 and 1 in Round 2.</t>
        </is>
      </c>
    </row>
    <row r="22">
      <c r="A22" s="9" t="inlineStr">
        <is>
          <t>Bidder 2</t>
        </is>
      </c>
      <c r="B22" s="2" t="inlineStr">
        <is>
          <t>Financial (type derived from the cohort description “15 potentially interested financial buyers”, p. 23; flagged Q7). 10/30: $78.00 → $81.00–$84.00; 12/10: $80.35; 12/12: $81.50 best and final. Closed: Not selected at signing 12/14/2014, Outcome basis Stated (Lower offer than rivals).</t>
        </is>
      </c>
    </row>
    <row r="23">
      <c r="A23" s="9" t="inlineStr">
        <is>
          <t>Unnamed financial bidder 1</t>
        </is>
      </c>
      <c r="B23" s="2" t="inlineStr">
        <is>
          <t>Financial. 10/30: $80.00–$85.00 range; advanced to the final round (R016). Possible identity as a Bidder 3 member — hypothesis only (Q3).</t>
        </is>
      </c>
    </row>
    <row r="24">
      <c r="A24" s="9" t="inlineStr">
        <is>
          <t>Unnamed financial bidder 2</t>
        </is>
      </c>
      <c r="B24" s="2" t="inlineStr">
        <is>
          <t>Financial. 10/30: range reached at least $80.00 (endpoints not disclosed; Bound only); advanced to the final round (R017). Possible identity as a Bidder 3 member — hypothesis only (Q3).</t>
        </is>
      </c>
    </row>
    <row r="25">
      <c r="A25" s="9" t="inlineStr">
        <is>
          <t>Two unnamed submitters</t>
        </is>
      </c>
      <c r="B25" s="2" t="inlineStr">
        <is>
          <t>Financial cohort of 2. 10/30: indications below $80.00, values not disclosed; closed Dropped by target 11/03/2014 (Stated; Lower offer than rivals).</t>
        </is>
      </c>
    </row>
    <row r="26">
      <c r="A26" s="9" t="inlineStr">
        <is>
          <t>Bidder 3</t>
        </is>
      </c>
      <c r="B26" s="2" t="inlineStr">
        <is>
          <t>Combination of the two unnamed finalists (R023–R025); not an economic exit for its members. 12/10: valuation communication not above ~$78/share (R031); Did not submit (R032; Decided by Both; Value at or below market price; Count 2 units).</t>
        </is>
      </c>
    </row>
    <row r="27">
      <c r="A27" s="9" t="inlineStr">
        <is>
          <t>Nine non-submitters</t>
        </is>
      </c>
      <c r="B27" s="2" t="inlineStr">
        <is>
          <t>Financial. 15 NDA signers − 6 submitters = 9; inferred Did not submit at the 10/30/2014 deadline (R045); Outcome basis Inferred: residual; Decided by Unknown; Not stated.</t>
        </is>
      </c>
    </row>
    <row r="28">
      <c r="A28" s="9" t="inlineStr">
        <is>
          <t>Industry Participant</t>
        </is>
      </c>
      <c r="B28" s="2" t="inlineStr">
        <is>
          <t>Unnamed privately held strategic party. Bidder interest 08/07/2014; not invited to the process (Target decision by 08/27/2014); never entered — no exit row.</t>
        </is>
      </c>
    </row>
    <row r="29">
      <c r="A29" s="9" t="inlineStr">
        <is>
          <t>Longview</t>
        </is>
      </c>
      <c r="B29" s="2" t="inlineStr">
        <is>
          <t>Long-term stockholder (managed ~9% of shares at the merger-agreement date). Advocacy 07/07/2014; rollover support formed 12/12/2014 (R034) and resolved 12/14/2014 (R039; 3,012,050 shares, ~$250 million; voting agreement over 7,424,591 shares ≈ 7.5%). Not a bidder; excluded from NDA counts.</t>
        </is>
      </c>
    </row>
    <row r="30">
      <c r="A30" s="9" t="inlineStr">
        <is>
          <t>JANA Partners</t>
        </is>
      </c>
      <c r="B30" s="2" t="inlineStr">
        <is>
          <t>Activist stockholder; 9.9% 13D (07/03/2014) and public sale advocacy (R002).</t>
        </is>
      </c>
    </row>
    <row r="31">
      <c r="A31" s="9" t="inlineStr">
        <is>
          <t>J.P. Morgan</t>
        </is>
      </c>
      <c r="B31" s="2" t="inlineStr">
        <is>
          <t>Financial adviser to PetSmart: retained July 2014; engagement letter effective 08/21/2014; fairness opinion 12/13–14/2014; fee up to ~$39 million. Disclosed conflicts: relationships with Buyer Group members worth ~$110 million over two years; James Crown (JPMorgan Chase board; Longview client) (pp. 30, 37, 45).</t>
        </is>
      </c>
    </row>
    <row r="32">
      <c r="A32" s="9" t="inlineStr">
        <is>
          <t>Wachtell Lipton</t>
        </is>
      </c>
      <c r="B32" s="2" t="inlineStr">
        <is>
          <t>Legal adviser to PetSmart: service observed from 06/18/2014; retention date not disclosed (R001).</t>
        </is>
      </c>
    </row>
    <row r="33">
      <c r="A33" s="9" t="inlineStr">
        <is>
          <t>Simpson Thacher</t>
        </is>
      </c>
      <c r="B33" s="2" t="inlineStr">
        <is>
          <t>Legal counsel to Parent/Merger Sub: first appearance as notice recipient (Attention: Ryerson Symons) in the executed merger agreement, page A-46 (R044); engagement date not disclosed (Q7).</t>
        </is>
      </c>
    </row>
    <row r="34">
      <c r="A34" s="9" t="inlineStr">
        <is>
          <t>Other advisers</t>
        </is>
      </c>
      <c r="B34" s="2" t="inlineStr">
        <is>
          <t>Innisfree M&amp;A Incorporated acted as proxy solicitation agent (p. 14); not carried as a deal adviser. Financing sources (not advisers): debt — Citigroup, Barclays, Deutsche Bank, Nomura, Jefferies with RBC, Macquarie and Natixis joinders; equity investors — BC European Capital IX-1 to 11 LP, Kokoro Investment Pte. Ltd., CDPQ, StepStone entities, Longview (X-018, X-033).</t>
        </is>
      </c>
    </row>
    <row r="35">
      <c r="A35" s="8" t="inlineStr">
        <is>
          <t>Counts and reconciliation</t>
        </is>
      </c>
    </row>
    <row r="36">
      <c r="A36" s="9" t="inlineStr">
        <is>
          <t>Contacts</t>
        </is>
      </c>
      <c r="B36" s="2" t="inlineStr">
        <is>
          <t>Filing assertions: 27 potential participants contacted/inbound mid-August–end-October (3 strategic + 24 financial) (p. 23); “more than 25 potential participants” (p. 27); approximately 15 parties expressed interest as of 10/03/2014 (p. 23). Ledger: R007 Count 24 financial + R008 Count 3 strategic = 27. Industry Participant is separate and not counted in the 27.</t>
        </is>
      </c>
    </row>
    <row r="37">
      <c r="A37" s="9" t="inlineStr">
        <is>
          <t>NDA units</t>
        </is>
      </c>
      <c r="B37" s="2" t="inlineStr">
        <is>
          <t xml:space="preserve">Filing assertion: 15 financial buyers signed confidentiality and standstill agreements in the first week of October 2014 (p. 23). Ledger formula (Count, NDA signed, Include=Yes): </t>
        </is>
      </c>
      <c r="C37" s="9">
        <f>SUMIFS('Deal ledger'!$Q:$Q,'Deal ledger'!$D:$D,"NDA signed",'Deal ledger'!$P:$P,"Yes")</f>
        <v/>
      </c>
    </row>
    <row r="38">
      <c r="A38" s="9" t="inlineStr">
        <is>
          <t>Round 1 submitting units</t>
        </is>
      </c>
      <c r="B38" s="2" t="inlineStr">
        <is>
          <t xml:space="preserve">Filing assertions: “six of the potentially interested parties submitted indications of interest” (p. 24); reasons section: “received first round indications of interest from 5 bidder groups” (p. 27) — conflict preserved and reviewed (Q2). Ledger formula (Count, Bid, Round 1): </t>
        </is>
      </c>
      <c r="C38" s="9">
        <f>SUMIFS('Deal ledger'!$Q:$Q,'Deal ledger'!$D:$D,"Bid",'Deal ledger'!$F:$F,1,'Deal ledger'!$P:$P,"Yes")</f>
        <v/>
      </c>
    </row>
    <row r="39">
      <c r="A39" s="9" t="inlineStr">
        <is>
          <t>Round 1 residual non-submitters</t>
        </is>
      </c>
      <c r="B39" s="2" t="inlineStr">
        <is>
          <t xml:space="preserve">Formula (Count, Did not submit, Round 1): </t>
        </is>
      </c>
      <c r="C39" s="9">
        <f>SUMIFS('Deal ledger'!$Q:$Q,'Deal ledger'!$D:$D,"Did not submit",'Deal ledger'!$F:$F,1,'Deal ledger'!$P:$P,"Yes")</f>
        <v/>
      </c>
    </row>
    <row r="40">
      <c r="A40" s="9" t="inlineStr">
        <is>
          <t>Round 2 written bids</t>
        </is>
      </c>
      <c r="B40" s="2" t="inlineStr">
        <is>
          <t xml:space="preserve">Filing assertion: two final bid letters (Buyer Group; Bidder 2) plus one verbal indication (Bidder 3) on 12/10/2014 (p. 25). Ledger formula (Count, Bid, Round 2): </t>
        </is>
      </c>
      <c r="C40" s="9">
        <f>SUMIFS('Deal ledger'!$Q:$Q,'Deal ledger'!$D:$D,"Bid",'Deal ledger'!$F:$F,2,'Deal ledger'!$P:$P,"Yes")</f>
        <v/>
      </c>
    </row>
    <row r="41">
      <c r="A41" s="9" t="inlineStr">
        <is>
          <t>Per-stage balance</t>
        </is>
      </c>
      <c r="B41" s="2" t="inlineStr">
        <is>
          <t>Round 1: 15 entering (15 NDA signers) − 9 inferred non-submitters (R045) − 2 stated eliminations (R022) = 4 continuing units. Round 2: 4 independent units enter; the two unnamed finalists combine (R024, R025 close 2 independent units; Bidder 3 counts as one continuing unit) → 3 units; Bidder 3 exits (R032 — the combined unit's non-submission; Count 2 records the two affected members, not a second stock reduction) → 2 units; Bidder 2 exits at signing (R042) → 1 winner (Buyer Group). Unit balance: 4 − 2 + 1 − 1 − 1 = 1. Inferred share of exits: 9 of 14 unit closures (1 inferred row); all other closures are stated.</t>
        </is>
      </c>
    </row>
    <row r="42">
      <c r="A42" s="9" t="inlineStr">
        <is>
          <t>Outcome tallies (occurrences/affected units, not unique firms)</t>
        </is>
      </c>
      <c r="B42" s="2" t="inlineStr">
        <is>
          <t xml:space="preserve">Dropped by target: 2 (R022). Did not submit: 11 (R045 9 + R032 2). Joined group: 2 (R024, R025). Not selected at signing: 1 (R042). Formula (Dropped): </t>
        </is>
      </c>
      <c r="C42" s="9">
        <f>SUMIFS('Deal ledger'!$Q:$Q,'Deal ledger'!$D:$D,"Dropped by target",'Deal ledger'!$P:$P,"Yes")</f>
        <v/>
      </c>
    </row>
    <row r="43">
      <c r="A43" s="9" t="inlineStr">
        <is>
          <t>Signing state</t>
        </is>
      </c>
      <c r="B43" s="2" t="inlineStr">
        <is>
          <t>At signing only the winner (Buyer Group) remains live; no go-shop expiry applies (none described).</t>
        </is>
      </c>
    </row>
    <row r="44">
      <c r="A44" s="8" t="inlineStr">
        <is>
          <t>Comparability and inputs</t>
        </is>
      </c>
    </row>
    <row r="45">
      <c r="A45" s="9" t="inlineStr">
        <is>
          <t>Consideration structure</t>
        </is>
      </c>
      <c r="B45" s="2" t="inlineStr">
        <is>
          <t>All cash $83.00/share; no CVR, earnout or share alternative. Do not treat the ~$8.4 billion total funding need as equity value.</t>
        </is>
      </c>
    </row>
    <row r="46">
      <c r="A46" s="9" t="inlineStr">
        <is>
          <t>Financing</t>
        </is>
      </c>
      <c r="B46" s="2" t="inlineStr">
        <is>
          <t>Total funds required ≈ $8.4 billion: debt up to ≈ $6.2 billion plus a $750 million ABL facility (≈ $6.95 billion of total facilities: $4.3bn TLB, $750m ABL, $1.9bn bridge/senior notes expected in lieu), cash equity commitments up to ≈ $1.83 billion, Longview rollover ≈ $250 million (3,012,050 shares) and ≈ $425 million of Company cash available at closing. No financing condition (pp. 5, 40–42).</t>
        </is>
      </c>
    </row>
    <row r="47">
      <c r="A47" s="9" t="inlineStr">
        <is>
          <t>Termination fees</t>
        </is>
      </c>
      <c r="B47" s="2" t="inlineStr">
        <is>
          <t>$510 million Parent termination fee (funded by Buyer Group members other than Longview under commitment letters); $255 million Company termination fee in specified superior-proposal circumstances (pp. 28, 44–45).</t>
        </is>
      </c>
    </row>
    <row r="48">
      <c r="A48" s="9" t="inlineStr">
        <is>
          <t>J.P. Morgan analyses (attributed, not offers)</t>
        </is>
      </c>
      <c r="B48" s="2" t="inlineStr">
        <is>
          <t>TV/LTM EBITDA reference 8.5x–11.0x → implied $70.50–$91.50 per share; public-multiples implied equity ranges $62.00–$83.00 (FV/EBITDA), $64.00–$82.50 (FV/adjusted EBITDA), $65.25–$77.75 (P/E); DCF sensitivity ranges $65.00–$95.25 (pp. 33–34, 36).</t>
        </is>
      </c>
    </row>
    <row r="49">
      <c r="A49" s="9" t="inlineStr">
        <is>
          <t>Glossary</t>
        </is>
      </c>
      <c r="B49" s="2" t="inlineStr">
        <is>
          <t>NDA = confidentiality/non-disclosure agreement; IOI = indication of interest; LBO = leveraged buyout; rollover = holder contributes shares to the buyer's vehicle instead of taking cash; standstill = contractual bar on bid/proposal activity after a definitive agreement; go-shop = post-signing solicitation period (none described here); Superior Proposal = defined in the merger agreement (X-003).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72" customWidth="1" min="3" max="3"/>
    <col width="60" customWidth="1" min="4" max="4"/>
    <col width="34" customWidth="1" min="5" max="5"/>
    <col width="46" customWidth="1" min="6" max="6"/>
    <col width="9" customWidth="1" min="7" max="7"/>
    <col width="16" customWidth="1" min="8" max="8"/>
  </cols>
  <sheetData>
    <row r="1">
      <c r="A1" s="10" t="inlineStr">
        <is>
          <t>Q</t>
        </is>
      </c>
      <c r="B1" s="10" t="inlineStr">
        <is>
          <t>Review topic</t>
        </is>
      </c>
      <c r="C1" s="10" t="inlineStr">
        <is>
          <t>Recommended answer</t>
        </is>
      </c>
      <c r="D1" s="10" t="inlineStr">
        <is>
          <t>Why and source</t>
        </is>
      </c>
      <c r="E1" s="10" t="inlineStr">
        <is>
          <t>Affected rows/fields</t>
        </is>
      </c>
      <c r="F1" s="10" t="inlineStr">
        <is>
          <t>Consequence of changing it</t>
        </is>
      </c>
      <c r="G1" s="10" t="inlineStr">
        <is>
          <t>Status</t>
        </is>
      </c>
      <c r="H1" s="10" t="inlineStr">
        <is>
          <t>Reviewer note</t>
        </is>
      </c>
    </row>
    <row r="2">
      <c r="A2" t="inlineStr">
        <is>
          <t>Q1</t>
        </is>
      </c>
      <c r="B2" t="inlineStr">
        <is>
          <t>Process and round map (single process; R1 anchor; R2 finality; rejected alternatives)</t>
        </is>
      </c>
      <c r="C2" t="inlineStr">
        <is>
          <t>Keep one process (1) and two numbered rounds. R1 opens at the first confidentiality-agreement wave (first week of October 2014; R011, anchor recorded on the round row), Not final, ending with the 11/03/2014 selection. R2 opens at the 11/03/2014 finalist selection (R021), Announced as final, with deadline history 12/05 → 12/10 (Extended) → 12/12 (Enforced). Rejected R1 anchors, each kept as its own row: R006 (08/13 sale decision — planned outreach was late Sep/early Oct, not within about a week), R009 (08/19 announcement — supplemented, did not replace, solicitation), R013 (10/03 board meeting), R007/R008 (inbound contact wave mid-Aug–Oct). Rejected alternative: splitting a third round at the 12/04–05 final-bid instruction — rejected because the filing shows a final-bid plan (12/05 due) already inside the final round and the instruction only accelerated it; the 12/10 improvement request is a Deadline revised, not a new round (section 8.3).</t>
        </is>
      </c>
      <c r="D2" t="inlineStr">
        <is>
          <t>Background pp. 21–26; R011 anchor evidence: “In the first week of October 2014, the Company entered into confidentiality and standstill agreements with 15 potentially interested financial buyers” (p. 23); selection: “proceed to the final round of the sale process” (p. 24); deadline changes pp. 24–25; improvement instruction p. 25; finality signals pp. 25–26 (“final bids”, “best and final”).</t>
        </is>
      </c>
      <c r="E2" t="inlineStr">
        <is>
          <t>R006; R007; R008; R009; R011; R013; R021; R027; R028; R033 (Round, Date, Round finality, R1 anchor tag, # order)</t>
        </is>
      </c>
      <c r="F2" t="inlineStr">
        <is>
          <t>Moving R1 to 08/13, 08/19 or 10/03 would pull the contact wave and/or NDA solicitation into a different round and shift the 10/30 deadline history; splitting R2 would add a round and convert the 12/10 milestone into a round opening, changing Round and Round finality values.</t>
        </is>
      </c>
      <c r="G2" t="inlineStr">
        <is>
          <t>Pending</t>
        </is>
      </c>
      <c r="H2" t="inlineStr"/>
    </row>
    <row r="3">
      <c r="A3" t="inlineStr">
        <is>
          <t>Q2</t>
        </is>
      </c>
      <c r="B3" t="inlineStr">
        <is>
          <t>Counts, base populations and overlaps (6 submitters vs 5 bidder groups; 15-signer base; Buyer Group as one unit; two eliminated submitters)</t>
        </is>
      </c>
      <c r="C3" t="inlineStr">
        <is>
          <t>Use the background's six submitting units — Buyer Group, Bidder 2, Unnamed financial bidder 1 ($80–85), Unnamed financial bidder 2 (≥$80), and the two unnamed below-$80 submitters (cohort) — and treat the 15 NDA signers as 15 bidder units with the Buyer Group as one unit throughout (its formation and whether its members signed separately are not disclosed). Residual non-submitters = 15 − 6 = 9 (R045; inferred). Preserve and flag the reasons-section conflict “received first round indications of interest from 5 bidder groups” (p. 27) against “six of the potentially interested parties submitted indications of interest” (p. 24): the background's specific six is preferred; the Summary shows both.</t>
        </is>
      </c>
      <c r="D3" t="inlineStr">
        <is>
          <t>p. 23 (“15 potentially interested financial buyers”); p. 24 (six submitters; four ≥$80 advanced); p. 27 (process summary; 5 bidder groups; two other bidding groups unwilling to make a definitive offer above $81.50).</t>
        </is>
      </c>
      <c r="E3" t="inlineStr">
        <is>
          <t>R007; R008; R012; R015–R020; R022; R045; Summary count block</t>
        </is>
      </c>
      <c r="F3" t="inlineStr">
        <is>
          <t>If the Buyer Group's members were separate NDA signers or submitted separately, the 15 − 6 = 9 residual and the four-finalist arithmetic change; if the reasons-section “5 groups” is preferred, the Round 1 bidder tally becomes 5 groups (still six parties) and the residual derivation must be restated.</t>
        </is>
      </c>
      <c r="G3" t="inlineStr">
        <is>
          <t>Pending</t>
        </is>
      </c>
      <c r="H3" t="inlineStr"/>
    </row>
    <row r="4">
      <c r="A4" t="inlineStr">
        <is>
          <t>Q3</t>
        </is>
      </c>
      <c r="B4" t="inlineStr">
        <is>
          <t>Inferred closing rows and identity hypotheses (every inferred closing row, grouped by transition)</t>
        </is>
      </c>
      <c r="C4" t="inlineStr">
        <is>
          <t>Confirmed inferences: (a) 10/30/2014 — 9 non-submitters, Inferred: residual (15 − 6 = 9), Unknown/Not stated (R045); (b) 11/03/2014 — the 2 below-$80 submitters were Dropped by target, stated (R022); (c) the two finalists' combination — Joined group rows (R024, R025), stated; (d) 12/10/2014 — Bidder 3 Did not submit, stated, Both/Value at or below market price (R032); (e) 12/14/2014 — Bidder 2 Not selected at signing, stated (R042). Identity hypothesis only: the two unnamed finalists that combined (R023–R025) are most likely the same units as Unnamed financial bidders 1 and 2 (R016, R017), because they are the only finalists other than the Buyer Group and Bidder 2; not entered as settled identity. The two eliminated submitters (R022) sit inside the residual cohort derivation and are not individually identified.</t>
        </is>
      </c>
      <c r="D4" t="inlineStr">
        <is>
          <t>p. 24 (submissions; four ≥$80 advanced; two bidders authorized to work together as Bidder 3); p. 25 (Bidder 3 did not submit); p. 27 (Bidder 2's best and final).</t>
        </is>
      </c>
      <c r="E4" t="inlineStr">
        <is>
          <t>R016; R017; R020; R022; R045; R023–R025; R032; R042</t>
        </is>
      </c>
      <c r="F4" t="inlineStr">
        <is>
          <t>If the identity mapping is accepted, link the IOI rows to the Joined-group rows in Related rows; if rejected, the residual cohort derivation and “four finalists” description stay unchanged but two unnamed units remain unmapped to their IOIs.</t>
        </is>
      </c>
      <c r="G4" t="inlineStr">
        <is>
          <t>Pending</t>
        </is>
      </c>
      <c r="H4" t="inlineStr"/>
    </row>
    <row r="5">
      <c r="A5" t="inlineStr">
        <is>
          <t>Q4</t>
        </is>
      </c>
      <c r="B5" t="inlineStr">
        <is>
          <t>Offers, formality and conditionality (round-1 IOIs; final bids; Bidder 3 valuation; oral $82.50)</t>
        </is>
      </c>
      <c r="C5" t="inlineStr">
        <is>
          <t>Round-1 IOIs: Informal formality; Conditions Heavy by context (non-binding preliminary indications in a two-stage process with a further substantial diligence stage; no financing or diligence condition stated in the filing). Alternative flagged: Insufficient evidence for conditions if context-based Heavy is rejected (the automatic Heavy-by-context rule presupposes no substantive diligence access, which these bidders had). Final bids (12/10: $80.70/$80.35; 12/12: $81.50/$82.50/$83.00): Formal (returned acquisition-agreement and transaction-document markups; best-and-final responses; price confirmation for Bidder 2) and Light (final-documentation condition only; Buyer Group committed financing evidenced 12/06; Bidder 2's commitment documents evidenced 12/12). Bidder 3's 12/10 communication is a Valuation statement, not a priced bid — no price cells, formality or conditions. Buyer Group's oral $82.50 and written $83.00 are retained as two Bid rows (price change preserved; same-evening sequence).</t>
        </is>
      </c>
      <c r="D5" t="inlineStr">
        <is>
          <t>p. 24 (non-binding preliminary indications; range details); p. 25 (12/10 bids; documents and financing commitments); p. 26 (12/12 offers; substantial executability; price confirmation); section 9 conventions.</t>
        </is>
      </c>
      <c r="E5" t="inlineStr">
        <is>
          <t>R015–R020 (Formality; Conditions level; Conditions detail); R029–R037 (same); R031 (Price kind/origin; formality blank); R036/R037 (# order same day); R035 (Count 0)</t>
        </is>
      </c>
      <c r="F5" t="inlineStr">
        <is>
          <t>Reclassifying IOI conditions as Insufficient evidence changes the Summary's conditionality picture but not counts; treating the oral $82.50 as part of one communication would drop a Bid row and shift Count; populating price cells for the $78 valuation would misstate it as a bid.</t>
        </is>
      </c>
      <c r="G5" t="inlineStr">
        <is>
          <t>Pending</t>
        </is>
      </c>
      <c r="H5" t="inlineStr"/>
    </row>
    <row r="6">
      <c r="A6" t="inlineStr">
        <is>
          <t>Q5</t>
        </is>
      </c>
      <c r="B6" t="inlineStr">
        <is>
          <t>Deadlines and treatments (10/30; 12/05; 12/10; 12/12)</t>
        </is>
      </c>
      <c r="C6" t="inlineStr">
        <is>
          <t>Summary map: 10/30/2014 IOI deadline — Enforced (board selected finalists on the bids in hand); 12/05/2014 initial final-bid date — Extended (superseded before arrival; recorded only in the Deadline revised row R027, no milestone row per section 8.3); 12/10/2014 — Extended (the ad hoc committee required improved bids); 12/12/2014 — Enforced (improved bids received; board acted on 12/13). The 12/10 improvement request is a Deadline revised (old 12/10, new 12/12), not a fresh Deadline set and not a new round. No separate Deadline set rows: the 10/30 communication (during October; day not disclosed) is carried on R011/R014 and the 12/05 plan on R021/R027. No late bids were accepted; no exclusivity was granted at any stage (Exclusivity changed rows not applicable).</t>
        </is>
      </c>
      <c r="D6" t="inlineStr">
        <is>
          <t>pp. 23–26: IOI due date and submissions; 12/05 initial date and the 12/04–05 revision; 12/10 final bids; 12/12 improvement instruction and offers; 12/13 board action.</t>
        </is>
      </c>
      <c r="E6" t="inlineStr">
        <is>
          <t>R014; R027; R028; R033 (Due date; Deadline treatment); Summary map; R021 (initial 12/05 plan)</t>
        </is>
      </c>
      <c r="F6" t="inlineStr">
        <is>
          <t>Alternative treatments: calling 12/10 “Passed without action” is rejected (action followed); treating the improvement request as a new Deadline set would duplicate the history; moving the revision to R027 vs a new row does not change the map.</t>
        </is>
      </c>
      <c r="G6" t="inlineStr">
        <is>
          <t>Pending</t>
        </is>
      </c>
      <c r="H6" t="inlineStr"/>
    </row>
    <row r="7">
      <c r="A7" t="inlineStr">
        <is>
          <t>Q6</t>
        </is>
      </c>
      <c r="B7" t="inlineStr">
        <is>
          <t>Prices, bounds and consideration (UFB2 bound; Bidder 2 date; rollover and voting figures; cash treatment)</t>
        </is>
      </c>
      <c r="C7" t="inlineStr">
        <is>
          <t>Retain as recommended: UFB2's ≥$80 as Bound only with the ambiguity flagged (floor on the whole range vs a level the range reached); Bidder 2's $78.00 on 10/30 (Reported) and its revision assigned Working 11/01 (midpoint of the 10/30–11/02 discussion window); all-cash Yes for the priced final bids and the signing (payment form not stated for the October indications, so All cash = Not stated there); Cash at closing populated only for point prices ($78.00, $80.70, $80.35, $81.50, $82.50, $83.00 and the signing). Longview rollover: 3,012,050 shares ≈ $250 million; voting agreement 7,424,591 shares ≈ 7.5%; Longview receives $83.00 cash for all other shares. No equity value was computed (the filing gives a funding requirement, not an equity value).</t>
        </is>
      </c>
      <c r="D7" t="inlineStr">
        <is>
          <t>p. 24 (ranges; the three bidders “reached at least $80.00”); p. 26 (12/12 offers); p. 27 ($250 million helpful to $83.00); p. 41 (rollover shares; same $83.00 for other shares); p. 45 (voting agreement shares); p. 5 (funding summary).</t>
        </is>
      </c>
      <c r="E7" t="inlineStr">
        <is>
          <t>R017 (Price low; Price kind; Terms tag); R019 (Working date; Date method); R015–R020; R029–R037 (All cash; Cash at closing); R034; R039; R040; Summary comparability</t>
        </is>
      </c>
      <c r="F7" t="inlineStr">
        <is>
          <t>Treating the ≥$80 as a submitted endpoint would imply an unknown floor; averaging ranges is prohibited; treating rollover shares as consideration for cashed-out shares would misstate the all-cash nature of the merger consideration.</t>
        </is>
      </c>
      <c r="G7" t="inlineStr">
        <is>
          <t>Pending</t>
        </is>
      </c>
      <c r="H7" t="inlineStr"/>
    </row>
    <row r="8">
      <c r="A8" t="inlineStr">
        <is>
          <t>Q7</t>
        </is>
      </c>
      <c r="B8" t="inlineStr">
        <is>
          <t>Bidder and adviser types, clients and conflicts (Bidder 2/unnamed types; adviser dates; JPM conflicts)</t>
        </is>
      </c>
      <c r="C8" t="inlineStr">
        <is>
          <t>Bidder types as recommended: Buyer Group Financial; Bidder 2, Unnamed financial bidders 1–2 and the unnamed submitters Financial, derived from the cohort description “15 potentially interested financial buyers” (p. 23) — flag if the reviewer wants Unknown pending direct evidence; Industry Participant Strategic (privately held; unnamed). Advisers: J.P. Morgan engaged July 2014 (engagement letter effective 08/21/2014) — the unnamed “financial advisor” present at the 06/18/2014 board meeting is NOT attributed to J.P. Morgan; Wachtell Lipton service observed from 06/18/2014 (retention not disclosed); Simpson Thacher first appears as Parent-side notice counsel in the executed agreement (by 12/14/2014; engagement not disclosed). J.P. Morgan conflict disclosures: ~$110 million of two-year relationships with Buyer Group members and the James Crown/Longview connection (pp. 37, 45) — retained in R004 for reviewer awareness.</t>
        </is>
      </c>
      <c r="D8" t="inlineStr">
        <is>
          <t>p. 22 (JPM retention; Wachtell service); p. 23 (financial buyers); p. 30 (engagement letter); p. 37 (relationships); p. 45 (Crown); Annex A p. A-46 (notices).</t>
        </is>
      </c>
      <c r="E8" t="inlineStr">
        <is>
          <t>R004; R001; R044; R015–R020 (Type); Summary participants/advisers</t>
        </is>
      </c>
      <c r="F8" t="inlineStr">
        <is>
          <t>Changing types to Unknown would not change counts but would leave the winner's rivals unclassified; moving adviser Working dates without disclosed engagement dates would imply false precision.</t>
        </is>
      </c>
      <c r="G8" t="inlineStr">
        <is>
          <t>Pending</t>
        </is>
      </c>
      <c r="H8" t="inlineStr"/>
    </row>
    <row r="9">
      <c r="A9" t="inlineStr">
        <is>
          <t>Q8</t>
        </is>
      </c>
      <c r="B9" t="inlineStr">
        <is>
          <t>Post-signing status, regulatory/litigation treatment and closing (single Summary line items)</t>
        </is>
      </c>
      <c r="C9" t="inlineStr">
        <is>
          <t>As delivered: post-signing competitive activity is represented by R043 (no unsolicited proposals as of 02/02/2015; standstills; no go-shop described). Regulatory milestones (HSR filings 12/24/2014, early termination 01/07/2015; Canadian ARC request 12/30/2014, ARC issued 01/14/2015) and the seven Delaware class actions (p. 52) are kept as Summary-only lines per section 4. No Closed row: closing (expected first half of 2015) is not observed in the supplied filing. No Agreement terminated, Process terminated or Go-shop changed events exist in the source.</t>
        </is>
      </c>
      <c r="D9" t="inlineStr">
        <is>
          <t>p. 6 (regulatory summary); p. 52 (regulatory; litigation); p. 28 (no unsolicited offer; standstills); p. 3 (expected timing).</t>
        </is>
      </c>
      <c r="E9" t="inlineStr">
        <is>
          <t>R043; Summary status/map; absence of Closed/termination rows</t>
        </is>
      </c>
      <c r="F9" t="inlineStr">
        <is>
          <t>If the reviewer wants regulatory events in the ledger, add Material process update rows post-signing (one per milestone) — not recommended; adding a Closed row would fabricate an unobserved event.</t>
        </is>
      </c>
      <c r="G9" t="inlineStr">
        <is>
          <t>Pending</t>
        </is>
      </c>
      <c r="H9" t="inlineStr"/>
    </row>
    <row r="11">
      <c r="A11" s="8" t="inlineStr">
        <is>
          <t>CHECK RESULTS (section 13) — computed on the delivered version</t>
        </is>
      </c>
      <c r="B11" s="8" t="inlineStr"/>
      <c r="C11" s="8" t="inlineStr"/>
      <c r="D11" s="8" t="inlineStr"/>
      <c r="E11" s="8" t="inlineStr"/>
      <c r="F11" s="8" t="inlineStr"/>
      <c r="G11" s="8" t="inlineStr"/>
      <c r="H11" s="8" t="inlineStr"/>
    </row>
    <row r="12">
      <c r="A12" s="11" t="inlineStr">
        <is>
          <t>Check 1 — Coverage and materiality</t>
        </is>
      </c>
      <c r="B12" t="inlineStr">
        <is>
          <t>Passed</t>
        </is>
      </c>
      <c r="C12" t="inlineStr">
        <is>
          <t>All disclosed core offers (6 round-1 indications; 12/10 and 12/12 final bids; Bidder 3's valuation), contacts/NDAs, the information-access revision, selection, participation outcomes, signing and publicity are recorded. Routine legal-term exchanges (12/06 comments, 12/08 revised drafts) are folded into the related bids per section 9.1; regulatory and litigation items are Summary-only per section 4. Inferred closing (R045) and the R023–R025 combination are explicit.</t>
        </is>
      </c>
    </row>
    <row r="13">
      <c r="A13" s="11" t="inlineStr">
        <is>
          <t>Check 2 — Counts and population (incl. per-stage balance)</t>
        </is>
      </c>
      <c r="B13" t="inlineStr">
        <is>
          <t>Qualified</t>
        </is>
      </c>
      <c r="C13" t="inlineStr">
        <is>
          <t>Ledger-derived counts reconcile to the filing's round-level assertions: NDA units 15; Round 1 bid units 6; Round 1 inferred non-submitters 9; Round 2 bid units 2; Dropped 2; Joined 2; Not selected 1 (live SUMIFS formulas in the Summary count block). Per-stage balance: R1 15 − 9 − 2 = 4; R2 4 − 2 + 1 − 1 − 1 = 1 winner. Unresolved source limitation preserved rather than resolved: “5 bidder groups” (p. 27) vs six submitting parties (p. 24) and the Buyer-Group-as-one-unit assumption (Q2).</t>
        </is>
      </c>
    </row>
    <row r="14">
      <c r="A14" s="11" t="inlineStr">
        <is>
          <t>Check 3 — Participation continuity</t>
        </is>
      </c>
      <c r="B14" t="inlineStr">
        <is>
          <t>Passed</t>
        </is>
      </c>
      <c r="C14" t="inlineStr">
        <is>
          <t>Every participant that entered (15 NDA signers, of which 6 submitted) is closed: 9 inferred non-submitters (R045), 2 Dropped (R022), 2 Joined (R024/R025) → Bidder 3, Bidder 3 Did not submit (R032), Bidder 2 Not selected at signing (R042); the winner has no exit row. No bid, reaffirmation or resumed diligence follows a recorded outcome, so no Re-entered rows are required. Industry Participant and Longview never entered as bidders and take no outcome rows.</t>
        </is>
      </c>
    </row>
    <row r="15">
      <c r="A15" s="11" t="inlineStr">
        <is>
          <t>Check 4 — Dates and order</t>
        </is>
      </c>
      <c r="B15" t="inlineStr">
        <is>
          <t>Passed</t>
        </is>
      </c>
      <c r="C15" t="inlineStr">
        <is>
          <t>Programmatic: Working dates never decrease with # as tie-break; each Working date lies inside its own Date from/Date to; Reported day ⟺ Reported method and Inferred day ⟺ Inferred method (no assigned date labelled Reported); deadline communication, due dates, expiry and signing are distinct; the 12/04–05 and 12/10 revisions and the R045 decimal # (19.5) preserve sequence. Not tested in a spreadsheet application (see Check 8).</t>
        </is>
      </c>
    </row>
    <row r="16">
      <c r="A16" s="11" t="inlineStr">
        <is>
          <t>Check 5 — Offers and classifications</t>
        </is>
      </c>
      <c r="B16" t="inlineStr">
        <is>
          <t>Qualified</t>
        </is>
      </c>
      <c r="C16" t="inlineStr">
        <is>
          <t>Every Bid row carries Formality, Conditions level and a fixed-format Conditions detail string (regex-checked); price kinds/origins/currencies/cash flags match the text; the valuation statement is not priced; signing carries no bid-price or formality/conditionality cells. Qualification: the Round 1 IOI Conditions level rests on process context without a condition stated in the filing (alternative Insufficient evidence flagged, Q4), and UFB2's ≥$80 bound wording is ambiguous (Q6).</t>
        </is>
      </c>
    </row>
    <row r="17">
      <c r="A17" s="11" t="inlineStr">
        <is>
          <t>Check 6 — Structure and consistency (tags, finality, pairs)</t>
        </is>
      </c>
      <c r="B17" t="inlineStr">
        <is>
          <t>Passed</t>
        </is>
      </c>
      <c r="C17" t="inlineStr">
        <is>
          <t>One opening record per round (R011 Not final; R021 Announced as final); R011 carries the R1 anchor tag and the rejected candidate row ids; every Deadline row has a treatment matching the Summary map; every inferred outcome row opens with its Outcome basis value; revisions reference prior rows (R019→R018; R035→R030; R037→R036; R039→R034); Source and Page are filled together; date basis/method pairs are valid.</t>
        </is>
      </c>
    </row>
    <row r="18">
      <c r="A18" s="11" t="inlineStr">
        <is>
          <t>Check 7 — Evidence (quotes, paragraphs, pages)</t>
        </is>
      </c>
      <c r="B18" t="inlineStr">
        <is>
          <t>Passed</t>
        </is>
      </c>
      <c r="C18" t="inlineStr">
        <is>
          <t>Every quoted segment (≥25 characters) in the ledger verified as a contiguous substring of the normalized filing text (all 45 rows); source paragraph ids resolve to Source text rows; the first source paragraph's printed page matches the Page column; cross-paragraph premises (standstills p. 28, rollover/voting pp. 41/45, no-proposal status p. 28) are cited to their own passages.</t>
        </is>
      </c>
    </row>
    <row r="19">
      <c r="A19" s="11" t="inlineStr">
        <is>
          <t>Check 8 — Review and workbook operation</t>
        </is>
      </c>
      <c r="B19" t="inlineStr">
        <is>
          <t>Qualified</t>
        </is>
      </c>
      <c r="C19" t="inlineStr">
        <is>
          <t>Verified in the saved file: sheet order and hidden state; freeze panes and autofilter; 15 controlled-column data validations pointing at Lists; collapsed expandable column groups (11 groups); 45 internal Source hyperlinks; 2 conditional-formatting rules (red bold for new/changed Row ids vs AI original); 5 live SUMIFS formulas; AI original matches the delivered ledger (values-only, same Row ids). Not tested in Excel: LibreOffice is incomplete in this environment (missing /usr/lib/libreoffice/share/registry/main.xcd), so formulas were not recalculated and hyperlinks/conditional formatting were not exercised in an application; formula results were independently recomputed in Python (15/6/9/2/2 as expected). No changed-cell highlights exist at delivery.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3"/>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7" customWidth="1" min="3" max="3"/>
    <col width="130" customWidth="1" min="4" max="4"/>
  </cols>
  <sheetData>
    <row r="1">
      <c r="A1" s="12" t="inlineStr">
        <is>
          <t>Paragraph</t>
        </is>
      </c>
      <c r="B1" s="12" t="inlineStr">
        <is>
          <t>Section</t>
        </is>
      </c>
      <c r="C1" s="12" t="inlineStr">
        <is>
          <t>Page</t>
        </is>
      </c>
      <c r="D1" s="12" t="inlineStr">
        <is>
          <t>Text</t>
        </is>
      </c>
    </row>
    <row r="2">
      <c r="A2" s="2" t="inlineStr">
        <is>
          <t>—</t>
        </is>
      </c>
      <c r="B2" s="2" t="inlineStr">
        <is>
          <t>Note</t>
        </is>
      </c>
      <c r="C2" s="2" t="n"/>
      <c r="D2" s="2" t="inlineStr">
        <is>
          <t>Text reproduced from the filing's HTML with layout-only normalization: whitespace collapsed to single spaces; non-breaking, thin and zero-width characters removed. Wording, qualifications, errors and meaningful punctuation preserved. Paragraph IDs were assigned by the extractor (the filing has no paragraph IDs). P-001–P-036 = the merger description and complete Background of the Merger (printed pp. 21–26), in source order, with the longest paragraph split into identified continuations. P-037–P-040 = the opening Reasons for the Merger passages used (p. 26). X-001 onward = additional filing passages, tables and annex text used by the ledger and Summary.</t>
        </is>
      </c>
    </row>
    <row r="3">
      <c r="A3" s="2" t="inlineStr">
        <is>
          <t>P-001</t>
        </is>
      </c>
      <c r="B3" s="2" t="inlineStr">
        <is>
          <t>The Merger (Proposal 1) — heading</t>
        </is>
      </c>
      <c r="C3" s="2" t="n">
        <v>21</v>
      </c>
      <c r="D3" s="2" t="inlineStr">
        <is>
          <t>THE MERGER (PROPOSAL 1)</t>
        </is>
      </c>
    </row>
    <row r="4">
      <c r="A4" s="2" t="inlineStr">
        <is>
          <t>P-002</t>
        </is>
      </c>
      <c r="B4" s="2" t="inlineStr">
        <is>
          <t>Certain Effects of the Merger — heading</t>
        </is>
      </c>
      <c r="C4" s="2" t="n">
        <v>21</v>
      </c>
      <c r="D4" s="2" t="inlineStr">
        <is>
          <t>Certain Effects of the Merger</t>
        </is>
      </c>
    </row>
    <row r="5">
      <c r="A5" s="2" t="inlineStr">
        <is>
          <t>P-003</t>
        </is>
      </c>
      <c r="B5" s="2" t="inlineStr">
        <is>
          <t>Certain Effects of the Merger</t>
        </is>
      </c>
      <c r="C5" s="2" t="n">
        <v>21</v>
      </c>
      <c r="D5" s="2" t="inlineStr">
        <is>
          <t>If the merger agreement is adopted by the Company’s stockholders and certain other conditions to the closing of the merger are either satisfied or waived, Merger Sub will be merged with and into the Company with the Company being the surviving corporation in the merger.</t>
        </is>
      </c>
    </row>
    <row r="6">
      <c r="A6" s="2" t="inlineStr">
        <is>
          <t>P-004</t>
        </is>
      </c>
      <c r="B6" s="2" t="inlineStr">
        <is>
          <t>Certain Effects of the Merger</t>
        </is>
      </c>
      <c r="C6" s="2" t="n">
        <v>21</v>
      </c>
      <c r="D6" s="2" t="inlineStr">
        <is>
          <t>Upon the consummation of the merger each share of common stock issued and outstanding immediately prior to the effective time of the merger (other than shares owned by the Company, any of its subsidiaries, Parent, any direct or indirect holding company of Parent, Merger Sub and holders who are entitled to and properly exercise appraisal rights under Delaware law) will be converted into the right to receive $83.00 in cash.</t>
        </is>
      </c>
    </row>
    <row r="7">
      <c r="A7" s="2" t="inlineStr">
        <is>
          <t>P-005</t>
        </is>
      </c>
      <c r="B7" s="2" t="inlineStr">
        <is>
          <t>Certain Effects of the Merger</t>
        </is>
      </c>
      <c r="C7" s="2" t="n">
        <v>21</v>
      </c>
      <c r="D7" s="2" t="inlineStr">
        <is>
          <t>Our common stock is currently registered under the Exchange Act and is quoted on the NASDAQ under the symbol “PETM.” As a result of the merger, the Company will cease to be a publicly traded company and will be wholly owned by Parent. Following the consummation of the merger, the registration of our common stock and our reporting obligations under the Exchange Act will be terminated. In addition, upon the consummation of the merger, our common stock will no longer be listed on any stock exchange or quotation system, including the NASDAQ.</t>
        </is>
      </c>
    </row>
    <row r="8">
      <c r="A8" s="2" t="inlineStr">
        <is>
          <t>P-006</t>
        </is>
      </c>
      <c r="B8" s="2" t="inlineStr">
        <is>
          <t>Background of the Merger — heading</t>
        </is>
      </c>
      <c r="C8" s="2" t="n">
        <v>21</v>
      </c>
      <c r="D8" s="2" t="inlineStr">
        <is>
          <t>Background of the Merger</t>
        </is>
      </c>
    </row>
    <row r="9">
      <c r="A9" s="2" t="inlineStr">
        <is>
          <t>P-007</t>
        </is>
      </c>
      <c r="B9" s="2" t="inlineStr">
        <is>
          <t>Background of the Merger</t>
        </is>
      </c>
      <c r="C9" s="2" t="n">
        <v>21</v>
      </c>
      <c r="D9" s="2" t="inlineStr">
        <is>
          <t>The board frequently reviews, with the Company’s management and with the assistance of financial and legal advisors, the Company’s strategic and financial alternatives in light of developments in the Company’s business, in the sectors in which it competes, in the economy generally and in financial markets. The alternatives reviewed have included large and small acquisitions, mergers, a sale of the Company, as well as alternatives for returning capital to stockholders, including by means of levered or unlevered share repurchases or extraordinary dividends, and, from time to time, the Company received inquiries from third parties seeking to determine the Company’s interest in a sale transaction. During the first calendar quarter of 2014, one of the alternatives considered by the board was a merger with or acquisition of another participant in PetSmart’s industry, a privately-held company which we refer to here as “Industry Participant.” In March, 2014, the board authorized management to contact Industry Participant to determine Industry Participant’s interest in initiating exploratory discussions concerning the feasibility of a merger or acquisition transaction. During the Spring of 2014, David Lenhardt, PetSmart’s chief executive officer, spoke on a few occasions to Industry Participant’s CEO. Industry Participant’s CEO informed Mr. Lenhardt that Industry Participant was not for sale and that, in any event, Industry Participant’s management and owners believed that antitrust clearance for a combination of PetSmart and Industry Participant would not be received or would be received only with unacceptable conditions. Over the next two months, Mr. Lenhardt spoke on several other occasions with Industry Participant’s CEO and with a representative of one of Industry Participant’s controlling stockholders, during which time, Industry Participant continued to raise concerns regarding receiving antitrust clearance for such a transaction.</t>
        </is>
      </c>
    </row>
    <row r="10">
      <c r="A10" s="2" t="inlineStr">
        <is>
          <t>P-008</t>
        </is>
      </c>
      <c r="B10" s="2" t="inlineStr">
        <is>
          <t>Background of the Merger</t>
        </is>
      </c>
      <c r="C10" s="2" t="n">
        <v>21</v>
      </c>
      <c r="D10" s="2" t="inlineStr">
        <is>
          <t>On May 21, 2014, the Company released its first quarter earnings announcement, which disclosed quarterly performance below Wall Street expectations and weaker-than-expected guidance for its second quarter and full year. Following this release, in late May and June 2014, the Company received written or verbal communications from some stockholders and from interested parties suggesting that the Company engage in various strategic or financial alternatives. Among the alternatives suggested were a levered return of capital to stockholders and a sale of the Company. Also during May 2014, representatives of Longview met with certain members of the board and senior management. At those meetings, representatives of Longview presented their views on the business and strategic direction of the Company, but did not advocate for any specific transactions or alternatives.</t>
        </is>
      </c>
    </row>
    <row r="11">
      <c r="A11" s="2" t="inlineStr">
        <is>
          <t>P-009</t>
        </is>
      </c>
      <c r="B11" s="2" t="inlineStr">
        <is>
          <t>Background of the Merger</t>
        </is>
      </c>
      <c r="C11" s="2" t="n">
        <v>21</v>
      </c>
      <c r="D11" s="2" t="inlineStr">
        <is>
          <t>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The board also established an ad hoc advisory subcommittee (the “ad hoc committee”) with respect to, among other</t>
        </is>
      </c>
    </row>
    <row r="12">
      <c r="A12" s="2" t="inlineStr">
        <is>
          <t>P-010</t>
        </is>
      </c>
      <c r="B12" s="2" t="inlineStr">
        <is>
          <t>Background of the Merger</t>
        </is>
      </c>
      <c r="C12" s="2" t="n">
        <v>22</v>
      </c>
      <c r="D12" s="2" t="inlineStr">
        <is>
          <t>things, the review of alternatives. Chairman Gregory Josefowicz and directors Rakesh Gangwal and Thomas Stemberg, all of whom are nonexecutive, independent directors, were appointed to the ad hoc committee. In addition, the board authorized the vetting and retention of a financial advisor to assist in the review.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t>
        </is>
      </c>
    </row>
    <row r="13">
      <c r="A13" s="2" t="inlineStr">
        <is>
          <t>P-011</t>
        </is>
      </c>
      <c r="B13" s="2" t="inlineStr">
        <is>
          <t>Background of the Merger</t>
        </is>
      </c>
      <c r="C13" s="2" t="n">
        <v>22</v>
      </c>
      <c r="D13" s="2" t="inlineStr">
        <is>
          <t>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Over the course of July and August, JANA Partners filed several amendments to its Schedule 13D and publicly disclosed letters to the board, advocating for a sale of PetSmart. On July 10, 2014, representatives of JANA met in person with representatives of the Company. At this meeting, the JANA representatives presented their perspectives on the Company and advocated for a sale of the Company. On July 10, 2014, representatives of the Company also spoke to representatives of Longview and Longview reiterated its advocacy for a sale of the Company.</t>
        </is>
      </c>
    </row>
    <row r="14">
      <c r="A14" s="2" t="inlineStr">
        <is>
          <t>P-012</t>
        </is>
      </c>
      <c r="B14" s="2" t="inlineStr">
        <is>
          <t>Background of the Merger</t>
        </is>
      </c>
      <c r="C14" s="2" t="n">
        <v>22</v>
      </c>
      <c r="D14" s="2" t="inlineStr">
        <is>
          <t>On August 7, 2014,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The J.P. Morgan representative reported the conversation to the ad hoc committee.</t>
        </is>
      </c>
    </row>
    <row r="15">
      <c r="A15" s="2" t="inlineStr">
        <is>
          <t>P-013a</t>
        </is>
      </c>
      <c r="B15" s="2" t="inlineStr">
        <is>
          <t>Background of the Merger</t>
        </is>
      </c>
      <c r="C15" s="2" t="n">
        <v>22</v>
      </c>
      <c r="D15" s="2" t="inlineStr">
        <is>
          <t>On August 13, 2014, the board met in person, together with members of management and representatives of J.P. Morgan and Wachtell Lipton, to complete its initial review of strategic and financial alternatives potentially available to the Company and to receive an update on communications from stockholders and other interested parties, including Industry Participant. As a result of this meeting,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(which we refer to collectively as the “Profit Improvement Plan”) to potentially increase the value of the Company, whether in a sale of the Company or on a standalone basis should no sale materialize; and (3) authorized the ad hoc committee to oversee the sale exploration process, and, in between meetings of the full board, to give direction to the Company’s financial and legal advisors, to lead on behalf of the Company (or to give guidance to the Company’s representatives in connection with) any negotiations with potentially interested parties and periodically to brief the full board on the status of the sale exploration process.</t>
        </is>
      </c>
    </row>
    <row r="16">
      <c r="A16" s="2" t="inlineStr">
        <is>
          <t>P-013b</t>
        </is>
      </c>
      <c r="B16" s="2" t="inlineStr">
        <is>
          <t>Background of the Merger</t>
        </is>
      </c>
      <c r="C16" s="2" t="n">
        <v>22</v>
      </c>
      <c r="D16" s="2" t="inlineStr">
        <is>
          <t>(continued) Together with the Company’s financial and legal advisors, the board also considered and discussed alternative formats and timing for the conduct of the exploratory sale process, and determined that at the appropriate time, which was expected to be during the second half of September or early October, J.P. Morgan should contact financial and strategic parties deemed likely to be interested and capable of completing a transaction. In addition, the board determined that the Company would issue a public announcement of its intention to explore strategic alternatives, which would ensure that interested parties not contacted would become aware of the process and could contact J.P. Morgan on their own initiative. In connection with this discussion, after deliberation and consultation with its financial and legal advisors, the board reviewed the potential benefits and risks of inviting Industry Participant to participate in the exploratory sale process. In this regard, the board considered, among other things, in addition to the communications with Industry Representative in the Spring and on August 7, the very high risk that an acquisition by or a combination with Industry Participant would not receive antitrust clearances, or would receive such clearances only with the imposition by governmental authorities of unacceptable conditions; the near certainty that the process of seeking such clearances would result in the receipt of a so-called “second request” from governmental</t>
        </is>
      </c>
    </row>
    <row r="17">
      <c r="A17" s="2" t="inlineStr">
        <is>
          <t>P-014</t>
        </is>
      </c>
      <c r="B17" s="2" t="inlineStr">
        <is>
          <t>Background of the Merger</t>
        </is>
      </c>
      <c r="C17" s="2" t="n">
        <v>23</v>
      </c>
      <c r="D17" s="2" t="inlineStr">
        <is>
          <t>authorities and would take eight months to a year, or longer, to pursue, with no assurance of success even after such a delay; the risk that Industry Participant would obtain competitively advantageous information in the course of due diligence even if it were not the winning bidder or indeed never bid; and the risk that participation by Industry Participant in the sale process would disrupt or negatively impact the sale process or impose an unacceptable time delay, in either case which would not advance the goal of maximizing shareholder value. On August 19, 2014, concurrent with its second quarter earnings announcement, the Company issued a press release announcing that it determined to explore strategic alternatives for the Company to maximize value for stockholders, including a possible sale of the Company.</t>
        </is>
      </c>
    </row>
    <row r="18">
      <c r="A18" s="2" t="inlineStr">
        <is>
          <t>P-015</t>
        </is>
      </c>
      <c r="B18" s="2" t="inlineStr">
        <is>
          <t>Background of the Merger</t>
        </is>
      </c>
      <c r="C18" s="2" t="n">
        <v>23</v>
      </c>
      <c r="D18" s="2" t="inlineStr">
        <is>
          <t>During the weeks following the August 13 board meeting, members of the ad hoc committee continued to discuss among themselves, with fellow directors and with J.P. Morgan, the timing and process for the exploration of strategic alternatives, including issues relating to Industry Participant. In light of the risks discussed at the August 13 meeting and in these subsequent discussions, the ad hoc committee directed J.P. Morgan to communicate to Industry Participant the board’s concerns as a result of which Industry Participant would not be invited to participate in the exploratory process. On August 22, 2014, a representative of J.P. Morgan contacted by telephone the representative of Industry Participant with whom the J.P. Morgan representative had spoken to on August 7. During this call, Industry Participant confirmed that it was aware of the Company’s August 19 announcement and the J.P Morgan representative informed the Industry Participant representative of the board’s concerns regarding Industry Participant’s participation. The parties agreed to speak again in a few days. On August 27, 2014, representatives of Industry Participant contacted by telephone the representative of J.P. Morgan. During this call, the Industry Participant representatives stated that Industry Participant would have interest in discussing the possibility of a combination of the two companies. The J.P. Morgan representative reiterated the concerns identified by the board that engaging with Industry Participant was unlikely to maximize value for PetSmart’s stockholders.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t>
        </is>
      </c>
    </row>
    <row r="19">
      <c r="A19" s="2" t="inlineStr">
        <is>
          <t>P-016</t>
        </is>
      </c>
      <c r="B19" s="2" t="inlineStr">
        <is>
          <t>Background of the Merger</t>
        </is>
      </c>
      <c r="C19" s="2" t="n">
        <v>23</v>
      </c>
      <c r="D19" s="2" t="inlineStr">
        <is>
          <t>During the period from the middle of August through the end of October, the Company developed the Profit Improvement Plan and prepared for a sale process.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t>
        </is>
      </c>
    </row>
    <row r="20">
      <c r="A20" s="2" t="inlineStr">
        <is>
          <t>P-017</t>
        </is>
      </c>
      <c r="B20" s="2" t="inlineStr">
        <is>
          <t>Background of the Merger</t>
        </is>
      </c>
      <c r="C20" s="2" t="n">
        <v>23</v>
      </c>
      <c r="D20" s="2" t="inlineStr">
        <is>
          <t>On October 3, 2014, the board met, together with members of management and representatives of J.P. Morgan and Wachtell Lipton, to conduct regularly scheduled business and to receive an update on the status of the Profit Improvement Plan, the planning for which had been completed, and on the sale process, including an update on communications with the 27 potentially interested parties as well as Industry Participant that had occurred since the August 13 board meeting. Among other things,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t>
        </is>
      </c>
    </row>
    <row r="21">
      <c r="A21" s="2" t="inlineStr">
        <is>
          <t>P-018</t>
        </is>
      </c>
      <c r="B21" s="2" t="inlineStr">
        <is>
          <t>Background of the Merger</t>
        </is>
      </c>
      <c r="C21" s="2" t="n">
        <v>23</v>
      </c>
      <c r="D21" s="2" t="inlineStr">
        <is>
          <t>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t>
        </is>
      </c>
    </row>
    <row r="22">
      <c r="A22" s="2" t="inlineStr">
        <is>
          <t>P-019</t>
        </is>
      </c>
      <c r="B22" s="2" t="inlineStr">
        <is>
          <t>Background of the Merger</t>
        </is>
      </c>
      <c r="C22" s="2" t="n">
        <v>23</v>
      </c>
      <c r="D22" s="2" t="inlineStr">
        <is>
          <t>During October, the potential bidders were informed that non-binding preliminary indications of interest would be due on October 30, 2014. The potential bidders were also informed that Longview had informed the Company that it would be willing to “roll-over” up to 7.5 million shares on terms and price acceptable to Longview, meaning that such shares would not receive cash merger consideration but would</t>
        </is>
      </c>
    </row>
    <row r="23">
      <c r="A23" s="2" t="inlineStr">
        <is>
          <t>P-020</t>
        </is>
      </c>
      <c r="B23" s="2" t="inlineStr">
        <is>
          <t>Background of the Merger</t>
        </is>
      </c>
      <c r="C23" s="2" t="n">
        <v>24</v>
      </c>
      <c r="D23" s="2" t="inlineStr">
        <is>
          <t>remain outstanding as equity in PetSmart or the buyer’s acquisition vehicle, if so desired by the bidder. The Company requested that, in connection with their preliminary indications of interest, the bidders should indicate their interest, if any, in participation by Longview, but that such interest was not a condition to participation in the process.</t>
        </is>
      </c>
    </row>
    <row r="24">
      <c r="A24" s="2" t="inlineStr">
        <is>
          <t>P-021</t>
        </is>
      </c>
      <c r="B24" s="2" t="inlineStr">
        <is>
          <t>Background of the Merger</t>
        </is>
      </c>
      <c r="C24" s="2" t="n">
        <v>24</v>
      </c>
      <c r="D24" s="2" t="inlineStr">
        <is>
          <t>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 to hear the parties’ respective rationales for the price levels suggested in their indications or rationales for not submitting an indication. Three bidders initially indicated price ranges that reached at least $80.00 per share, including the Buyer Group, which indicated a range of $81.00 to $83.00 per share, and another bidder, which suggested a range of $80.00 to $85.00 per share. As a result of its discussions with J.P. Morgan, another bidder (which we refer to as “Bidder 2”), which had initially indicated a price of $78.00, increased its indication to a range of $81.00 to $84.00 per share.</t>
        </is>
      </c>
    </row>
    <row r="25">
      <c r="A25" s="2" t="inlineStr">
        <is>
          <t>P-022</t>
        </is>
      </c>
      <c r="B25" s="2" t="inlineStr">
        <is>
          <t>Background of the Merger</t>
        </is>
      </c>
      <c r="C25" s="2" t="n">
        <v>24</v>
      </c>
      <c r="D25" s="2" t="inlineStr">
        <is>
          <t>On November 3, 2014, the board met in person, together with members of management and representatives of J.P. Morgan and Wachtell Lipton, to continue its review of strategic alternatives, including a review of the indications of interest. The board determined to allow the four bidders that had indicated a price or range at or above $80.00 per share to proceed to the final round of the sale process. Following this meeting, representatives of J.P. Morgan notified the eliminated parties, none of which indicated any interest or ability to remain in the process at price levels above their respective initial indications.</t>
        </is>
      </c>
    </row>
    <row r="26">
      <c r="A26" s="2" t="inlineStr">
        <is>
          <t>P-023</t>
        </is>
      </c>
      <c r="B26" s="2" t="inlineStr">
        <is>
          <t>Background of the Merger</t>
        </is>
      </c>
      <c r="C26" s="2" t="n">
        <v>24</v>
      </c>
      <c r="D26" s="2" t="inlineStr">
        <is>
          <t>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These two bidders informed J.P. Morgan that they had worked together successfully in previous large leveraged buyouts. After deliberation and consultation with the Company’s financial and legal advisors, the ad hoc committee authorized these two bidders to work together. We refer to these two bidders together as “Bidder 3.” Each of the bidders invited into the final round indicated some interest in a Longview rollover, though each also stated that its bid would not be conditioned or dependent on Longview participation.</t>
        </is>
      </c>
    </row>
    <row r="27">
      <c r="A27" s="2" t="inlineStr">
        <is>
          <t>P-024</t>
        </is>
      </c>
      <c r="B27" s="2" t="inlineStr">
        <is>
          <t>Background of the Merger</t>
        </is>
      </c>
      <c r="C27" s="2" t="n">
        <v>24</v>
      </c>
      <c r="D27" s="2" t="inlineStr">
        <is>
          <t>During November, the bidders engaged in further extensive due diligence investigations of the Company, including further detailed management presentations. Also during November, the Company circulated a form of merger agreement to the bidders with instructions that the bidders submit any proposed comments on the merger agreement together with their final bids. Following the Company’s third quarter earnings announcement and, at the request of bidders and the direction of the board and the Company, representatives of J.P. Morgan provided the bidders with updates to the Company’s fiscal year 2014 financial projections.</t>
        </is>
      </c>
    </row>
    <row r="28">
      <c r="A28" s="2" t="inlineStr">
        <is>
          <t>P-025</t>
        </is>
      </c>
      <c r="B28" s="2" t="inlineStr">
        <is>
          <t>Background of the Merger</t>
        </is>
      </c>
      <c r="C28" s="2" t="n">
        <v>24</v>
      </c>
      <c r="D28" s="2" t="inlineStr">
        <is>
          <t>On December 3, 2014, the board met in-person for a regularly scheduled meeting. In addition to regular business, significant portions of this meeting were devoted to a further review and financial analysis of the Company’s strategic and financial alternatives, particularly in light of positive indications about the Company’s operating results based on preliminary information from the Fall and Thanksgiving season and indications that the Profit Improvement Plan would likely be successful in achieving at least $200 million in annual incremental profit. During these portions of the meeting, which were attended by members of management and representatives of J.P. Morgan and Wachtell Lipton, the board considered the values for the Company that might be achieved on a standalone basis, with and without a leveraged return of capital to stockholders. Because the board did not have bids in hand at this time, no decisions were made.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However, on December 4 and December 5, 2014, after consultation with the Company’s financial and legal advisors, the ad hoc committee concluded that these matters could be accomplished in a shorter period of time, which would reduce the risk of leaks or</t>
        </is>
      </c>
    </row>
    <row r="29">
      <c r="A29" s="2" t="inlineStr">
        <is>
          <t>P-026</t>
        </is>
      </c>
      <c r="B29" s="2" t="inlineStr">
        <is>
          <t>Background of the Merger</t>
        </is>
      </c>
      <c r="C29" s="2" t="n">
        <v>25</v>
      </c>
      <c r="D29" s="2" t="inlineStr">
        <is>
          <t>unintended public disclosure.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t>
        </is>
      </c>
    </row>
    <row r="30">
      <c r="A30" s="2" t="inlineStr">
        <is>
          <t>P-027</t>
        </is>
      </c>
      <c r="B30" s="2" t="inlineStr">
        <is>
          <t>Background of the Merger</t>
        </is>
      </c>
      <c r="C30" s="2" t="n">
        <v>25</v>
      </c>
      <c r="D30" s="2" t="inlineStr">
        <is>
          <t>On December 6, 2014, the Buyer Group and Bidder 2 submitted their respective comments on the draft merger agreement and other transaction documents, and the Buyer Group provided its financing commitment documents.</t>
        </is>
      </c>
    </row>
    <row r="31">
      <c r="A31" s="2" t="inlineStr">
        <is>
          <t>P-028</t>
        </is>
      </c>
      <c r="B31" s="2" t="inlineStr">
        <is>
          <t>Background of the Merger</t>
        </is>
      </c>
      <c r="C31" s="2" t="n">
        <v>25</v>
      </c>
      <c r="D31" s="2" t="inlineStr">
        <is>
          <t>On December 8, 2014, the board met telephonically, together with members of management and representatives of J.P. Morgan and Wachtell Lipton, to receive an update and review and discuss the comments from the bidders on the draft merger agreement and other transaction documents. Later on December 8, 2014, Wachtell Lipton sent to the Buyer Group and Bidder 2 revised versions of the form of merger agreement and other transaction documents, reflecting the Company’s positions and reactions to the bidders’ respective comments.</t>
        </is>
      </c>
    </row>
    <row r="32">
      <c r="A32" s="2" t="inlineStr">
        <is>
          <t>P-029</t>
        </is>
      </c>
      <c r="B32" s="2" t="inlineStr">
        <is>
          <t>Background of the Merger</t>
        </is>
      </c>
      <c r="C32" s="2" t="n">
        <v>25</v>
      </c>
      <c r="D32" s="2" t="inlineStr">
        <is>
          <t>Following the execution of a confidentiality agreement, on December 9, 2014, J.P. Morgan arranged introductory meetings between Longview and the Buyer Group, and between Longview and Bidder 2. These meetings, which were attended by representatives of J.P. Morgan and Wachtell Lipton, were introductory in nature, to enable the bidders to determine their interest in working with Longview, and vice versa, and the bidders were prohibited at this time from disclosing to Longview the respective prices that the bidders intended to bid.</t>
        </is>
      </c>
    </row>
    <row r="33">
      <c r="A33" s="2" t="inlineStr">
        <is>
          <t>P-030</t>
        </is>
      </c>
      <c r="B33" s="2" t="inlineStr">
        <is>
          <t>Background of the Merger</t>
        </is>
      </c>
      <c r="C33" s="2" t="n">
        <v>25</v>
      </c>
      <c r="D33" s="2" t="inlineStr">
        <is>
          <t>On December 10, PetSmart received final bid letters along with revised versions of the merger agreement and other transaction documents from the Buyer Group and from Bidder 2 and a verbal indication from Bidder 3. The Buyer Group offered $80.70 per share, in cash, and Bidder 2 offered $80.35 per share, in cash. Bidder 3 verbally communicated to J.P. Morgan that their valuation would not be above the current stock price of approximately $78 per share. J.P. Morgan communicated to Bidder 3 that it was unlikely to be competitive and accordingly Bidder 3 did not submit a written offer.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Each bidder indicated that its bid was not dependent on a rollover by Longview, but neither the Buyer Group nor Bidder 2 ruled out the possibility of partnering with Longview in a transaction, though Bidder 2 indicated that any partnering with Longview would only occur after completion of bidding and execution of a definitive merger agreement with the Company.</t>
        </is>
      </c>
    </row>
    <row r="34">
      <c r="A34" s="2" t="inlineStr">
        <is>
          <t>P-031</t>
        </is>
      </c>
      <c r="B34" s="2" t="inlineStr">
        <is>
          <t>Background of the Merger</t>
        </is>
      </c>
      <c r="C34" s="2" t="n">
        <v>25</v>
      </c>
      <c r="D34" s="2" t="inlineStr">
        <is>
          <t>On December 10, 2014, the ad hoc committee discussed the bids and the draft merger agreements with representatives of J.P. Morgan and Wachtell Lipton. The ad hoc committee was of the view that there could be no assurance that the board would approve either bid unless improved. In light of the closeness of the bids, recent positive developments identified at the board meeting on December 3, and the view shared by the ad hoc committee and J.P. Morgan that neither of the bids represented the bidders’ respective best offers, the ad hoc committee instructed J.P. Morgan to inform each bidder that it would need to increase its bid, and to instruct the bidders to submit improved bids on December 12, 2014. On the evening of December 11, 2014, representatives of J.P. Morgan contacted Longview to inform Longview that the bidders have been asked to submit revised and improved bids, and to confirm that Longview continued to be interested and willing to participate in a potential transaction by rolling over a portion of its Company common stock, so long as Longview’s participation was desired and approved by the ad hoc committee.</t>
        </is>
      </c>
    </row>
    <row r="35">
      <c r="A35" s="2" t="inlineStr">
        <is>
          <t>P-032</t>
        </is>
      </c>
      <c r="B35" s="2" t="inlineStr">
        <is>
          <t>Background of the Merger</t>
        </is>
      </c>
      <c r="C35" s="2" t="n">
        <v>25</v>
      </c>
      <c r="D35" s="2" t="inlineStr">
        <is>
          <t>Early in the day on December 12, 2014, the Buyer Group requested permission to work more closely with Longview in order to include a rollover of a portion of the Company shares managed by Longview in the Buyer Group’s bid. The Buyer Group informed J.P. Morgan that the Buyer Group was working to achieve a higher price, and that Longview participation with the Buyer Group might enhance the Buyer Group’s ability to do so. Bidder 2 indicated to J.P. Morgan that accommodation of a Longview rollover would not affect Bidder 2’s price, and that Bidder 2 would consider accommodating a Longview rollover only after execution of a merger agreement between the Company and Bidder 2. After consultation with the Company’s financial and legal advisors, the ad hoc committee approved the Buyer Group’s request, and,</t>
        </is>
      </c>
    </row>
    <row r="36">
      <c r="A36" s="2" t="inlineStr">
        <is>
          <t>P-033</t>
        </is>
      </c>
      <c r="B36" s="2" t="inlineStr">
        <is>
          <t>Background of the Merger</t>
        </is>
      </c>
      <c r="C36" s="2" t="n">
        <v>26</v>
      </c>
      <c r="D36" s="2" t="inlineStr">
        <is>
          <t>later that day, Longview and the Buyer Group entered into a confidentiality agreement permitting the exchange of detailed information between them, including bid price, which had not previously been shared with Longview. The ad hoc committee also instructed Wachtell Lipton to provide a form of voting agreement to Longview to secure Longview’s commitment to vote for the merger subject to certain exceptions, including a change of recommendation by the board.</t>
        </is>
      </c>
    </row>
    <row r="37">
      <c r="A37" s="2" t="inlineStr">
        <is>
          <t>P-034</t>
        </is>
      </c>
      <c r="B37" s="2" t="inlineStr">
        <is>
          <t>Background of the Merger</t>
        </is>
      </c>
      <c r="C37" s="2" t="n">
        <v>26</v>
      </c>
      <c r="D37" s="2" t="inlineStr">
        <is>
          <t>During the evening of December 12, 2014, Bidder 2 submitted an offer of $81.50 per share, in cash. Representatives of J.P. Morgan confirmed via a conversation with Bidder 2 on the evening of December 12, 2014 that $81.50 per share was its best and final offer. The Buyer Group initially submitted an oral offer of $82.50 per share, in cash, but stated that it was working to increase the offer within the next few hours. Later in the evening,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t>
        </is>
      </c>
    </row>
    <row r="38">
      <c r="A38" s="2" t="inlineStr">
        <is>
          <t>P-035</t>
        </is>
      </c>
      <c r="B38" s="2" t="inlineStr">
        <is>
          <t>Background of the Merger</t>
        </is>
      </c>
      <c r="C38" s="2" t="n">
        <v>26</v>
      </c>
      <c r="D38" s="2" t="inlineStr">
        <is>
          <t>On December 13, 2014, the board met in person, together with the members of management and representatives of J.P. Morgan and Wachtell Lipton, to discuss and review the final bids and to consider the proposed transaction. Representatives of J.P. Morgan reviewed the respective bids as well as the recent progression of the sale process. Representatives of Wachtell Lipton reviewed the terms of the draft merger agreement and other transaction documents and reviewed the financing commitments that had been provided by the Buyer Group. Representatives of J.P. Morgan made a financial presentation concerning the proposed transaction with the Buyer Group, as well as the Company’s alternatives to a sale of the Company, including a leveraged share repurchase. J.P. Morgan then rendered its oral opinion, which was subsequently confirmed in writing, to the board that, as of that date, and based upon and subject to the factors, assumptions and limitations set forth in its opinion, the merger consideration of $83.00 in cash to be paid to the holders of the Company’s common stock in the merger was fair, from a financial point of view, to such holders. Following extensive discussion, the board unanimously determined that the merger agreement and the transactions contemplated thereby, including the merger, were advisable and in the best interests of PetSmart and its stockholders, and to recommend that the Company’s stockholders approve the adoption of the merger agreement. The board’s determination was subject, however, to confirmation that the remaining open points in the merger agreement had been satisfactorily resolved, and the board determined to reconvene, if deemed necessary by the ad hoc committee or the chairman of the board.</t>
        </is>
      </c>
    </row>
    <row r="39">
      <c r="A39" s="2" t="inlineStr">
        <is>
          <t>P-036</t>
        </is>
      </c>
      <c r="B39" s="2" t="inlineStr">
        <is>
          <t>Background of the Merger</t>
        </is>
      </c>
      <c r="C39" s="2" t="n">
        <v>26</v>
      </c>
      <c r="D39" s="2" t="inlineStr">
        <is>
          <t>Following the board meeting, the parties completed negotiations on terms satisfactory to both parties, and finalized the terms of the Longview voting agreement. On December 14, 2014, the parties executed the merger agreement, the voting agreement and related transaction agreements and issued a press release announcing the transaction.</t>
        </is>
      </c>
    </row>
    <row r="40">
      <c r="A40" s="2" t="inlineStr">
        <is>
          <t>P-037</t>
        </is>
      </c>
      <c r="B40" s="2" t="inlineStr">
        <is>
          <t>Reasons for the Merger — heading</t>
        </is>
      </c>
      <c r="C40" s="2" t="n">
        <v>26</v>
      </c>
      <c r="D40" s="2" t="inlineStr">
        <is>
          <t>Reasons for the Merger</t>
        </is>
      </c>
    </row>
    <row r="41">
      <c r="A41" s="2" t="inlineStr">
        <is>
          <t>P-038</t>
        </is>
      </c>
      <c r="B41" s="2" t="inlineStr">
        <is>
          <t>Reasons for the Merger</t>
        </is>
      </c>
      <c r="C41" s="2" t="n">
        <v>26</v>
      </c>
      <c r="D41" s="2" t="inlineStr">
        <is>
          <t>On December 13, 2014, the board unanimously approved the merger agreement and determined that the merger agreement and the transactions contemplated thereby, including the merger, are advisable and in the best interests of PetSmart and its stockholders. Accordingly, the board unanimously recommends that PetSmart stockholders vote “FOR” the merger proposal .</t>
        </is>
      </c>
    </row>
    <row r="42">
      <c r="A42" s="2" t="inlineStr">
        <is>
          <t>P-039</t>
        </is>
      </c>
      <c r="B42" s="2" t="inlineStr">
        <is>
          <t>Reasons for the Merger</t>
        </is>
      </c>
      <c r="C42" s="2" t="n">
        <v>26</v>
      </c>
      <c r="D42" s="2" t="inlineStr">
        <is>
          <t>In the course of making the unanimous decision to approve and recommend the merger agreement and the merger, the board consulted with outside legal and financial advisors and PetSmart’s management team, and considered a number of factors that it believed supported its decision, including the following:</t>
        </is>
      </c>
    </row>
    <row r="43">
      <c r="A43" s="2" t="inlineStr">
        <is>
          <t>P-040</t>
        </is>
      </c>
      <c r="B43" s="2" t="inlineStr">
        <is>
          <t>Reasons for the Merger</t>
        </is>
      </c>
      <c r="C43" s="2" t="n">
        <v>26</v>
      </c>
      <c r="D43" s="2" t="inlineStr">
        <is>
          <t>Attractive Value. The board considered the current and historical market prices of the common stock, including the market performance of the common stock relative to those of other participants in the Company’s industry and general market indices, and the fact that the merger consideration of $83.00 per share in cash represents an attractive premium to estimates of the Company’s unaffected stock price, including a premium of 38.8% to the Company’s stock price on July 2, 2014, the date on which a PetSmart stockholder disclosed its acquisition of a 9.9% stake in the Company and advocated publicly for the Company to explore strategic alternatives, including a sale of the Company.</t>
        </is>
      </c>
    </row>
    <row r="44">
      <c r="A44" s="2" t="inlineStr">
        <is>
          <t>X-001</t>
        </is>
      </c>
      <c r="B44" s="2" t="inlineStr">
        <is>
          <t>The Merger - Reasons for the Merger</t>
        </is>
      </c>
      <c r="C44" s="2" t="inlineStr">
        <is>
          <t>27</t>
        </is>
      </c>
      <c r="D44" s="2" t="inlineStr">
        <is>
          <t>The board considered that the Company had conducted a lengthy and thorough process, directed by the board and the ad hoc committee, which consisted solely of independent directors, during which representatives of the Company contacted or were contacted by more than 25 potential participants, entered into non-disclosure agreements with and engaged in due diligence or provided management presentation to 15 potential bidders, received first round indications of interest from 5 bidder groups, and ultimately negotiated with the Buyer Group as well as two other bidding groups, neither of which was willing to make a definitive offer at a price above $81.50, which was lower than the $83.00 price offered by the Buyer Group. The board noted that Bidder 2 had informed the Company’s representatives that $81.50 per share was its best and final offer. The board also noted that, based on conversations with, and based on the course of negotiations with, the Buyer Group, $83.00 per share appeared to be the highest price the Buyer Group could offer. Among other things, the Buyer Group informed representatives of the Company that after increasing its offer from $82.50 to $83.00 per share, some members of the group, or all of them, were unwilling or unable to offer additional consideration. The Buyer Group also informed representatives of the Company that Longview’s willingness to participate in the Buyer Group with respect to $250 million of the common stock was helpful in achieving an $83.00 per share price.</t>
        </is>
      </c>
    </row>
    <row r="45">
      <c r="A45" s="2" t="inlineStr">
        <is>
          <t>X-002</t>
        </is>
      </c>
      <c r="B45" s="2" t="inlineStr">
        <is>
          <t>The Merger - Reasons for the Merger</t>
        </is>
      </c>
      <c r="C45" s="2" t="inlineStr">
        <is>
          <t>28</t>
        </is>
      </c>
      <c r="D45" s="2" t="inlineStr">
        <is>
          <t>PetSmart’s right, subject to certain conditions, to respond to and negotiate unsolicited acquisition proposals made prior to the time PetSmart’s stockholders approve the proposal to adopt the merger agreement. In this regard, the board took into consideration that the confidentiality agreements entered into by the 15 potentially interested parties that engaged in due diligence contained standstill provisions that prevent those parties from submitting (or even seeking permission to submit) a higher bid once the Company entered into a definitive transaction agreement with the winning sale process participant. The board, after deliberation and consultation with its financial and legal advisors, believed that such provisions promoted the goal of maximizing shareholder value by encouraging the potentially interested parties to put their best bids forward during the sale process;</t>
        </is>
      </c>
    </row>
    <row r="46">
      <c r="A46" s="2" t="inlineStr">
        <is>
          <t>X-003</t>
        </is>
      </c>
      <c r="B46" s="2" t="inlineStr">
        <is>
          <t>The Merger - Reasons for the Merger</t>
        </is>
      </c>
      <c r="C46" s="2" t="inlineStr">
        <is>
          <t>28</t>
        </is>
      </c>
      <c r="D46" s="2" t="inlineStr">
        <is>
          <t>the provision of the merger agreement allowing the board to terminate the merger agreement, in specified circumstances relating to a superior proposal, subject, in specified cases, to payment of a termination fee of $255 million; and</t>
        </is>
      </c>
    </row>
    <row r="47">
      <c r="A47" s="2" t="inlineStr">
        <is>
          <t>X-004</t>
        </is>
      </c>
      <c r="B47" s="2" t="inlineStr">
        <is>
          <t>The Merger - Reasons for the Merger</t>
        </is>
      </c>
      <c r="C47" s="2" t="inlineStr">
        <is>
          <t>28</t>
        </is>
      </c>
      <c r="D47" s="2" t="inlineStr">
        <is>
          <t>the fact that as of February 2, 2015, the date of this proxy statement, no person has made an unsolicited offer or proposal to acquire PetSmart.</t>
        </is>
      </c>
    </row>
    <row r="48">
      <c r="A48" s="2" t="inlineStr">
        <is>
          <t>X-005</t>
        </is>
      </c>
      <c r="B48" s="2" t="inlineStr">
        <is>
          <t>The Merger - Reasons for the Merger</t>
        </is>
      </c>
      <c r="C48" s="2" t="inlineStr">
        <is>
          <t>29</t>
        </is>
      </c>
      <c r="D48" s="2" t="inlineStr">
        <is>
          <t>The fact that Longview, which as of the date of the merger agreement managed 9% of the Company’s outstanding stock, and which is a long-term investor in the Company, supports and has agreed to vote in favor of the merger. In this connection, the board noted that a majority of the Company shares managed by Longview are not being rolled over in the transaction but will receive the same $83.00 per share merger consideration as all other stockholders, and that the willingness of Longview to roll over a portion of its shares was helpful to the Buyer Group in achieving an $83.00 price per share.</t>
        </is>
      </c>
    </row>
    <row r="49">
      <c r="A49" s="2" t="inlineStr">
        <is>
          <t>X-006</t>
        </is>
      </c>
      <c r="B49" s="2" t="inlineStr">
        <is>
          <t>The Merger - Opinion of J.P. Morgan</t>
        </is>
      </c>
      <c r="C49" s="2" t="inlineStr">
        <is>
          <t>30</t>
        </is>
      </c>
      <c r="D49" s="2" t="inlineStr">
        <is>
          <t>Pursuant to an engagement letter effective as of August 21, 2014, the Company retained J.P. Morgan as its financial advisor in connection with a possible transaction, including: (a) any merger, consolidation, joint venture or other business combination pursuant to which the business of the Company is combined with that of another person, (b) the acquisition by another person, directly or indirectly, of a majority of the capital stock of the Company, by way of tender or exchange offer, negotiated purchase or any other means, and/or (c) the acquisition by another person, directly or indirectly, of a majority of the assets, properties and/or businesses of the Company, by way of a direct or indirect purchase, lease, license, exchange, joint venture or other means.</t>
        </is>
      </c>
    </row>
    <row r="50">
      <c r="A50" s="2" t="inlineStr">
        <is>
          <t>X-007</t>
        </is>
      </c>
      <c r="B50" s="2" t="inlineStr">
        <is>
          <t>The Merger - Opinion of J.P. Morgan</t>
        </is>
      </c>
      <c r="C50" s="2" t="inlineStr">
        <is>
          <t>30</t>
        </is>
      </c>
      <c r="D50" s="2" t="inlineStr">
        <is>
          <t>At the meeting of the board on December 13, 2014, J.P. Morgan rendered its oral opinion, subsequently confirmed in writing on December 14, 2014, to the board that, as of such date and based upon and subject to the factors, assumptions and limitations set forth in its opinion, the merger consideration to be paid to the holders of the Company’s common stock in the merger was fair, from a financial point of view, to such holders. No limitations were imposed by the board upon J.P. Morgan with respect to the investigations made or procedures followed by it in rendering its opinion.</t>
        </is>
      </c>
    </row>
    <row r="51">
      <c r="A51" s="2" t="inlineStr">
        <is>
          <t>X-008</t>
        </is>
      </c>
      <c r="B51" s="2" t="inlineStr">
        <is>
          <t>The Merger - Opinion of J.P. Morgan</t>
        </is>
      </c>
      <c r="C51" s="2" t="inlineStr">
        <is>
          <t>34</t>
        </is>
      </c>
      <c r="D51" s="2" t="inlineStr">
        <is>
          <t>Based on the results of this analysis and taking into account differences in the Company’s business and such other factors as J.P. Morgan deemed appropriate, J.P. Morgan selected a multiple reference range of 8.5x – 11.0x for TV/LTM EBITDA and applied it to the Company’s estimated Adjusted EBITDA as of January 31, 2015 as provided by Company management. The analysis indicated an implied per share equity value range for shares of the Company’s common stock, rounded to the nearest $0.25, of between $70.50 and $91.50 per share, compared to the merger consideration of $83.00 per share for shares of the Company’s common stock, the Company’s closing share price of $78.82 on December 9, 2014, and the Company’s closing share price of $59.81 on July 2, 2014.</t>
        </is>
      </c>
    </row>
    <row r="52">
      <c r="A52" s="2" t="inlineStr">
        <is>
          <t>X-009</t>
        </is>
      </c>
      <c r="B52" s="2" t="inlineStr">
        <is>
          <t>The Merger - Opinion of J.P. Morgan</t>
        </is>
      </c>
      <c r="C52" s="2" t="inlineStr">
        <is>
          <t>37</t>
        </is>
      </c>
      <c r="D52" s="2" t="inlineStr">
        <is>
          <t>For services rendered in connection with the merger and the delivery of its opinion, the Company has agreed to pay J.P. Morgan an amount up to approximately $39 million, a substantial portion of which will become payable only if the merger is consummated. In addition, the Company has agreed to reimburse J.P. Morgan for its expenses incurred in connection with its services, including the fees and disbursements of counsel, and will indemnify J.P. Morgan against certain liabilities, including liabilities arising under the Federal securities laws.</t>
        </is>
      </c>
    </row>
    <row r="53">
      <c r="A53" s="2" t="inlineStr">
        <is>
          <t>X-010</t>
        </is>
      </c>
      <c r="B53" s="2" t="inlineStr">
        <is>
          <t>The Merger - Projected Financial Information</t>
        </is>
      </c>
      <c r="C53" s="2" t="inlineStr">
        <is>
          <t>37</t>
        </is>
      </c>
      <c r="D53" s="2" t="inlineStr">
        <is>
          <t>The Company does not as a matter of course make public projections as to future performance or earnings beyond the current fiscal year and is especially wary of making projections for extended earnings periods due to the unpredictability of the underlying assumptions and estimates. However, in connection with the review of strategic alternatives, management, at the request of the board, prepared financial projections for fiscal years 2014, 2015, 2016, 2017, 2018 and 2019. Following the release of the Company’s third fiscal quarter financial results, selected income statement line items for fiscal year 2014 only were updated to reflect actual performance and better visibility into the performance of the Company’s profit improvement plan. These projections, as updated, were provided to the board and J.P. Morgan for purposes of considering, analyzing and evaluating the Company’s strategic and financial alternatives, including the merger. Portions of these projections were also made available to Parent, Merger Sub and members of the Buyer Group in connection with their respective consideration and evaluation of a merger with the Company. In addition, financial forecasts for fiscal years 2020, 2021, 2022, 2023 and 2024 were extrapolated jointly by J.P. Morgan and the Company’s management from prior years’ forecasts at the direction of, and were approved by, the management of the Company and were made available to the board and J.P. Morgan in connection with their respective considerations of the merger, but were not made available to Parent, Merger Sub or members of the Buyer Group. We have included a summary of these projections (the “Projections”) below to give stockholders access to certain nonpublic information provided to our board</t>
        </is>
      </c>
    </row>
    <row r="54">
      <c r="A54" s="2" t="inlineStr">
        <is>
          <t>X-011</t>
        </is>
      </c>
      <c r="B54" s="2" t="inlineStr">
        <is>
          <t>The Merger - Financing</t>
        </is>
      </c>
      <c r="C54" s="2" t="inlineStr">
        <is>
          <t>40</t>
        </is>
      </c>
      <c r="D54" s="2" t="inlineStr">
        <is>
          <t>The Company and Parent estimate that the total amount of funds required to complete the merger and related transactions and pay related fees and expenses will be approximately $8.4 billion. Parent expects this amount to be funded through a combination of the following:</t>
        </is>
      </c>
    </row>
    <row r="55">
      <c r="A55" s="2" t="inlineStr">
        <is>
          <t>X-012</t>
        </is>
      </c>
      <c r="B55" s="2" t="inlineStr">
        <is>
          <t>The Merger - Financing</t>
        </is>
      </c>
      <c r="C55" s="2" t="inlineStr">
        <is>
          <t>40</t>
        </is>
      </c>
      <c r="D55" s="2" t="inlineStr">
        <is>
          <t>debt financing in an aggregate principal amount of up to approximately $6.2 billion as well as a $750 million senior secured asset-based revolving credit facility, a portion of which will be available at closing. Parent has received firm commitments from a consortium of financial institutions to provide the debt financing and revolving credit facility. See “ — Debt Financing ”;</t>
        </is>
      </c>
    </row>
    <row r="56">
      <c r="A56" s="2" t="inlineStr">
        <is>
          <t>X-013</t>
        </is>
      </c>
      <c r="B56" s="2" t="inlineStr">
        <is>
          <t>The Merger - Financing</t>
        </is>
      </c>
      <c r="C56" s="2" t="inlineStr">
        <is>
          <t>40</t>
        </is>
      </c>
      <c r="D56" s="2" t="inlineStr">
        <is>
          <t>cash equity investments by members of the Buyer Group (other than Longview) in an aggregate amount up to approximately $1.83 billion and Longview’s contribution to Parent of $250 million worth of the Company’s common stock immediately prior to the effective time of the merger. Parent has received equity commitments for the equity financing from the Buyer Group (other than Longview) and has entered into a rollover agreement with Longview with respect to its contribution of Company common stock to Parent. See “ — Equity Financing ”; and</t>
        </is>
      </c>
    </row>
    <row r="57">
      <c r="A57" s="2" t="inlineStr">
        <is>
          <t>X-014</t>
        </is>
      </c>
      <c r="B57" s="2" t="inlineStr">
        <is>
          <t>The Merger - Financing</t>
        </is>
      </c>
      <c r="C57" s="2" t="inlineStr">
        <is>
          <t>40</t>
        </is>
      </c>
      <c r="D57" s="2" t="inlineStr">
        <is>
          <t>approximately $425 million of cash is expected to be on hand and available at the closing.</t>
        </is>
      </c>
    </row>
    <row r="58">
      <c r="A58" s="2" t="inlineStr">
        <is>
          <t>X-015</t>
        </is>
      </c>
      <c r="B58" s="2" t="inlineStr">
        <is>
          <t>The Merger - Financing</t>
        </is>
      </c>
      <c r="C58" s="2" t="inlineStr">
        <is>
          <t>40</t>
        </is>
      </c>
      <c r="D58" s="2" t="inlineStr">
        <is>
          <t>On December 14, 2014, members of the Buyer Group (other than Longview) entered into equity commitment letters (collectively referred to as the “equity commitment letters” and, together with the debt commitment letters described below, the “commitment letters”) with Parent pursuant to which the Buyer Group (other than Longview) committed to contribute (or cause to be contributed) to Parent up to $1.83 billion in cash in the aggregate. The equity commitments are subject to the following conditions:</t>
        </is>
      </c>
    </row>
    <row r="59">
      <c r="A59" s="2" t="inlineStr">
        <is>
          <t>X-016</t>
        </is>
      </c>
      <c r="B59" s="2" t="inlineStr">
        <is>
          <t>The Merger - Financing</t>
        </is>
      </c>
      <c r="C59" s="2" t="inlineStr">
        <is>
          <t>41</t>
        </is>
      </c>
      <c r="D59" s="2" t="inlineStr">
        <is>
          <t>On December 14, 2014, the Parent and Longview entered into a rollover agreement (the “rollover agreement”) under which Longview has agreed to contribute 3,012,050 shares (“rollover shares”) to Parent immediately prior to the effective time in exchange for equity interests in Parent. Longview’s obligation to transfer and contribute to Parent the rollover shares is subject to the satisfaction of the following conditions:</t>
        </is>
      </c>
    </row>
    <row r="60">
      <c r="A60" s="2" t="inlineStr">
        <is>
          <t>X-017</t>
        </is>
      </c>
      <c r="B60" s="2" t="inlineStr">
        <is>
          <t>The Merger - Financing</t>
        </is>
      </c>
      <c r="C60" s="2" t="inlineStr">
        <is>
          <t>41</t>
        </is>
      </c>
      <c r="D60" s="2" t="inlineStr">
        <is>
          <t>Longview will receive the same $83.00 per share merger consideration as the other holders of the Company’s common stock for all other shares of common stock beneficially owned by it (other than the rollover shares).</t>
        </is>
      </c>
    </row>
    <row r="61">
      <c r="A61" s="2" t="inlineStr">
        <is>
          <t>X-018</t>
        </is>
      </c>
      <c r="B61" s="2" t="inlineStr">
        <is>
          <t>The Merger - Financing</t>
        </is>
      </c>
      <c r="C61" s="2" t="inlineStr">
        <is>
          <t>41</t>
        </is>
      </c>
      <c r="D61" s="2" t="inlineStr">
        <is>
          <t>In connection with the entry into the merger agreement, Merger Sub has (i) obtained a commitment letter (as amended from time to time in accordance with the merger agreement, the “debt commitment letter”) from Citigroup Global Markets Inc., Barclays Bank PLC, Deutsche Bank AG New York Branch, Nomura Securities International, Inc. and Jefferies Finance LLC, and, in some cases, certain of their affiliates (collectively, the “Initial Lenders”) and (ii) entered into joinder agreements with respect to the debt commitment letter with each of RBC Capital Markets, Macquarie Capital (USA) Inc. and Natixis, New York Branch (together with the Initial Lenders, the “Lenders”) to provide, severally but not jointly, upon the terms and subject to the conditions set forth in the debt commitment letter, in the aggregate up to $6.95 billion in debt financing (not all of which is expected to be drawn at the closing of the merger), consisting of the following:</t>
        </is>
      </c>
    </row>
    <row r="62">
      <c r="A62" s="2" t="inlineStr">
        <is>
          <t>X-019</t>
        </is>
      </c>
      <c r="B62" s="2" t="inlineStr">
        <is>
          <t>The Merger - Financing</t>
        </is>
      </c>
      <c r="C62" s="2" t="inlineStr">
        <is>
          <t>42</t>
        </is>
      </c>
      <c r="D62" s="2" t="inlineStr">
        <is>
          <t>$1.9 billion pursuant to a senior unsecured bridge facility (which would be utilized in the event that Merger Sub or one or more of its subsidiaries does not issue and sell the full amount of the senior notes referred to below at or prior to the closing of the merger).</t>
        </is>
      </c>
    </row>
    <row r="63">
      <c r="A63" s="2" t="inlineStr">
        <is>
          <t>X-020</t>
        </is>
      </c>
      <c r="B63" s="2" t="inlineStr">
        <is>
          <t>The Merger - Termination Fee Commitment Letters</t>
        </is>
      </c>
      <c r="C63" s="2" t="inlineStr">
        <is>
          <t>44</t>
        </is>
      </c>
      <c r="D63" s="2" t="inlineStr">
        <is>
          <t>Concurrently with the execution of the merger agreement, members of the Buyer Group (other than Longview) have also executed and delivered a termination fee commitment letter in favor of the Company (collectively, the “termination fee commitment letters”), pursuant to which members of the Buyer Group (other than Longview) severally agreed, subject to the terms and conditions of the termination fee commitment letters, to pay to the Company (or if consented to by the Company, to purchase common equity securities of Parent to enable Parent to pay to the Company) an amount equal to such members’ respective pro rata portion of the Parent termination fee and certain expense reimbursements (each as</t>
        </is>
      </c>
    </row>
    <row r="64">
      <c r="A64" s="2" t="inlineStr">
        <is>
          <t>X-021</t>
        </is>
      </c>
      <c r="B64" s="2" t="inlineStr">
        <is>
          <t>The Merger - Termination Fee Commitment Letters</t>
        </is>
      </c>
      <c r="C64" s="2" t="inlineStr">
        <is>
          <t>45</t>
        </is>
      </c>
      <c r="D64" s="2" t="inlineStr">
        <is>
          <t>described in more detail under “ The Merger Agreement — Termination Fees ” and “ The Merger Agreement — Reimbursement of Expenses ”), subject to an aggregate cap for all of the termination fee commitment letters equal to the Parent termination fee of $510 million.</t>
        </is>
      </c>
    </row>
    <row r="65">
      <c r="A65" s="2" t="inlineStr">
        <is>
          <t>X-022</t>
        </is>
      </c>
      <c r="B65" s="2" t="inlineStr">
        <is>
          <t>The Merger - Voting Support Agreement</t>
        </is>
      </c>
      <c r="C65" s="2" t="inlineStr">
        <is>
          <t>45</t>
        </is>
      </c>
      <c r="D65" s="2" t="inlineStr">
        <is>
          <t>On December 14, 2014, the Company entered into the voting agreement with Parent and Longview, on behalf of Longview clients and certain related parties. Under the voting agreement, Longview agreed, among other things, to vote or cause to be voted 7,424,591 shares of common stock, which represent approximately 7.5% of the total outstanding shares of common stock as of the close of business on the record date, in favor of the adoption of the merger agreement, and against any other action, proposal, agreement or transaction made in opposition to or competition with the merger or the merger agreement that is not approved by the board. The voting agreement will terminate upon the earliest to occur of (i) the effective time of the merger, (ii) the termination of the merger agreement in accordance with its terms, (iii) the termination of the voting agreement by the mutual written consent of the Company, Parent and Longview, (iv) a change of recommendation (as defined under “ The Merger Agreement — Other Covenants and Agreements — No Solicitation ) or (v) the making of any change, by amendment, waiver or other modification to any provision of the merger agreement that decreases the amount of, or changes the form of, the merger consideration. James Crown, a client of Longview with a significant economic interest in the shares of common stock subject to the voting agreement, serves on the board of directors of JP Morgan Chase &amp; Co., which is an affiliate of J.P. Morgan.</t>
        </is>
      </c>
    </row>
    <row r="66">
      <c r="A66" s="2" t="inlineStr">
        <is>
          <t>X-023</t>
        </is>
      </c>
      <c r="B66" s="2" t="inlineStr">
        <is>
          <t>The Merger - Regulatory Approvals</t>
        </is>
      </c>
      <c r="C66" s="2" t="inlineStr">
        <is>
          <t>52</t>
        </is>
      </c>
      <c r="D66" s="2" t="inlineStr">
        <is>
          <t>Under the HSR Act and related rules, certain transactions, including the merger, may not be completed until notifications have been given and information furnished to the Antitrust Division and the FTC and all statutory waiting period requirements have been satisfied. On December 24, 2014, both the Company and Parent filed their respective Notification and Report Forms with the Antitrust Division and the FTC. The 30-day waiting period under the HSR Act will expire at 11:59 pm on January 23, 2015, unless terminated early or otherwise extended. Both the Company and Parent received early termination of the HSR waiting period on January 7, 2015.</t>
        </is>
      </c>
    </row>
    <row r="67">
      <c r="A67" s="2" t="inlineStr">
        <is>
          <t>X-024</t>
        </is>
      </c>
      <c r="B67" s="2" t="inlineStr">
        <is>
          <t>The Merger - Regulatory Approvals</t>
        </is>
      </c>
      <c r="C67" s="2" t="inlineStr">
        <is>
          <t>52</t>
        </is>
      </c>
      <c r="D67" s="2" t="inlineStr">
        <is>
          <t>Under the Competition Act in Canada, the parties must file a pre-Merger notification and observe the specified waiting period requirements before consummating the merger, unless the parties are exempted from such requirements through the issuance of an ARC, or a “no-action” letter together with a waiver of the notification and waiting period requirements. On December 30, 2014, the parties submitted a request to the Commissioner of Competition in Canada for an ARC or, in the alternative, a “no-action” letter. The parties were issued an ARC pursuant to section 102 of the Competition Act on January 14, 2015.</t>
        </is>
      </c>
    </row>
    <row r="68">
      <c r="A68" s="2" t="inlineStr">
        <is>
          <t>X-025</t>
        </is>
      </c>
      <c r="B68" s="2" t="inlineStr">
        <is>
          <t>The Merger - Litigation</t>
        </is>
      </c>
      <c r="C68" s="2" t="inlineStr">
        <is>
          <t>52</t>
        </is>
      </c>
      <c r="D68" s="2" t="inlineStr">
        <is>
          <t>Since the December 14, 2014 announcement of the transaction, the members of the board, Parent, Merger Sub, and BC Partners, Inc. have been named in seven putative class action lawsuits filed in the Delaware Court of Chancery challenging the merger. PetSmart, La Caisse de dépôt et placement du Québec, GIC Special Investments Pte Ltd, Longview Asset Management, LLC and Stepstone Group LP have been named in six of the seven lawsuits, and Jana Partners LLC has been named in one of the lawsuits. The cases are captioned Soffer v. Lenhardt, et al. , C.A. No. 10482-VCN, Sharkey v. PetSmart, Inc., et al. , C.A. No. 10496-VCN, Lipovich v. PetSmart, Inc., et al. , C.A. No. 10504-VCN, Wayne County Employees’ Retirement System v. BC Partners, Inc., et al ., C.A. No. 10514-VCN, Levine v. PetSmart, Inc., et al. , C.A. No. 10516-VCN, City of Atlanta Firefighters Pension Plan v. Lenhardt, et al. , C.A. No. 10527-VCN and Seawell v. PetSmart, Inc., et al. , C.A. No. 10541-VCN. On January 20, 2015, plaintiff in the City of Atlanta Firefighters Pension Plan action filed an Amended Verified Class Action Complaint for Breach of Fiduciary Duty. On January 30, 2015, plaintiff in the Soffer action filed a Verified Amended Class Action Complaint. The complaints generally allege, among other things, that the PetSmart directors breached their fiduciary duties by agreeing to the transaction at an inadequate price and through an inadequate process and by agreeing to deal terms that allegedly prevent a superior offer for the Company. The amended complaints in the City of Atlanta Firefighters Pension Plan and Soffer actions also allege that the individual defendants breached their fiduciary duties by filing a false and misleading preliminary proxy statement. The complaints also allege that PetSmart and/or some or all of the other entity defendants aided and abetted the directors’ alleged breaches of duty. The complaints seek, among other things, to enjoin the transaction or to rescind the transaction if consummated, and attorney’s fees and other costs.</t>
        </is>
      </c>
    </row>
    <row r="69">
      <c r="A69" s="2" t="inlineStr">
        <is>
          <t>X-026</t>
        </is>
      </c>
      <c r="B69" s="2" t="inlineStr">
        <is>
          <t>Market Price of the Company's Common Stock</t>
        </is>
      </c>
      <c r="C69" s="2" t="inlineStr">
        <is>
          <t>76</t>
        </is>
      </c>
      <c r="D69" s="2" t="inlineStr">
        <is>
          <t>The closing sale price of our common stock on December 12, 2014, which was the last trading day before the merger was publicly announced, was $77.67 per share. On January 30, 2015, the most recent practicable date before this proxy statement was mailed to our stockholders, the closing price for our common stock was $81.71 per share. You are encouraged to obtain current market quotations for our common stock in connection with voting your shares of our common stock.</t>
        </is>
      </c>
    </row>
    <row r="70">
      <c r="A70" s="2" t="inlineStr">
        <is>
          <t>X-027</t>
        </is>
      </c>
      <c r="B70" s="2" t="inlineStr">
        <is>
          <t>Summary</t>
        </is>
      </c>
      <c r="C70" s="2" t="inlineStr">
        <is>
          <t>1</t>
        </is>
      </c>
      <c r="D70" s="2" t="inlineStr">
        <is>
          <t>the “Buyer Group” refers to a consortium of funds advised by BC Partners, Inc., La Caisse de dépôt et placement du Québec, affiliates of GIC Special Investments Pte Ltd, affiliates of StepStone Group LP and, at all times after December 12, 2014, Longview Asset Management, LLC;</t>
        </is>
      </c>
    </row>
    <row r="71">
      <c r="A71" s="2" t="inlineStr">
        <is>
          <t>X-028</t>
        </is>
      </c>
      <c r="B71" s="2" t="inlineStr">
        <is>
          <t>Summary</t>
        </is>
      </c>
      <c r="C71" s="2" t="inlineStr">
        <is>
          <t>1</t>
        </is>
      </c>
      <c r="D71" s="2" t="inlineStr">
        <is>
          <t>the “merger agreement” refers to the Agreement and Plan of Merger, dated as of December 14, 2014, as it may be amended from time to time, by and among the Company, Parent and Merger Sub, a copy of which is included as Annex A to this proxy statement;</t>
        </is>
      </c>
    </row>
    <row r="72">
      <c r="A72" s="2" t="inlineStr">
        <is>
          <t>X-029</t>
        </is>
      </c>
      <c r="B72" s="2" t="inlineStr">
        <is>
          <t>Summary</t>
        </is>
      </c>
      <c r="C72" s="2" t="inlineStr">
        <is>
          <t>2</t>
        </is>
      </c>
      <c r="D72" s="2" t="inlineStr">
        <is>
          <t>Voting Support Agreement (Page 45)</t>
        </is>
      </c>
    </row>
    <row r="73">
      <c r="A73" s="2" t="inlineStr">
        <is>
          <t>X-030</t>
        </is>
      </c>
      <c r="B73" s="2" t="inlineStr">
        <is>
          <t>Summary</t>
        </is>
      </c>
      <c r="C73" s="2" t="inlineStr">
        <is>
          <t>5</t>
        </is>
      </c>
      <c r="D73" s="2" t="inlineStr">
        <is>
          <t>Parent estimates that the total amount required to complete the merger and related transactions and pay related fees and expenses will be approximately $8.4 billion. Parent expects this amount to be funded through a combination of the following:</t>
        </is>
      </c>
    </row>
    <row r="74">
      <c r="A74" s="2" t="inlineStr">
        <is>
          <t>X-031</t>
        </is>
      </c>
      <c r="B74" s="2" t="inlineStr">
        <is>
          <t>Summary</t>
        </is>
      </c>
      <c r="C74" s="2" t="inlineStr">
        <is>
          <t>5</t>
        </is>
      </c>
      <c r="D74" s="2" t="inlineStr">
        <is>
          <t>The consummation of the merger is not subject to a financing condition (although the funding of the debt and cash equity financing is subject to the satisfaction of the conditions set forth in the commitment letters under which the financing will be provided).</t>
        </is>
      </c>
    </row>
    <row r="75">
      <c r="A75" s="2" t="inlineStr">
        <is>
          <t>X-032</t>
        </is>
      </c>
      <c r="B75" s="2" t="inlineStr">
        <is>
          <t>Annex A - Agreement and Plan of Merger</t>
        </is>
      </c>
      <c r="C75" s="2" t="inlineStr">
        <is>
          <t>A</t>
        </is>
      </c>
      <c r="D75" s="2" t="inlineStr">
        <is>
          <t>AGREEMENT AND PLAN OF MERGER, dated as of December 14, 2014 (the “ Agreement ”), among Argos Holdings Inc., a Delaware corporation (“ Parent ”), Argos Merger Sub Inc., a Delaware corporation and a direct wholly owned subsidiary of Parent (“ Merger Sub ”), and Petsmart, Inc., a Delaware corporation (the “ Company ”).</t>
        </is>
      </c>
    </row>
    <row r="76">
      <c r="A76" s="2" t="inlineStr">
        <is>
          <t>X-033</t>
        </is>
      </c>
      <c r="B76" s="2" t="inlineStr">
        <is>
          <t>The Merger Agreement - Representations of Parent: Financing</t>
        </is>
      </c>
      <c r="C76" s="2" t="inlineStr">
        <is>
          <t>A-19</t>
        </is>
      </c>
      <c r="D76" s="2" t="inlineStr">
        <is>
          <t>(b) Parent has received and accepted fully executed commitment letters dated as of the date hereof (attached hereto as Annex II, the “ Equity Financing Commitment Letters ” and, together with the Debt Commitment Letter, the “ Commitment Letters ”) from each of BC European Capital IX-1 to 11 LP, Kokoro Investment Pte. Ltd., Caisse de dépôt et placement du Québec, StepStone K Strategic Opportunities Fund, L.P., StepStone K Strategic Opportunities Fund II, L.P., StepStone Capital Partners III, L.P., StepStone Capital Partners III Offshore Holdings, L.P. and Longview Asset Management LLC (each, an “ Equity Investor ” and collectively, the “ Equity Investors ”) pursuant to which each Equity Investor has agreed, subject to the terms and conditions thereof, to invest in Parent the amounts set forth therein or to transfer and contribute to Parent the Shares specified therein, as applicable. The cash equity committed pursuant to the Equity Financing Commitment Letters is collectively referred to in this Agreement as the “ Cash Equity ” and the Shares committed to be transferred and contributed pursuant to the Rollover Agreement is referred to in this Agreement as the “ Rollover Equity ”. The Cash Equity, the Rollover Equity and the Debt Financing are collectively referred to as the “ Financing .” Parent has delivered to the Company true, complete and correct copies of the executed Commitment Letters and any fee letters related thereto, subject, in the case of such fee letters, to redaction solely of fee amounts, pricing caps and other economic provisions that are customarily redacted in connection with merger agreements of this type.</t>
        </is>
      </c>
    </row>
    <row r="77">
      <c r="A77" s="2" t="inlineStr">
        <is>
          <t>X-034</t>
        </is>
      </c>
      <c r="B77" s="2" t="inlineStr">
        <is>
          <t>The Merger - Projected Financial Information (table, p. 38)</t>
        </is>
      </c>
      <c r="C77" s="2" t="inlineStr">
        <is>
          <t>38</t>
        </is>
      </c>
      <c r="D77" s="2" t="inlineStr">
        <is>
          <t>Projections provided to the board and J.P. Morgan and later made available to Parent, Merger Sub and members of the Buyer Group (dollars in million; fiscal year ends): Revenue - 2014E Jan-15: $7,081 | 2015E Jan-16: $7,456 | 2016E Jan-17: $7,869 | 2017E Jan-18: $8,331 | 2018E Jan-19: $8,822 | 2019E Jan-20: $9,329. EBITDA (defined as earnings before interest, taxes, depreciation and amortization, adjusted to exclude one-time Profit Improvement Program costs incurred in Q3 2014) - $967 | $1,060 | $1,223 | $1,326 | $1,422 | $1,515. Net Income - $445 | $490 | $588 | $646 | $700 | $748. Cash Flow from Operations - $617 | $721 | $825 | $851 | $913 | $972.</t>
        </is>
      </c>
    </row>
    <row r="78">
      <c r="A78" s="2" t="inlineStr">
        <is>
          <t>X-035</t>
        </is>
      </c>
      <c r="B78" s="2" t="inlineStr">
        <is>
          <t>The Merger - Projected Financial Information (table, p. 39)</t>
        </is>
      </c>
      <c r="C78" s="2" t="inlineStr">
        <is>
          <t>39</t>
        </is>
      </c>
      <c r="D78" s="2" t="inlineStr">
        <is>
          <t>Projections provided to the board and J.P. Morgan but not made available to Parent, Merger Sub or Buyer Group members (dollars in million except per share; fiscal year ends): Adjusted EBITDA - 2014E Jan-15: $848 | 2015E Jan-16: $936 | 2016E Jan-17: $1,088 | 2017E Jan-18: $1,181 | 2018E Jan-19: $1,269 | 2019E Jan-20: $1,352. Earnings Per Share - $4.45 | $5.01 | $6.37 | $7.39 | $8.44 | $9.50 (share counts assumed: 100.1m FY2014, 97.8m FY2015, 92.4m FY2016, 87.4m FY2017, 82.9m FY2018, 78.8m FY2019). Unlevered Free Cash Flow - $404 | $506 | $595 | $605 | $652 | $695.</t>
        </is>
      </c>
    </row>
    <row r="79">
      <c r="A79" s="2" t="inlineStr">
        <is>
          <t>X-036</t>
        </is>
      </c>
      <c r="B79" s="2" t="inlineStr">
        <is>
          <t>The Merger - Projected Financial Information (table, p. 39)</t>
        </is>
      </c>
      <c r="C79" s="2" t="inlineStr">
        <is>
          <t>39</t>
        </is>
      </c>
      <c r="D79" s="2" t="inlineStr">
        <is>
          <t>Extrapolations for fiscal years 2020-2024 provided to the board and J.P. Morgan but not made available to Parent, Merger Sub or Buyer Group members (dollars in million; fiscal year ends): Revenue - 2020E Jan-21: $9,794 | 2021E Jan-22: $10,229 | 2022E Jan-23: $10,597 | 2023E Jan-24: $10,883 | 2024E Jan-25: $11,101. Adjusted EBITDA - $1,419 | $1,482 | $1,536 | $1,577 | $1,609. Unlevered Free Cash Flow - $731 | $765 | $793 | $815 | $832.</t>
        </is>
      </c>
    </row>
    <row r="80">
      <c r="A80" s="2" t="inlineStr">
        <is>
          <t>X-037</t>
        </is>
      </c>
      <c r="B80" s="2" t="inlineStr">
        <is>
          <t>Market Price of the Company's Common Stock (table, p. 76)</t>
        </is>
      </c>
      <c r="C80" s="2" t="inlineStr">
        <is>
          <t>76</t>
        </is>
      </c>
      <c r="D80" s="2" t="inlineStr">
        <is>
          <t>Quarterly high/low sales prices: 2015 First Quarter (through January 30) high $81.95 / low $81.00. 2014: Q1 $72.04/$61.47; Q2 $70.12/$54.69; Q3 $72.35/$59.25; Q4 $81.97/$63.21. 2013: Q1 $68.99/$60.15; Q2 $69.89/$60.42; Q3 $70.95 (high, as printed) / $65.53; Q4 $75.36/$64.05.</t>
        </is>
      </c>
    </row>
    <row r="81">
      <c r="A81" s="2" t="inlineStr">
        <is>
          <t>X-038</t>
        </is>
      </c>
      <c r="B81" s="2" t="inlineStr">
        <is>
          <t>Summary - When the Merger Becomes Effective</t>
        </is>
      </c>
      <c r="C81" s="2" t="inlineStr">
        <is>
          <t>3</t>
        </is>
      </c>
      <c r="D81" s="2" t="inlineStr">
        <is>
          <t>We anticipate completing the merger in the first half of 2015, subject to the adoption of the merger agreement by the Company’s stockholders as specified herein and the satisfaction of the other closing conditions.</t>
        </is>
      </c>
    </row>
    <row r="82">
      <c r="A82" s="2" t="inlineStr">
        <is>
          <t>X-039</t>
        </is>
      </c>
      <c r="B82" s="2" t="inlineStr">
        <is>
          <t>Annex A - Agreement and Plan of Merger - Notices (A-46)</t>
        </is>
      </c>
      <c r="C82" s="2" t="inlineStr">
        <is>
          <t>A-46</t>
        </is>
      </c>
      <c r="D82" s="2" t="inlineStr">
        <is>
          <t>To Parent or Merger Sub: / Argos Holdings Inc. c/o BC Partners, Inc. 667 Madison Avenue, 19th Floor New York, NY 10065 Facsimile: (212) 891-2899 Email: Raymond.Svider@bcpartners.com Attention: Raymond Svider / with a copy to: / Simpson Thacher and Bartlett LLP 425 Lexington Avenue New York, NY 10017 Facsimile: (212) 455-2502 Email: rsymons@stblaw.com Attention: Ryerson Symons / To the Company: / PetSmart, Inc. 19601 N. 27th Avenue Phoenix, AZ 85027 Email: pdodson@ssg.petsmart.com Attention: Paulette Dodson / with a copy to: / Wachtell, Lipton, Rosen &amp; Katz 51 West 52nd Street New York, New York 10019 Email: MGordon@WLRK.com Attention: Mark Gordon</t>
        </is>
      </c>
    </row>
    <row r="83">
      <c r="A83" s="2" t="inlineStr">
        <is>
          <t>X-040</t>
        </is>
      </c>
      <c r="B83" s="2" t="inlineStr">
        <is>
          <t>The Merger - Opinion of J.P. Morgan</t>
        </is>
      </c>
      <c r="C83" s="2" t="inlineStr">
        <is>
          <t>37</t>
        </is>
      </c>
      <c r="D83" s="2" t="inlineStr">
        <is>
          <t>During the two years preceding the date of its opinion, neither J.P. Morgan nor its affiliates have had any material financial advisory or other material commercial or investment banking relationships with the Company other than as disclosed in this proxy statement, or with Parent, Longview or StepStone Group LP. During the two years preceding the date of its opinion, J.P. Morgan and its affiliates have had commercial or investment banking relationships with the members of the Buyer Group, for which J.P. Morgan and such affiliates have received compensation. Such services during such period have included acting as financial advisor to BC Partners Limited on the sale of its interest in Spotless Group in June 2014; as financial advisor to La Caisse de dépôt et placement du Québec on its acquisition of an equity interest in the Port of Brisbane in November 2013; as joint bookrunner on the offerings of shares in Sunway Bhd by GIC Private Limited in October 2013 and in November 2014 and as financial advisor to GIC Special Investments Pte Ltd on its sale of its interest in Beijing Capital International Airport in December 2013. In addition, during such period, J.P. Morgan and its affiliates have provided investor services and asset management services to GIC Private Limited, and have acted as lender and bookrunner for portfolio companies of BC Partners Limited, for which J.P. Morgan and such affiliates have received compensation. During the two years preceding the date of its opinion, J.P. Morgan and its affiliates have received compensation or other financial benefits from the members of the Buyer Group for the foregoing services in the aggregate amount of approximately $110 million, including approximately $400,000 from Longview. As discussed by representatives of J.P. Morgan with the board, James Crown, who serves on the board of directors of JPMorgan Chase &amp; Co., which is an affiliate of J.P. Morgan, and has a significant economic interest in its common stock, is a party affiliated with Longview. See “ Voting Support Agreement. ” In the ordinary course of its businesses, J.P. Morgan and its affiliates may actively trade the debt and equity securities of the Company and certain portfolio companies of the respective parent companies of the members of the Buyer Group for its own account or for the accounts of customers and, accordingly, may at any time hold long or short positions in such securities.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7" customWidth="1" min="1" max="1"/>
    <col width="14" customWidth="1" min="2" max="2"/>
    <col width="14" customWidth="1" min="3" max="3"/>
    <col width="20" customWidth="1" min="4" max="4"/>
    <col width="14" customWidth="1" min="5" max="5"/>
    <col width="14" customWidth="1" min="6" max="6"/>
    <col width="15" customWidth="1" min="7" max="7"/>
    <col width="14" customWidth="1" min="8" max="8"/>
    <col width="16" customWidth="1" min="9" max="9"/>
    <col width="14" customWidth="1" min="10" max="10"/>
    <col width="22" customWidth="1" min="11" max="11"/>
    <col width="18" customWidth="1" min="12" max="12"/>
    <col width="14" customWidth="1" min="13" max="13"/>
    <col width="15" customWidth="1" min="14" max="14"/>
    <col width="17" customWidth="1" min="15" max="15"/>
  </cols>
  <sheetData>
    <row r="1">
      <c r="A1" s="11" t="inlineStr">
        <is>
          <t>What happened</t>
        </is>
      </c>
      <c r="B1" s="11" t="inlineStr">
        <is>
          <t>Type</t>
        </is>
      </c>
      <c r="C1" s="11" t="inlineStr">
        <is>
          <t>Formality</t>
        </is>
      </c>
      <c r="D1" s="11" t="inlineStr">
        <is>
          <t>Conditions level</t>
        </is>
      </c>
      <c r="E1" s="11" t="inlineStr">
        <is>
          <t>Include</t>
        </is>
      </c>
      <c r="F1" s="11" t="inlineStr">
        <is>
          <t>Date basis</t>
        </is>
      </c>
      <c r="G1" s="11" t="inlineStr">
        <is>
          <t>Date method</t>
        </is>
      </c>
      <c r="H1" s="11" t="inlineStr">
        <is>
          <t>Price kind</t>
        </is>
      </c>
      <c r="I1" s="11" t="inlineStr">
        <is>
          <t>Price origin</t>
        </is>
      </c>
      <c r="J1" s="11" t="inlineStr">
        <is>
          <t>All cash</t>
        </is>
      </c>
      <c r="K1" s="11" t="inlineStr">
        <is>
          <t>Deadline treatment</t>
        </is>
      </c>
      <c r="L1" s="11" t="inlineStr">
        <is>
          <t>Round finality</t>
        </is>
      </c>
      <c r="M1" s="11" t="inlineStr">
        <is>
          <t>Decided by</t>
        </is>
      </c>
      <c r="N1" s="11" t="inlineStr">
        <is>
          <t>Exit reason</t>
        </is>
      </c>
      <c r="O1" s="11"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Passed without action</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Unclear</t>
        </is>
      </c>
      <c r="N6" t="inlineStr">
        <is>
          <t>Would not improve earlier offer</t>
        </is>
      </c>
      <c r="O6" t="inlineStr">
        <is>
          <t>Inferred: identity</t>
        </is>
      </c>
    </row>
    <row r="7">
      <c r="A7" t="inlineStr">
        <is>
          <t>Adviser engaged</t>
        </is>
      </c>
      <c r="F7" t="inlineStr">
        <is>
          <t>Undated</t>
        </is>
      </c>
      <c r="G7" t="inlineStr">
        <is>
          <t>Assigned: bound</t>
        </is>
      </c>
      <c r="K7" t="inlineStr">
        <is>
          <t>No deadline stated</t>
        </is>
      </c>
      <c r="N7" t="inlineStr">
        <is>
          <t>Lower offer than rivals</t>
        </is>
      </c>
    </row>
    <row r="8">
      <c r="A8" t="inlineStr">
        <is>
          <t>Adviser service observed</t>
        </is>
      </c>
      <c r="G8" t="inlineStr">
        <is>
          <t>Assigned: sequence</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27" customWidth="1" min="3" max="3"/>
    <col width="19" customWidth="1" min="4" max="4"/>
    <col width="8" customWidth="1" min="5" max="5"/>
    <col width="7.5" customWidth="1" min="6" max="6"/>
    <col width="11" customWidth="1" min="7" max="7"/>
    <col width="52" customWidth="1" min="8" max="8"/>
    <col width="11" customWidth="1" min="9" max="9"/>
    <col width="11" customWidth="1" min="10" max="10"/>
    <col width="62" customWidth="1" min="11" max="11"/>
    <col width="15" customWidth="1" min="12" max="12"/>
    <col width="7" customWidth="1" min="13" max="13"/>
    <col width="14" customWidth="1" min="14" max="14"/>
    <col width="7.5" customWidth="1" min="15" max="15"/>
    <col width="8" customWidth="1" min="16" max="16"/>
    <col width="7" customWidth="1" min="17" max="17"/>
    <col width="10.5" customWidth="1" min="18" max="18"/>
    <col width="10.5" customWidth="1" min="19" max="19"/>
    <col width="11" customWidth="1" min="20" max="20"/>
    <col width="13" customWidth="1" min="21" max="21"/>
    <col width="12.5" customWidth="1" min="22" max="22"/>
    <col width="9.5" customWidth="1" min="23" max="23"/>
    <col width="9.5" customWidth="1" min="24" max="24"/>
    <col width="11.5" customWidth="1" min="25" max="25"/>
    <col width="12" customWidth="1" min="26" max="26"/>
    <col width="8.5" customWidth="1" min="27" max="27"/>
    <col width="9" customWidth="1" min="28" max="28"/>
    <col width="11.5" customWidth="1" min="29" max="29"/>
    <col width="38" customWidth="1" min="30" max="30"/>
    <col width="11" customWidth="1" min="31" max="31"/>
    <col width="13" customWidth="1" min="32" max="32"/>
    <col width="12.5" customWidth="1" min="33" max="33"/>
    <col width="9" customWidth="1" min="34" max="34"/>
    <col width="20" customWidth="1" min="35" max="35"/>
    <col width="13.5" customWidth="1" min="36" max="36"/>
    <col width="6" customWidth="1" min="37" max="37"/>
    <col width="21" customWidth="1" min="38" max="38"/>
    <col width="9" customWidth="1" min="39" max="39"/>
  </cols>
  <sheetData>
    <row r="1">
      <c r="A1" s="11" t="inlineStr">
        <is>
          <t>#</t>
        </is>
      </c>
      <c r="B1" s="11" t="inlineStr">
        <is>
          <t>When</t>
        </is>
      </c>
      <c r="C1" s="11" t="inlineStr">
        <is>
          <t>Who</t>
        </is>
      </c>
      <c r="D1" s="11" t="inlineStr">
        <is>
          <t>What happened</t>
        </is>
      </c>
      <c r="E1" s="11" t="inlineStr">
        <is>
          <t>Process</t>
        </is>
      </c>
      <c r="F1" s="11" t="inlineStr">
        <is>
          <t>Round</t>
        </is>
      </c>
      <c r="G1" s="11" t="inlineStr">
        <is>
          <t>Type</t>
        </is>
      </c>
      <c r="H1" s="11" t="inlineStr">
        <is>
          <t>Terms or outcome</t>
        </is>
      </c>
      <c r="I1" s="11" t="inlineStr">
        <is>
          <t>Formality</t>
        </is>
      </c>
      <c r="J1" s="11" t="inlineStr">
        <is>
          <t>Conditions level</t>
        </is>
      </c>
      <c r="K1" s="11" t="inlineStr">
        <is>
          <t>Why and evidence</t>
        </is>
      </c>
      <c r="L1" s="11" t="inlineStr">
        <is>
          <t>Source</t>
        </is>
      </c>
      <c r="M1" s="11" t="inlineStr">
        <is>
          <t>Review</t>
        </is>
      </c>
      <c r="N1" s="11" t="inlineStr">
        <is>
          <t>Reviewer note</t>
        </is>
      </c>
      <c r="O1" s="11" t="inlineStr">
        <is>
          <t>Row id</t>
        </is>
      </c>
      <c r="P1" s="11" t="inlineStr">
        <is>
          <t>Include</t>
        </is>
      </c>
      <c r="Q1" s="11" t="inlineStr">
        <is>
          <t>Count</t>
        </is>
      </c>
      <c r="R1" s="11" t="inlineStr">
        <is>
          <t>Date from</t>
        </is>
      </c>
      <c r="S1" s="11" t="inlineStr">
        <is>
          <t>Date to</t>
        </is>
      </c>
      <c r="T1" s="11" t="inlineStr">
        <is>
          <t>Working date</t>
        </is>
      </c>
      <c r="U1" s="11" t="inlineStr">
        <is>
          <t>Date basis</t>
        </is>
      </c>
      <c r="V1" s="11" t="inlineStr">
        <is>
          <t>Date method</t>
        </is>
      </c>
      <c r="W1" s="11" t="inlineStr">
        <is>
          <t>Price low</t>
        </is>
      </c>
      <c r="X1" s="11" t="inlineStr">
        <is>
          <t>Price high</t>
        </is>
      </c>
      <c r="Y1" s="11" t="inlineStr">
        <is>
          <t>Price kind</t>
        </is>
      </c>
      <c r="Z1" s="11" t="inlineStr">
        <is>
          <t>Price origin</t>
        </is>
      </c>
      <c r="AA1" s="11" t="inlineStr">
        <is>
          <t>Currency</t>
        </is>
      </c>
      <c r="AB1" s="11" t="inlineStr">
        <is>
          <t>All cash</t>
        </is>
      </c>
      <c r="AC1" s="11" t="inlineStr">
        <is>
          <t>Cash at closing</t>
        </is>
      </c>
      <c r="AD1" s="11" t="inlineStr">
        <is>
          <t>Conditions detail</t>
        </is>
      </c>
      <c r="AE1" s="11" t="inlineStr">
        <is>
          <t>Due date</t>
        </is>
      </c>
      <c r="AF1" s="11" t="inlineStr">
        <is>
          <t>Deadline treatment</t>
        </is>
      </c>
      <c r="AG1" s="11" t="inlineStr">
        <is>
          <t>Round finality</t>
        </is>
      </c>
      <c r="AH1" s="11" t="inlineStr">
        <is>
          <t>Decided by</t>
        </is>
      </c>
      <c r="AI1" s="11" t="inlineStr">
        <is>
          <t>Exit reason</t>
        </is>
      </c>
      <c r="AJ1" s="11" t="inlineStr">
        <is>
          <t>Outcome basis</t>
        </is>
      </c>
      <c r="AK1" s="11" t="inlineStr">
        <is>
          <t>Page</t>
        </is>
      </c>
      <c r="AL1" s="11" t="inlineStr">
        <is>
          <t>Related rows</t>
        </is>
      </c>
      <c r="AM1" s="11" t="inlineStr">
        <is>
          <t>Deal</t>
        </is>
      </c>
    </row>
    <row r="2">
      <c r="A2" s="2" t="n">
        <v>1</v>
      </c>
      <c r="B2" s="2" t="inlineStr">
        <is>
          <t>06/18/2014 (first service observed)</t>
        </is>
      </c>
      <c r="C2" s="2" t="inlineStr">
        <is>
          <t>PetSmart — Wachtell, Lipton, Rosen &amp; Katz (legal adviser)</t>
        </is>
      </c>
      <c r="D2" s="2" t="inlineStr">
        <is>
          <t>Adviser service observed</t>
        </is>
      </c>
      <c r="E2" s="3" t="n">
        <v>1</v>
      </c>
      <c r="F2" s="2" t="n">
        <v>0</v>
      </c>
      <c r="G2" s="2" t="n"/>
      <c r="H2" s="2" t="inlineStr">
        <is>
          <t>Legal adviser to PetSmart; observed advising the board at the 06/18/2014 meeting and throughout the process. Retention date not disclosed.</t>
        </is>
      </c>
      <c r="I2" s="2" t="n"/>
      <c r="J2" s="2" t="n"/>
      <c r="K2" s="2" t="inlineStr">
        <is>
          <t>Service observed at the board meeting reviewing strategic and financial alternatives: “the board reviewed, together with a financial advisor and with Wachtell, Lipton, Rosen &amp; Katz (“Wachtell Lipton”), its legal advisor, the various strategic and financial alternatives potentially available to the Company”. First narrative mention is not proof of retention on that date; no engagement date is reported (p. 21).</t>
        </is>
      </c>
      <c r="L2" s="2" t="inlineStr">
        <is>
          <t>P-009</t>
        </is>
      </c>
      <c r="M2" s="2" t="inlineStr">
        <is>
          <t>Q7</t>
        </is>
      </c>
      <c r="N2" s="2" t="n"/>
      <c r="O2" s="2" t="inlineStr">
        <is>
          <t>R001</t>
        </is>
      </c>
      <c r="P2" s="2" t="inlineStr">
        <is>
          <t>Yes</t>
        </is>
      </c>
      <c r="Q2" s="2" t="n"/>
      <c r="R2" s="5" t="n">
        <v>41808</v>
      </c>
      <c r="S2" s="5" t="n">
        <v>41808</v>
      </c>
      <c r="T2" s="5" t="n">
        <v>41808</v>
      </c>
      <c r="U2" s="2" t="inlineStr">
        <is>
          <t>Reported day</t>
        </is>
      </c>
      <c r="V2" s="2" t="inlineStr">
        <is>
          <t>Reported</t>
        </is>
      </c>
      <c r="W2" s="2" t="n"/>
      <c r="X2" s="2" t="n"/>
      <c r="Y2" s="2" t="n"/>
      <c r="Z2" s="2" t="n"/>
      <c r="AA2" s="2" t="n"/>
      <c r="AB2" s="2" t="n"/>
      <c r="AC2" s="2" t="n"/>
      <c r="AD2" s="2" t="n"/>
      <c r="AE2" s="2" t="n"/>
      <c r="AF2" s="2" t="n"/>
      <c r="AG2" s="2" t="n"/>
      <c r="AH2" s="2" t="n"/>
      <c r="AI2" s="2" t="n"/>
      <c r="AJ2" s="2" t="n"/>
      <c r="AK2" s="3" t="n">
        <v>21</v>
      </c>
      <c r="AL2" s="2" t="inlineStr">
        <is>
          <t>R004 (co-adviser)</t>
        </is>
      </c>
      <c r="AM2" s="2" t="inlineStr">
        <is>
          <t>PetSmart</t>
        </is>
      </c>
    </row>
    <row r="3">
      <c r="A3" s="2" t="n">
        <v>2</v>
      </c>
      <c r="B3" s="2" t="inlineStr">
        <is>
          <t>07/03/2014; advocacy continued over July–August 2014</t>
        </is>
      </c>
      <c r="C3" s="2" t="inlineStr">
        <is>
          <t>JANA Partners (activist stockholder)</t>
        </is>
      </c>
      <c r="D3" s="2" t="inlineStr">
        <is>
          <t>Activist pressure</t>
        </is>
      </c>
      <c r="E3" s="3" t="n">
        <v>1</v>
      </c>
      <c r="F3" s="2" t="n">
        <v>0</v>
      </c>
      <c r="G3" s="2" t="n"/>
      <c r="H3" s="2" t="inlineStr">
        <is>
          <t>Schedule 13D disclosing a 9.9% stake and intent to engage with management and the board on a strategic review including a sale; amendments and public letters advocating a sale over July–August; in-person meeting with Company representatives 07/10/2014.</t>
        </is>
      </c>
      <c r="I3" s="2" t="n"/>
      <c r="J3" s="2" t="n"/>
      <c r="K3" s="2" t="inlineStr">
        <is>
          <t>Sale advocacy by a disclosed 9.9% holder: “JANA had acquired 9.9% of the Company’s outstanding common stock and that JANA intended to engage in discussions with management and the board with respect to a review of strategic alternatives, including a sale of the Company”; later “JANA Partners filed several amendments to its Schedule 13D and publicly disclosed letters to the board, advocating for a sale of PetSmart” (p. 22).</t>
        </is>
      </c>
      <c r="L3" s="2" t="inlineStr">
        <is>
          <t>P-011</t>
        </is>
      </c>
      <c r="M3" s="2" t="inlineStr">
        <is>
          <t>Q1</t>
        </is>
      </c>
      <c r="N3" s="2" t="n"/>
      <c r="O3" s="2" t="inlineStr">
        <is>
          <t>R002</t>
        </is>
      </c>
      <c r="P3" s="2" t="inlineStr">
        <is>
          <t>Yes</t>
        </is>
      </c>
      <c r="Q3" s="2" t="n"/>
      <c r="R3" s="5" t="n">
        <v>41823</v>
      </c>
      <c r="S3" s="5" t="n">
        <v>41882</v>
      </c>
      <c r="T3" s="5" t="n">
        <v>41823</v>
      </c>
      <c r="U3" s="2" t="inlineStr">
        <is>
          <t>Reported interval</t>
        </is>
      </c>
      <c r="V3" s="2" t="inlineStr">
        <is>
          <t>Assigned: bound</t>
        </is>
      </c>
      <c r="W3" s="2" t="n"/>
      <c r="X3" s="2" t="n"/>
      <c r="Y3" s="2" t="n"/>
      <c r="Z3" s="2" t="n"/>
      <c r="AA3" s="2" t="n"/>
      <c r="AB3" s="2" t="n"/>
      <c r="AC3" s="2" t="n"/>
      <c r="AD3" s="2" t="n"/>
      <c r="AE3" s="2" t="n"/>
      <c r="AF3" s="2" t="n"/>
      <c r="AG3" s="2" t="n"/>
      <c r="AH3" s="2" t="n"/>
      <c r="AI3" s="2" t="n"/>
      <c r="AJ3" s="2" t="n"/>
      <c r="AK3" s="3" t="n">
        <v>22</v>
      </c>
      <c r="AL3" s="2" t="n"/>
      <c r="AM3" s="2" t="inlineStr">
        <is>
          <t>PetSmart</t>
        </is>
      </c>
    </row>
    <row r="4">
      <c r="A4" s="2" t="n">
        <v>3</v>
      </c>
      <c r="B4" s="2" t="inlineStr">
        <is>
          <t>07/07/2014 (letter); call 07/10/2014</t>
        </is>
      </c>
      <c r="C4" s="2" t="inlineStr">
        <is>
          <t>Longview Asset Management (stockholder)</t>
        </is>
      </c>
      <c r="D4" s="2" t="inlineStr">
        <is>
          <t>Activist pressure</t>
        </is>
      </c>
      <c r="E4" s="3" t="n">
        <v>1</v>
      </c>
      <c r="F4" s="2" t="n">
        <v>0</v>
      </c>
      <c r="G4" s="2" t="n"/>
      <c r="H4" s="2" t="inlineStr">
        <is>
          <t>Public letter urging the board to consider a sale and stating Longview would consider rolling part or all of its holdings into acquirer equity rather than receive cash if needed to enable a transaction; long-term investor; reiterated sale advocacy in a 07/10/2014 call. Rollover support later formed 12/12/2014 (R034).</t>
        </is>
      </c>
      <c r="I4" s="2" t="n"/>
      <c r="J4" s="2" t="n"/>
      <c r="K4" s="2" t="inlineStr">
        <is>
          <t>“Longview made public a letter to the board in which Longview stated that the board should consider the a sale of the Company (as well as other strategic alternatives)”; Longview said it “would consider, depending on the parties and terms involved, rolling part or all of its holdings into equity of the acquiring entity rather than receive cash consideration” (p. 22). The filing describes Longview as “a long-term investor” (p. 29).</t>
        </is>
      </c>
      <c r="L4" s="2" t="inlineStr">
        <is>
          <t>P-011; P-020</t>
        </is>
      </c>
      <c r="M4" s="2" t="inlineStr">
        <is>
          <t>Q7</t>
        </is>
      </c>
      <c r="N4" s="2" t="n"/>
      <c r="O4" s="2" t="inlineStr">
        <is>
          <t>R003</t>
        </is>
      </c>
      <c r="P4" s="2" t="inlineStr">
        <is>
          <t>Yes</t>
        </is>
      </c>
      <c r="Q4" s="2" t="n"/>
      <c r="R4" s="5" t="n">
        <v>41827</v>
      </c>
      <c r="S4" s="5" t="n">
        <v>41830</v>
      </c>
      <c r="T4" s="5" t="n">
        <v>41827</v>
      </c>
      <c r="U4" s="2" t="inlineStr">
        <is>
          <t>Reported interval</t>
        </is>
      </c>
      <c r="V4" s="2" t="inlineStr">
        <is>
          <t>Assigned: bound</t>
        </is>
      </c>
      <c r="W4" s="2" t="n"/>
      <c r="X4" s="2" t="n"/>
      <c r="Y4" s="2" t="n"/>
      <c r="Z4" s="2" t="n"/>
      <c r="AA4" s="2" t="n"/>
      <c r="AB4" s="2" t="n"/>
      <c r="AC4" s="2" t="n"/>
      <c r="AD4" s="2" t="n"/>
      <c r="AE4" s="2" t="n"/>
      <c r="AF4" s="2" t="n"/>
      <c r="AG4" s="2" t="n"/>
      <c r="AH4" s="2" t="n"/>
      <c r="AI4" s="2" t="n"/>
      <c r="AJ4" s="2" t="n"/>
      <c r="AK4" s="3" t="n">
        <v>22</v>
      </c>
      <c r="AL4" s="2" t="n"/>
      <c r="AM4" s="2" t="inlineStr">
        <is>
          <t>PetSmart</t>
        </is>
      </c>
    </row>
    <row r="5">
      <c r="A5" s="2" t="n">
        <v>4</v>
      </c>
      <c r="B5" s="2" t="inlineStr">
        <is>
          <t>July 2014 (retained); engagement letter effective 08/21/2014</t>
        </is>
      </c>
      <c r="C5" s="2" t="inlineStr">
        <is>
          <t>PetSmart — J.P. Morgan Securities LLC (financial adviser)</t>
        </is>
      </c>
      <c r="D5" s="2" t="inlineStr">
        <is>
          <t>Adviser engaged</t>
        </is>
      </c>
      <c r="E5" s="3" t="n">
        <v>1</v>
      </c>
      <c r="F5" s="2" t="n">
        <v>0</v>
      </c>
      <c r="G5" s="2" t="n"/>
      <c r="H5" s="2" t="inlineStr">
        <is>
          <t>Retained July 2014 after interviewing several candidates for M&amp;A, valuation, financing and capital-markets experience; engagement letter effective 08/21/2014; rendered the board's fairness opinion (oral 12/13/2014; written 12/14/2014); fee up to approximately $39 million, a substantial portion payable only if the merger is consummated. Disclosed relationships with Buyer Group members of approximately $110 million over two years (p. 37) and a James Crown/Longview connection (p. 37, p. 45).</t>
        </is>
      </c>
      <c r="I5" s="2" t="n"/>
      <c r="J5" s="2" t="n"/>
      <c r="K5" s="2" t="inlineStr">
        <is>
          <t>“In July, after interviewing several potential financial advisors, the Company retained J.P. Morgan as financial advisor” (p. 22). “Pursuant to an engagement letter effective as of August 21, 2014, the Company retained J.P. Morgan as its financial advisor in connection with a possible transaction” (p. 30).</t>
        </is>
      </c>
      <c r="L5" s="2" t="inlineStr">
        <is>
          <t>P-010; X-006; X-009; X-040; X-022</t>
        </is>
      </c>
      <c r="M5" s="2" t="inlineStr">
        <is>
          <t>Q7</t>
        </is>
      </c>
      <c r="N5" s="2" t="n"/>
      <c r="O5" s="2" t="inlineStr">
        <is>
          <t>R004</t>
        </is>
      </c>
      <c r="P5" s="2" t="inlineStr">
        <is>
          <t>Yes</t>
        </is>
      </c>
      <c r="Q5" s="2" t="n"/>
      <c r="R5" s="5" t="n">
        <v>41821</v>
      </c>
      <c r="S5" s="5" t="n">
        <v>41851</v>
      </c>
      <c r="T5" s="5" t="n">
        <v>41836</v>
      </c>
      <c r="U5" s="2" t="inlineStr">
        <is>
          <t>Reported interval</t>
        </is>
      </c>
      <c r="V5" s="2" t="inlineStr">
        <is>
          <t>Assigned: midpoint</t>
        </is>
      </c>
      <c r="W5" s="2" t="n"/>
      <c r="X5" s="2" t="n"/>
      <c r="Y5" s="2" t="n"/>
      <c r="Z5" s="2" t="n"/>
      <c r="AA5" s="2" t="n"/>
      <c r="AB5" s="2" t="n"/>
      <c r="AC5" s="2" t="n"/>
      <c r="AD5" s="2" t="n"/>
      <c r="AE5" s="2" t="n"/>
      <c r="AF5" s="2" t="n"/>
      <c r="AG5" s="2" t="n"/>
      <c r="AH5" s="2" t="n"/>
      <c r="AI5" s="2" t="n"/>
      <c r="AJ5" s="2" t="n"/>
      <c r="AK5" s="3" t="n">
        <v>22</v>
      </c>
      <c r="AL5" s="2" t="inlineStr">
        <is>
          <t>R001 (co-adviser)</t>
        </is>
      </c>
      <c r="AM5" s="2" t="inlineStr">
        <is>
          <t>PetSmart</t>
        </is>
      </c>
    </row>
    <row r="6">
      <c r="A6" s="2" t="n">
        <v>5</v>
      </c>
      <c r="B6" s="2" t="inlineStr">
        <is>
          <t>08/07/2014</t>
        </is>
      </c>
      <c r="C6" s="2" t="inlineStr">
        <is>
          <t>Industry Participant (unnamed privately held strategic party)</t>
        </is>
      </c>
      <c r="D6" s="2" t="inlineStr">
        <is>
          <t>Bidder interest</t>
        </is>
      </c>
      <c r="E6" s="3" t="n">
        <v>1</v>
      </c>
      <c r="F6" s="2" t="n">
        <v>0</v>
      </c>
      <c r="G6" s="2" t="inlineStr">
        <is>
          <t>Strategic</t>
        </is>
      </c>
      <c r="H6" s="2" t="inlineStr">
        <is>
          <t>Unpriced inbound approach: Industry Participant told J.P. Morgan it might be interested in re-visiting Spring 2014 discussions about a possible combination of the two companies if PetSmart pursued strategic alternatives. Scope: whole-company combination. Not invited into the process (R010).</t>
        </is>
      </c>
      <c r="I6" s="2" t="n"/>
      <c r="J6" s="2" t="n"/>
      <c r="K6" s="2" t="inlineStr">
        <is>
          <t>“Industry Participant might be interested in re-visiting the conversations that had taken place in the Spring concerning the feasibility of a possible combination of the two Companies” (p. 22). Spring 2014 discussions were PetSmart-initiated explorations of acquiring Industry Participant, which said it was not for sale and raised antitrust concerns (p. 21); retained only as context.</t>
        </is>
      </c>
      <c r="L6" s="2" t="inlineStr">
        <is>
          <t>P-012; P-007</t>
        </is>
      </c>
      <c r="M6" s="2" t="inlineStr">
        <is>
          <t>Q7</t>
        </is>
      </c>
      <c r="N6" s="2" t="n"/>
      <c r="O6" s="2" t="inlineStr">
        <is>
          <t>R005</t>
        </is>
      </c>
      <c r="P6" s="2" t="inlineStr">
        <is>
          <t>Yes</t>
        </is>
      </c>
      <c r="Q6" s="2" t="n"/>
      <c r="R6" s="5" t="n">
        <v>41858</v>
      </c>
      <c r="S6" s="5" t="n">
        <v>41858</v>
      </c>
      <c r="T6" s="5" t="n">
        <v>41858</v>
      </c>
      <c r="U6" s="2" t="inlineStr">
        <is>
          <t>Reported day</t>
        </is>
      </c>
      <c r="V6" s="2" t="inlineStr">
        <is>
          <t>Reported</t>
        </is>
      </c>
      <c r="W6" s="2" t="n"/>
      <c r="X6" s="2" t="n"/>
      <c r="Y6" s="2" t="n"/>
      <c r="Z6" s="2" t="n"/>
      <c r="AA6" s="2" t="n"/>
      <c r="AB6" s="2" t="n"/>
      <c r="AC6" s="2" t="n"/>
      <c r="AD6" s="2" t="n"/>
      <c r="AE6" s="2" t="n"/>
      <c r="AF6" s="2" t="n"/>
      <c r="AG6" s="2" t="n"/>
      <c r="AH6" s="2" t="n"/>
      <c r="AI6" s="2" t="n"/>
      <c r="AJ6" s="2" t="n"/>
      <c r="AK6" s="3" t="n">
        <v>22</v>
      </c>
      <c r="AL6" s="2" t="inlineStr">
        <is>
          <t>R010 (exclusion)</t>
        </is>
      </c>
      <c r="AM6" s="2" t="inlineStr">
        <is>
          <t>PetSmart</t>
        </is>
      </c>
    </row>
    <row r="7">
      <c r="A7" s="2" t="n">
        <v>6</v>
      </c>
      <c r="B7" s="2" t="inlineStr">
        <is>
          <t>08/13/2014</t>
        </is>
      </c>
      <c r="C7" s="2" t="inlineStr">
        <is>
          <t>PetSmart board</t>
        </is>
      </c>
      <c r="D7" s="2" t="inlineStr">
        <is>
          <t>Target sale decision</t>
        </is>
      </c>
      <c r="E7" s="3" t="n">
        <v>1</v>
      </c>
      <c r="F7" s="2" t="n">
        <v>0</v>
      </c>
      <c r="G7" s="2" t="n"/>
      <c r="H7" s="2" t="inlineStr">
        <is>
          <t>Determined to explore strategic alternatives including a possible sale to maximize stockholder value; instructed management to plan the Profit Improvement Plan; authorized the ad hoc committee (Chairman Gregory Josefowicz; Rakesh Gangwal; Thomas Stemberg) to oversee the process; decided to announce the exploration publicly; planned J.P. Morgan outreach for the second half of September or early October 2014. Exploration, not an irrevocable commitment to sell.</t>
        </is>
      </c>
      <c r="I7" s="2" t="n"/>
      <c r="J7" s="2" t="n"/>
      <c r="K7" s="2" t="inlineStr">
        <is>
          <t>“(1) determined to explore strategic alternatives (including a possible sale of the Company) for the Company to maximize value for stockholders including by commencing a process to determine the potential value that could be achieved via a sale of the Company”; “(3) authorized the ad hoc committee to oversee the sale exploration process” (p. 22).</t>
        </is>
      </c>
      <c r="L7" s="2" t="inlineStr">
        <is>
          <t>P-013</t>
        </is>
      </c>
      <c r="M7" s="2" t="inlineStr">
        <is>
          <t>Q1</t>
        </is>
      </c>
      <c r="N7" s="2" t="n"/>
      <c r="O7" s="2" t="inlineStr">
        <is>
          <t>R006</t>
        </is>
      </c>
      <c r="P7" s="2" t="inlineStr">
        <is>
          <t>Yes</t>
        </is>
      </c>
      <c r="Q7" s="2" t="n"/>
      <c r="R7" s="5" t="n">
        <v>41864</v>
      </c>
      <c r="S7" s="5" t="n">
        <v>41864</v>
      </c>
      <c r="T7" s="5" t="n">
        <v>41864</v>
      </c>
      <c r="U7" s="2" t="inlineStr">
        <is>
          <t>Reported day</t>
        </is>
      </c>
      <c r="V7" s="2" t="inlineStr">
        <is>
          <t>Reported</t>
        </is>
      </c>
      <c r="W7" s="2" t="n"/>
      <c r="X7" s="2" t="n"/>
      <c r="Y7" s="2" t="n"/>
      <c r="Z7" s="2" t="n"/>
      <c r="AA7" s="2" t="n"/>
      <c r="AB7" s="2" t="n"/>
      <c r="AC7" s="2" t="n"/>
      <c r="AD7" s="2" t="n"/>
      <c r="AE7" s="2" t="n"/>
      <c r="AF7" s="2" t="n"/>
      <c r="AG7" s="2" t="n"/>
      <c r="AH7" s="2" t="n"/>
      <c r="AI7" s="2" t="n"/>
      <c r="AJ7" s="2" t="n"/>
      <c r="AK7" s="3" t="n">
        <v>22</v>
      </c>
      <c r="AL7" s="2" t="n"/>
      <c r="AM7" s="2" t="inlineStr">
        <is>
          <t>PetSmart</t>
        </is>
      </c>
    </row>
    <row r="8">
      <c r="A8" s="2" t="n">
        <v>7</v>
      </c>
      <c r="B8" s="2" t="inlineStr">
        <is>
          <t>mid-August through 10/31/2014</t>
        </is>
      </c>
      <c r="C8" s="2" t="inlineStr">
        <is>
          <t>24 financial participants (cohort)</t>
        </is>
      </c>
      <c r="D8" s="2" t="inlineStr">
        <is>
          <t>Contact</t>
        </is>
      </c>
      <c r="E8" s="3" t="n">
        <v>1</v>
      </c>
      <c r="F8" s="2" t="n">
        <v>0</v>
      </c>
      <c r="G8" s="2" t="inlineStr">
        <is>
          <t>Financial</t>
        </is>
      </c>
      <c r="H8" s="2" t="inlineStr">
        <is>
          <t>Inbound sale-process contacts of the 27 potential participants disclosed for the period from the middle of August to the end of October 2014: 24 financial participants (potential lead buyers as well as large suppliers of equity capital to lead buyers). Spans the run-up to Round 1; assigned to Round 0 as the pre-opening contact wave.</t>
        </is>
      </c>
      <c r="I8" s="2" t="n"/>
      <c r="J8" s="2" t="n"/>
      <c r="K8" s="2" t="inlineStr">
        <is>
          <t>“During this period, J.P. Morgan was contacted by 27 potential participants in a sale process, including three strategic parties (not counting Industry Participant) and 24 financial participants (including potential lead buyers as well as large suppliers of equity capital to lead buyers)” (p. 23). Date bounded by “since the August 13 board meeting” and “the middle of August through the end of October”. Conflict preserved: the reasons section states “more than 25 potential participants” (p. 27); the specific 27 is used and both are shown in the Summary.</t>
        </is>
      </c>
      <c r="L8" s="2" t="inlineStr">
        <is>
          <t>P-016; P-017</t>
        </is>
      </c>
      <c r="M8" s="2" t="inlineStr">
        <is>
          <t>Q1; Q2</t>
        </is>
      </c>
      <c r="N8" s="2" t="n"/>
      <c r="O8" s="2" t="inlineStr">
        <is>
          <t>R007</t>
        </is>
      </c>
      <c r="P8" s="2" t="inlineStr">
        <is>
          <t>Yes</t>
        </is>
      </c>
      <c r="Q8" s="3" t="n">
        <v>24</v>
      </c>
      <c r="R8" s="5" t="n">
        <v>41865</v>
      </c>
      <c r="S8" s="5" t="n">
        <v>41943</v>
      </c>
      <c r="T8" s="5" t="n">
        <v>41865</v>
      </c>
      <c r="U8" s="2" t="inlineStr">
        <is>
          <t>Approximate window</t>
        </is>
      </c>
      <c r="V8" s="2" t="inlineStr">
        <is>
          <t>Assigned: bound</t>
        </is>
      </c>
      <c r="W8" s="2" t="n"/>
      <c r="X8" s="2" t="n"/>
      <c r="Y8" s="2" t="n"/>
      <c r="Z8" s="2" t="n"/>
      <c r="AA8" s="2" t="n"/>
      <c r="AB8" s="2" t="n"/>
      <c r="AC8" s="2" t="n"/>
      <c r="AD8" s="2" t="n"/>
      <c r="AE8" s="2" t="n"/>
      <c r="AF8" s="2" t="n"/>
      <c r="AG8" s="2" t="n"/>
      <c r="AH8" s="2" t="n"/>
      <c r="AI8" s="2" t="n"/>
      <c r="AJ8" s="2" t="n"/>
      <c r="AK8" s="3" t="n">
        <v>23</v>
      </c>
      <c r="AL8" s="2" t="n"/>
      <c r="AM8" s="2" t="inlineStr">
        <is>
          <t>PetSmart</t>
        </is>
      </c>
    </row>
    <row r="9">
      <c r="A9" s="2" t="n">
        <v>8</v>
      </c>
      <c r="B9" s="2" t="inlineStr">
        <is>
          <t>mid-August through 10/31/2014</t>
        </is>
      </c>
      <c r="C9" s="2" t="inlineStr">
        <is>
          <t>3 strategic parties (cohort; excluding Industry Participant)</t>
        </is>
      </c>
      <c r="D9" s="2" t="inlineStr">
        <is>
          <t>Contact</t>
        </is>
      </c>
      <c r="E9" s="3" t="n">
        <v>1</v>
      </c>
      <c r="F9" s="2" t="n">
        <v>0</v>
      </c>
      <c r="G9" s="2" t="inlineStr">
        <is>
          <t>Strategic</t>
        </is>
      </c>
      <c r="H9" s="2" t="inlineStr">
        <is>
          <t>Strategic share of the 27 disclosed inbound contacts from the middle of August to the end of October 2014; no strategic party signed a non-disclosure agreement or submitted an indication of interest on the filing's account.</t>
        </is>
      </c>
      <c r="I9" s="2" t="n"/>
      <c r="J9" s="2" t="n"/>
      <c r="K9" s="2" t="inlineStr">
        <is>
          <t>“including three strategic parties (not counting Industry Participant) and 24 financial participants” (p. 23). None of the 15 confidentiality agreements in the first week of October 2014 was with a strategic party (“15 potentially interested financial buyers”, p. 23).</t>
        </is>
      </c>
      <c r="L9" s="2" t="inlineStr">
        <is>
          <t>P-016; P-018</t>
        </is>
      </c>
      <c r="M9" s="2" t="inlineStr">
        <is>
          <t>Q2</t>
        </is>
      </c>
      <c r="N9" s="2" t="n"/>
      <c r="O9" s="2" t="inlineStr">
        <is>
          <t>R008</t>
        </is>
      </c>
      <c r="P9" s="2" t="inlineStr">
        <is>
          <t>Yes</t>
        </is>
      </c>
      <c r="Q9" s="3" t="n">
        <v>3</v>
      </c>
      <c r="R9" s="5" t="n">
        <v>41865</v>
      </c>
      <c r="S9" s="5" t="n">
        <v>41943</v>
      </c>
      <c r="T9" s="5" t="n">
        <v>41865</v>
      </c>
      <c r="U9" s="2" t="inlineStr">
        <is>
          <t>Approximate window</t>
        </is>
      </c>
      <c r="V9" s="2" t="inlineStr">
        <is>
          <t>Assigned: bound</t>
        </is>
      </c>
      <c r="W9" s="2" t="n"/>
      <c r="X9" s="2" t="n"/>
      <c r="Y9" s="2" t="n"/>
      <c r="Z9" s="2" t="n"/>
      <c r="AA9" s="2" t="n"/>
      <c r="AB9" s="2" t="n"/>
      <c r="AC9" s="2" t="n"/>
      <c r="AD9" s="2" t="n"/>
      <c r="AE9" s="2" t="n"/>
      <c r="AF9" s="2" t="n"/>
      <c r="AG9" s="2" t="n"/>
      <c r="AH9" s="2" t="n"/>
      <c r="AI9" s="2" t="n"/>
      <c r="AJ9" s="2" t="n"/>
      <c r="AK9" s="3" t="n">
        <v>23</v>
      </c>
      <c r="AL9" s="2" t="n"/>
      <c r="AM9" s="2" t="inlineStr">
        <is>
          <t>PetSmart</t>
        </is>
      </c>
    </row>
    <row r="10">
      <c r="A10" s="2" t="n">
        <v>9</v>
      </c>
      <c r="B10" s="2" t="inlineStr">
        <is>
          <t>08/19/2014</t>
        </is>
      </c>
      <c r="C10" s="2" t="inlineStr">
        <is>
          <t>PetSmart (issuer)</t>
        </is>
      </c>
      <c r="D10" s="2" t="inlineStr">
        <is>
          <t>Sale process announced</t>
        </is>
      </c>
      <c r="E10" s="3" t="n">
        <v>1</v>
      </c>
      <c r="F10" s="2" t="n">
        <v>0</v>
      </c>
      <c r="G10" s="2" t="n"/>
      <c r="H10" s="2" t="inlineStr">
        <is>
          <t>Press release issued concurrent with the second quarter earnings announcement: the Company determined to explore strategic alternatives including a possible sale to maximize stockholder value. Purpose included alerting parties not contacted so they could contact J.P. Morgan.</t>
        </is>
      </c>
      <c r="I10" s="2" t="n"/>
      <c r="J10" s="2" t="n"/>
      <c r="K10" s="2" t="inlineStr">
        <is>
          <t>“On August 19, 2014, concurrent with its second quarter earnings announcement, the Company issued a press release announcing that it determined to explore strategic alternatives for the Company to maximize value for stockholders, including a possible sale of the Company” (p. 23).</t>
        </is>
      </c>
      <c r="L10" s="2" t="inlineStr">
        <is>
          <t>P-014; P-013</t>
        </is>
      </c>
      <c r="M10" s="2" t="inlineStr">
        <is>
          <t>Q1</t>
        </is>
      </c>
      <c r="N10" s="2" t="n"/>
      <c r="O10" s="2" t="inlineStr">
        <is>
          <t>R009</t>
        </is>
      </c>
      <c r="P10" s="2" t="inlineStr">
        <is>
          <t>Yes</t>
        </is>
      </c>
      <c r="Q10" s="2" t="n"/>
      <c r="R10" s="5" t="n">
        <v>41870</v>
      </c>
      <c r="S10" s="5" t="n">
        <v>41870</v>
      </c>
      <c r="T10" s="5" t="n">
        <v>41870</v>
      </c>
      <c r="U10" s="2" t="inlineStr">
        <is>
          <t>Reported day</t>
        </is>
      </c>
      <c r="V10" s="2" t="inlineStr">
        <is>
          <t>Reported</t>
        </is>
      </c>
      <c r="W10" s="2" t="n"/>
      <c r="X10" s="2" t="n"/>
      <c r="Y10" s="2" t="n"/>
      <c r="Z10" s="2" t="n"/>
      <c r="AA10" s="2" t="n"/>
      <c r="AB10" s="2" t="n"/>
      <c r="AC10" s="2" t="n"/>
      <c r="AD10" s="2" t="n"/>
      <c r="AE10" s="2" t="n"/>
      <c r="AF10" s="2" t="n"/>
      <c r="AG10" s="2" t="n"/>
      <c r="AH10" s="2" t="n"/>
      <c r="AI10" s="2" t="n"/>
      <c r="AJ10" s="2" t="n"/>
      <c r="AK10" s="3" t="n">
        <v>23</v>
      </c>
      <c r="AL10" s="2" t="n"/>
      <c r="AM10" s="2" t="inlineStr">
        <is>
          <t>PetSmart</t>
        </is>
      </c>
    </row>
    <row r="11">
      <c r="A11" s="2" t="n">
        <v>10</v>
      </c>
      <c r="B11" s="2" t="inlineStr">
        <is>
          <t>by 08/27/2014 (committee direction after 08/13/2014; communicated 08/22 and 08/27/2014)</t>
        </is>
      </c>
      <c r="C11" s="2" t="inlineStr">
        <is>
          <t>PetSmart board / ad hoc committee</t>
        </is>
      </c>
      <c r="D11" s="2" t="inlineStr">
        <is>
          <t>Target decision</t>
        </is>
      </c>
      <c r="E11" s="3" t="n">
        <v>1</v>
      </c>
      <c r="F11" s="2" t="n">
        <v>0</v>
      </c>
      <c r="G11" s="2" t="n"/>
      <c r="H11" s="2" t="inlineStr">
        <is>
          <t>Industry Participant not invited into the exploratory sale process because of the very high antitrust-clearance risk (near-certain second request; eight months to a year or longer, with no assurance of success), the risk of providing competitively advantageous information, and the risk of disrupting or delaying the process. J.P. Morgan communicated the concerns on 08/22; Industry Participant again expressed interest on 08/27; J.P. Morgan said it would not be invited but any proposal would be considered by the board; no contact since. Reaffirmed 10/03/2014 (R013).</t>
        </is>
      </c>
      <c r="I11" s="2" t="n"/>
      <c r="J11" s="2" t="n"/>
      <c r="K11" s="2" t="inlineStr">
        <is>
          <t>Committee direction after the 08/13 meeting: “the ad hoc committee directed J.P. Morgan to communicate to Industry Participant the board’s concerns as a result of which Industry Participant would not be invited to participate in the exploratory process”;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 (p. 23).</t>
        </is>
      </c>
      <c r="L11" s="2" t="inlineStr">
        <is>
          <t>P-015; P-014; P-017</t>
        </is>
      </c>
      <c r="M11" s="2" t="inlineStr">
        <is>
          <t>Q1</t>
        </is>
      </c>
      <c r="N11" s="2" t="n"/>
      <c r="O11" s="2" t="inlineStr">
        <is>
          <t>R010</t>
        </is>
      </c>
      <c r="P11" s="2" t="inlineStr">
        <is>
          <t>Yes</t>
        </is>
      </c>
      <c r="Q11" s="2" t="n"/>
      <c r="R11" s="5" t="n">
        <v>41864</v>
      </c>
      <c r="S11" s="5" t="n">
        <v>41878</v>
      </c>
      <c r="T11" s="5" t="n">
        <v>41878</v>
      </c>
      <c r="U11" s="2" t="inlineStr">
        <is>
          <t>Approximate window</t>
        </is>
      </c>
      <c r="V11" s="2" t="inlineStr">
        <is>
          <t>Assigned: bound</t>
        </is>
      </c>
      <c r="W11" s="2" t="n"/>
      <c r="X11" s="2" t="n"/>
      <c r="Y11" s="2" t="n"/>
      <c r="Z11" s="2" t="n"/>
      <c r="AA11" s="2" t="n"/>
      <c r="AB11" s="2" t="n"/>
      <c r="AC11" s="2" t="n"/>
      <c r="AD11" s="2" t="n"/>
      <c r="AE11" s="2" t="n"/>
      <c r="AF11" s="2" t="n"/>
      <c r="AG11" s="2" t="n"/>
      <c r="AH11" s="2" t="n"/>
      <c r="AI11" s="2" t="n"/>
      <c r="AJ11" s="2" t="n"/>
      <c r="AK11" s="3" t="n">
        <v>23</v>
      </c>
      <c r="AL11" s="2" t="inlineStr">
        <is>
          <t>R005 (IP interest)</t>
        </is>
      </c>
      <c r="AM11" s="2" t="inlineStr">
        <is>
          <t>PetSmart</t>
        </is>
      </c>
    </row>
    <row r="12">
      <c r="A12" s="2" t="n">
        <v>11</v>
      </c>
      <c r="B12" s="2" t="inlineStr">
        <is>
          <t>first week of October 2014 (10/01–10/07)</t>
        </is>
      </c>
      <c r="C12" s="2" t="inlineStr">
        <is>
          <t>PetSmart / J.P. Morgan</t>
        </is>
      </c>
      <c r="D12" s="2" t="inlineStr">
        <is>
          <t>Round opened</t>
        </is>
      </c>
      <c r="E12" s="3" t="n">
        <v>1</v>
      </c>
      <c r="F12" s="2" t="n">
        <v>1</v>
      </c>
      <c r="G12" s="2" t="n"/>
      <c r="H12" s="2" t="inlineStr">
        <is>
          <t>R1 anchor: confidentiality-agreement wave — the Company entered into confidentiality and standstill agreements with 15 potentially interested financial buyers (R012). Purpose: solicit non-binding preliminary indications of interest (due 10/30/2014) and select the final round. Candidate anchors rejected and preserved as rows: R006 (08/13/2014 sale decision; planned outreach was for the second half of September/early October, not within about a week of the decision), R009 (08/19/2014 public announcement, which supplemented rather than replaced solicitation), R013 (10/03/2014 board meeting), R007/R008 (mid-August–October inbound contact wave, which the filing reports as contacts coming to J.P. Morgan).</t>
        </is>
      </c>
      <c r="I12" s="2" t="n"/>
      <c r="J12" s="2" t="n"/>
      <c r="K12" s="2" t="inlineStr">
        <is>
          <t>The filing reports no dated target outreach wave; participants came to the target. The first target-organized step admitting participants to a stage is the confidentiality-agreement wave: “In the first week of October 2014, the Company entered into confidentiality and standstill agreements with 15 potentially interested financial buyers” (p. 23).</t>
        </is>
      </c>
      <c r="L12" s="2" t="inlineStr">
        <is>
          <t>P-018; P-019; P-016; P-017</t>
        </is>
      </c>
      <c r="M12" s="2" t="inlineStr">
        <is>
          <t>Q1</t>
        </is>
      </c>
      <c r="N12" s="2" t="n"/>
      <c r="O12" s="2" t="inlineStr">
        <is>
          <t>R011</t>
        </is>
      </c>
      <c r="P12" s="2" t="inlineStr">
        <is>
          <t>Yes</t>
        </is>
      </c>
      <c r="Q12" s="2" t="n"/>
      <c r="R12" s="5" t="n">
        <v>41913</v>
      </c>
      <c r="S12" s="5" t="n">
        <v>41919</v>
      </c>
      <c r="T12" s="5" t="n">
        <v>41913</v>
      </c>
      <c r="U12" s="2" t="inlineStr">
        <is>
          <t>Approximate window</t>
        </is>
      </c>
      <c r="V12" s="2" t="inlineStr">
        <is>
          <t>Assigned: bound</t>
        </is>
      </c>
      <c r="W12" s="2" t="n"/>
      <c r="X12" s="2" t="n"/>
      <c r="Y12" s="2" t="n"/>
      <c r="Z12" s="2" t="n"/>
      <c r="AA12" s="2" t="n"/>
      <c r="AB12" s="2" t="n"/>
      <c r="AC12" s="2" t="n"/>
      <c r="AD12" s="2" t="n"/>
      <c r="AE12" s="2" t="n"/>
      <c r="AF12" s="2" t="n"/>
      <c r="AG12" s="2" t="inlineStr">
        <is>
          <t>Not final</t>
        </is>
      </c>
      <c r="AH12" s="2" t="n"/>
      <c r="AI12" s="2" t="n"/>
      <c r="AJ12" s="2" t="n"/>
      <c r="AK12" s="3" t="n">
        <v>23</v>
      </c>
      <c r="AL12" s="2" t="inlineStr">
        <is>
          <t>R012 (anchor event); R006; R009; R013 (rejected candidates)</t>
        </is>
      </c>
      <c r="AM12" s="2" t="inlineStr">
        <is>
          <t>PetSmart</t>
        </is>
      </c>
    </row>
    <row r="13">
      <c r="A13" s="2" t="n">
        <v>12</v>
      </c>
      <c r="B13" s="2" t="inlineStr">
        <is>
          <t>first week of October 2014 (10/01–10/07)</t>
        </is>
      </c>
      <c r="C13" s="2" t="inlineStr">
        <is>
          <t>15 financial buyers (cohort)</t>
        </is>
      </c>
      <c r="D13" s="2" t="inlineStr">
        <is>
          <t>NDA signed</t>
        </is>
      </c>
      <c r="E13" s="3" t="n">
        <v>1</v>
      </c>
      <c r="F13" s="2" t="n">
        <v>1</v>
      </c>
      <c r="G13" s="2" t="inlineStr">
        <is>
          <t>Financial</t>
        </is>
      </c>
      <c r="H13" s="2" t="inlineStr">
        <is>
          <t>Confidentiality and standstill agreements executed with 15 potentially interested financial buyers; all 15 engaged in due diligence during October, received management presentations with senior management, and received detailed financial and business-plan information including the Profit Improvement Plan. Standstill provisions bar these parties from submitting (or seeking permission to submit) a higher bid once a definitive transaction agreement is signed (R043).</t>
        </is>
      </c>
      <c r="I13" s="2" t="n"/>
      <c r="J13" s="2" t="n"/>
      <c r="K13" s="2" t="inlineStr">
        <is>
          <t>“In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(p. 23).</t>
        </is>
      </c>
      <c r="L13" s="2" t="inlineStr">
        <is>
          <t>P-018; X-002</t>
        </is>
      </c>
      <c r="M13" s="2" t="inlineStr">
        <is>
          <t>Q2</t>
        </is>
      </c>
      <c r="N13" s="2" t="n"/>
      <c r="O13" s="2" t="inlineStr">
        <is>
          <t>R012</t>
        </is>
      </c>
      <c r="P13" s="2" t="inlineStr">
        <is>
          <t>Yes</t>
        </is>
      </c>
      <c r="Q13" s="3" t="n">
        <v>15</v>
      </c>
      <c r="R13" s="5" t="n">
        <v>41913</v>
      </c>
      <c r="S13" s="5" t="n">
        <v>41919</v>
      </c>
      <c r="T13" s="5" t="n">
        <v>41913</v>
      </c>
      <c r="U13" s="2" t="inlineStr">
        <is>
          <t>Approximate window</t>
        </is>
      </c>
      <c r="V13" s="2" t="inlineStr">
        <is>
          <t>Assigned: bound</t>
        </is>
      </c>
      <c r="W13" s="2" t="n"/>
      <c r="X13" s="2" t="n"/>
      <c r="Y13" s="2" t="n"/>
      <c r="Z13" s="2" t="n"/>
      <c r="AA13" s="2" t="n"/>
      <c r="AB13" s="2" t="n"/>
      <c r="AC13" s="2" t="n"/>
      <c r="AD13" s="2" t="n"/>
      <c r="AE13" s="2" t="n"/>
      <c r="AF13" s="2" t="n"/>
      <c r="AG13" s="2" t="n"/>
      <c r="AH13" s="2" t="n"/>
      <c r="AI13" s="2" t="n"/>
      <c r="AJ13" s="2" t="n"/>
      <c r="AK13" s="3" t="n">
        <v>23</v>
      </c>
      <c r="AL13" s="2" t="inlineStr">
        <is>
          <t>R011 (round anchor); R020 (below-$80 submitters); R045 (inferred non-submitters)</t>
        </is>
      </c>
      <c r="AM13" s="2" t="inlineStr">
        <is>
          <t>PetSmart</t>
        </is>
      </c>
    </row>
    <row r="14">
      <c r="A14" s="2" t="n">
        <v>13</v>
      </c>
      <c r="B14" s="2" t="inlineStr">
        <is>
          <t>10/03/2014</t>
        </is>
      </c>
      <c r="C14" s="2" t="inlineStr">
        <is>
          <t>PetSmart board</t>
        </is>
      </c>
      <c r="D14" s="2" t="inlineStr">
        <is>
          <t>Material process update</t>
        </is>
      </c>
      <c r="E14" s="3" t="n">
        <v>1</v>
      </c>
      <c r="F14" s="2" t="n">
        <v>1</v>
      </c>
      <c r="G14" s="2" t="n"/>
      <c r="H14" s="2" t="inlineStr">
        <is>
          <t>Board updated on the sale process and the completed Profit Improvement Plan: approximately 15 parties had expressed interest among the 27 contacted; board reaffirmed, for the August reasons, the determination not to invite Industry Participant into the process. (Aggregate contacts are recorded at R007/R008.)</t>
        </is>
      </c>
      <c r="I14" s="2" t="n"/>
      <c r="J14" s="2" t="n"/>
      <c r="K14" s="2" t="inlineStr">
        <is>
          <t>“the board was informed that approximately 15 parties had expressed interest in participating in the process”; “the board reviewed and, for the reasons discussed in August, reaffirmed the determination not to invite Industry Participant to participate in the sale process” (p. 23).</t>
        </is>
      </c>
      <c r="L14" s="2" t="inlineStr">
        <is>
          <t>P-017</t>
        </is>
      </c>
      <c r="M14" s="2" t="inlineStr">
        <is>
          <t>Q1</t>
        </is>
      </c>
      <c r="N14" s="2" t="n"/>
      <c r="O14" s="2" t="inlineStr">
        <is>
          <t>R013</t>
        </is>
      </c>
      <c r="P14" s="2" t="inlineStr">
        <is>
          <t>Yes</t>
        </is>
      </c>
      <c r="Q14" s="2" t="n"/>
      <c r="R14" s="5" t="n">
        <v>41915</v>
      </c>
      <c r="S14" s="5" t="n">
        <v>41915</v>
      </c>
      <c r="T14" s="5" t="n">
        <v>41915</v>
      </c>
      <c r="U14" s="2" t="inlineStr">
        <is>
          <t>Reported day</t>
        </is>
      </c>
      <c r="V14" s="2" t="inlineStr">
        <is>
          <t>Reported</t>
        </is>
      </c>
      <c r="W14" s="2" t="n"/>
      <c r="X14" s="2" t="n"/>
      <c r="Y14" s="2" t="n"/>
      <c r="Z14" s="2" t="n"/>
      <c r="AA14" s="2" t="n"/>
      <c r="AB14" s="2" t="n"/>
      <c r="AC14" s="2" t="n"/>
      <c r="AD14" s="2" t="n"/>
      <c r="AE14" s="2" t="n"/>
      <c r="AF14" s="2" t="n"/>
      <c r="AG14" s="2" t="n"/>
      <c r="AH14" s="2" t="n"/>
      <c r="AI14" s="2" t="n"/>
      <c r="AJ14" s="2" t="n"/>
      <c r="AK14" s="3" t="n">
        <v>23</v>
      </c>
      <c r="AL14" s="2" t="inlineStr">
        <is>
          <t>R007; R008; R010</t>
        </is>
      </c>
      <c r="AM14" s="2" t="inlineStr">
        <is>
          <t>PetSmart</t>
        </is>
      </c>
    </row>
    <row r="15">
      <c r="A15" s="2" t="n">
        <v>14</v>
      </c>
      <c r="B15" s="2" t="inlineStr">
        <is>
          <t>10/30/2014</t>
        </is>
      </c>
      <c r="C15" s="2" t="inlineStr">
        <is>
          <t>PetSmart (deadline for bidders)</t>
        </is>
      </c>
      <c r="D15" s="2" t="inlineStr">
        <is>
          <t>Deadline</t>
        </is>
      </c>
      <c r="E15" s="3" t="n">
        <v>1</v>
      </c>
      <c r="F15" s="2" t="n">
        <v>1</v>
      </c>
      <c r="G15" s="2" t="n"/>
      <c r="H15" s="2" t="inlineStr">
        <is>
          <t>Non-binding preliminary indications of interest due; six of the potentially interested parties submitted on this date; J.P. Morgan spoke with all parties, including non-submitters, from 10/30 to 11/02 about their rationales; the board reviewed the indications on 11/03 (R021). Deadline communicated during October 2014 (day not disclosed; carried on R011/R014).</t>
        </is>
      </c>
      <c r="I15" s="2" t="n"/>
      <c r="J15" s="2" t="n"/>
      <c r="K15" s="2" t="inlineStr">
        <is>
          <t>“During October, the potential bidders were informed that non-binding preliminary indications of interest would be due on October 30, 2014”; “On October 30, six of the potentially interested parties submitted indications of interest” (p. 23–24).</t>
        </is>
      </c>
      <c r="L15" s="2" t="inlineStr">
        <is>
          <t>P-019; P-021; P-022</t>
        </is>
      </c>
      <c r="M15" s="2" t="inlineStr">
        <is>
          <t>Q5</t>
        </is>
      </c>
      <c r="N15" s="2" t="n"/>
      <c r="O15" s="2" t="inlineStr">
        <is>
          <t>R014</t>
        </is>
      </c>
      <c r="P15" s="2" t="inlineStr">
        <is>
          <t>Yes</t>
        </is>
      </c>
      <c r="Q15" s="2" t="n"/>
      <c r="R15" s="5" t="n">
        <v>41942</v>
      </c>
      <c r="S15" s="5" t="n">
        <v>41942</v>
      </c>
      <c r="T15" s="5" t="n">
        <v>41942</v>
      </c>
      <c r="U15" s="2" t="inlineStr">
        <is>
          <t>Reported day</t>
        </is>
      </c>
      <c r="V15" s="2" t="inlineStr">
        <is>
          <t>Reported</t>
        </is>
      </c>
      <c r="W15" s="2" t="n"/>
      <c r="X15" s="2" t="n"/>
      <c r="Y15" s="2" t="n"/>
      <c r="Z15" s="2" t="n"/>
      <c r="AA15" s="2" t="n"/>
      <c r="AB15" s="2" t="n"/>
      <c r="AC15" s="2" t="n"/>
      <c r="AD15" s="2" t="n"/>
      <c r="AE15" s="5" t="n">
        <v>41942</v>
      </c>
      <c r="AF15" s="2" t="inlineStr">
        <is>
          <t>Enforced</t>
        </is>
      </c>
      <c r="AG15" s="2" t="n"/>
      <c r="AH15" s="2" t="n"/>
      <c r="AI15" s="2" t="n"/>
      <c r="AJ15" s="2" t="n"/>
      <c r="AK15" s="3" t="n">
        <v>23</v>
      </c>
      <c r="AL15" s="2" t="inlineStr">
        <is>
          <t>R011; R021</t>
        </is>
      </c>
      <c r="AM15" s="2" t="inlineStr">
        <is>
          <t>PetSmart</t>
        </is>
      </c>
    </row>
    <row r="16">
      <c r="A16" s="2" t="n">
        <v>15</v>
      </c>
      <c r="B16" s="2" t="inlineStr">
        <is>
          <t>10/30/2014</t>
        </is>
      </c>
      <c r="C16" s="2" t="inlineStr">
        <is>
          <t>Buyer Group (BC Partners-led consortium)</t>
        </is>
      </c>
      <c r="D16" s="2" t="inlineStr">
        <is>
          <t>Bid</t>
        </is>
      </c>
      <c r="E16" s="3" t="n">
        <v>1</v>
      </c>
      <c r="F16" s="2" t="n">
        <v>1</v>
      </c>
      <c r="G16" s="2" t="inlineStr">
        <is>
          <t>Financial</t>
        </is>
      </c>
      <c r="H16" s="2" t="inlineStr">
        <is>
          <t>Non-binding preliminary indication of a range of $81.00–$83.00 per share, in cash; one of the three submitters whose ranges reached at least $80.00; advanced to the final round on 11/03 (R021).</t>
        </is>
      </c>
      <c r="I16" s="2" t="inlineStr">
        <is>
          <t>Informal</t>
        </is>
      </c>
      <c r="J16" s="2" t="inlineStr">
        <is>
          <t>Heavy</t>
        </is>
      </c>
      <c r="K16"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Range: “the Buyer Group, which indicated a range of $81.00 to $83.00 per share” (p. 24).</t>
        </is>
      </c>
      <c r="L16" s="2" t="inlineStr">
        <is>
          <t>P-021; P-019; P-022</t>
        </is>
      </c>
      <c r="M16" s="2" t="inlineStr">
        <is>
          <t>Q4</t>
        </is>
      </c>
      <c r="N16" s="2" t="n"/>
      <c r="O16" s="2" t="inlineStr">
        <is>
          <t>R015</t>
        </is>
      </c>
      <c r="P16" s="2" t="inlineStr">
        <is>
          <t>Yes</t>
        </is>
      </c>
      <c r="Q16" s="3" t="n">
        <v>1</v>
      </c>
      <c r="R16" s="5" t="n">
        <v>41942</v>
      </c>
      <c r="S16" s="5" t="n">
        <v>41942</v>
      </c>
      <c r="T16" s="5" t="n">
        <v>41942</v>
      </c>
      <c r="U16" s="2" t="inlineStr">
        <is>
          <t>Reported day</t>
        </is>
      </c>
      <c r="V16" s="2" t="inlineStr">
        <is>
          <t>Reported</t>
        </is>
      </c>
      <c r="W16" s="6" t="n">
        <v>81</v>
      </c>
      <c r="X16" s="6" t="n">
        <v>83</v>
      </c>
      <c r="Y16" s="2" t="inlineStr">
        <is>
          <t>Bidder range</t>
        </is>
      </c>
      <c r="Z16" s="2" t="inlineStr">
        <is>
          <t>Stated</t>
        </is>
      </c>
      <c r="AA16" s="2" t="inlineStr">
        <is>
          <t>USD</t>
        </is>
      </c>
      <c r="AB16" s="2" t="inlineStr">
        <is>
          <t>Not stated</t>
        </is>
      </c>
      <c r="AC16" s="2" t="n"/>
      <c r="AD16" s="2" t="inlineStr">
        <is>
          <t>Fin: not stated; DD required: substantive (period not stated); DD open: yes; Excl: not stated</t>
        </is>
      </c>
      <c r="AE16" s="2" t="n"/>
      <c r="AF16" s="2" t="n"/>
      <c r="AG16" s="2" t="n"/>
      <c r="AH16" s="2" t="n"/>
      <c r="AI16" s="2" t="n"/>
      <c r="AJ16" s="2" t="n"/>
      <c r="AK16" s="3" t="n">
        <v>24</v>
      </c>
      <c r="AL16" s="2" t="inlineStr">
        <is>
          <t>R029 (later bid); R021</t>
        </is>
      </c>
      <c r="AM16" s="2" t="inlineStr">
        <is>
          <t>PetSmart</t>
        </is>
      </c>
    </row>
    <row r="17">
      <c r="A17" s="2" t="n">
        <v>16</v>
      </c>
      <c r="B17" s="2" t="inlineStr">
        <is>
          <t>10/30/2014</t>
        </is>
      </c>
      <c r="C17" s="2" t="inlineStr">
        <is>
          <t>Unnamed financial bidder 1 (IOI range $80.00–$85.00)</t>
        </is>
      </c>
      <c r="D17" s="2" t="inlineStr">
        <is>
          <t>Bid</t>
        </is>
      </c>
      <c r="E17" s="3" t="n">
        <v>1</v>
      </c>
      <c r="F17" s="2" t="n">
        <v>1</v>
      </c>
      <c r="G17" s="2" t="inlineStr">
        <is>
          <t>Financial</t>
        </is>
      </c>
      <c r="H17" s="2" t="inlineStr">
        <is>
          <t>Non-binding preliminary indication of a range of $80.00–$85.00 per share; one of the three submitters whose ranges reached at least $80.00; advanced to the final round (R021). Identity as a Bidder 3 member is a hypothesis only (Q3).</t>
        </is>
      </c>
      <c r="I17" s="2" t="inlineStr">
        <is>
          <t>Informal</t>
        </is>
      </c>
      <c r="J17" s="2" t="inlineStr">
        <is>
          <t>Heavy</t>
        </is>
      </c>
      <c r="K17"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“another bidder, which suggested a range of $80.00 to $85.00 per share” (p. 24).</t>
        </is>
      </c>
      <c r="L17" s="2" t="inlineStr">
        <is>
          <t>P-021; P-022</t>
        </is>
      </c>
      <c r="M17" s="2" t="inlineStr">
        <is>
          <t>Q4</t>
        </is>
      </c>
      <c r="N17" s="2" t="n"/>
      <c r="O17" s="2" t="inlineStr">
        <is>
          <t>R016</t>
        </is>
      </c>
      <c r="P17" s="2" t="inlineStr">
        <is>
          <t>Yes</t>
        </is>
      </c>
      <c r="Q17" s="3" t="n">
        <v>1</v>
      </c>
      <c r="R17" s="5" t="n">
        <v>41942</v>
      </c>
      <c r="S17" s="5" t="n">
        <v>41942</v>
      </c>
      <c r="T17" s="5" t="n">
        <v>41942</v>
      </c>
      <c r="U17" s="2" t="inlineStr">
        <is>
          <t>Reported day</t>
        </is>
      </c>
      <c r="V17" s="2" t="inlineStr">
        <is>
          <t>Reported</t>
        </is>
      </c>
      <c r="W17" s="6" t="n">
        <v>80</v>
      </c>
      <c r="X17" s="6" t="n">
        <v>85</v>
      </c>
      <c r="Y17" s="2" t="inlineStr">
        <is>
          <t>Bidder range</t>
        </is>
      </c>
      <c r="Z17" s="2" t="inlineStr">
        <is>
          <t>Stated</t>
        </is>
      </c>
      <c r="AA17" s="2" t="inlineStr">
        <is>
          <t>USD</t>
        </is>
      </c>
      <c r="AB17" s="2" t="inlineStr">
        <is>
          <t>Not stated</t>
        </is>
      </c>
      <c r="AC17" s="2" t="n"/>
      <c r="AD17" s="2" t="inlineStr">
        <is>
          <t>Fin: not stated; DD required: substantive (period not stated); DD open: yes; Excl: not stated</t>
        </is>
      </c>
      <c r="AE17" s="2" t="n"/>
      <c r="AF17" s="2" t="n"/>
      <c r="AG17" s="2" t="n"/>
      <c r="AH17" s="2" t="n"/>
      <c r="AI17" s="2" t="n"/>
      <c r="AJ17" s="2" t="n"/>
      <c r="AK17" s="3" t="n">
        <v>24</v>
      </c>
      <c r="AL17" s="2" t="inlineStr">
        <is>
          <t>R021; R023–R025 (possible identity; Q3)</t>
        </is>
      </c>
      <c r="AM17" s="2" t="inlineStr">
        <is>
          <t>PetSmart</t>
        </is>
      </c>
    </row>
    <row r="18">
      <c r="A18" s="2" t="n">
        <v>17</v>
      </c>
      <c r="B18" s="2" t="inlineStr">
        <is>
          <t>10/30/2014</t>
        </is>
      </c>
      <c r="C18" s="2" t="inlineStr">
        <is>
          <t>Unnamed financial bidder 2 (IOI range reached at least $80.00)</t>
        </is>
      </c>
      <c r="D18" s="2" t="inlineStr">
        <is>
          <t>Bid</t>
        </is>
      </c>
      <c r="E18" s="3" t="n">
        <v>1</v>
      </c>
      <c r="F18" s="2" t="n">
        <v>1</v>
      </c>
      <c r="G18" s="2" t="inlineStr">
        <is>
          <t>Financial</t>
        </is>
      </c>
      <c r="H18" s="2" t="inlineStr">
        <is>
          <t>Bound: ≥ $80 — one of the three bidders whose initially indicated ranges “reached at least $80.00 per share”; endpoints not disclosed; advanced to the final round (R021). Identity as a Bidder 3 member is a hypothesis only (Q3).</t>
        </is>
      </c>
      <c r="I18" s="2" t="inlineStr">
        <is>
          <t>Informal</t>
        </is>
      </c>
      <c r="J18" s="2" t="inlineStr">
        <is>
          <t>Heavy</t>
        </is>
      </c>
      <c r="K18"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“Three bidders initially indicated price ranges that reached at least $80.00 per share” (p. 24). The filing does not give this bidder's endpoints; the wording is ambiguous between a floor on the whole range and a level the range reached (Q6).</t>
        </is>
      </c>
      <c r="L18" s="2" t="inlineStr">
        <is>
          <t>P-021; P-022</t>
        </is>
      </c>
      <c r="M18" s="2" t="inlineStr">
        <is>
          <t>Q4; Q6</t>
        </is>
      </c>
      <c r="N18" s="2" t="n"/>
      <c r="O18" s="2" t="inlineStr">
        <is>
          <t>R017</t>
        </is>
      </c>
      <c r="P18" s="2" t="inlineStr">
        <is>
          <t>Yes</t>
        </is>
      </c>
      <c r="Q18" s="3" t="n">
        <v>1</v>
      </c>
      <c r="R18" s="5" t="n">
        <v>41942</v>
      </c>
      <c r="S18" s="5" t="n">
        <v>41942</v>
      </c>
      <c r="T18" s="5" t="n">
        <v>41942</v>
      </c>
      <c r="U18" s="2" t="inlineStr">
        <is>
          <t>Reported day</t>
        </is>
      </c>
      <c r="V18" s="2" t="inlineStr">
        <is>
          <t>Reported</t>
        </is>
      </c>
      <c r="W18" s="6" t="n">
        <v>80</v>
      </c>
      <c r="X18" s="2" t="n"/>
      <c r="Y18" s="2" t="inlineStr">
        <is>
          <t>Bound only</t>
        </is>
      </c>
      <c r="Z18" s="2" t="inlineStr">
        <is>
          <t>Stated</t>
        </is>
      </c>
      <c r="AA18" s="2" t="inlineStr">
        <is>
          <t>USD</t>
        </is>
      </c>
      <c r="AB18" s="2" t="inlineStr">
        <is>
          <t>Not stated</t>
        </is>
      </c>
      <c r="AC18" s="2" t="n"/>
      <c r="AD18" s="2" t="inlineStr">
        <is>
          <t>Fin: not stated; DD required: substantive (period not stated); DD open: yes; Excl: not stated</t>
        </is>
      </c>
      <c r="AE18" s="2" t="n"/>
      <c r="AF18" s="2" t="n"/>
      <c r="AG18" s="2" t="n"/>
      <c r="AH18" s="2" t="n"/>
      <c r="AI18" s="2" t="n"/>
      <c r="AJ18" s="2" t="n"/>
      <c r="AK18" s="3" t="n">
        <v>24</v>
      </c>
      <c r="AL18" s="2" t="inlineStr">
        <is>
          <t>R021; R023–R025 (possible identity; Q3)</t>
        </is>
      </c>
      <c r="AM18" s="2" t="inlineStr">
        <is>
          <t>PetSmart</t>
        </is>
      </c>
    </row>
    <row r="19">
      <c r="A19" s="2" t="n">
        <v>18</v>
      </c>
      <c r="B19" s="2" t="inlineStr">
        <is>
          <t>10/30/2014</t>
        </is>
      </c>
      <c r="C19" s="2" t="inlineStr">
        <is>
          <t>Bidder 2</t>
        </is>
      </c>
      <c r="D19" s="2" t="inlineStr">
        <is>
          <t>Bid</t>
        </is>
      </c>
      <c r="E19" s="3" t="n">
        <v>1</v>
      </c>
      <c r="F19" s="2" t="n">
        <v>1</v>
      </c>
      <c r="G19" s="2" t="inlineStr">
        <is>
          <t>Financial</t>
        </is>
      </c>
      <c r="H19" s="2" t="inlineStr">
        <is>
          <t>Non-binding preliminary indication of $78.00 per share; increased to a range of $81.00–$84.00 during 10/30–11/02 discussions (R019); advanced to the final round (R021).</t>
        </is>
      </c>
      <c r="I19" s="2" t="inlineStr">
        <is>
          <t>Informal</t>
        </is>
      </c>
      <c r="J19" s="2" t="inlineStr">
        <is>
          <t>Heavy</t>
        </is>
      </c>
      <c r="K19"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“another bidder (which we refer to as “Bidder 2”), which had initially indicated a price of $78.00” (p. 24).</t>
        </is>
      </c>
      <c r="L19" s="2" t="inlineStr">
        <is>
          <t>P-021; P-019</t>
        </is>
      </c>
      <c r="M19" s="2" t="inlineStr">
        <is>
          <t>Q4</t>
        </is>
      </c>
      <c r="N19" s="2" t="n"/>
      <c r="O19" s="2" t="inlineStr">
        <is>
          <t>R018</t>
        </is>
      </c>
      <c r="P19" s="2" t="inlineStr">
        <is>
          <t>Yes</t>
        </is>
      </c>
      <c r="Q19" s="3" t="n">
        <v>1</v>
      </c>
      <c r="R19" s="5" t="n">
        <v>41942</v>
      </c>
      <c r="S19" s="5" t="n">
        <v>41942</v>
      </c>
      <c r="T19" s="5" t="n">
        <v>41942</v>
      </c>
      <c r="U19" s="2" t="inlineStr">
        <is>
          <t>Reported day</t>
        </is>
      </c>
      <c r="V19" s="2" t="inlineStr">
        <is>
          <t>Reported</t>
        </is>
      </c>
      <c r="W19" s="6" t="n">
        <v>78</v>
      </c>
      <c r="X19" s="6" t="n">
        <v>78</v>
      </c>
      <c r="Y19" s="2" t="inlineStr">
        <is>
          <t>Point</t>
        </is>
      </c>
      <c r="Z19" s="2" t="inlineStr">
        <is>
          <t>Stated</t>
        </is>
      </c>
      <c r="AA19" s="2" t="inlineStr">
        <is>
          <t>USD</t>
        </is>
      </c>
      <c r="AB19" s="2" t="inlineStr">
        <is>
          <t>Not stated</t>
        </is>
      </c>
      <c r="AC19" s="6" t="n">
        <v>78</v>
      </c>
      <c r="AD19" s="2" t="inlineStr">
        <is>
          <t>Fin: not stated; DD required: substantive (period not stated); DD open: yes; Excl: not stated</t>
        </is>
      </c>
      <c r="AE19" s="2" t="n"/>
      <c r="AF19" s="2" t="n"/>
      <c r="AG19" s="2" t="n"/>
      <c r="AH19" s="2" t="n"/>
      <c r="AI19" s="2" t="n"/>
      <c r="AJ19" s="2" t="n"/>
      <c r="AK19" s="3" t="n">
        <v>24</v>
      </c>
      <c r="AL19" s="2" t="inlineStr">
        <is>
          <t>R019 (revises); R021</t>
        </is>
      </c>
      <c r="AM19" s="2" t="inlineStr">
        <is>
          <t>PetSmart</t>
        </is>
      </c>
    </row>
    <row r="20">
      <c r="A20" s="2" t="n">
        <v>19</v>
      </c>
      <c r="B20" s="2" t="inlineStr">
        <is>
          <t>10/30/2014</t>
        </is>
      </c>
      <c r="C20" s="2" t="inlineStr">
        <is>
          <t>2 unnamed financial submitters (cohort; indications below $80.00)</t>
        </is>
      </c>
      <c r="D20" s="2" t="inlineStr">
        <is>
          <t>Bid</t>
        </is>
      </c>
      <c r="E20" s="3" t="n">
        <v>1</v>
      </c>
      <c r="F20" s="2" t="n">
        <v>1</v>
      </c>
      <c r="G20" s="2" t="inlineStr">
        <is>
          <t>Financial</t>
        </is>
      </c>
      <c r="H20" s="2" t="inlineStr">
        <is>
          <t>Two of the six submitters indicated prices below $80.00 per share; values not disclosed; not advanced to the final round (closed at R022). Count 2 = the two submitting units; no individual prices exist in the filing.</t>
        </is>
      </c>
      <c r="I20" s="2" t="inlineStr">
        <is>
          <t>Informal</t>
        </is>
      </c>
      <c r="J20" s="2" t="inlineStr">
        <is>
          <t>Heavy</t>
        </is>
      </c>
      <c r="K20"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Six parties submitted on 10/30 and only four “bidders that had indicated a price or range at or above $80.00” were allowed to proceed (p. 24), leaving two submitters below the threshold whose prices are not disclosed (p. 24).</t>
        </is>
      </c>
      <c r="L20" s="2" t="inlineStr">
        <is>
          <t>P-021; P-022</t>
        </is>
      </c>
      <c r="M20" s="2" t="inlineStr">
        <is>
          <t>Q2</t>
        </is>
      </c>
      <c r="N20" s="2" t="n"/>
      <c r="O20" s="2" t="inlineStr">
        <is>
          <t>R020</t>
        </is>
      </c>
      <c r="P20" s="2" t="inlineStr">
        <is>
          <t>Yes</t>
        </is>
      </c>
      <c r="Q20" s="3" t="n">
        <v>2</v>
      </c>
      <c r="R20" s="5" t="n">
        <v>41942</v>
      </c>
      <c r="S20" s="5" t="n">
        <v>41942</v>
      </c>
      <c r="T20" s="5" t="n">
        <v>41942</v>
      </c>
      <c r="U20" s="2" t="inlineStr">
        <is>
          <t>Reported day</t>
        </is>
      </c>
      <c r="V20" s="2" t="inlineStr">
        <is>
          <t>Reported</t>
        </is>
      </c>
      <c r="W20" s="2" t="n"/>
      <c r="X20" s="2" t="n"/>
      <c r="Y20" s="2" t="inlineStr">
        <is>
          <t>Undisclosed</t>
        </is>
      </c>
      <c r="Z20" s="2" t="n"/>
      <c r="AA20" s="2" t="n"/>
      <c r="AB20" s="2" t="inlineStr">
        <is>
          <t>Not stated</t>
        </is>
      </c>
      <c r="AC20" s="2" t="n"/>
      <c r="AD20" s="2" t="inlineStr">
        <is>
          <t>Fin: not stated; DD required: substantive (period not stated); DD open: yes; Excl: not stated</t>
        </is>
      </c>
      <c r="AE20" s="2" t="n"/>
      <c r="AF20" s="2" t="n"/>
      <c r="AG20" s="2" t="n"/>
      <c r="AH20" s="2" t="n"/>
      <c r="AI20" s="2" t="n"/>
      <c r="AJ20" s="2" t="n"/>
      <c r="AK20" s="3" t="n">
        <v>24</v>
      </c>
      <c r="AL20" s="2" t="inlineStr">
        <is>
          <t>R022 (dropped)</t>
        </is>
      </c>
      <c r="AM20" s="2" t="inlineStr">
        <is>
          <t>PetSmart</t>
        </is>
      </c>
    </row>
    <row r="21">
      <c r="A21" s="2" t="n">
        <v>19.5</v>
      </c>
      <c r="B21" s="2" t="inlineStr">
        <is>
          <t>by 10/30/2014</t>
        </is>
      </c>
      <c r="C21" s="2" t="inlineStr">
        <is>
          <t>9 unnamed financial NDA signers (cohort; no indication submitted)</t>
        </is>
      </c>
      <c r="D21" s="2" t="inlineStr">
        <is>
          <t>Did not submit</t>
        </is>
      </c>
      <c r="E21" s="3" t="n">
        <v>1</v>
      </c>
      <c r="F21" s="2" t="n">
        <v>1</v>
      </c>
      <c r="G21" s="2" t="inlineStr">
        <is>
          <t>Financial</t>
        </is>
      </c>
      <c r="H21" s="2" t="inlineStr">
        <is>
          <t>Inferred: residual — 15 NDA signers − 6 submitters = 9 non-submitters; no indication of interest reported from these signers by the 10/30/2014 deadline. CLOSED by inference; no decision date, motive or voluntary withdrawal is inferred, and no individual rows are created for anonymous members.</t>
        </is>
      </c>
      <c r="I21" s="2" t="n"/>
      <c r="J21" s="2" t="n"/>
      <c r="K21" s="2" t="inlineStr">
        <is>
          <t>Base and continuing set from the same passages: “In the first week of October 2014, the Company entered into confidentiality and standstill agreements with 15 potentially interested financial buyers” (p. 23); “On October 30, six of the potentially interested parties submitted indications of interest” (p. 24). Arithmetic 15 − 6 = 9. Base assumes every submitter was among the 15 signers and that the Buyer Group counts as one signer/unit (Q2).</t>
        </is>
      </c>
      <c r="L21" s="2" t="inlineStr">
        <is>
          <t>P-018; P-021; P-022</t>
        </is>
      </c>
      <c r="M21" s="2" t="inlineStr">
        <is>
          <t>Q2; Q3</t>
        </is>
      </c>
      <c r="N21" s="2" t="n"/>
      <c r="O21" s="2" t="inlineStr">
        <is>
          <t>R045</t>
        </is>
      </c>
      <c r="P21" s="2" t="inlineStr">
        <is>
          <t>Yes</t>
        </is>
      </c>
      <c r="Q21" s="3" t="n">
        <v>9</v>
      </c>
      <c r="R21" s="5" t="n">
        <v>41942</v>
      </c>
      <c r="S21" s="2" t="n"/>
      <c r="T21" s="5" t="n">
        <v>41942</v>
      </c>
      <c r="U21" s="2" t="inlineStr">
        <is>
          <t>Relative only</t>
        </is>
      </c>
      <c r="V21" s="2" t="inlineStr">
        <is>
          <t>Assigned: deadline</t>
        </is>
      </c>
      <c r="W21" s="2" t="n"/>
      <c r="X21" s="2" t="n"/>
      <c r="Y21" s="2" t="n"/>
      <c r="Z21" s="2" t="n"/>
      <c r="AA21" s="2" t="n"/>
      <c r="AB21" s="2" t="n"/>
      <c r="AC21" s="2" t="n"/>
      <c r="AD21" s="2" t="n"/>
      <c r="AE21" s="2" t="n"/>
      <c r="AF21" s="2" t="n"/>
      <c r="AG21" s="2" t="n"/>
      <c r="AH21" s="2" t="inlineStr">
        <is>
          <t>Unknown</t>
        </is>
      </c>
      <c r="AI21" s="2" t="inlineStr">
        <is>
          <t>Not stated</t>
        </is>
      </c>
      <c r="AJ21" s="2" t="inlineStr">
        <is>
          <t>Inferred: residual</t>
        </is>
      </c>
      <c r="AK21" s="3" t="n">
        <v>23</v>
      </c>
      <c r="AL21" s="2" t="inlineStr">
        <is>
          <t>R012 (base population); R015–R020 (submitters)</t>
        </is>
      </c>
      <c r="AM21" s="2" t="inlineStr">
        <is>
          <t>PetSmart</t>
        </is>
      </c>
    </row>
    <row r="22">
      <c r="A22" s="2" t="n">
        <v>21</v>
      </c>
      <c r="B22" s="2" t="inlineStr">
        <is>
          <t>10/30–11/02/2014; day not disclosed</t>
        </is>
      </c>
      <c r="C22" s="2" t="inlineStr">
        <is>
          <t>Bidder 2</t>
        </is>
      </c>
      <c r="D22" s="2" t="inlineStr">
        <is>
          <t>Bid</t>
        </is>
      </c>
      <c r="E22" s="3" t="n">
        <v>1</v>
      </c>
      <c r="F22" s="2" t="n">
        <v>1</v>
      </c>
      <c r="G22" s="2" t="inlineStr">
        <is>
          <t>Financial</t>
        </is>
      </c>
      <c r="H22" s="2" t="inlineStr">
        <is>
          <t>Revised indication of $81.00–$84.00 per share after J.P. Morgan's 10/30–11/02 calls; first Bid row for this bidder in the round (R018) carries the Count.</t>
        </is>
      </c>
      <c r="I22" s="2" t="inlineStr">
        <is>
          <t>Informal</t>
        </is>
      </c>
      <c r="J22" s="2" t="inlineStr">
        <is>
          <t>Heavy</t>
        </is>
      </c>
      <c r="K22" s="2" t="inlineStr">
        <is>
          <t>Round 1 asked for “non-binding preliminary indications of interest” (p. 23); the bidder “submitted indications of interest” on the 10/30/2014 deadline (p. 24). Preliminary non-binding indication in a two-stage process in which a further substantial diligence stage (November) and definitive documentation followed before any written final bid; financing not stated. Heavy by context; the filing attaches no financing or diligence condition to the indication itself. “As a result of its discussions with J.P. Morgan, another bidder (which we refer to as “Bidder 2”), which had initially indicated a price of $78.00, increased its indication to a range of $81.00 to $84.00 per share” (p. 24). Discussions ran 10/30–11/02; the revision day is not disclosed.</t>
        </is>
      </c>
      <c r="L22" s="2" t="inlineStr">
        <is>
          <t>P-021</t>
        </is>
      </c>
      <c r="M22" s="2" t="inlineStr">
        <is>
          <t>Q6</t>
        </is>
      </c>
      <c r="N22" s="2" t="n"/>
      <c r="O22" s="2" t="inlineStr">
        <is>
          <t>R019</t>
        </is>
      </c>
      <c r="P22" s="2" t="inlineStr">
        <is>
          <t>Yes</t>
        </is>
      </c>
      <c r="Q22" s="3" t="n">
        <v>0</v>
      </c>
      <c r="R22" s="5" t="n">
        <v>41942</v>
      </c>
      <c r="S22" s="5" t="n">
        <v>41945</v>
      </c>
      <c r="T22" s="5" t="n">
        <v>41944</v>
      </c>
      <c r="U22" s="2" t="inlineStr">
        <is>
          <t>Reported interval</t>
        </is>
      </c>
      <c r="V22" s="2" t="inlineStr">
        <is>
          <t>Assigned: midpoint</t>
        </is>
      </c>
      <c r="W22" s="6" t="n">
        <v>81</v>
      </c>
      <c r="X22" s="6" t="n">
        <v>84</v>
      </c>
      <c r="Y22" s="2" t="inlineStr">
        <is>
          <t>Bidder range</t>
        </is>
      </c>
      <c r="Z22" s="2" t="inlineStr">
        <is>
          <t>Stated</t>
        </is>
      </c>
      <c r="AA22" s="2" t="inlineStr">
        <is>
          <t>USD</t>
        </is>
      </c>
      <c r="AB22" s="2" t="inlineStr">
        <is>
          <t>Not stated</t>
        </is>
      </c>
      <c r="AC22" s="2" t="n"/>
      <c r="AD22" s="2" t="inlineStr">
        <is>
          <t>Fin: not stated; DD required: substantive (period not stated); DD open: yes; Excl: not stated</t>
        </is>
      </c>
      <c r="AE22" s="2" t="n"/>
      <c r="AF22" s="2" t="n"/>
      <c r="AG22" s="2" t="n"/>
      <c r="AH22" s="2" t="n"/>
      <c r="AI22" s="2" t="n"/>
      <c r="AJ22" s="2" t="n"/>
      <c r="AK22" s="3" t="n">
        <v>24</v>
      </c>
      <c r="AL22" s="2" t="inlineStr">
        <is>
          <t>revises R018; R021</t>
        </is>
      </c>
      <c r="AM22" s="2" t="inlineStr">
        <is>
          <t>PetSmart</t>
        </is>
      </c>
    </row>
    <row r="23">
      <c r="A23" s="2" t="n">
        <v>22</v>
      </c>
      <c r="B23" s="2" t="inlineStr">
        <is>
          <t>11/03/2014</t>
        </is>
      </c>
      <c r="C23" s="2" t="inlineStr">
        <is>
          <t>PetSmart board</t>
        </is>
      </c>
      <c r="D23" s="2" t="inlineStr">
        <is>
          <t>Round opened</t>
        </is>
      </c>
      <c r="E23" s="3" t="n">
        <v>1</v>
      </c>
      <c r="F23" s="2" t="n">
        <v>2</v>
      </c>
      <c r="G23" s="2" t="n"/>
      <c r="H23" s="2" t="inlineStr">
        <is>
          <t>Board selected the four bidders whose indications were at or above $80.00 per share (Buyer Group, Bidder 2 and two unnamed bidders) to proceed to the final round of the sale process. Purpose: final-round diligence, negotiation of definitive documentation and final bids; the Company circulated a form of merger agreement with instructions to submit comments together with final bids (p. 24). Final bids were initially planned for 12/05/2014 (communication date not disclosed), then revised to 12/10 and an improvement deadline of 12/12 (R027, R028, R033).</t>
        </is>
      </c>
      <c r="I23" s="2" t="n"/>
      <c r="J23" s="2" t="n"/>
      <c r="K23" s="2" t="inlineStr">
        <is>
          <t>“The board determined to allow the four bidders that had indicated a price or range at or above $80.00 per share to proceed to the final round of the sale process” (p. 24). The filing calls this stage the final round and the later solicitation was for “final bids” and “best and final” offers (pp. 24–26).</t>
        </is>
      </c>
      <c r="L23" s="2" t="inlineStr">
        <is>
          <t>P-022; P-025; P-026</t>
        </is>
      </c>
      <c r="M23" s="2" t="inlineStr">
        <is>
          <t>Q1</t>
        </is>
      </c>
      <c r="N23" s="2" t="n"/>
      <c r="O23" s="2" t="inlineStr">
        <is>
          <t>R021</t>
        </is>
      </c>
      <c r="P23" s="2" t="inlineStr">
        <is>
          <t>Yes</t>
        </is>
      </c>
      <c r="Q23" s="2" t="n"/>
      <c r="R23" s="5" t="n">
        <v>41946</v>
      </c>
      <c r="S23" s="5" t="n">
        <v>41946</v>
      </c>
      <c r="T23" s="5" t="n">
        <v>41946</v>
      </c>
      <c r="U23" s="2" t="inlineStr">
        <is>
          <t>Reported day</t>
        </is>
      </c>
      <c r="V23" s="2" t="inlineStr">
        <is>
          <t>Reported</t>
        </is>
      </c>
      <c r="W23" s="2" t="n"/>
      <c r="X23" s="2" t="n"/>
      <c r="Y23" s="2" t="n"/>
      <c r="Z23" s="2" t="n"/>
      <c r="AA23" s="2" t="n"/>
      <c r="AB23" s="2" t="n"/>
      <c r="AC23" s="2" t="n"/>
      <c r="AD23" s="2" t="n"/>
      <c r="AE23" s="2" t="n"/>
      <c r="AF23" s="2" t="n"/>
      <c r="AG23" s="2" t="inlineStr">
        <is>
          <t>Announced as final</t>
        </is>
      </c>
      <c r="AH23" s="2" t="n"/>
      <c r="AI23" s="2" t="n"/>
      <c r="AJ23" s="2" t="n"/>
      <c r="AK23" s="3" t="n">
        <v>24</v>
      </c>
      <c r="AL23" s="2" t="inlineStr">
        <is>
          <t>R011 (prior round); R022; R027</t>
        </is>
      </c>
      <c r="AM23" s="2" t="inlineStr">
        <is>
          <t>PetSmart</t>
        </is>
      </c>
    </row>
    <row r="24">
      <c r="A24" s="2" t="n">
        <v>23</v>
      </c>
      <c r="B24" s="2" t="inlineStr">
        <is>
          <t>by 11/03/2014 (notified after the board meeting; day not disclosed)</t>
        </is>
      </c>
      <c r="C24" s="2" t="inlineStr">
        <is>
          <t>2 unnamed financial submitters (cohort; indications below $80.00)</t>
        </is>
      </c>
      <c r="D24" s="2" t="inlineStr">
        <is>
          <t>Dropped by target</t>
        </is>
      </c>
      <c r="E24" s="3" t="n">
        <v>1</v>
      </c>
      <c r="F24" s="2" t="n">
        <v>1</v>
      </c>
      <c r="G24" s="2" t="inlineStr">
        <is>
          <t>Financial</t>
        </is>
      </c>
      <c r="H24" s="2" t="inlineStr">
        <is>
          <t>Notified by J.P. Morgan following the 11/03 board meeting that they were eliminated; none indicated any interest or ability to remain in the process at price levels above their own initial indications. Excluded from the final round (Round 2).</t>
        </is>
      </c>
      <c r="I24" s="2" t="n"/>
      <c r="J24" s="2" t="n"/>
      <c r="K24" s="2" t="inlineStr">
        <is>
          <t>“Following this meeting, representatives of J.P. Morgan notified the eliminated parties, none of which indicated any interest or ability to remain in the process at price levels above their respective initial indications” (p. 24).</t>
        </is>
      </c>
      <c r="L24" s="2" t="inlineStr">
        <is>
          <t>P-022; P-021</t>
        </is>
      </c>
      <c r="M24" s="2" t="inlineStr">
        <is>
          <t>Q3</t>
        </is>
      </c>
      <c r="N24" s="2" t="n"/>
      <c r="O24" s="2" t="inlineStr">
        <is>
          <t>R022</t>
        </is>
      </c>
      <c r="P24" s="2" t="inlineStr">
        <is>
          <t>Yes</t>
        </is>
      </c>
      <c r="Q24" s="3" t="n">
        <v>2</v>
      </c>
      <c r="R24" s="5" t="n">
        <v>41946</v>
      </c>
      <c r="S24" s="2" t="n"/>
      <c r="T24" s="5" t="n">
        <v>41946</v>
      </c>
      <c r="U24" s="2" t="inlineStr">
        <is>
          <t>Relative only</t>
        </is>
      </c>
      <c r="V24" s="2" t="inlineStr">
        <is>
          <t>Assigned: decision day</t>
        </is>
      </c>
      <c r="W24" s="2" t="n"/>
      <c r="X24" s="2" t="n"/>
      <c r="Y24" s="2" t="n"/>
      <c r="Z24" s="2" t="n"/>
      <c r="AA24" s="2" t="n"/>
      <c r="AB24" s="2" t="n"/>
      <c r="AC24" s="2" t="n"/>
      <c r="AD24" s="2" t="n"/>
      <c r="AE24" s="2" t="n"/>
      <c r="AF24" s="2" t="n"/>
      <c r="AG24" s="2" t="n"/>
      <c r="AH24" s="2" t="inlineStr">
        <is>
          <t>Target</t>
        </is>
      </c>
      <c r="AI24" s="2" t="inlineStr">
        <is>
          <t>Lower offer than rivals</t>
        </is>
      </c>
      <c r="AJ24" s="2" t="inlineStr">
        <is>
          <t>Stated</t>
        </is>
      </c>
      <c r="AK24" s="3" t="n">
        <v>24</v>
      </c>
      <c r="AL24" s="2" t="inlineStr">
        <is>
          <t>R020 (their bids); R021</t>
        </is>
      </c>
      <c r="AM24" s="2" t="inlineStr">
        <is>
          <t>PetSmart</t>
        </is>
      </c>
    </row>
    <row r="25">
      <c r="A25" s="2" t="n">
        <v>24</v>
      </c>
      <c r="B25" s="2" t="inlineStr">
        <is>
          <t>after 11/03/2014; day not disclosed</t>
        </is>
      </c>
      <c r="C25" s="2" t="inlineStr">
        <is>
          <t>Unnamed finalist (sought equity partner); Unnamed finalist (would exit unless permitted to partner) → Bidder 3</t>
        </is>
      </c>
      <c r="D25" s="2" t="inlineStr">
        <is>
          <t>Bidding group changed</t>
        </is>
      </c>
      <c r="E25" s="3" t="n">
        <v>1</v>
      </c>
      <c r="F25" s="2" t="n">
        <v>2</v>
      </c>
      <c r="G25" s="2" t="n"/>
      <c r="H25" s="2" t="inlineStr">
        <is>
          <t>Formation of “Bidder 3”: two of the four final-round bidders requested, and the ad hoc committee authorized, working together — one had indicated a desire to work with an equity partner given the size of a PetSmart acquisition, the other had said it would drop out of the process if not permitted to work together; they had worked together on previous large leveraged buyouts. Composition: 4 independent final-round units → 3; the net units −1 is effected through the two Joined group rows (R024, R025); this row states the composition and carries no unit change of its own. Count 2 = members affected.</t>
        </is>
      </c>
      <c r="I25" s="2" t="n"/>
      <c r="J25" s="2" t="n"/>
      <c r="K25" s="2" t="inlineStr">
        <is>
          <t>“Two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 ad hoc committee authorized these two bidders to work together. We refer to these two bidders together as “Bidder 3.”” (p. 24).</t>
        </is>
      </c>
      <c r="L25" s="2" t="inlineStr">
        <is>
          <t>P-023; P-022</t>
        </is>
      </c>
      <c r="M25" s="2" t="inlineStr">
        <is>
          <t>Q3</t>
        </is>
      </c>
      <c r="N25" s="2" t="n"/>
      <c r="O25" s="2" t="inlineStr">
        <is>
          <t>R023</t>
        </is>
      </c>
      <c r="P25" s="2" t="inlineStr">
        <is>
          <t>Yes</t>
        </is>
      </c>
      <c r="Q25" s="3" t="n">
        <v>2</v>
      </c>
      <c r="R25" s="5" t="n">
        <v>41946</v>
      </c>
      <c r="S25" s="2" t="n"/>
      <c r="T25" s="5" t="n">
        <v>41946</v>
      </c>
      <c r="U25" s="2" t="inlineStr">
        <is>
          <t>Relative only</t>
        </is>
      </c>
      <c r="V25" s="2" t="inlineStr">
        <is>
          <t>Assigned: bound</t>
        </is>
      </c>
      <c r="W25" s="2" t="n"/>
      <c r="X25" s="2" t="n"/>
      <c r="Y25" s="2" t="n"/>
      <c r="Z25" s="2" t="n"/>
      <c r="AA25" s="2" t="n"/>
      <c r="AB25" s="2" t="n"/>
      <c r="AC25" s="2" t="n"/>
      <c r="AD25" s="2" t="n"/>
      <c r="AE25" s="2" t="n"/>
      <c r="AF25" s="2" t="n"/>
      <c r="AG25" s="2" t="n"/>
      <c r="AH25" s="2" t="n"/>
      <c r="AI25" s="2" t="n"/>
      <c r="AJ25" s="2" t="n"/>
      <c r="AK25" s="3" t="n">
        <v>24</v>
      </c>
      <c r="AL25" s="2" t="inlineStr">
        <is>
          <t>R024; R025; R032</t>
        </is>
      </c>
      <c r="AM25" s="2" t="inlineStr">
        <is>
          <t>PetSmart</t>
        </is>
      </c>
    </row>
    <row r="26">
      <c r="A26" s="2" t="n">
        <v>25</v>
      </c>
      <c r="B26" s="2" t="inlineStr">
        <is>
          <t>after 11/03/2014; day not disclosed</t>
        </is>
      </c>
      <c r="C26" s="2" t="inlineStr">
        <is>
          <t>Unnamed finalist (sought equity partner)</t>
        </is>
      </c>
      <c r="D26" s="2" t="inlineStr">
        <is>
          <t>Joined group</t>
        </is>
      </c>
      <c r="E26" s="3" t="n">
        <v>1</v>
      </c>
      <c r="F26" s="2" t="n">
        <v>2</v>
      </c>
      <c r="G26" s="2" t="inlineStr">
        <is>
          <t>Financial</t>
        </is>
      </c>
      <c r="H26" s="2" t="inlineStr">
        <is>
          <t>Joined Bidder 3 (with the other unnamed finalist); independent participation closed. Stage count falls by one: 4 independent units → 3 with Bidder 3 counting as one unit. Not an economic exit.</t>
        </is>
      </c>
      <c r="I26" s="2" t="n"/>
      <c r="J26" s="2" t="n"/>
      <c r="K26" s="2" t="inlineStr">
        <is>
          <t>One of the two finalists that “requested permission to work together”; “the ad hoc committee authorized these two bidders to work together. We refer to these two bidders together as “Bidder 3.”” (p. 24). Closing of the independent unit follows section 5.3; net unit effect stated once on this row.</t>
        </is>
      </c>
      <c r="L26" s="2" t="inlineStr">
        <is>
          <t>P-023</t>
        </is>
      </c>
      <c r="M26" s="2" t="inlineStr">
        <is>
          <t>Q3</t>
        </is>
      </c>
      <c r="N26" s="2" t="n"/>
      <c r="O26" s="2" t="inlineStr">
        <is>
          <t>R024</t>
        </is>
      </c>
      <c r="P26" s="2" t="inlineStr">
        <is>
          <t>Yes</t>
        </is>
      </c>
      <c r="Q26" s="3" t="n">
        <v>1</v>
      </c>
      <c r="R26" s="5" t="n">
        <v>41946</v>
      </c>
      <c r="S26" s="2" t="n"/>
      <c r="T26" s="5" t="n">
        <v>41946</v>
      </c>
      <c r="U26" s="2" t="inlineStr">
        <is>
          <t>Relative only</t>
        </is>
      </c>
      <c r="V26" s="2" t="inlineStr">
        <is>
          <t>Assigned: bound</t>
        </is>
      </c>
      <c r="W26" s="2" t="n"/>
      <c r="X26" s="2" t="n"/>
      <c r="Y26" s="2" t="n"/>
      <c r="Z26" s="2" t="n"/>
      <c r="AA26" s="2" t="n"/>
      <c r="AB26" s="2" t="n"/>
      <c r="AC26" s="2" t="n"/>
      <c r="AD26" s="2" t="n"/>
      <c r="AE26" s="2" t="n"/>
      <c r="AF26" s="2" t="n"/>
      <c r="AG26" s="2" t="n"/>
      <c r="AH26" s="2" t="n"/>
      <c r="AI26" s="2" t="n"/>
      <c r="AJ26" s="2" t="inlineStr">
        <is>
          <t>Stated</t>
        </is>
      </c>
      <c r="AK26" s="3" t="n">
        <v>24</v>
      </c>
      <c r="AL26" s="2" t="inlineStr">
        <is>
          <t>R023 (formation); R025</t>
        </is>
      </c>
      <c r="AM26" s="2" t="inlineStr">
        <is>
          <t>PetSmart</t>
        </is>
      </c>
    </row>
    <row r="27">
      <c r="A27" s="2" t="n">
        <v>26</v>
      </c>
      <c r="B27" s="2" t="inlineStr">
        <is>
          <t>after 11/03/2014; day not disclosed</t>
        </is>
      </c>
      <c r="C27" s="2" t="inlineStr">
        <is>
          <t>Unnamed finalist (would exit unless permitted to partner)</t>
        </is>
      </c>
      <c r="D27" s="2" t="inlineStr">
        <is>
          <t>Joined group</t>
        </is>
      </c>
      <c r="E27" s="3" t="n">
        <v>1</v>
      </c>
      <c r="F27" s="2" t="n">
        <v>2</v>
      </c>
      <c r="G27" s="2" t="inlineStr">
        <is>
          <t>Financial</t>
        </is>
      </c>
      <c r="H27" s="2" t="inlineStr">
        <is>
          <t>Joined Bidder 3 (with the other unnamed finalist); independent participation closed; no separate count effect — the net 4 → 3 unit change is recorded once at R024.</t>
        </is>
      </c>
      <c r="I27" s="2" t="n"/>
      <c r="J27" s="2" t="n"/>
      <c r="K27" s="2" t="inlineStr">
        <is>
          <t>One of the two finalists that “requested permission to work together”; “the ad hoc committee authorized these two bidders to work together. We refer to these two bidders together as “Bidder 3.”” (p. 24).</t>
        </is>
      </c>
      <c r="L27" s="2" t="inlineStr">
        <is>
          <t>P-023</t>
        </is>
      </c>
      <c r="M27" s="2" t="inlineStr">
        <is>
          <t>Q3</t>
        </is>
      </c>
      <c r="N27" s="2" t="n"/>
      <c r="O27" s="2" t="inlineStr">
        <is>
          <t>R025</t>
        </is>
      </c>
      <c r="P27" s="2" t="inlineStr">
        <is>
          <t>Yes</t>
        </is>
      </c>
      <c r="Q27" s="3" t="n">
        <v>1</v>
      </c>
      <c r="R27" s="5" t="n">
        <v>41946</v>
      </c>
      <c r="S27" s="2" t="n"/>
      <c r="T27" s="5" t="n">
        <v>41946</v>
      </c>
      <c r="U27" s="2" t="inlineStr">
        <is>
          <t>Relative only</t>
        </is>
      </c>
      <c r="V27" s="2" t="inlineStr">
        <is>
          <t>Assigned: bound</t>
        </is>
      </c>
      <c r="W27" s="2" t="n"/>
      <c r="X27" s="2" t="n"/>
      <c r="Y27" s="2" t="n"/>
      <c r="Z27" s="2" t="n"/>
      <c r="AA27" s="2" t="n"/>
      <c r="AB27" s="2" t="n"/>
      <c r="AC27" s="2" t="n"/>
      <c r="AD27" s="2" t="n"/>
      <c r="AE27" s="2" t="n"/>
      <c r="AF27" s="2" t="n"/>
      <c r="AG27" s="2" t="n"/>
      <c r="AH27" s="2" t="n"/>
      <c r="AI27" s="2" t="n"/>
      <c r="AJ27" s="2" t="inlineStr">
        <is>
          <t>Stated</t>
        </is>
      </c>
      <c r="AK27" s="3" t="n">
        <v>24</v>
      </c>
      <c r="AL27" s="2" t="inlineStr">
        <is>
          <t>R023 (formation); R024</t>
        </is>
      </c>
      <c r="AM27" s="2" t="inlineStr">
        <is>
          <t>PetSmart</t>
        </is>
      </c>
    </row>
    <row r="28">
      <c r="A28" s="2" t="n">
        <v>27</v>
      </c>
      <c r="B28" s="2" t="inlineStr">
        <is>
          <t>November 2014; after the third quarter earnings announcement (day not disclosed)</t>
        </is>
      </c>
      <c r="C28" s="2" t="inlineStr">
        <is>
          <t>PetSmart / J.P. Morgan</t>
        </is>
      </c>
      <c r="D28" s="2" t="inlineStr">
        <is>
          <t>Information access changed</t>
        </is>
      </c>
      <c r="E28" s="3" t="n">
        <v>1</v>
      </c>
      <c r="F28" s="2" t="n">
        <v>2</v>
      </c>
      <c r="G28" s="2" t="n"/>
      <c r="H28" s="2" t="inlineStr">
        <is>
          <t>Updated FY2014 financial projections: following the Q3 earnings announcement, at the request of bidders and the direction of the board, J.P. Morgan provided the bidders with updates to the Company's FY2014 projections. FY2014–FY2019 projections had earlier been provided to the board and J.P. Morgan, with portions made available to Parent, Merger Sub and Buyer Group members; FY2020–2024 extrapolations and certain metrics were provided to the board and J.P. Morgan only (R026 covers the revision of projections after bidding began; the update was given to the bidders alike).</t>
        </is>
      </c>
      <c r="I28" s="2" t="n"/>
      <c r="J28" s="2" t="n"/>
      <c r="K28" s="2" t="inlineStr">
        <is>
          <t>“Following the Company’s third quarter earnings announcement and, at the request of bidders and the direction of the board and the Company, representatives of J.P. Morgan provided the bidders with updates to the Company’s fiscal year 2014 financial projections” (p. 24); “Following the release of the Company’s third fiscal quarter financial results, selected income statement line items for fiscal year 2014 only were updated to reflect actual performance and better visibility into the performance of the Company’s profit improvement plan”; “Portions of these projections were also made available to Parent, Merger Sub and members of the Buyer Group in connection with their respective consideration and evaluation of a merger with the Company” (p. 37).</t>
        </is>
      </c>
      <c r="L28" s="2" t="inlineStr">
        <is>
          <t>P-024; X-010; X-034; X-035; X-036</t>
        </is>
      </c>
      <c r="M28" s="2" t="inlineStr">
        <is>
          <t>Q1</t>
        </is>
      </c>
      <c r="N28" s="2" t="n"/>
      <c r="O28" s="2" t="inlineStr">
        <is>
          <t>R026</t>
        </is>
      </c>
      <c r="P28" s="2" t="inlineStr">
        <is>
          <t>Yes</t>
        </is>
      </c>
      <c r="Q28" s="2" t="n"/>
      <c r="R28" s="5" t="n">
        <v>41944</v>
      </c>
      <c r="S28" s="5" t="n">
        <v>41973</v>
      </c>
      <c r="T28" s="5" t="n">
        <v>41958</v>
      </c>
      <c r="U28" s="2" t="inlineStr">
        <is>
          <t>Reported interval</t>
        </is>
      </c>
      <c r="V28" s="2" t="inlineStr">
        <is>
          <t>Assigned: midpoint</t>
        </is>
      </c>
      <c r="W28" s="2" t="n"/>
      <c r="X28" s="2" t="n"/>
      <c r="Y28" s="2" t="n"/>
      <c r="Z28" s="2" t="n"/>
      <c r="AA28" s="2" t="n"/>
      <c r="AB28" s="2" t="n"/>
      <c r="AC28" s="2" t="n"/>
      <c r="AD28" s="2" t="n"/>
      <c r="AE28" s="2" t="n"/>
      <c r="AF28" s="2" t="n"/>
      <c r="AG28" s="2" t="n"/>
      <c r="AH28" s="2" t="n"/>
      <c r="AI28" s="2" t="n"/>
      <c r="AJ28" s="2" t="n"/>
      <c r="AK28" s="3" t="n">
        <v>24</v>
      </c>
      <c r="AL28" s="2" t="n"/>
      <c r="AM28" s="2" t="inlineStr">
        <is>
          <t>PetSmart</t>
        </is>
      </c>
    </row>
    <row r="29">
      <c r="A29" s="2" t="n">
        <v>28</v>
      </c>
      <c r="B29" s="2" t="inlineStr">
        <is>
          <t>12/04–12/05/2014; due date changed from 12/05/2014 to the evening of 12/10/2014</t>
        </is>
      </c>
      <c r="C29" s="2" t="inlineStr">
        <is>
          <t>PetSmart ad hoc committee / J.P. Morgan</t>
        </is>
      </c>
      <c r="D29" s="2" t="inlineStr">
        <is>
          <t>Deadline revised</t>
        </is>
      </c>
      <c r="E29" s="3" t="n">
        <v>1</v>
      </c>
      <c r="F29" s="2" t="n">
        <v>2</v>
      </c>
      <c r="G29" s="2" t="n"/>
      <c r="H29" s="2" t="inlineStr">
        <is>
          <t>Extension: the initial plan set Friday 12/05/2014 as the date for submission of bids (communication day not disclosed; the board had targeted 12/15/2014 for completion); on 12/04–12/05 the ad hoc committee concluded matters could be accomplished faster and set the evening of Wednesday 12/10/2014 as the deadline for final bids (five rather than ten days before the anticipated completion date), reducing leak/public-disclosure risk. Bidders were asked to submit mark-ups of the merger agreement, other transaction documents and financing commitments in advance. Due date field carries the superseded 12/05/2014 date; no separate milestone row for it per section 8.3.</t>
        </is>
      </c>
      <c r="I29" s="2" t="n"/>
      <c r="J29" s="2" t="n"/>
      <c r="K29" s="2" t="inlineStr">
        <is>
          <t>“The board had initially targeted Monday, December 15 for completion of the sale process, and had initially set Friday, December 5 as the date for submission of bids”; “on December 4 and December 5, 2014, after consultation with the Company’s financial and legal advisors, the ad hoc committee concluded that these matters could be accomplished in a shorter period of time”; “the Company set the evening of Wednesday, December 10 (five days, rather than 10 days prior to the anticipated December 15 completion date) as the deadline for submission of final bids” (pp. 24–25).</t>
        </is>
      </c>
      <c r="L29" s="2" t="inlineStr">
        <is>
          <t>P-025; P-026</t>
        </is>
      </c>
      <c r="M29" s="2" t="inlineStr">
        <is>
          <t>Q5</t>
        </is>
      </c>
      <c r="N29" s="2" t="n"/>
      <c r="O29" s="2" t="inlineStr">
        <is>
          <t>R027</t>
        </is>
      </c>
      <c r="P29" s="2" t="inlineStr">
        <is>
          <t>Yes</t>
        </is>
      </c>
      <c r="Q29" s="2" t="n"/>
      <c r="R29" s="5" t="n">
        <v>41977</v>
      </c>
      <c r="S29" s="5" t="n">
        <v>41978</v>
      </c>
      <c r="T29" s="5" t="n">
        <v>41977</v>
      </c>
      <c r="U29" s="2" t="inlineStr">
        <is>
          <t>Reported interval</t>
        </is>
      </c>
      <c r="V29" s="2" t="inlineStr">
        <is>
          <t>Assigned: bound</t>
        </is>
      </c>
      <c r="W29" s="2" t="n"/>
      <c r="X29" s="2" t="n"/>
      <c r="Y29" s="2" t="n"/>
      <c r="Z29" s="2" t="n"/>
      <c r="AA29" s="2" t="n"/>
      <c r="AB29" s="2" t="n"/>
      <c r="AC29" s="2" t="n"/>
      <c r="AD29" s="2" t="n"/>
      <c r="AE29" s="5" t="n">
        <v>41978</v>
      </c>
      <c r="AF29" s="2" t="inlineStr">
        <is>
          <t>Extended</t>
        </is>
      </c>
      <c r="AG29" s="2" t="n"/>
      <c r="AH29" s="2" t="n"/>
      <c r="AI29" s="2" t="n"/>
      <c r="AJ29" s="2" t="n"/>
      <c r="AK29" s="3" t="n">
        <v>24</v>
      </c>
      <c r="AL29" s="2" t="inlineStr">
        <is>
          <t>R021; R028</t>
        </is>
      </c>
      <c r="AM29" s="2" t="inlineStr">
        <is>
          <t>PetSmart</t>
        </is>
      </c>
    </row>
    <row r="30">
      <c r="A30" s="2" t="n">
        <v>29</v>
      </c>
      <c r="B30" s="2" t="inlineStr">
        <is>
          <t>12/10/2014 (evening)</t>
        </is>
      </c>
      <c r="C30" s="2" t="inlineStr">
        <is>
          <t>PetSmart (deadline for finalists)</t>
        </is>
      </c>
      <c r="D30" s="2" t="inlineStr">
        <is>
          <t>Deadline</t>
        </is>
      </c>
      <c r="E30" s="3" t="n">
        <v>1</v>
      </c>
      <c r="F30" s="2" t="n">
        <v>2</v>
      </c>
      <c r="G30" s="2" t="n"/>
      <c r="H30" s="2" t="inlineStr">
        <is>
          <t>Final bids due; received in writing from the Buyer Group and Bidder 2 with revised transaction documents; Bidder 3 gave only a verbal indication and no written offer (R031, R032). The ad hoc committee then required improved bids (R033).</t>
        </is>
      </c>
      <c r="I30" s="2" t="n"/>
      <c r="J30" s="2" t="n"/>
      <c r="K30" s="2" t="inlineStr">
        <is>
          <t>“the Company set the evening of Wednesday, December 10 (five days, rather than 10 days prior to the anticipated December 15 completion date) as the deadline for submission of final bids” (p. 25); “On December 10, PetSmart received final bid letters along with revised versions of the merger agreement and other transaction documents from the Buyer Group and from Bidder 2 and a verbal indication from Bidder 3” (p. 25).</t>
        </is>
      </c>
      <c r="L30" s="2" t="inlineStr">
        <is>
          <t>P-026; P-030; P-031</t>
        </is>
      </c>
      <c r="M30" s="2" t="inlineStr">
        <is>
          <t>Q5</t>
        </is>
      </c>
      <c r="N30" s="2" t="n"/>
      <c r="O30" s="2" t="inlineStr">
        <is>
          <t>R028</t>
        </is>
      </c>
      <c r="P30" s="2" t="inlineStr">
        <is>
          <t>Yes</t>
        </is>
      </c>
      <c r="Q30" s="2" t="n"/>
      <c r="R30" s="5" t="n">
        <v>41983</v>
      </c>
      <c r="S30" s="5" t="n">
        <v>41983</v>
      </c>
      <c r="T30" s="5" t="n">
        <v>41983</v>
      </c>
      <c r="U30" s="2" t="inlineStr">
        <is>
          <t>Reported day</t>
        </is>
      </c>
      <c r="V30" s="2" t="inlineStr">
        <is>
          <t>Reported</t>
        </is>
      </c>
      <c r="W30" s="2" t="n"/>
      <c r="X30" s="2" t="n"/>
      <c r="Y30" s="2" t="n"/>
      <c r="Z30" s="2" t="n"/>
      <c r="AA30" s="2" t="n"/>
      <c r="AB30" s="2" t="n"/>
      <c r="AC30" s="2" t="n"/>
      <c r="AD30" s="2" t="n"/>
      <c r="AE30" s="5" t="n">
        <v>41983</v>
      </c>
      <c r="AF30" s="2" t="inlineStr">
        <is>
          <t>Extended</t>
        </is>
      </c>
      <c r="AG30" s="2" t="n"/>
      <c r="AH30" s="2" t="n"/>
      <c r="AI30" s="2" t="n"/>
      <c r="AJ30" s="2" t="n"/>
      <c r="AK30" s="3" t="n">
        <v>25</v>
      </c>
      <c r="AL30" s="2" t="inlineStr">
        <is>
          <t>R027; R033</t>
        </is>
      </c>
      <c r="AM30" s="2" t="inlineStr">
        <is>
          <t>PetSmart</t>
        </is>
      </c>
    </row>
    <row r="31">
      <c r="A31" s="2" t="n">
        <v>30</v>
      </c>
      <c r="B31" s="2" t="inlineStr">
        <is>
          <t>12/10/2014</t>
        </is>
      </c>
      <c r="C31" s="2" t="inlineStr">
        <is>
          <t>Buyer Group</t>
        </is>
      </c>
      <c r="D31" s="2" t="inlineStr">
        <is>
          <t>Bid</t>
        </is>
      </c>
      <c r="E31" s="3" t="n">
        <v>1</v>
      </c>
      <c r="F31" s="2" t="n">
        <v>2</v>
      </c>
      <c r="G31" s="2" t="inlineStr">
        <is>
          <t>Financial</t>
        </is>
      </c>
      <c r="H31" s="2" t="inlineStr">
        <is>
          <t>Final bid letter: $80.70 per share, in cash, with revised versions of the merger agreement and other transaction documents; financing commitment documents provided 12/06/2014 (p. 25); docs described as more favorable to the Company, less conditional and reflecting substantially more acceptance of the Company's positions. Bid not dependent on a Longview rollover.</t>
        </is>
      </c>
      <c r="I31" s="2" t="inlineStr">
        <is>
          <t>Formal</t>
        </is>
      </c>
      <c r="J31" s="2" t="inlineStr">
        <is>
          <t>Light</t>
        </is>
      </c>
      <c r="K31" s="2" t="inlineStr">
        <is>
          <t>“The Buyer Group offered $80.70 per share, in cash” (p. 25). Formal signal: “revised versions of the merger agreement and other transaction documents”; the Buyer Group's documents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(p. 25); financing commitments provided (p. 25). Heavy triggers absent; the bid remained subject to final documentation; no diligence or financing condition is reported.</t>
        </is>
      </c>
      <c r="L31" s="2" t="inlineStr">
        <is>
          <t>P-030; P-027</t>
        </is>
      </c>
      <c r="M31" s="2" t="inlineStr">
        <is>
          <t>Q4</t>
        </is>
      </c>
      <c r="N31" s="2" t="n"/>
      <c r="O31" s="2" t="inlineStr">
        <is>
          <t>R029</t>
        </is>
      </c>
      <c r="P31" s="2" t="inlineStr">
        <is>
          <t>Yes</t>
        </is>
      </c>
      <c r="Q31" s="3" t="n">
        <v>1</v>
      </c>
      <c r="R31" s="5" t="n">
        <v>41983</v>
      </c>
      <c r="S31" s="5" t="n">
        <v>41983</v>
      </c>
      <c r="T31" s="5" t="n">
        <v>41983</v>
      </c>
      <c r="U31" s="2" t="inlineStr">
        <is>
          <t>Reported day</t>
        </is>
      </c>
      <c r="V31" s="2" t="inlineStr">
        <is>
          <t>Reported</t>
        </is>
      </c>
      <c r="W31" s="6" t="n">
        <v>80.7</v>
      </c>
      <c r="X31" s="6" t="n">
        <v>80.7</v>
      </c>
      <c r="Y31" s="2" t="inlineStr">
        <is>
          <t>Point</t>
        </is>
      </c>
      <c r="Z31" s="2" t="inlineStr">
        <is>
          <t>Stated</t>
        </is>
      </c>
      <c r="AA31" s="2" t="inlineStr">
        <is>
          <t>USD</t>
        </is>
      </c>
      <c r="AB31" s="2" t="inlineStr">
        <is>
          <t>Yes</t>
        </is>
      </c>
      <c r="AC31" s="6" t="n">
        <v>80.7</v>
      </c>
      <c r="AD31" s="2" t="inlineStr">
        <is>
          <t>Fin: committed; DD required: not stated; DD open: not disclosed; Excl: not stated</t>
        </is>
      </c>
      <c r="AE31" s="2" t="n"/>
      <c r="AF31" s="2" t="n"/>
      <c r="AG31" s="2" t="n"/>
      <c r="AH31" s="2" t="n"/>
      <c r="AI31" s="2" t="n"/>
      <c r="AJ31" s="2" t="n"/>
      <c r="AK31" s="3" t="n">
        <v>25</v>
      </c>
      <c r="AL31" s="2" t="inlineStr">
        <is>
          <t>R015 (initial indication); R037 (revised)</t>
        </is>
      </c>
      <c r="AM31" s="2" t="inlineStr">
        <is>
          <t>PetSmart</t>
        </is>
      </c>
    </row>
    <row r="32">
      <c r="A32" s="2" t="n">
        <v>31</v>
      </c>
      <c r="B32" s="2" t="inlineStr">
        <is>
          <t>12/10/2014</t>
        </is>
      </c>
      <c r="C32" s="2" t="inlineStr">
        <is>
          <t>Bidder 2</t>
        </is>
      </c>
      <c r="D32" s="2" t="inlineStr">
        <is>
          <t>Bid</t>
        </is>
      </c>
      <c r="E32" s="3" t="n">
        <v>1</v>
      </c>
      <c r="F32" s="2" t="n">
        <v>2</v>
      </c>
      <c r="G32" s="2" t="inlineStr">
        <is>
          <t>Financial</t>
        </is>
      </c>
      <c r="H32" s="2" t="inlineStr">
        <is>
          <t>Final bid letter: $80.35 per share, in cash, with revised versions of the merger agreement and other transaction documents; indicated any Longview partnering would occur only after execution of a definitive agreement; bid not dependent on a Longview rollover.</t>
        </is>
      </c>
      <c r="I32" s="2" t="inlineStr">
        <is>
          <t>Formal</t>
        </is>
      </c>
      <c r="J32" s="2" t="inlineStr">
        <is>
          <t>Light</t>
        </is>
      </c>
      <c r="K32" s="2" t="inlineStr">
        <is>
          <t>“Bidder 2 offered $80.35 per share, in cash” (p. 25); “final bid letters along with revised versions of the merger agreement and other transaction documents” (p. 25). No Heavy trigger reported; the bid remained subject to final documentation; financing not stated at this date (commitment documents appear with the 12/12 submission, p. 26).</t>
        </is>
      </c>
      <c r="L32" s="2" t="inlineStr">
        <is>
          <t>P-030; P-031</t>
        </is>
      </c>
      <c r="M32" s="2" t="inlineStr">
        <is>
          <t>Q4</t>
        </is>
      </c>
      <c r="N32" s="2" t="n"/>
      <c r="O32" s="2" t="inlineStr">
        <is>
          <t>R030</t>
        </is>
      </c>
      <c r="P32" s="2" t="inlineStr">
        <is>
          <t>Yes</t>
        </is>
      </c>
      <c r="Q32" s="3" t="n">
        <v>1</v>
      </c>
      <c r="R32" s="5" t="n">
        <v>41983</v>
      </c>
      <c r="S32" s="5" t="n">
        <v>41983</v>
      </c>
      <c r="T32" s="5" t="n">
        <v>41983</v>
      </c>
      <c r="U32" s="2" t="inlineStr">
        <is>
          <t>Reported day</t>
        </is>
      </c>
      <c r="V32" s="2" t="inlineStr">
        <is>
          <t>Reported</t>
        </is>
      </c>
      <c r="W32" s="6" t="n">
        <v>80.34999999999999</v>
      </c>
      <c r="X32" s="6" t="n">
        <v>80.34999999999999</v>
      </c>
      <c r="Y32" s="2" t="inlineStr">
        <is>
          <t>Point</t>
        </is>
      </c>
      <c r="Z32" s="2" t="inlineStr">
        <is>
          <t>Stated</t>
        </is>
      </c>
      <c r="AA32" s="2" t="inlineStr">
        <is>
          <t>USD</t>
        </is>
      </c>
      <c r="AB32" s="2" t="inlineStr">
        <is>
          <t>Yes</t>
        </is>
      </c>
      <c r="AC32" s="6" t="n">
        <v>80.34999999999999</v>
      </c>
      <c r="AD32" s="2" t="inlineStr">
        <is>
          <t>Fin: not stated; DD required: not stated; DD open: not disclosed; Excl: not stated</t>
        </is>
      </c>
      <c r="AE32" s="2" t="n"/>
      <c r="AF32" s="2" t="n"/>
      <c r="AG32" s="2" t="n"/>
      <c r="AH32" s="2" t="n"/>
      <c r="AI32" s="2" t="n"/>
      <c r="AJ32" s="2" t="n"/>
      <c r="AK32" s="3" t="n">
        <v>25</v>
      </c>
      <c r="AL32" s="2" t="inlineStr">
        <is>
          <t>R019 (earlier indication); R035 (revised)</t>
        </is>
      </c>
      <c r="AM32" s="2" t="inlineStr">
        <is>
          <t>PetSmart</t>
        </is>
      </c>
    </row>
    <row r="33">
      <c r="A33" s="2" t="n">
        <v>32</v>
      </c>
      <c r="B33" s="2" t="inlineStr">
        <is>
          <t>12/10/2014</t>
        </is>
      </c>
      <c r="C33" s="2" t="inlineStr">
        <is>
          <t>Bidder 3 (combined finalist group)</t>
        </is>
      </c>
      <c r="D33" s="2" t="inlineStr">
        <is>
          <t>Valuation statement</t>
        </is>
      </c>
      <c r="E33" s="3" t="n">
        <v>1</v>
      </c>
      <c r="F33" s="2" t="n">
        <v>2</v>
      </c>
      <c r="G33" s="2" t="n"/>
      <c r="H33" s="2" t="inlineStr">
        <is>
          <t>Verbal communication that its valuation would not be above the current stock price of approximately $78 per share; J.P. Morgan told Bidder 3 it was unlikely to be competitive. Treated as a valuation statement, not a priced bid: no per-share bid cells populated and no formality/conditionality assessment.</t>
        </is>
      </c>
      <c r="I33" s="2" t="n"/>
      <c r="J33" s="2" t="n"/>
      <c r="K33" s="2" t="inlineStr">
        <is>
          <t>“Bidder 3 verbally communicated to J.P. Morgan that their valuation would not be above the current stock price of approximately $78 per share. J.P. Morgan communicated to Bidder 3 that it was unlikely to be competitive and accordingly Bidder 3 did not submit a written offer” (p. 25). A valuation statement is not an offer (section 9.4).</t>
        </is>
      </c>
      <c r="L33" s="2" t="inlineStr">
        <is>
          <t>P-030</t>
        </is>
      </c>
      <c r="M33" s="2" t="inlineStr">
        <is>
          <t>Q4</t>
        </is>
      </c>
      <c r="N33" s="2" t="n"/>
      <c r="O33" s="2" t="inlineStr">
        <is>
          <t>R031</t>
        </is>
      </c>
      <c r="P33" s="2" t="inlineStr">
        <is>
          <t>Yes</t>
        </is>
      </c>
      <c r="Q33" s="2" t="n"/>
      <c r="R33" s="5" t="n">
        <v>41983</v>
      </c>
      <c r="S33" s="5" t="n">
        <v>41983</v>
      </c>
      <c r="T33" s="5" t="n">
        <v>41983</v>
      </c>
      <c r="U33" s="2" t="inlineStr">
        <is>
          <t>Reported day</t>
        </is>
      </c>
      <c r="V33" s="2" t="inlineStr">
        <is>
          <t>Reported</t>
        </is>
      </c>
      <c r="W33" s="2" t="n"/>
      <c r="X33" s="2" t="n"/>
      <c r="Y33" s="2" t="n"/>
      <c r="Z33" s="2" t="n"/>
      <c r="AA33" s="2" t="n"/>
      <c r="AB33" s="2" t="n"/>
      <c r="AC33" s="2" t="n"/>
      <c r="AD33" s="2" t="n"/>
      <c r="AE33" s="2" t="n"/>
      <c r="AF33" s="2" t="n"/>
      <c r="AG33" s="2" t="n"/>
      <c r="AH33" s="2" t="n"/>
      <c r="AI33" s="2" t="n"/>
      <c r="AJ33" s="2" t="n"/>
      <c r="AK33" s="3" t="n">
        <v>25</v>
      </c>
      <c r="AL33" s="2" t="inlineStr">
        <is>
          <t>R032; R023</t>
        </is>
      </c>
      <c r="AM33" s="2" t="inlineStr">
        <is>
          <t>PetSmart</t>
        </is>
      </c>
    </row>
    <row r="34">
      <c r="A34" s="2" t="n">
        <v>33</v>
      </c>
      <c r="B34" s="2" t="inlineStr">
        <is>
          <t>by 12/10/2014 (final bid deadline; no written offer submitted)</t>
        </is>
      </c>
      <c r="C34" s="2" t="inlineStr">
        <is>
          <t>Bidder 3 (combined finalist group)</t>
        </is>
      </c>
      <c r="D34" s="2" t="inlineStr">
        <is>
          <t>Did not submit</t>
        </is>
      </c>
      <c r="E34" s="3" t="n">
        <v>1</v>
      </c>
      <c r="F34" s="2" t="n">
        <v>2</v>
      </c>
      <c r="G34" s="2" t="inlineStr">
        <is>
          <t>Financial</t>
        </is>
      </c>
      <c r="H34" s="2" t="inlineStr">
        <is>
          <t>No written final bid after J.P. Morgan told Bidder 3 its indication was unlikely to be competitive. Affects the two combined units (Count 2); the combination itself is recorded at R023–R025. Exit from the final round.</t>
        </is>
      </c>
      <c r="I34" s="2" t="n"/>
      <c r="J34" s="2" t="n"/>
      <c r="K34" s="2" t="inlineStr">
        <is>
          <t>“J.P. Morgan communicated to Bidder 3 that it was unlikely to be competitive and accordingly Bidder 3 did not submit a written offer” (p. 25). Mixed mechanism — target discouragement followed by non-participation (Decided by Both).</t>
        </is>
      </c>
      <c r="L34" s="2" t="inlineStr">
        <is>
          <t>P-030; P-023</t>
        </is>
      </c>
      <c r="M34" s="2" t="inlineStr">
        <is>
          <t>Q3; Q4</t>
        </is>
      </c>
      <c r="N34" s="2" t="n"/>
      <c r="O34" s="2" t="inlineStr">
        <is>
          <t>R032</t>
        </is>
      </c>
      <c r="P34" s="2" t="inlineStr">
        <is>
          <t>Yes</t>
        </is>
      </c>
      <c r="Q34" s="3" t="n">
        <v>2</v>
      </c>
      <c r="R34" s="5" t="n">
        <v>41983</v>
      </c>
      <c r="S34" s="2" t="n"/>
      <c r="T34" s="5" t="n">
        <v>41983</v>
      </c>
      <c r="U34" s="2" t="inlineStr">
        <is>
          <t>Relative only</t>
        </is>
      </c>
      <c r="V34" s="2" t="inlineStr">
        <is>
          <t>Assigned: deadline</t>
        </is>
      </c>
      <c r="W34" s="2" t="n"/>
      <c r="X34" s="2" t="n"/>
      <c r="Y34" s="2" t="n"/>
      <c r="Z34" s="2" t="n"/>
      <c r="AA34" s="2" t="n"/>
      <c r="AB34" s="2" t="n"/>
      <c r="AC34" s="2" t="n"/>
      <c r="AD34" s="2" t="n"/>
      <c r="AE34" s="2" t="n"/>
      <c r="AF34" s="2" t="n"/>
      <c r="AG34" s="2" t="n"/>
      <c r="AH34" s="2" t="inlineStr">
        <is>
          <t>Both</t>
        </is>
      </c>
      <c r="AI34" s="2" t="inlineStr">
        <is>
          <t>Value at or below market price</t>
        </is>
      </c>
      <c r="AJ34" s="2" t="inlineStr">
        <is>
          <t>Stated</t>
        </is>
      </c>
      <c r="AK34" s="3" t="n">
        <v>25</v>
      </c>
      <c r="AL34" s="2" t="inlineStr">
        <is>
          <t>R031 (valuation); R023–R025</t>
        </is>
      </c>
      <c r="AM34" s="2" t="inlineStr">
        <is>
          <t>PetSmart</t>
        </is>
      </c>
    </row>
    <row r="35">
      <c r="A35" s="2" t="n">
        <v>34</v>
      </c>
      <c r="B35" s="2" t="inlineStr">
        <is>
          <t>12/10/2014; improved bids due 12/12/2014</t>
        </is>
      </c>
      <c r="C35" s="2" t="inlineStr">
        <is>
          <t>PetSmart ad hoc committee / J.P. Morgan</t>
        </is>
      </c>
      <c r="D35" s="2" t="inlineStr">
        <is>
          <t>Deadline revised</t>
        </is>
      </c>
      <c r="E35" s="3" t="n">
        <v>1</v>
      </c>
      <c r="F35" s="2" t="n">
        <v>2</v>
      </c>
      <c r="G35" s="2" t="n"/>
      <c r="H35" s="2" t="inlineStr">
        <is>
          <t>Extension and improvement request after the 12/10 deadline had passed: neither bid was viewed as the bidders' best offers and the bids were close; the ad hoc committee instructed J.P. Morgan to tell each bidder it needed to increase and to submit improved bids on 12/12/2014. J.P. Morgan confirmed to Bidder 2 on the evening of 12/12 that $81.50 was its best and final offer; both remaining bidders submitted improved offers that evening (R035–R037). The 12/12 date was reached and no further extension followed; the board acted on the bids in hand on 12/13.</t>
        </is>
      </c>
      <c r="I35" s="2" t="n"/>
      <c r="J35" s="2" t="n"/>
      <c r="K35" s="2" t="inlineStr">
        <is>
          <t>“the ad hoc committee instructed J.P. Morgan to inform each bidder that it would need to increase its bid, and to instruct the bidders to submit improved bids on December 12, 2014” (p. 25); “neither of the bids represented the bidders’ respective best offers” (p. 25). Deadline revised, not a new round or fresh deadline set (section 8.3).</t>
        </is>
      </c>
      <c r="L35" s="2" t="inlineStr">
        <is>
          <t>P-031; P-034</t>
        </is>
      </c>
      <c r="M35" s="2" t="inlineStr">
        <is>
          <t>Q5</t>
        </is>
      </c>
      <c r="N35" s="2" t="n"/>
      <c r="O35" s="2" t="inlineStr">
        <is>
          <t>R033</t>
        </is>
      </c>
      <c r="P35" s="2" t="inlineStr">
        <is>
          <t>Yes</t>
        </is>
      </c>
      <c r="Q35" s="2" t="n"/>
      <c r="R35" s="5" t="n">
        <v>41983</v>
      </c>
      <c r="S35" s="5" t="n">
        <v>41983</v>
      </c>
      <c r="T35" s="5" t="n">
        <v>41983</v>
      </c>
      <c r="U35" s="2" t="inlineStr">
        <is>
          <t>Reported day</t>
        </is>
      </c>
      <c r="V35" s="2" t="inlineStr">
        <is>
          <t>Reported</t>
        </is>
      </c>
      <c r="W35" s="2" t="n"/>
      <c r="X35" s="2" t="n"/>
      <c r="Y35" s="2" t="n"/>
      <c r="Z35" s="2" t="n"/>
      <c r="AA35" s="2" t="n"/>
      <c r="AB35" s="2" t="n"/>
      <c r="AC35" s="2" t="n"/>
      <c r="AD35" s="2" t="n"/>
      <c r="AE35" s="5" t="n">
        <v>41985</v>
      </c>
      <c r="AF35" s="2" t="inlineStr">
        <is>
          <t>Enforced</t>
        </is>
      </c>
      <c r="AG35" s="2" t="n"/>
      <c r="AH35" s="2" t="n"/>
      <c r="AI35" s="2" t="n"/>
      <c r="AJ35" s="2" t="n"/>
      <c r="AK35" s="3" t="n">
        <v>25</v>
      </c>
      <c r="AL35" s="2" t="inlineStr">
        <is>
          <t>R028 (prior due date); R035; R037</t>
        </is>
      </c>
      <c r="AM35" s="2" t="inlineStr">
        <is>
          <t>PetSmart</t>
        </is>
      </c>
    </row>
    <row r="36">
      <c r="A36" s="2" t="n">
        <v>35</v>
      </c>
      <c r="B36" s="2" t="inlineStr">
        <is>
          <t>12/12/2014 (request early in the day; approval and confidentiality agreement later the same day)</t>
        </is>
      </c>
      <c r="C36" s="2" t="inlineStr">
        <is>
          <t>Buyer Group / Longview (rollover support)</t>
        </is>
      </c>
      <c r="D36" s="2" t="inlineStr">
        <is>
          <t>Material process update</t>
        </is>
      </c>
      <c r="E36" s="3" t="n">
        <v>1</v>
      </c>
      <c r="F36" s="2" t="n">
        <v>2</v>
      </c>
      <c r="G36" s="2" t="n"/>
      <c r="H36" s="2" t="inlineStr">
        <is>
          <t>Rollover support formed/permitted: the Buyer Group requested permission to work more closely with Longview to include a rollover of a portion of Longview-managed shares in its bid, saying this might help achieve a higher price; the ad hoc committee approved; Longview and the Buyer Group executed a confidentiality agreement permitting exchange of detailed information including bid price (not previously shared); Wachtell Lipton instructed to provide a voting-agreement form to Longview. History: Longview offered a rollover on 07/07/2014; in October bidders were told Longview would roll up to 7.5 million shares on terms and price acceptable to Longview and were asked to indicate interest (not a participation condition); J.P. Morgan confirmed Longview's continued interest on the evening of 12/11/2014. Rollover support is not a bidding-group membership change.</t>
        </is>
      </c>
      <c r="I36" s="2" t="n"/>
      <c r="J36" s="2" t="n"/>
      <c r="K36" s="2" t="inlineStr">
        <is>
          <t>“the Buyer Group requested permission to work more closely with Longview in order to include a rollover of a portion of the Company shares managed by Longview in the Buyer Group’s bid”; “After consultation with the Company’s financial and legal advisors, the ad hoc committee approved the Buyer Group’s request” (p. 25); “later that day, Longview and the Buyer Group entered into a confidentiality agreement permitting the exchange of detailed information between them, including bid price” (p. 26); October disclosure: “Longview had informed the Company that it would be willing to “roll-over” up to 7.5 million shares on terms and price acceptable to Longview” (p. 23).</t>
        </is>
      </c>
      <c r="L36" s="2" t="inlineStr">
        <is>
          <t>P-032; P-033; P-031; P-019; P-020</t>
        </is>
      </c>
      <c r="M36" s="2" t="inlineStr">
        <is>
          <t>Q6</t>
        </is>
      </c>
      <c r="N36" s="2" t="n"/>
      <c r="O36" s="2" t="inlineStr">
        <is>
          <t>R034</t>
        </is>
      </c>
      <c r="P36" s="2" t="inlineStr">
        <is>
          <t>Yes</t>
        </is>
      </c>
      <c r="Q36" s="2" t="n"/>
      <c r="R36" s="5" t="n">
        <v>41985</v>
      </c>
      <c r="S36" s="5" t="n">
        <v>41985</v>
      </c>
      <c r="T36" s="5" t="n">
        <v>41985</v>
      </c>
      <c r="U36" s="2" t="inlineStr">
        <is>
          <t>Reported day</t>
        </is>
      </c>
      <c r="V36" s="2" t="inlineStr">
        <is>
          <t>Reported</t>
        </is>
      </c>
      <c r="W36" s="2" t="n"/>
      <c r="X36" s="2" t="n"/>
      <c r="Y36" s="2" t="n"/>
      <c r="Z36" s="2" t="n"/>
      <c r="AA36" s="2" t="n"/>
      <c r="AB36" s="2" t="n"/>
      <c r="AC36" s="2" t="n"/>
      <c r="AD36" s="2" t="n"/>
      <c r="AE36" s="2" t="n"/>
      <c r="AF36" s="2" t="n"/>
      <c r="AG36" s="2" t="n"/>
      <c r="AH36" s="2" t="n"/>
      <c r="AI36" s="2" t="n"/>
      <c r="AJ36" s="2" t="n"/>
      <c r="AK36" s="3" t="n">
        <v>25</v>
      </c>
      <c r="AL36" s="2" t="inlineStr">
        <is>
          <t>R039 (resolved); R037; R003</t>
        </is>
      </c>
      <c r="AM36" s="2" t="inlineStr">
        <is>
          <t>PetSmart</t>
        </is>
      </c>
    </row>
    <row r="37">
      <c r="A37" s="2" t="n">
        <v>36</v>
      </c>
      <c r="B37" s="2" t="inlineStr">
        <is>
          <t>12/12/2014 (evening)</t>
        </is>
      </c>
      <c r="C37" s="2" t="inlineStr">
        <is>
          <t>Bidder 2</t>
        </is>
      </c>
      <c r="D37" s="2" t="inlineStr">
        <is>
          <t>Bid</t>
        </is>
      </c>
      <c r="E37" s="3" t="n">
        <v>1</v>
      </c>
      <c r="F37" s="2" t="n">
        <v>2</v>
      </c>
      <c r="G37" s="2" t="inlineStr">
        <is>
          <t>Financial</t>
        </is>
      </c>
      <c r="H37" s="2" t="inlineStr">
        <is>
          <t>Improved best-and-final offer: $81.50 per share, in cash, with a revised draft merger agreement and other transaction agreements and copies of its financing commitment documents; J.P. Morgan confirmed the same evening that $81.50 was Bidder 2's best and final offer.</t>
        </is>
      </c>
      <c r="I37" s="2" t="inlineStr">
        <is>
          <t>Formal</t>
        </is>
      </c>
      <c r="J37" s="2" t="inlineStr">
        <is>
          <t>Light</t>
        </is>
      </c>
      <c r="K37" s="2" t="inlineStr">
        <is>
          <t>“Bidder 2 submitted an offer of $81.50 per share, in cash.”; “Representatives of J.P. Morgan confirmed via a conversation with Bidder 2 on the evening of December 12, 2014 that $81.50 per share was its best and final offer” (p. 26); “each bidder submitted a revised draft of the merger agreement and other transaction agreements, and copies of their respective financing commitment documents” (p. 26). Responded to the established best-and-final solicitation (Formal); no Heavy trigger reported.</t>
        </is>
      </c>
      <c r="L37" s="2" t="inlineStr">
        <is>
          <t>P-034; P-031</t>
        </is>
      </c>
      <c r="M37" s="2" t="inlineStr">
        <is>
          <t>Q4</t>
        </is>
      </c>
      <c r="N37" s="2" t="n"/>
      <c r="O37" s="2" t="inlineStr">
        <is>
          <t>R035</t>
        </is>
      </c>
      <c r="P37" s="2" t="inlineStr">
        <is>
          <t>Yes</t>
        </is>
      </c>
      <c r="Q37" s="3" t="n">
        <v>0</v>
      </c>
      <c r="R37" s="5" t="n">
        <v>41985</v>
      </c>
      <c r="S37" s="5" t="n">
        <v>41985</v>
      </c>
      <c r="T37" s="5" t="n">
        <v>41985</v>
      </c>
      <c r="U37" s="2" t="inlineStr">
        <is>
          <t>Reported day</t>
        </is>
      </c>
      <c r="V37" s="2" t="inlineStr">
        <is>
          <t>Reported</t>
        </is>
      </c>
      <c r="W37" s="6" t="n">
        <v>81.5</v>
      </c>
      <c r="X37" s="6" t="n">
        <v>81.5</v>
      </c>
      <c r="Y37" s="2" t="inlineStr">
        <is>
          <t>Point</t>
        </is>
      </c>
      <c r="Z37" s="2" t="inlineStr">
        <is>
          <t>Stated</t>
        </is>
      </c>
      <c r="AA37" s="2" t="inlineStr">
        <is>
          <t>USD</t>
        </is>
      </c>
      <c r="AB37" s="2" t="inlineStr">
        <is>
          <t>Yes</t>
        </is>
      </c>
      <c r="AC37" s="6" t="n">
        <v>81.5</v>
      </c>
      <c r="AD37" s="2" t="inlineStr">
        <is>
          <t>Fin: committed; DD required: not stated; DD open: not disclosed; Excl: not stated</t>
        </is>
      </c>
      <c r="AE37" s="2" t="n"/>
      <c r="AF37" s="2" t="n"/>
      <c r="AG37" s="2" t="n"/>
      <c r="AH37" s="2" t="n"/>
      <c r="AI37" s="2" t="n"/>
      <c r="AJ37" s="2" t="n"/>
      <c r="AK37" s="3" t="n">
        <v>26</v>
      </c>
      <c r="AL37" s="2" t="inlineStr">
        <is>
          <t>revises R030; R042</t>
        </is>
      </c>
      <c r="AM37" s="2" t="inlineStr">
        <is>
          <t>PetSmart</t>
        </is>
      </c>
    </row>
    <row r="38">
      <c r="A38" s="2" t="n">
        <v>37</v>
      </c>
      <c r="B38" s="2" t="inlineStr">
        <is>
          <t>12/12/2014 (evening)</t>
        </is>
      </c>
      <c r="C38" s="2" t="inlineStr">
        <is>
          <t>Buyer Group</t>
        </is>
      </c>
      <c r="D38" s="2" t="inlineStr">
        <is>
          <t>Bid</t>
        </is>
      </c>
      <c r="E38" s="3" t="n">
        <v>1</v>
      </c>
      <c r="F38" s="2" t="n">
        <v>2</v>
      </c>
      <c r="G38" s="2" t="inlineStr">
        <is>
          <t>Financial</t>
        </is>
      </c>
      <c r="H38" s="2" t="inlineStr">
        <is>
          <t>Oral improved offer of $82.50 per share, in cash; stated it was working to increase within the next few hours; superseded later the same evening (R037).</t>
        </is>
      </c>
      <c r="I38" s="2" t="inlineStr">
        <is>
          <t>Formal</t>
        </is>
      </c>
      <c r="J38" s="2" t="inlineStr">
        <is>
          <t>Light</t>
        </is>
      </c>
      <c r="K38" s="2" t="inlineStr">
        <is>
          <t>“The Buyer Group initially submitted an oral offer of $82.50 per share, in cash, but stated that it was working to increase the offer within the next few hours” (p. 26). Formal documentation carried forward from the 12/10 submission (p. 25) and the revised drafts submitted the same evening (p. 26).</t>
        </is>
      </c>
      <c r="L38" s="2" t="inlineStr">
        <is>
          <t>P-034; P-030</t>
        </is>
      </c>
      <c r="M38" s="2" t="inlineStr">
        <is>
          <t>Q4; Q6</t>
        </is>
      </c>
      <c r="N38" s="2" t="n"/>
      <c r="O38" s="2" t="inlineStr">
        <is>
          <t>R036</t>
        </is>
      </c>
      <c r="P38" s="2" t="inlineStr">
        <is>
          <t>Yes</t>
        </is>
      </c>
      <c r="Q38" s="3" t="n">
        <v>0</v>
      </c>
      <c r="R38" s="5" t="n">
        <v>41985</v>
      </c>
      <c r="S38" s="5" t="n">
        <v>41985</v>
      </c>
      <c r="T38" s="5" t="n">
        <v>41985</v>
      </c>
      <c r="U38" s="2" t="inlineStr">
        <is>
          <t>Reported day</t>
        </is>
      </c>
      <c r="V38" s="2" t="inlineStr">
        <is>
          <t>Reported</t>
        </is>
      </c>
      <c r="W38" s="6" t="n">
        <v>82.5</v>
      </c>
      <c r="X38" s="6" t="n">
        <v>82.5</v>
      </c>
      <c r="Y38" s="2" t="inlineStr">
        <is>
          <t>Point</t>
        </is>
      </c>
      <c r="Z38" s="2" t="inlineStr">
        <is>
          <t>Stated</t>
        </is>
      </c>
      <c r="AA38" s="2" t="inlineStr">
        <is>
          <t>USD</t>
        </is>
      </c>
      <c r="AB38" s="2" t="inlineStr">
        <is>
          <t>Yes</t>
        </is>
      </c>
      <c r="AC38" s="6" t="n">
        <v>82.5</v>
      </c>
      <c r="AD38" s="2" t="inlineStr">
        <is>
          <t>Fin: committed; DD required: not stated; DD open: not disclosed; Excl: not stated</t>
        </is>
      </c>
      <c r="AE38" s="2" t="n"/>
      <c r="AF38" s="2" t="n"/>
      <c r="AG38" s="2" t="n"/>
      <c r="AH38" s="2" t="n"/>
      <c r="AI38" s="2" t="n"/>
      <c r="AJ38" s="2" t="n"/>
      <c r="AK38" s="3" t="n">
        <v>26</v>
      </c>
      <c r="AL38" s="2" t="inlineStr">
        <is>
          <t>R037 (supersedes); R029</t>
        </is>
      </c>
      <c r="AM38" s="2" t="inlineStr">
        <is>
          <t>PetSmart</t>
        </is>
      </c>
    </row>
    <row r="39">
      <c r="A39" s="2" t="n">
        <v>38</v>
      </c>
      <c r="B39" s="2" t="inlineStr">
        <is>
          <t>12/12/2014 (evening)</t>
        </is>
      </c>
      <c r="C39" s="2" t="inlineStr">
        <is>
          <t>Buyer Group</t>
        </is>
      </c>
      <c r="D39" s="2" t="inlineStr">
        <is>
          <t>Bid</t>
        </is>
      </c>
      <c r="E39" s="3" t="n">
        <v>1</v>
      </c>
      <c r="F39" s="2" t="n">
        <v>2</v>
      </c>
      <c r="G39" s="2" t="inlineStr">
        <is>
          <t>Financial</t>
        </is>
      </c>
      <c r="H39" s="2" t="inlineStr">
        <is>
          <t>Best-and-final offer of $83.00 per share, in cash, submitted with a revised merger agreement and other transaction agreements (“with few exceptions, in substantially executable form”) and financing commitment documents; the Buyer Group said that after increasing from $82.50 to $83.00 some or all members were unwilling or unable to offer additional consideration; Longview's $250 million rollover participation was described as helpful in achieving $83.00. Winning bid (R040).</t>
        </is>
      </c>
      <c r="I39" s="2" t="inlineStr">
        <is>
          <t>Formal</t>
        </is>
      </c>
      <c r="J39" s="2" t="inlineStr">
        <is>
          <t>Light</t>
        </is>
      </c>
      <c r="K39" s="2" t="inlineStr">
        <is>
          <t>“Later in the evening,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 (p. 26); “Longview’s willingness to participate in the Buyer Group with respect to $250 million of the common stock was helpful in achieving an $83.00 per share price” (p. 27).</t>
        </is>
      </c>
      <c r="L39" s="2" t="inlineStr">
        <is>
          <t>P-034; X-001</t>
        </is>
      </c>
      <c r="M39" s="2" t="inlineStr">
        <is>
          <t>Q4</t>
        </is>
      </c>
      <c r="N39" s="2" t="n"/>
      <c r="O39" s="2" t="inlineStr">
        <is>
          <t>R037</t>
        </is>
      </c>
      <c r="P39" s="2" t="inlineStr">
        <is>
          <t>Yes</t>
        </is>
      </c>
      <c r="Q39" s="3" t="n">
        <v>0</v>
      </c>
      <c r="R39" s="5" t="n">
        <v>41985</v>
      </c>
      <c r="S39" s="5" t="n">
        <v>41985</v>
      </c>
      <c r="T39" s="5" t="n">
        <v>41985</v>
      </c>
      <c r="U39" s="2" t="inlineStr">
        <is>
          <t>Reported day</t>
        </is>
      </c>
      <c r="V39" s="2" t="inlineStr">
        <is>
          <t>Reported</t>
        </is>
      </c>
      <c r="W39" s="6" t="n">
        <v>83</v>
      </c>
      <c r="X39" s="6" t="n">
        <v>83</v>
      </c>
      <c r="Y39" s="2" t="inlineStr">
        <is>
          <t>Point</t>
        </is>
      </c>
      <c r="Z39" s="2" t="inlineStr">
        <is>
          <t>Stated</t>
        </is>
      </c>
      <c r="AA39" s="2" t="inlineStr">
        <is>
          <t>USD</t>
        </is>
      </c>
      <c r="AB39" s="2" t="inlineStr">
        <is>
          <t>Yes</t>
        </is>
      </c>
      <c r="AC39" s="6" t="n">
        <v>83</v>
      </c>
      <c r="AD39" s="2" t="inlineStr">
        <is>
          <t>Fin: committed; DD required: not stated; DD open: not disclosed; Excl: not stated</t>
        </is>
      </c>
      <c r="AE39" s="2" t="n"/>
      <c r="AF39" s="2" t="n"/>
      <c r="AG39" s="2" t="n"/>
      <c r="AH39" s="2" t="n"/>
      <c r="AI39" s="2" t="n"/>
      <c r="AJ39" s="2" t="n"/>
      <c r="AK39" s="3" t="n">
        <v>26</v>
      </c>
      <c r="AL39" s="2" t="inlineStr">
        <is>
          <t>revises R036; R029; R040</t>
        </is>
      </c>
      <c r="AM39" s="2" t="inlineStr">
        <is>
          <t>PetSmart</t>
        </is>
      </c>
    </row>
    <row r="40">
      <c r="A40" s="2" t="n">
        <v>39</v>
      </c>
      <c r="B40" s="2" t="inlineStr">
        <is>
          <t>12/13/2014</t>
        </is>
      </c>
      <c r="C40" s="2" t="inlineStr">
        <is>
          <t>PetSmart board</t>
        </is>
      </c>
      <c r="D40" s="2" t="inlineStr">
        <is>
          <t>Target decision</t>
        </is>
      </c>
      <c r="E40" s="3" t="n">
        <v>1</v>
      </c>
      <c r="F40" s="2" t="n">
        <v>2</v>
      </c>
      <c r="G40" s="2" t="n"/>
      <c r="H40" s="2" t="inlineStr">
        <is>
          <t>Board reviewed the final bids and selected the Buyer Group; J.P. Morgan rendered its oral fairness opinion on the $83.00 all-cash consideration (written opinion 12/14/2014); the board unanimously determined the merger advisable and recommended adoption, subject to confirmation that remaining open points in the merger agreement were satisfactorily resolved, with authority to reconvene if needed.</t>
        </is>
      </c>
      <c r="I40" s="2" t="n"/>
      <c r="J40" s="2" t="n"/>
      <c r="K40" s="2" t="inlineStr">
        <is>
          <t>“the merger consideration of $83.00 in cash to be paid to the holders of the Company’s common stock in the merger was fair, from a financial point of view, to such holders”; “the board unanimously determined that the merger agreement and the transactions contemplated thereby, including the merger, were advisable and in the best interests of PetSmart and its stockholders”; “The board’s determination was subject, however, to confirmation that the remaining open points in the merger agreement had been satisfactorily resolved” (p. 26).</t>
        </is>
      </c>
      <c r="L40" s="2" t="inlineStr">
        <is>
          <t>P-035; X-007</t>
        </is>
      </c>
      <c r="M40" s="2" t="inlineStr">
        <is>
          <t>Q1</t>
        </is>
      </c>
      <c r="N40" s="2" t="n"/>
      <c r="O40" s="2" t="inlineStr">
        <is>
          <t>R038</t>
        </is>
      </c>
      <c r="P40" s="2" t="inlineStr">
        <is>
          <t>Yes</t>
        </is>
      </c>
      <c r="Q40" s="2" t="n"/>
      <c r="R40" s="5" t="n">
        <v>41986</v>
      </c>
      <c r="S40" s="5" t="n">
        <v>41986</v>
      </c>
      <c r="T40" s="5" t="n">
        <v>41986</v>
      </c>
      <c r="U40" s="2" t="inlineStr">
        <is>
          <t>Reported day</t>
        </is>
      </c>
      <c r="V40" s="2" t="inlineStr">
        <is>
          <t>Reported</t>
        </is>
      </c>
      <c r="W40" s="2" t="n"/>
      <c r="X40" s="2" t="n"/>
      <c r="Y40" s="2" t="n"/>
      <c r="Z40" s="2" t="n"/>
      <c r="AA40" s="2" t="n"/>
      <c r="AB40" s="2" t="n"/>
      <c r="AC40" s="2" t="n"/>
      <c r="AD40" s="2" t="n"/>
      <c r="AE40" s="2" t="n"/>
      <c r="AF40" s="2" t="n"/>
      <c r="AG40" s="2" t="n"/>
      <c r="AH40" s="2" t="n"/>
      <c r="AI40" s="2" t="n"/>
      <c r="AJ40" s="2" t="n"/>
      <c r="AK40" s="3" t="n">
        <v>26</v>
      </c>
      <c r="AL40" s="2" t="inlineStr">
        <is>
          <t>R037; R040</t>
        </is>
      </c>
      <c r="AM40" s="2" t="inlineStr">
        <is>
          <t>PetSmart</t>
        </is>
      </c>
    </row>
    <row r="41">
      <c r="A41" s="2" t="n">
        <v>40</v>
      </c>
      <c r="B41" s="2" t="inlineStr">
        <is>
          <t>12/14/2014</t>
        </is>
      </c>
      <c r="C41" s="2" t="inlineStr">
        <is>
          <t>Parent / Longview (rollover support)</t>
        </is>
      </c>
      <c r="D41" s="2" t="inlineStr">
        <is>
          <t>Material process update</t>
        </is>
      </c>
      <c r="E41" s="3" t="n">
        <v>1</v>
      </c>
      <c r="F41" s="2" t="n">
        <v>2</v>
      </c>
      <c r="G41" s="2" t="n"/>
      <c r="H41" s="2" t="inlineStr">
        <is>
          <t>Rollover support resolved: Parent and Longview entered into the rollover agreement — Longview contributes 3,012,050 shares (approximately $250 million worth) to Parent immediately before the effective time in exchange for equity interests in Parent; Longview receives the same $83.00 per share cash consideration for all other shares. Voting agreement among the Company, Parent and Longview covering 7,424,591 shares (approximately 7.5% of shares outstanding on the record date) to vote for the merger, subject to exceptions including a board change of recommendation.</t>
        </is>
      </c>
      <c r="I41" s="2" t="n"/>
      <c r="J41" s="2" t="n"/>
      <c r="K41" s="2" t="inlineStr">
        <is>
          <t>“On December 14, 2014, the Parent and Longview entered into a rollover agreement (the “rollover agreement”) under which Longview has agreed to contribute 3,012,050 shares (“rollover shares”) to Parent immediately prior to the effective time in exchange for equity interests in Parent” (p. 41); “Longview will receive the same $83.00 per share merger consideration as the other holders of the Company’s common stock for all other shares of common stock beneficially owned by it (other than the rollover shares)” (p. 41); voting agreement: “to vote or cause to be voted 7,424,591 shares of common stock, which represent approximately 7.5% of the total outstanding shares” (p. 45).</t>
        </is>
      </c>
      <c r="L41" s="2" t="inlineStr">
        <is>
          <t>X-016; X-017; X-022</t>
        </is>
      </c>
      <c r="M41" s="2" t="inlineStr">
        <is>
          <t>Q6</t>
        </is>
      </c>
      <c r="N41" s="2" t="n"/>
      <c r="O41" s="2" t="inlineStr">
        <is>
          <t>R039</t>
        </is>
      </c>
      <c r="P41" s="2" t="inlineStr">
        <is>
          <t>Yes</t>
        </is>
      </c>
      <c r="Q41" s="2" t="n"/>
      <c r="R41" s="5" t="n">
        <v>41987</v>
      </c>
      <c r="S41" s="5" t="n">
        <v>41987</v>
      </c>
      <c r="T41" s="5" t="n">
        <v>41987</v>
      </c>
      <c r="U41" s="2" t="inlineStr">
        <is>
          <t>Reported day</t>
        </is>
      </c>
      <c r="V41" s="2" t="inlineStr">
        <is>
          <t>Reported</t>
        </is>
      </c>
      <c r="W41" s="2" t="n"/>
      <c r="X41" s="2" t="n"/>
      <c r="Y41" s="2" t="n"/>
      <c r="Z41" s="2" t="n"/>
      <c r="AA41" s="2" t="n"/>
      <c r="AB41" s="2" t="n"/>
      <c r="AC41" s="2" t="n"/>
      <c r="AD41" s="2" t="n"/>
      <c r="AE41" s="2" t="n"/>
      <c r="AF41" s="2" t="n"/>
      <c r="AG41" s="2" t="n"/>
      <c r="AH41" s="2" t="n"/>
      <c r="AI41" s="2" t="n"/>
      <c r="AJ41" s="2" t="n"/>
      <c r="AK41" s="3" t="n">
        <v>41</v>
      </c>
      <c r="AL41" s="2" t="inlineStr">
        <is>
          <t>R034 (formed); R040</t>
        </is>
      </c>
      <c r="AM41" s="2" t="inlineStr">
        <is>
          <t>PetSmart</t>
        </is>
      </c>
    </row>
    <row r="42">
      <c r="A42" s="2" t="n">
        <v>41</v>
      </c>
      <c r="B42" s="2" t="inlineStr">
        <is>
          <t>12/14/2014</t>
        </is>
      </c>
      <c r="C42" s="2" t="inlineStr">
        <is>
          <t>PetSmart; Argos Holdings Inc. (Parent); Argos Merger Sub Inc.</t>
        </is>
      </c>
      <c r="D42" s="2" t="inlineStr">
        <is>
          <t>Merger agreement signed</t>
        </is>
      </c>
      <c r="E42" s="3" t="n">
        <v>1</v>
      </c>
      <c r="F42" s="2" t="n">
        <v>2</v>
      </c>
      <c r="G42" s="2" t="n"/>
      <c r="H42" s="2" t="inlineStr">
        <is>
          <t>Agreed consideration $83.00 per share in cash (all-cash; no CVR or contingent component). Merger agreement dated as of 12/14/2014 executed with the Longview rollover and voting agreements, equity commitment letters from the Buyer Group (up to approximately $1.83 billion), termination fee commitment letters (aggregate cap $510 million) and committed debt financing (up to $6.95 billion of facilities; no financing condition to the merger). At closing Parent will be owned by the Buyer Group (BC Partners funds, La Caisse de dépôt et placement du Québec, affiliates of GIC Special Investments, affiliates of StepStone Group, Longview).</t>
        </is>
      </c>
      <c r="I42" s="2" t="n"/>
      <c r="J42" s="2" t="n"/>
      <c r="K42" s="2" t="inlineStr">
        <is>
          <t>“On December 14, 2014, the parties executed the merger agreement, the voting agreement and related transaction agreements and issued a press release announcing the transaction” (p. 26); “each share of common stock outstanding at the effective time of the merger”; “will be cancelled and converted into the right to receive $83.00 in cash” (front letter); rollover/equity commitments (pp. 40–41). Signing is not an additional bid; price cells and formality/conditionality cells left blank per instruction.</t>
        </is>
      </c>
      <c r="L42" s="2" t="inlineStr">
        <is>
          <t>P-036; X-032; X-031; X-015; X-018; X-020; X-021</t>
        </is>
      </c>
      <c r="M42" s="2" t="inlineStr">
        <is>
          <t>Q6</t>
        </is>
      </c>
      <c r="N42" s="2" t="n"/>
      <c r="O42" s="2" t="inlineStr">
        <is>
          <t>R040</t>
        </is>
      </c>
      <c r="P42" s="2" t="inlineStr">
        <is>
          <t>Yes</t>
        </is>
      </c>
      <c r="Q42" s="2" t="n"/>
      <c r="R42" s="5" t="n">
        <v>41987</v>
      </c>
      <c r="S42" s="5" t="n">
        <v>41987</v>
      </c>
      <c r="T42" s="5" t="n">
        <v>41987</v>
      </c>
      <c r="U42" s="2" t="inlineStr">
        <is>
          <t>Reported day</t>
        </is>
      </c>
      <c r="V42" s="2" t="inlineStr">
        <is>
          <t>Reported</t>
        </is>
      </c>
      <c r="W42" s="2" t="n"/>
      <c r="X42" s="2" t="n"/>
      <c r="Y42" s="2" t="n"/>
      <c r="Z42" s="2" t="n"/>
      <c r="AA42" s="2" t="inlineStr">
        <is>
          <t>USD</t>
        </is>
      </c>
      <c r="AB42" s="2" t="inlineStr">
        <is>
          <t>Yes</t>
        </is>
      </c>
      <c r="AC42" s="6" t="n">
        <v>83</v>
      </c>
      <c r="AD42" s="2" t="n"/>
      <c r="AE42" s="2" t="n"/>
      <c r="AF42" s="2" t="n"/>
      <c r="AG42" s="2" t="n"/>
      <c r="AH42" s="2" t="n"/>
      <c r="AI42" s="2" t="n"/>
      <c r="AJ42" s="2" t="n"/>
      <c r="AK42" s="3" t="n">
        <v>26</v>
      </c>
      <c r="AL42" s="2" t="inlineStr">
        <is>
          <t>R037 (winning bid); R041; R043</t>
        </is>
      </c>
      <c r="AM42" s="2" t="inlineStr">
        <is>
          <t>PetSmart</t>
        </is>
      </c>
    </row>
    <row r="43">
      <c r="A43" s="2" t="n">
        <v>42</v>
      </c>
      <c r="B43" s="2" t="inlineStr">
        <is>
          <t>12/14/2014</t>
        </is>
      </c>
      <c r="C43" s="2" t="inlineStr">
        <is>
          <t>PetSmart / Parent (issuer)</t>
        </is>
      </c>
      <c r="D43" s="2" t="inlineStr">
        <is>
          <t>Merger announced</t>
        </is>
      </c>
      <c r="E43" s="3" t="n">
        <v>1</v>
      </c>
      <c r="F43" s="2" t="n">
        <v>2</v>
      </c>
      <c r="G43" s="2" t="n"/>
      <c r="H43" s="2" t="inlineStr">
        <is>
          <t>Press release issued 12/14/2014 announcing the transaction: merger at $83.00 per share in cash; Parent to be owned by the Buyer Group; expected closing in the first half of 2015 (subject to stockholder adoption and other conditions).</t>
        </is>
      </c>
      <c r="I43" s="2" t="n"/>
      <c r="J43" s="2" t="n"/>
      <c r="K43" s="2" t="inlineStr">
        <is>
          <t>“On December 14, 2014, the parties executed the merger agreement, the voting agreement and related transaction agreements and issued a press release announcing the transaction” (p. 26); expected timing: “We anticipate completing the merger in the first half of 2015” (p. 3).</t>
        </is>
      </c>
      <c r="L43" s="2" t="inlineStr">
        <is>
          <t>P-036; X-038</t>
        </is>
      </c>
      <c r="M43" s="2" t="inlineStr">
        <is>
          <t>Q8</t>
        </is>
      </c>
      <c r="N43" s="2" t="n"/>
      <c r="O43" s="2" t="inlineStr">
        <is>
          <t>R041</t>
        </is>
      </c>
      <c r="P43" s="2" t="inlineStr">
        <is>
          <t>Yes</t>
        </is>
      </c>
      <c r="Q43" s="2" t="n"/>
      <c r="R43" s="5" t="n">
        <v>41987</v>
      </c>
      <c r="S43" s="5" t="n">
        <v>41987</v>
      </c>
      <c r="T43" s="5" t="n">
        <v>41987</v>
      </c>
      <c r="U43" s="2" t="inlineStr">
        <is>
          <t>Reported day</t>
        </is>
      </c>
      <c r="V43" s="2" t="inlineStr">
        <is>
          <t>Reported</t>
        </is>
      </c>
      <c r="W43" s="2" t="n"/>
      <c r="X43" s="2" t="n"/>
      <c r="Y43" s="2" t="n"/>
      <c r="Z43" s="2" t="n"/>
      <c r="AA43" s="2" t="n"/>
      <c r="AB43" s="2" t="n"/>
      <c r="AC43" s="2" t="n"/>
      <c r="AD43" s="2" t="n"/>
      <c r="AE43" s="2" t="n"/>
      <c r="AF43" s="2" t="n"/>
      <c r="AG43" s="2" t="n"/>
      <c r="AH43" s="2" t="n"/>
      <c r="AI43" s="2" t="n"/>
      <c r="AJ43" s="2" t="n"/>
      <c r="AK43" s="3" t="n">
        <v>26</v>
      </c>
      <c r="AL43" s="2" t="inlineStr">
        <is>
          <t>R040</t>
        </is>
      </c>
      <c r="AM43" s="2" t="inlineStr">
        <is>
          <t>PetSmart</t>
        </is>
      </c>
    </row>
    <row r="44">
      <c r="A44" s="2" t="n">
        <v>43</v>
      </c>
      <c r="B44" s="2" t="inlineStr">
        <is>
          <t>by 12/14/2014 (signing)</t>
        </is>
      </c>
      <c r="C44" s="2" t="inlineStr">
        <is>
          <t>Bidder 2</t>
        </is>
      </c>
      <c r="D44" s="2" t="inlineStr">
        <is>
          <t>Not selected at signing</t>
        </is>
      </c>
      <c r="E44" s="3" t="n">
        <v>1</v>
      </c>
      <c r="F44" s="2" t="n">
        <v>2</v>
      </c>
      <c r="G44" s="2" t="inlineStr">
        <is>
          <t>Financial</t>
        </is>
      </c>
      <c r="H44" s="2" t="inlineStr">
        <is>
          <t>Bidder 2's $81.50 best-and-final offer (lower than the winning $83.00) was not selected; the board noted Bidder 2 had informed the Company its $81.50 was best and final. Bidder 2 remained willing to accommodate a Longview rollover only after execution of a merger agreement with it. No further participation reported.</t>
        </is>
      </c>
      <c r="I44" s="2" t="n"/>
      <c r="J44" s="2" t="n"/>
      <c r="K44" s="2" t="inlineStr">
        <is>
          <t>“ultimately negotiated with the Buyer Group as well as two other bidding groups, neither of which was willing to make a definitive offer at a price above $81.50, which was lower than the $83.00 price offered by the Buyer Group.”; “The board noted that Bidder 2 had informed the Company’s representatives that $81.50 per share was its best and final offer” (p. 27).</t>
        </is>
      </c>
      <c r="L44" s="2" t="inlineStr">
        <is>
          <t>X-001; P-035; P-034</t>
        </is>
      </c>
      <c r="M44" s="2" t="inlineStr">
        <is>
          <t>Q3</t>
        </is>
      </c>
      <c r="N44" s="2" t="n"/>
      <c r="O44" s="2" t="inlineStr">
        <is>
          <t>R042</t>
        </is>
      </c>
      <c r="P44" s="2" t="inlineStr">
        <is>
          <t>Yes</t>
        </is>
      </c>
      <c r="Q44" s="3" t="n">
        <v>1</v>
      </c>
      <c r="R44" s="5" t="n">
        <v>41987</v>
      </c>
      <c r="S44" s="2" t="n"/>
      <c r="T44" s="5" t="n">
        <v>41987</v>
      </c>
      <c r="U44" s="2" t="inlineStr">
        <is>
          <t>Relative only</t>
        </is>
      </c>
      <c r="V44" s="2" t="inlineStr">
        <is>
          <t>Assigned: bound</t>
        </is>
      </c>
      <c r="W44" s="2" t="n"/>
      <c r="X44" s="2" t="n"/>
      <c r="Y44" s="2" t="n"/>
      <c r="Z44" s="2" t="n"/>
      <c r="AA44" s="2" t="n"/>
      <c r="AB44" s="2" t="n"/>
      <c r="AC44" s="2" t="n"/>
      <c r="AD44" s="2" t="n"/>
      <c r="AE44" s="2" t="n"/>
      <c r="AF44" s="2" t="n"/>
      <c r="AG44" s="2" t="n"/>
      <c r="AH44" s="2" t="inlineStr">
        <is>
          <t>Target</t>
        </is>
      </c>
      <c r="AI44" s="2" t="inlineStr">
        <is>
          <t>Lower offer than rivals</t>
        </is>
      </c>
      <c r="AJ44" s="2" t="inlineStr">
        <is>
          <t>Stated</t>
        </is>
      </c>
      <c r="AK44" s="3" t="n">
        <v>27</v>
      </c>
      <c r="AL44" s="2" t="inlineStr">
        <is>
          <t>R035 (its final offer); R040</t>
        </is>
      </c>
      <c r="AM44" s="2" t="inlineStr">
        <is>
          <t>PetSmart</t>
        </is>
      </c>
    </row>
    <row r="45">
      <c r="A45" s="2" t="n">
        <v>44</v>
      </c>
      <c r="B45" s="2" t="inlineStr">
        <is>
          <t>by 12/14/2014 (first appearance; earlier service not disclosed)</t>
        </is>
      </c>
      <c r="C45" s="2" t="inlineStr">
        <is>
          <t>Parent / Merger Sub — Simpson Thacher &amp; Bartlett LLP (legal counsel)</t>
        </is>
      </c>
      <c r="D45" s="2" t="inlineStr">
        <is>
          <t>Adviser service observed</t>
        </is>
      </c>
      <c r="E45" s="3" t="n">
        <v>1</v>
      </c>
      <c r="F45" s="2" t="n">
        <v>2</v>
      </c>
      <c r="G45" s="2" t="n"/>
      <c r="H45" s="2" t="inlineStr">
        <is>
          <t>Counsel to Parent and Merger Sub; identified as the Parent-side notice recipient in the executed merger agreement (Attention: Ryerson Symons). First appearance in the filing is the 12/14/2014 agreement; no engagement date disclosed. Flagged for review with adviser client affiliations (Q7).</t>
        </is>
      </c>
      <c r="I45" s="2" t="n"/>
      <c r="J45" s="2" t="n"/>
      <c r="K45" s="2" t="inlineStr">
        <is>
          <t>Merger agreement notice provision: “Simpson Thacher and Bartlett LLP 425 Lexington Avenue New York, NY 10017” and “Attention: Ryerson Symons” in the Parent/Merger Sub notice block (Annex A). First narrative mention is not proof of retention that day; the earliest supported date is the execution of the agreement.</t>
        </is>
      </c>
      <c r="L45" s="2" t="inlineStr">
        <is>
          <t>X-039</t>
        </is>
      </c>
      <c r="M45" s="2" t="inlineStr">
        <is>
          <t>Q7</t>
        </is>
      </c>
      <c r="N45" s="2" t="n"/>
      <c r="O45" s="2" t="inlineStr">
        <is>
          <t>R044</t>
        </is>
      </c>
      <c r="P45" s="2" t="inlineStr">
        <is>
          <t>Yes</t>
        </is>
      </c>
      <c r="Q45" s="2" t="n"/>
      <c r="R45" s="5" t="n">
        <v>41987</v>
      </c>
      <c r="S45" s="2" t="n"/>
      <c r="T45" s="5" t="n">
        <v>41987</v>
      </c>
      <c r="U45" s="2" t="inlineStr">
        <is>
          <t>Relative only</t>
        </is>
      </c>
      <c r="V45" s="2" t="inlineStr">
        <is>
          <t>Assigned: bound</t>
        </is>
      </c>
      <c r="W45" s="2" t="n"/>
      <c r="X45" s="2" t="n"/>
      <c r="Y45" s="2" t="n"/>
      <c r="Z45" s="2" t="n"/>
      <c r="AA45" s="2" t="n"/>
      <c r="AB45" s="2" t="n"/>
      <c r="AC45" s="2" t="n"/>
      <c r="AD45" s="2" t="n"/>
      <c r="AE45" s="2" t="n"/>
      <c r="AF45" s="2" t="n"/>
      <c r="AG45" s="2" t="n"/>
      <c r="AH45" s="2" t="n"/>
      <c r="AI45" s="2" t="n"/>
      <c r="AJ45" s="2" t="n"/>
      <c r="AK45" s="2" t="inlineStr">
        <is>
          <t>A-46</t>
        </is>
      </c>
      <c r="AL45" s="2" t="n"/>
      <c r="AM45" s="2" t="inlineStr">
        <is>
          <t>PetSmart</t>
        </is>
      </c>
    </row>
    <row r="46">
      <c r="A46" s="2" t="n">
        <v>45</v>
      </c>
      <c r="B46" s="2" t="inlineStr">
        <is>
          <t>as of 02/02/2015</t>
        </is>
      </c>
      <c r="C46" s="2" t="inlineStr">
        <is>
          <t>PetSmart</t>
        </is>
      </c>
      <c r="D46" s="2" t="inlineStr">
        <is>
          <t>Material process update</t>
        </is>
      </c>
      <c r="E46" s="3" t="n">
        <v>1</v>
      </c>
      <c r="F46" s="2" t="inlineStr">
        <is>
          <t>post</t>
        </is>
      </c>
      <c r="G46" s="2" t="n"/>
      <c r="H46" s="2" t="inlineStr">
        <is>
          <t>Post-signing: as of the proxy date no person had made an unsolicited offer or proposal to acquire PetSmart. The 15 parties that engaged in due diligence are subject to standstill provisions preventing them from submitting (or even seeking permission to submit) a higher bid once a definitive transaction agreement was signed. The filing describes no post-signing solicitation (go-shop) period. No competing proposal, agreement termination or closing is reported.</t>
        </is>
      </c>
      <c r="I46" s="2" t="n"/>
      <c r="J46" s="2" t="n"/>
      <c r="K46" s="2" t="inlineStr">
        <is>
          <t>“the fact that as of February 2, 2015, the date of this proxy statement, no person has made an unsolicited offer or proposal to acquire PetSmart” (p. 28); “the confidentiality agreements entered into by the 15 potentially interested parties that engaged in due diligence contained standstill provisions that prevent those parties from submitting (or even seeking permission to submit) a higher bid once the Company entered into a definitive transaction agreement with the winning sale process participant” (p. 28).</t>
        </is>
      </c>
      <c r="L46" s="2" t="inlineStr">
        <is>
          <t>X-004; X-002; P-036</t>
        </is>
      </c>
      <c r="M46" s="2" t="inlineStr">
        <is>
          <t>Q8</t>
        </is>
      </c>
      <c r="N46" s="2" t="n"/>
      <c r="O46" s="2" t="inlineStr">
        <is>
          <t>R043</t>
        </is>
      </c>
      <c r="P46" s="2" t="inlineStr">
        <is>
          <t>Yes</t>
        </is>
      </c>
      <c r="Q46" s="2" t="n"/>
      <c r="R46" s="5" t="n">
        <v>42037</v>
      </c>
      <c r="S46" s="5" t="n">
        <v>42037</v>
      </c>
      <c r="T46" s="5" t="n">
        <v>42037</v>
      </c>
      <c r="U46" s="2" t="inlineStr">
        <is>
          <t>Reported day</t>
        </is>
      </c>
      <c r="V46" s="2" t="inlineStr">
        <is>
          <t>Reported</t>
        </is>
      </c>
      <c r="W46" s="2" t="n"/>
      <c r="X46" s="2" t="n"/>
      <c r="Y46" s="2" t="n"/>
      <c r="Z46" s="2" t="n"/>
      <c r="AA46" s="2" t="n"/>
      <c r="AB46" s="2" t="n"/>
      <c r="AC46" s="2" t="n"/>
      <c r="AD46" s="2" t="n"/>
      <c r="AE46" s="2" t="n"/>
      <c r="AF46" s="2" t="n"/>
      <c r="AG46" s="2" t="n"/>
      <c r="AH46" s="2" t="n"/>
      <c r="AI46" s="2" t="n"/>
      <c r="AJ46" s="2" t="n"/>
      <c r="AK46" s="3" t="n">
        <v>28</v>
      </c>
      <c r="AL46" s="2" t="inlineStr">
        <is>
          <t>R040</t>
        </is>
      </c>
      <c r="AM46" s="2" t="inlineStr">
        <is>
          <t>PetSmart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2026-09-19T13:42:22Z</dcterms:created>
  <dcterms:modified xmlns:dcterms="http://purl.org/dc/terms/" xmlns:xsi="http://www.w3.org/2001/XMLSchema-instance" xsi:type="dcterms:W3CDTF">2026-09-19T13:42:22Z</dcterms:modified>
</cp:coreProperties>
</file>