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Lists" sheetId="2" state="hidden" r:id="rId2"/>
    <sheet xmlns:r="http://schemas.openxmlformats.org/officeDocument/2006/relationships" name="Summary" sheetId="3" state="visible" r:id="rId3"/>
    <sheet xmlns:r="http://schemas.openxmlformats.org/officeDocument/2006/relationships" name="Questions" sheetId="4" state="visible" r:id="rId4"/>
    <sheet xmlns:r="http://schemas.openxmlformats.org/officeDocument/2006/relationships" name="Source text" sheetId="5" state="visible" r:id="rId5"/>
  </sheets>
  <definedNames>
    <definedName name="_xlnm._FilterDatabase" localSheetId="0" hidden="1">'Deal ledger'!$A$1:$AM$46</definedName>
    <definedName name="_xlnm._FilterDatabase" localSheetId="4" hidden="1">'Source text'!$A$1:$D$58</definedName>
  </definedNames>
  <calcPr calcId="124519" fullCalcOnLoad="1"/>
</workbook>
</file>

<file path=xl/styles.xml><?xml version="1.0" encoding="utf-8"?>
<styleSheet xmlns="http://schemas.openxmlformats.org/spreadsheetml/2006/main">
  <numFmts count="2">
    <numFmt numFmtId="164" formatCode="yyyy-mm-dd"/>
    <numFmt numFmtId="165" formatCode="MM/DD/YYYY"/>
  </numFmts>
  <fonts count="7">
    <font>
      <name val="Calibri"/>
      <family val="2"/>
      <color theme="1"/>
      <sz val="11"/>
      <scheme val="minor"/>
    </font>
    <font>
      <b val="1"/>
      <color rgb="00FFFFFF"/>
      <sz val="10"/>
    </font>
    <font>
      <color rgb="000563C1"/>
      <sz val="10"/>
      <u val="single"/>
    </font>
    <font>
      <b val="1"/>
    </font>
    <font>
      <b val="1"/>
      <sz val="13"/>
    </font>
    <font>
      <i val="1"/>
      <color rgb="00404040"/>
      <sz val="9"/>
    </font>
    <font>
      <b val="1"/>
      <sz val="11"/>
    </font>
  </fonts>
  <fills count="4">
    <fill>
      <patternFill/>
    </fill>
    <fill>
      <patternFill patternType="gray125"/>
    </fill>
    <fill>
      <patternFill patternType="solid">
        <fgColor rgb="001F4E79"/>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wrapText="1"/>
    </xf>
    <xf numFmtId="0" fontId="2" fillId="0" borderId="1" applyAlignment="1" pivotButton="0" quotePrefix="0" xfId="0">
      <alignment vertical="top" wrapText="1"/>
    </xf>
    <xf numFmtId="165" fontId="0" fillId="0" borderId="1" applyAlignment="1" pivotButton="0" quotePrefix="0" xfId="0">
      <alignment vertical="top" wrapText="1"/>
    </xf>
    <xf numFmtId="4" fontId="0" fillId="0" borderId="1" applyAlignment="1" pivotButton="0" quotePrefix="0" xfId="0">
      <alignment vertical="top" wrapText="1"/>
    </xf>
    <xf numFmtId="0" fontId="3" fillId="0" borderId="0" applyAlignment="1" pivotButton="0" quotePrefix="0" xfId="0">
      <alignment vertical="top"/>
    </xf>
    <xf numFmtId="0" fontId="0" fillId="0" borderId="0" applyAlignment="1" pivotButton="0" quotePrefix="0" xfId="0">
      <alignment vertical="top"/>
    </xf>
    <xf numFmtId="0" fontId="4" fillId="3" borderId="1" applyAlignment="1" pivotButton="0" quotePrefix="0" xfId="0">
      <alignment vertical="top" wrapText="1"/>
    </xf>
    <xf numFmtId="0" fontId="0" fillId="0" borderId="1" pivotButton="0" quotePrefix="0" xfId="0"/>
    <xf numFmtId="0" fontId="5" fillId="0" borderId="1" applyAlignment="1" pivotButton="0" quotePrefix="0" xfId="0">
      <alignment vertical="top" wrapText="1"/>
    </xf>
    <xf numFmtId="0" fontId="6" fillId="3" borderId="1" applyAlignment="1" pivotButton="0" quotePrefix="0" xfId="0">
      <alignment vertical="top" wrapText="1"/>
    </xf>
    <xf numFmtId="0" fontId="0" fillId="3" borderId="1" pivotButton="0" quotePrefix="0" xfId="0"/>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46"/>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9" customWidth="1" min="2" max="2"/>
    <col width="28" customWidth="1" min="3" max="3"/>
    <col width="19" customWidth="1" min="4" max="4"/>
    <col width="8" customWidth="1" min="5" max="5"/>
    <col width="6" customWidth="1" min="6" max="6"/>
    <col width="11" customWidth="1" min="7" max="7"/>
    <col width="58" customWidth="1" min="8" max="8"/>
    <col width="12" customWidth="1" min="9" max="9"/>
    <col width="12" customWidth="1" min="10" max="10"/>
    <col width="72" customWidth="1" min="11" max="11"/>
    <col width="17" customWidth="1" min="12" max="12"/>
    <col width="10" customWidth="1" min="13" max="13"/>
    <col width="16" customWidth="1" min="14" max="14"/>
    <col hidden="1" outlineLevel="1" width="8" customWidth="1" min="15" max="15"/>
    <col hidden="1" outlineLevel="1" width="8" customWidth="1" min="16" max="16"/>
    <col hidden="1" outlineLevel="1" width="7" customWidth="1" min="17" max="17"/>
    <col hidden="1" outlineLevel="1" width="11" customWidth="1" min="18" max="18"/>
    <col hidden="1" outlineLevel="1" width="11" customWidth="1" min="19" max="19"/>
    <col hidden="1" outlineLevel="1" width="12" customWidth="1" min="20" max="20"/>
    <col hidden="1" outlineLevel="1" width="17" customWidth="1" min="21" max="21"/>
    <col hidden="1" outlineLevel="1" width="18" customWidth="1" min="22" max="22"/>
    <col hidden="1" outlineLevel="1" width="9" customWidth="1" min="23" max="23"/>
    <col hidden="1" outlineLevel="1" width="9" customWidth="1" min="24" max="24"/>
    <col hidden="1" outlineLevel="1" width="12" customWidth="1" min="25" max="25"/>
    <col hidden="1" outlineLevel="1" width="12" customWidth="1" min="26" max="26"/>
    <col hidden="1" outlineLevel="1" width="9" customWidth="1" min="27" max="27"/>
    <col hidden="1" outlineLevel="1" width="10" customWidth="1" min="28" max="28"/>
    <col hidden="1" outlineLevel="1" width="12" customWidth="1" min="29" max="29"/>
    <col hidden="1" outlineLevel="1" width="46" customWidth="1" min="30" max="30"/>
    <col hidden="1" outlineLevel="1" width="11" customWidth="1" min="31" max="31"/>
    <col hidden="1" outlineLevel="1" width="14" customWidth="1" min="32" max="32"/>
    <col hidden="1" outlineLevel="1" width="15" customWidth="1" min="33" max="33"/>
    <col hidden="1" outlineLevel="1" width="10" customWidth="1" min="34" max="34"/>
    <col hidden="1" outlineLevel="1" width="22" customWidth="1" min="35" max="35"/>
    <col hidden="1" outlineLevel="1" width="17" customWidth="1" min="36" max="36"/>
    <col hidden="1" outlineLevel="1" width="6" customWidth="1" min="37" max="37"/>
    <col hidden="1" outlineLevel="1" width="24" customWidth="1" min="38" max="38"/>
    <col hidden="1" outlineLevel="1" width="10" customWidth="1" min="39" max="39"/>
  </cols>
  <sheetData>
    <row r="1" ht="30" customHeight="1">
      <c r="A1" s="1" t="inlineStr">
        <is>
          <t>#</t>
        </is>
      </c>
      <c r="B1" s="1" t="inlineStr">
        <is>
          <t>When</t>
        </is>
      </c>
      <c r="C1" s="1" t="inlineStr">
        <is>
          <t>Who</t>
        </is>
      </c>
      <c r="D1" s="1" t="inlineStr">
        <is>
          <t>What happened</t>
        </is>
      </c>
      <c r="E1" s="1" t="inlineStr">
        <is>
          <t>Process</t>
        </is>
      </c>
      <c r="F1" s="1" t="inlineStr">
        <is>
          <t>Round</t>
        </is>
      </c>
      <c r="G1" s="1" t="inlineStr">
        <is>
          <t>Type</t>
        </is>
      </c>
      <c r="H1" s="1" t="inlineStr">
        <is>
          <t>Terms or outcome</t>
        </is>
      </c>
      <c r="I1" s="1" t="inlineStr">
        <is>
          <t>Formality</t>
        </is>
      </c>
      <c r="J1" s="1" t="inlineStr">
        <is>
          <t>Conditions level</t>
        </is>
      </c>
      <c r="K1" s="1" t="inlineStr">
        <is>
          <t>Why and evidence</t>
        </is>
      </c>
      <c r="L1" s="1" t="inlineStr">
        <is>
          <t>Source</t>
        </is>
      </c>
      <c r="M1" s="1" t="inlineStr">
        <is>
          <t>Review</t>
        </is>
      </c>
      <c r="N1" s="1" t="inlineStr">
        <is>
          <t>Reviewer note</t>
        </is>
      </c>
      <c r="O1" s="1" t="inlineStr">
        <is>
          <t>Row id</t>
        </is>
      </c>
      <c r="P1" s="1" t="inlineStr">
        <is>
          <t>Include</t>
        </is>
      </c>
      <c r="Q1" s="1" t="inlineStr">
        <is>
          <t>Count</t>
        </is>
      </c>
      <c r="R1" s="1" t="inlineStr">
        <is>
          <t>Date from</t>
        </is>
      </c>
      <c r="S1" s="1" t="inlineStr">
        <is>
          <t>Date to</t>
        </is>
      </c>
      <c r="T1" s="1" t="inlineStr">
        <is>
          <t>Working date</t>
        </is>
      </c>
      <c r="U1" s="1" t="inlineStr">
        <is>
          <t>Date basis</t>
        </is>
      </c>
      <c r="V1" s="1" t="inlineStr">
        <is>
          <t>Date method</t>
        </is>
      </c>
      <c r="W1" s="1" t="inlineStr">
        <is>
          <t>Price low</t>
        </is>
      </c>
      <c r="X1" s="1" t="inlineStr">
        <is>
          <t>Price high</t>
        </is>
      </c>
      <c r="Y1" s="1" t="inlineStr">
        <is>
          <t>Price kind</t>
        </is>
      </c>
      <c r="Z1" s="1" t="inlineStr">
        <is>
          <t>Price origin</t>
        </is>
      </c>
      <c r="AA1" s="1" t="inlineStr">
        <is>
          <t>Currency</t>
        </is>
      </c>
      <c r="AB1" s="1" t="inlineStr">
        <is>
          <t>All cash</t>
        </is>
      </c>
      <c r="AC1" s="1" t="inlineStr">
        <is>
          <t>Cash at closing</t>
        </is>
      </c>
      <c r="AD1" s="1" t="inlineStr">
        <is>
          <t>Conditions detail</t>
        </is>
      </c>
      <c r="AE1" s="1" t="inlineStr">
        <is>
          <t>Due date</t>
        </is>
      </c>
      <c r="AF1" s="1" t="inlineStr">
        <is>
          <t>Deadline treatment</t>
        </is>
      </c>
      <c r="AG1" s="1" t="inlineStr">
        <is>
          <t>Round finality</t>
        </is>
      </c>
      <c r="AH1" s="1" t="inlineStr">
        <is>
          <t>Decided by</t>
        </is>
      </c>
      <c r="AI1" s="1" t="inlineStr">
        <is>
          <t>Exit reason</t>
        </is>
      </c>
      <c r="AJ1" s="1" t="inlineStr">
        <is>
          <t>Outcome basis</t>
        </is>
      </c>
      <c r="AK1" s="1" t="inlineStr">
        <is>
          <t>Page</t>
        </is>
      </c>
      <c r="AL1" s="1" t="inlineStr">
        <is>
          <t>Related rows</t>
        </is>
      </c>
      <c r="AM1" s="1" t="inlineStr">
        <is>
          <t>Deal</t>
        </is>
      </c>
    </row>
    <row r="2" ht="126.5" customHeight="1">
      <c r="A2" s="2" t="n">
        <v>1</v>
      </c>
      <c r="B2" s="2" t="inlineStr">
        <is>
          <t>March 2014 (discussions during Spring 2014)</t>
        </is>
      </c>
      <c r="C2" s="2" t="inlineStr">
        <is>
          <t>PetSmart (management) / Industry Participant (a privately held industry participant)</t>
        </is>
      </c>
      <c r="D2" s="2" t="inlineStr">
        <is>
          <t>Target interest</t>
        </is>
      </c>
      <c r="E2" s="2" t="n">
        <v>1</v>
      </c>
      <c r="F2" s="2" t="n">
        <v>0</v>
      </c>
      <c r="G2" s="2" t="n"/>
      <c r="H2" s="2" t="inlineStr">
        <is>
          <t>Board authorized management in March 2014 to approach Industry Participant about a possible merger with or acquisition of it; CEO David Lenhardt spoke with Industry Participant's CEO over the Spring. Industry Participant said it was not for sale and believed antitrust clearance would not be obtained, or only with unacceptable conditions. PetSmart's own acquisition attempt, not a bid in its sale process; kept as context for the later decision to exclude Industry Participant.</t>
        </is>
      </c>
      <c r="I2" s="2" t="n"/>
      <c r="J2" s="2" t="n"/>
      <c r="K2" s="2" t="inlineStr">
        <is>
          <t>Stated: the board used the first quarter of 2014 to consider an acquisition of another industry participant; direction is target-to-Industry Participant. “In March, 2014, the board authorized management to contact Industry Participant to determine Industry Participant’s interest in initiating exploratory discussions concerning the feasibility of a merger or acquisition transaction.” “Industry Participant’s CEO informed Mr. Lenhardt that Industry Participant was not for sale”. Scope is the whole of Industry Participant, not a bid for PetSmart.</t>
        </is>
      </c>
      <c r="L2" s="3" t="inlineStr">
        <is>
          <t>P-001</t>
        </is>
      </c>
      <c r="M2" s="2" t="n"/>
      <c r="N2" s="2" t="n"/>
      <c r="O2" s="2" t="inlineStr">
        <is>
          <t>R001</t>
        </is>
      </c>
      <c r="P2" s="2" t="inlineStr">
        <is>
          <t>Yes</t>
        </is>
      </c>
      <c r="Q2" s="2" t="n"/>
      <c r="R2" s="4" t="n">
        <v>41699</v>
      </c>
      <c r="S2" s="4" t="n">
        <v>41790</v>
      </c>
      <c r="T2" s="4" t="n">
        <v>41699</v>
      </c>
      <c r="U2" s="2" t="inlineStr">
        <is>
          <t>Reported interval</t>
        </is>
      </c>
      <c r="V2" s="2" t="inlineStr">
        <is>
          <t>Assigned: bound</t>
        </is>
      </c>
      <c r="W2" s="5" t="n"/>
      <c r="X2" s="5" t="n"/>
      <c r="Y2" s="2" t="n"/>
      <c r="Z2" s="2" t="n"/>
      <c r="AA2" s="2" t="n"/>
      <c r="AB2" s="2" t="n"/>
      <c r="AC2" s="5" t="n"/>
      <c r="AD2" s="2" t="n"/>
      <c r="AE2" s="4" t="n"/>
      <c r="AF2" s="2" t="n"/>
      <c r="AG2" s="2" t="n"/>
      <c r="AH2" s="2" t="n"/>
      <c r="AI2" s="2" t="n"/>
      <c r="AJ2" s="2" t="n"/>
      <c r="AK2" s="2" t="n">
        <v>21</v>
      </c>
      <c r="AL2" s="2" t="inlineStr">
        <is>
          <t>R007; R010</t>
        </is>
      </c>
      <c r="AM2" s="2" t="inlineStr">
        <is>
          <t>PetSmart</t>
        </is>
      </c>
    </row>
    <row r="3" ht="126.5" customHeight="1">
      <c r="A3" s="2" t="n">
        <v>2</v>
      </c>
      <c r="B3" s="2" t="inlineStr">
        <is>
          <t>06/18/2014</t>
        </is>
      </c>
      <c r="C3" s="2" t="inlineStr">
        <is>
          <t>PetSmart board</t>
        </is>
      </c>
      <c r="D3" s="2" t="inlineStr">
        <is>
          <t>Target decision</t>
        </is>
      </c>
      <c r="E3" s="2" t="n">
        <v>1</v>
      </c>
      <c r="F3" s="2" t="n">
        <v>0</v>
      </c>
      <c r="G3" s="2" t="n"/>
      <c r="H3" s="2" t="inlineStr">
        <is>
          <t>Board reviewed strategic and financial alternatives with a financial adviser and Wachtell Lipton; determined to explore capital-structure changes intensively, focused on returning capital to stockholders; established an ad hoc advisory subcommittee of independent directors (Gregory Josefowicz, Rakesh Gangwal, Thomas Stemberg) and authorized vetting and retention of a financial adviser. No sale decision at this meeting. R1 anchor candidate, rejected (R014).</t>
        </is>
      </c>
      <c r="I3" s="2" t="n"/>
      <c r="J3" s="2" t="n"/>
      <c r="K3" s="2" t="inlineStr">
        <is>
          <t>Stated: June 18, 2014 board review and governance steps; a capital-structure review, not yet a sale decision. “At a meeting on June 18, 2014, the board reviewed, together with a financial advisor and with Wachtell, Lipton, Rosen &amp; Katz (“Wachtell Lipton”), its legal advisor, the various strategic and financial alternatives potentially available to the Company”. Follows the 05/21/2014 weak Q1 release and late-May/June communications from stockholders and interested parties.</t>
        </is>
      </c>
      <c r="L3" s="3" t="inlineStr">
        <is>
          <t>P-002; P-003</t>
        </is>
      </c>
      <c r="M3" s="2" t="n"/>
      <c r="N3" s="2" t="n"/>
      <c r="O3" s="2" t="inlineStr">
        <is>
          <t>R002</t>
        </is>
      </c>
      <c r="P3" s="2" t="inlineStr">
        <is>
          <t>Yes</t>
        </is>
      </c>
      <c r="Q3" s="2" t="n"/>
      <c r="R3" s="4" t="n">
        <v>41808</v>
      </c>
      <c r="S3" s="4" t="n">
        <v>41808</v>
      </c>
      <c r="T3" s="4" t="n">
        <v>41808</v>
      </c>
      <c r="U3" s="2" t="inlineStr">
        <is>
          <t>Reported day</t>
        </is>
      </c>
      <c r="V3" s="2" t="inlineStr">
        <is>
          <t>Reported</t>
        </is>
      </c>
      <c r="W3" s="5" t="n"/>
      <c r="X3" s="5" t="n"/>
      <c r="Y3" s="2" t="n"/>
      <c r="Z3" s="2" t="n"/>
      <c r="AA3" s="2" t="n"/>
      <c r="AB3" s="2" t="n"/>
      <c r="AC3" s="5" t="n"/>
      <c r="AD3" s="2" t="n"/>
      <c r="AE3" s="4" t="n"/>
      <c r="AF3" s="2" t="n"/>
      <c r="AG3" s="2" t="n"/>
      <c r="AH3" s="2" t="n"/>
      <c r="AI3" s="2" t="n"/>
      <c r="AJ3" s="2" t="n"/>
      <c r="AK3" s="2" t="n">
        <v>21</v>
      </c>
      <c r="AL3" s="2" t="inlineStr">
        <is>
          <t>R004; R008</t>
        </is>
      </c>
      <c r="AM3" s="2" t="inlineStr">
        <is>
          <t>PetSmart</t>
        </is>
      </c>
    </row>
    <row r="4" ht="76.5" customHeight="1">
      <c r="A4" s="2" t="n">
        <v>3</v>
      </c>
      <c r="B4" s="2" t="inlineStr">
        <is>
          <t>06/18/2014</t>
        </is>
      </c>
      <c r="C4" s="2" t="inlineStr">
        <is>
          <t>PetSmart / Wachtell, Lipton, Rosen &amp; Katz</t>
        </is>
      </c>
      <c r="D4" s="2" t="inlineStr">
        <is>
          <t>Adviser service observed</t>
        </is>
      </c>
      <c r="E4" s="2" t="n">
        <v>1</v>
      </c>
      <c r="F4" s="2" t="n">
        <v>0</v>
      </c>
      <c r="G4" s="2" t="n"/>
      <c r="H4" s="2" t="inlineStr">
        <is>
          <t>Legal adviser to PetSmart, described as its legal advisor and shown acting at the June 18, 2014 board meeting and throughout the process (negotiations, merger agreement, voting agreement). Engagement date not disclosed; observed service treated as the mandate start.</t>
        </is>
      </c>
      <c r="I4" s="2" t="n"/>
      <c r="J4" s="2" t="n"/>
      <c r="K4" s="2" t="inlineStr">
        <is>
          <t>Stated: Wachtell Lipton is identified as PetSmart's legal advisor and present at the June 18, 2014 meeting. Engagement or retention date not disclosed, so an engagement row is not supported; earliest observed service is 06/18/2014. “with Wachtell, Lipton, Rosen &amp; Katz (“Wachtell Lipton”), its legal advisor”.</t>
        </is>
      </c>
      <c r="L4" s="3" t="inlineStr">
        <is>
          <t>P-003</t>
        </is>
      </c>
      <c r="M4" s="2" t="n"/>
      <c r="N4" s="2" t="n"/>
      <c r="O4" s="2" t="inlineStr">
        <is>
          <t>R003</t>
        </is>
      </c>
      <c r="P4" s="2" t="inlineStr">
        <is>
          <t>Yes</t>
        </is>
      </c>
      <c r="Q4" s="2" t="n"/>
      <c r="R4" s="4" t="n">
        <v>41808</v>
      </c>
      <c r="S4" s="4" t="n">
        <v>41808</v>
      </c>
      <c r="T4" s="4" t="n">
        <v>41808</v>
      </c>
      <c r="U4" s="2" t="inlineStr">
        <is>
          <t>Reported day</t>
        </is>
      </c>
      <c r="V4" s="2" t="inlineStr">
        <is>
          <t>Reported</t>
        </is>
      </c>
      <c r="W4" s="5" t="n"/>
      <c r="X4" s="5" t="n"/>
      <c r="Y4" s="2" t="n"/>
      <c r="Z4" s="2" t="n"/>
      <c r="AA4" s="2" t="n"/>
      <c r="AB4" s="2" t="n"/>
      <c r="AC4" s="5" t="n"/>
      <c r="AD4" s="2" t="n"/>
      <c r="AE4" s="4" t="n"/>
      <c r="AF4" s="2" t="n"/>
      <c r="AG4" s="2" t="n"/>
      <c r="AH4" s="2" t="n"/>
      <c r="AI4" s="2" t="n"/>
      <c r="AJ4" s="2" t="n"/>
      <c r="AK4" s="2" t="n">
        <v>21</v>
      </c>
      <c r="AL4" s="2" t="inlineStr">
        <is>
          <t>R004</t>
        </is>
      </c>
      <c r="AM4" s="2" t="inlineStr">
        <is>
          <t>PetSmart</t>
        </is>
      </c>
    </row>
    <row r="5" ht="126.5" customHeight="1">
      <c r="A5" s="2" t="n">
        <v>4</v>
      </c>
      <c r="B5" s="2" t="inlineStr">
        <is>
          <t>July 2014 (engagement letter effective 08/21/2014)</t>
        </is>
      </c>
      <c r="C5" s="2" t="inlineStr">
        <is>
          <t>PetSmart / J.P. Morgan Securities LLC</t>
        </is>
      </c>
      <c r="D5" s="2" t="inlineStr">
        <is>
          <t>Adviser engaged</t>
        </is>
      </c>
      <c r="E5" s="2" t="n">
        <v>1</v>
      </c>
      <c r="F5" s="2" t="n">
        <v>0</v>
      </c>
      <c r="G5" s="2" t="n"/>
      <c r="H5" s="2" t="inlineStr">
        <is>
          <t>Engaged as PetSmart's financial adviser in July 2014 after the board interviewed several candidates; engagement letter effective 08/21/2014; scope covered a possible merger, acquisition of a majority of stock or assets. Delivered the fairness opinion (oral 12/13/2014; written 12/14/2014). Fee up to approximately $39 million, a substantial portion payable only on consummation.</t>
        </is>
      </c>
      <c r="I5" s="2" t="n"/>
      <c r="J5" s="2" t="n"/>
      <c r="K5" s="2" t="inlineStr">
        <is>
          <t>Stated: selection month July 2014, engagement letter effective 08/21/2014, opinion dates and contingent fee disclosed. Working date is the earliest bound of the July selection window (Assigned: bound). “In July, after interviewing several potential financial advisors, the Company retained J.P. Morgan as financial advisor”; “Pursuant to an engagement letter effective as of August 21, 2014, the Company retained J.P. Morgan as its financial advisor”; “For services rendered in connection with the merger and the delivery of its opinion, the Company has agreed to pay J.P. Morgan an amount up to approximately $39 million”.</t>
        </is>
      </c>
      <c r="L5" s="3" t="inlineStr">
        <is>
          <t>P-003; X-012; X-014</t>
        </is>
      </c>
      <c r="M5" s="2" t="n"/>
      <c r="N5" s="2" t="n"/>
      <c r="O5" s="2" t="inlineStr">
        <is>
          <t>R004</t>
        </is>
      </c>
      <c r="P5" s="2" t="inlineStr">
        <is>
          <t>Yes</t>
        </is>
      </c>
      <c r="Q5" s="2" t="n"/>
      <c r="R5" s="4" t="n">
        <v>41821</v>
      </c>
      <c r="S5" s="4" t="n">
        <v>41872</v>
      </c>
      <c r="T5" s="4" t="n">
        <v>41821</v>
      </c>
      <c r="U5" s="2" t="inlineStr">
        <is>
          <t>Reported interval</t>
        </is>
      </c>
      <c r="V5" s="2" t="inlineStr">
        <is>
          <t>Assigned: bound</t>
        </is>
      </c>
      <c r="W5" s="5" t="n"/>
      <c r="X5" s="5" t="n"/>
      <c r="Y5" s="2" t="n"/>
      <c r="Z5" s="2" t="n"/>
      <c r="AA5" s="2" t="n"/>
      <c r="AB5" s="2" t="n"/>
      <c r="AC5" s="5" t="n"/>
      <c r="AD5" s="2" t="n"/>
      <c r="AE5" s="4" t="n"/>
      <c r="AF5" s="2" t="n"/>
      <c r="AG5" s="2" t="n"/>
      <c r="AH5" s="2" t="n"/>
      <c r="AI5" s="2" t="n"/>
      <c r="AJ5" s="2" t="n"/>
      <c r="AK5" s="2" t="n">
        <v>21</v>
      </c>
      <c r="AL5" s="2" t="inlineStr">
        <is>
          <t>R003</t>
        </is>
      </c>
      <c r="AM5" s="2" t="inlineStr">
        <is>
          <t>PetSmart</t>
        </is>
      </c>
    </row>
    <row r="6" ht="89" customHeight="1">
      <c r="A6" s="2" t="n">
        <v>5</v>
      </c>
      <c r="B6" s="2" t="inlineStr">
        <is>
          <t>07/03/2014 (through August 2014)</t>
        </is>
      </c>
      <c r="C6" s="2" t="inlineStr">
        <is>
          <t>JANA Partners LLC (activist stockholder)</t>
        </is>
      </c>
      <c r="D6" s="2" t="inlineStr">
        <is>
          <t>Activist pressure</t>
        </is>
      </c>
      <c r="E6" s="2" t="n">
        <v>1</v>
      </c>
      <c r="F6" s="2" t="n">
        <v>0</v>
      </c>
      <c r="G6" s="2" t="n"/>
      <c r="H6" s="2" t="inlineStr">
        <is>
          <t>Schedule 13D disclosing a 9.9% stake and intent to discuss a review of strategic alternatives, including a sale; multiple amendments and public letters over July-August advocating a sale; met Company representatives in person on 07/10/2014 to press its views. JANA held 5,050,107 shares (5.1%) per its 01/26/2015 13D/A.</t>
        </is>
      </c>
      <c r="I6" s="2" t="n"/>
      <c r="J6" s="2" t="n"/>
      <c r="K6" s="2" t="inlineStr">
        <is>
          <t>Stated: JANA filed on 07/03/2014 and publicly advocated a sale; ownership per the beneficial-ownership table. “On July 3, 2014, JANA Partners filed a Schedule 13D with the SEC disclosing that JANA had acquired 9.9% of the Company’s outstanding common stock”; “On July 10, 2014, representatives of JANA met in person with representatives of the Company”.</t>
        </is>
      </c>
      <c r="L6" s="3" t="inlineStr">
        <is>
          <t>P-004; X-027</t>
        </is>
      </c>
      <c r="M6" s="2" t="n"/>
      <c r="N6" s="2" t="n"/>
      <c r="O6" s="2" t="inlineStr">
        <is>
          <t>R005</t>
        </is>
      </c>
      <c r="P6" s="2" t="inlineStr">
        <is>
          <t>Yes</t>
        </is>
      </c>
      <c r="Q6" s="2" t="n"/>
      <c r="R6" s="4" t="n">
        <v>41823</v>
      </c>
      <c r="S6" s="4" t="n">
        <v>41882</v>
      </c>
      <c r="T6" s="4" t="n">
        <v>41823</v>
      </c>
      <c r="U6" s="2" t="inlineStr">
        <is>
          <t>Reported interval</t>
        </is>
      </c>
      <c r="V6" s="2" t="inlineStr">
        <is>
          <t>Assigned: bound</t>
        </is>
      </c>
      <c r="W6" s="5" t="n"/>
      <c r="X6" s="5" t="n"/>
      <c r="Y6" s="2" t="n"/>
      <c r="Z6" s="2" t="n"/>
      <c r="AA6" s="2" t="n"/>
      <c r="AB6" s="2" t="n"/>
      <c r="AC6" s="5" t="n"/>
      <c r="AD6" s="2" t="n"/>
      <c r="AE6" s="4" t="n"/>
      <c r="AF6" s="2" t="n"/>
      <c r="AG6" s="2" t="n"/>
      <c r="AH6" s="2" t="n"/>
      <c r="AI6" s="2" t="n"/>
      <c r="AJ6" s="2" t="n"/>
      <c r="AK6" s="2" t="n">
        <v>22</v>
      </c>
      <c r="AL6" s="2" t="inlineStr">
        <is>
          <t>R006</t>
        </is>
      </c>
      <c r="AM6" s="2" t="inlineStr">
        <is>
          <t>PetSmart</t>
        </is>
      </c>
    </row>
    <row r="7" ht="114" customHeight="1">
      <c r="A7" s="2" t="n">
        <v>6</v>
      </c>
      <c r="B7" s="2" t="inlineStr">
        <is>
          <t>07/07/2014</t>
        </is>
      </c>
      <c r="C7" s="2" t="inlineStr">
        <is>
          <t>Longview Asset Management, LLC (stockholder; later rollover supporter)</t>
        </is>
      </c>
      <c r="D7" s="2" t="inlineStr">
        <is>
          <t>Activist involvement</t>
        </is>
      </c>
      <c r="E7" s="2" t="n">
        <v>1</v>
      </c>
      <c r="F7" s="2" t="n">
        <v>0</v>
      </c>
      <c r="G7" s="2" t="n"/>
      <c r="H7" s="2" t="inlineStr">
        <is>
          <t>Public letter to the board urging that it consider a sale (among other alternatives) and stating Longview would consider rolling part or all of its holdings into the acquirer's equity if needed to complete a transaction; Longview reiterated its advocacy in a 07/10/2014 call with the Company. In May 2014 Longview had met board members and management to present business views without advocating a specific transaction.</t>
        </is>
      </c>
      <c r="I7" s="2" t="n"/>
      <c r="J7" s="2" t="n"/>
      <c r="K7" s="2" t="inlineStr">
        <is>
          <t>Stated: the 07/07/2014 public letter and the rollover willingness; the May meetings are involvement without a transaction proposal. “Longview would consider, depending on the parties and terms involved, rolling part or all of its holdings into equity of the acquiring entity rather than receive cash consideration”; “Longview reiterated its advocacy for a sale of the Company”.</t>
        </is>
      </c>
      <c r="L7" s="3" t="inlineStr">
        <is>
          <t>P-002; P-004</t>
        </is>
      </c>
      <c r="M7" s="2" t="n"/>
      <c r="N7" s="2" t="n"/>
      <c r="O7" s="2" t="inlineStr">
        <is>
          <t>R006</t>
        </is>
      </c>
      <c r="P7" s="2" t="inlineStr">
        <is>
          <t>Yes</t>
        </is>
      </c>
      <c r="Q7" s="2" t="n"/>
      <c r="R7" s="4" t="n">
        <v>41827</v>
      </c>
      <c r="S7" s="4" t="n">
        <v>41827</v>
      </c>
      <c r="T7" s="4" t="n">
        <v>41827</v>
      </c>
      <c r="U7" s="2" t="inlineStr">
        <is>
          <t>Reported day</t>
        </is>
      </c>
      <c r="V7" s="2" t="inlineStr">
        <is>
          <t>Reported</t>
        </is>
      </c>
      <c r="W7" s="5" t="n"/>
      <c r="X7" s="5" t="n"/>
      <c r="Y7" s="2" t="n"/>
      <c r="Z7" s="2" t="n"/>
      <c r="AA7" s="2" t="n"/>
      <c r="AB7" s="2" t="n"/>
      <c r="AC7" s="5" t="n"/>
      <c r="AD7" s="2" t="n"/>
      <c r="AE7" s="4" t="n"/>
      <c r="AF7" s="2" t="n"/>
      <c r="AG7" s="2" t="n"/>
      <c r="AH7" s="2" t="n"/>
      <c r="AI7" s="2" t="n"/>
      <c r="AJ7" s="2" t="n"/>
      <c r="AK7" s="2" t="n">
        <v>22</v>
      </c>
      <c r="AL7" s="2" t="inlineStr">
        <is>
          <t>R040; R044</t>
        </is>
      </c>
      <c r="AM7" s="2" t="inlineStr">
        <is>
          <t>PetSmart</t>
        </is>
      </c>
    </row>
    <row r="8" ht="114" customHeight="1">
      <c r="A8" s="2" t="n">
        <v>7</v>
      </c>
      <c r="B8" s="2" t="inlineStr">
        <is>
          <t>08/07/2014</t>
        </is>
      </c>
      <c r="C8" s="2" t="inlineStr">
        <is>
          <t>Industry Participant (via J.P. Morgan)</t>
        </is>
      </c>
      <c r="D8" s="2" t="inlineStr">
        <is>
          <t>Bidder interest</t>
        </is>
      </c>
      <c r="E8" s="2" t="n">
        <v>1</v>
      </c>
      <c r="F8" s="2" t="n">
        <v>0</v>
      </c>
      <c r="G8" s="2" t="n"/>
      <c r="H8" s="2" t="inlineStr">
        <is>
          <t>Unsolicited, unpriced approach: Industry Participant's representative told J.P. Morgan that if the Company pursued strategic alternatives, it might want to revisit the Spring discussions about a possible combination of the two companies; reported to the ad hoc committee. One of three strategic parties that made contact (the other two entered the 27 contacts), and the only one individually tracked.</t>
        </is>
      </c>
      <c r="I8" s="2" t="n"/>
      <c r="J8" s="2" t="n"/>
      <c r="K8" s="2" t="inlineStr">
        <is>
          <t>Stated: inbound call dated 08/07/2014, unpriced, reported to the ad hoc committee. “Industry Participant might be interested in re-visiting the conversations that had taken place in the Spring concerning the feasibility of a possible combination of the two Companies”.</t>
        </is>
      </c>
      <c r="L8" s="3" t="inlineStr">
        <is>
          <t>P-005</t>
        </is>
      </c>
      <c r="M8" s="2" t="n"/>
      <c r="N8" s="2" t="n"/>
      <c r="O8" s="2" t="inlineStr">
        <is>
          <t>R007</t>
        </is>
      </c>
      <c r="P8" s="2" t="inlineStr">
        <is>
          <t>Yes</t>
        </is>
      </c>
      <c r="Q8" s="2" t="n"/>
      <c r="R8" s="4" t="n">
        <v>41858</v>
      </c>
      <c r="S8" s="4" t="n">
        <v>41858</v>
      </c>
      <c r="T8" s="4" t="n">
        <v>41858</v>
      </c>
      <c r="U8" s="2" t="inlineStr">
        <is>
          <t>Reported day</t>
        </is>
      </c>
      <c r="V8" s="2" t="inlineStr">
        <is>
          <t>Reported</t>
        </is>
      </c>
      <c r="W8" s="5" t="n"/>
      <c r="X8" s="5" t="n"/>
      <c r="Y8" s="2" t="n"/>
      <c r="Z8" s="2" t="n"/>
      <c r="AA8" s="2" t="n"/>
      <c r="AB8" s="2" t="n"/>
      <c r="AC8" s="5" t="n"/>
      <c r="AD8" s="2" t="n"/>
      <c r="AE8" s="4" t="n"/>
      <c r="AF8" s="2" t="n"/>
      <c r="AG8" s="2" t="n"/>
      <c r="AH8" s="2" t="n"/>
      <c r="AI8" s="2" t="n"/>
      <c r="AJ8" s="2" t="n"/>
      <c r="AK8" s="2" t="n">
        <v>22</v>
      </c>
      <c r="AL8" s="2" t="inlineStr">
        <is>
          <t>R001; R010</t>
        </is>
      </c>
      <c r="AM8" s="2" t="inlineStr">
        <is>
          <t>PetSmart</t>
        </is>
      </c>
    </row>
    <row r="9" ht="126.5" customHeight="1">
      <c r="A9" s="2" t="n">
        <v>8</v>
      </c>
      <c r="B9" s="2" t="inlineStr">
        <is>
          <t>08/13/2014</t>
        </is>
      </c>
      <c r="C9" s="2" t="inlineStr">
        <is>
          <t>PetSmart board</t>
        </is>
      </c>
      <c r="D9" s="2" t="inlineStr">
        <is>
          <t>Target sale decision</t>
        </is>
      </c>
      <c r="E9" s="2" t="n">
        <v>1</v>
      </c>
      <c r="F9" s="2" t="n">
        <v>0</v>
      </c>
      <c r="G9" s="2" t="n"/>
      <c r="H9" s="2" t="inlineStr">
        <is>
          <t>Board completed its initial review and determined to explore strategic alternatives, including a possible sale, to maximize stockholder value; instructed management to plan the Profit Improvement Plan; authorized the ad hoc committee to oversee the sale exploration; planned J.P. Morgan outreach to likely buyers in the second half of September or early October and a public announcement to draw uncontacted parties. R1 anchor candidate, rejected (R014).</t>
        </is>
      </c>
      <c r="I9" s="2" t="n"/>
      <c r="J9" s="2" t="n"/>
      <c r="K9" s="2" t="inlineStr">
        <is>
          <t>Stated: the decision to explore a sale, the process governance, planned outreach timing and publicity authorization. “determined to explore strategic alternatives (including a possible sale of the Company) for the Company to maximize value for stockholders”. No irrevocable commitment to sell was recorded.</t>
        </is>
      </c>
      <c r="L9" s="3" t="inlineStr">
        <is>
          <t>P-006</t>
        </is>
      </c>
      <c r="M9" s="2" t="n"/>
      <c r="N9" s="2" t="n"/>
      <c r="O9" s="2" t="inlineStr">
        <is>
          <t>R008</t>
        </is>
      </c>
      <c r="P9" s="2" t="inlineStr">
        <is>
          <t>Yes</t>
        </is>
      </c>
      <c r="Q9" s="2" t="n"/>
      <c r="R9" s="4" t="n">
        <v>41864</v>
      </c>
      <c r="S9" s="4" t="n">
        <v>41864</v>
      </c>
      <c r="T9" s="4" t="n">
        <v>41864</v>
      </c>
      <c r="U9" s="2" t="inlineStr">
        <is>
          <t>Reported day</t>
        </is>
      </c>
      <c r="V9" s="2" t="inlineStr">
        <is>
          <t>Reported</t>
        </is>
      </c>
      <c r="W9" s="5" t="n"/>
      <c r="X9" s="5" t="n"/>
      <c r="Y9" s="2" t="n"/>
      <c r="Z9" s="2" t="n"/>
      <c r="AA9" s="2" t="n"/>
      <c r="AB9" s="2" t="n"/>
      <c r="AC9" s="5" t="n"/>
      <c r="AD9" s="2" t="n"/>
      <c r="AE9" s="4" t="n"/>
      <c r="AF9" s="2" t="n"/>
      <c r="AG9" s="2" t="n"/>
      <c r="AH9" s="2" t="n"/>
      <c r="AI9" s="2" t="n"/>
      <c r="AJ9" s="2" t="n"/>
      <c r="AK9" s="2" t="n">
        <v>22</v>
      </c>
      <c r="AL9" s="2" t="inlineStr">
        <is>
          <t>R009; R014</t>
        </is>
      </c>
      <c r="AM9" s="2" t="inlineStr">
        <is>
          <t>PetSmart</t>
        </is>
      </c>
    </row>
    <row r="10" ht="101.5" customHeight="1">
      <c r="A10" s="2" t="n">
        <v>9</v>
      </c>
      <c r="B10" s="2" t="inlineStr">
        <is>
          <t>08/19/2014</t>
        </is>
      </c>
      <c r="C10" s="2" t="inlineStr">
        <is>
          <t>PetSmart</t>
        </is>
      </c>
      <c r="D10" s="2" t="inlineStr">
        <is>
          <t>Sale process announced</t>
        </is>
      </c>
      <c r="E10" s="2" t="n">
        <v>1</v>
      </c>
      <c r="F10" s="2" t="n">
        <v>0</v>
      </c>
      <c r="G10" s="2" t="n"/>
      <c r="H10" s="2" t="inlineStr">
        <is>
          <t>Press release, concurrent with the second-quarter earnings announcement, disclosing the determination to explore strategic alternatives including a possible sale. R1 anchor candidate, rejected (R014); the announcement did not itself open a round, and the filing reports contacts coming to J.P. Morgan rather than a dated first target outreach wave.</t>
        </is>
      </c>
      <c r="I10" s="2" t="n"/>
      <c r="J10" s="2" t="n"/>
      <c r="K10" s="2" t="inlineStr">
        <is>
          <t>Stated: public announcement dated 08/19/2014. The board had decided a public announcement would “ensure that interested parties not contacted would become aware of the process”. “the Company issued a press release announcing that it determined to explore strategic alternatives for the Company to maximize value for stockholders, including a possible sale of the Company”.</t>
        </is>
      </c>
      <c r="L10" s="3" t="inlineStr">
        <is>
          <t>P-006</t>
        </is>
      </c>
      <c r="M10" s="2" t="n"/>
      <c r="N10" s="2" t="n"/>
      <c r="O10" s="2" t="inlineStr">
        <is>
          <t>R009</t>
        </is>
      </c>
      <c r="P10" s="2" t="inlineStr">
        <is>
          <t>Yes</t>
        </is>
      </c>
      <c r="Q10" s="2" t="n"/>
      <c r="R10" s="4" t="n">
        <v>41870</v>
      </c>
      <c r="S10" s="4" t="n">
        <v>41870</v>
      </c>
      <c r="T10" s="4" t="n">
        <v>41870</v>
      </c>
      <c r="U10" s="2" t="inlineStr">
        <is>
          <t>Reported day</t>
        </is>
      </c>
      <c r="V10" s="2" t="inlineStr">
        <is>
          <t>Reported</t>
        </is>
      </c>
      <c r="W10" s="5" t="n"/>
      <c r="X10" s="5" t="n"/>
      <c r="Y10" s="2" t="n"/>
      <c r="Z10" s="2" t="n"/>
      <c r="AA10" s="2" t="n"/>
      <c r="AB10" s="2" t="n"/>
      <c r="AC10" s="5" t="n"/>
      <c r="AD10" s="2" t="n"/>
      <c r="AE10" s="4" t="n"/>
      <c r="AF10" s="2" t="n"/>
      <c r="AG10" s="2" t="n"/>
      <c r="AH10" s="2" t="n"/>
      <c r="AI10" s="2" t="n"/>
      <c r="AJ10" s="2" t="n"/>
      <c r="AK10" s="2" t="n">
        <v>23</v>
      </c>
      <c r="AL10" s="2" t="inlineStr">
        <is>
          <t>R008; R014</t>
        </is>
      </c>
      <c r="AM10" s="2" t="inlineStr">
        <is>
          <t>PetSmart</t>
        </is>
      </c>
    </row>
    <row r="11" ht="126.5" customHeight="1">
      <c r="A11" s="2" t="n">
        <v>10</v>
      </c>
      <c r="B11" s="2" t="inlineStr">
        <is>
          <t>08/27/2014 (calls also 08/22/2014)</t>
        </is>
      </c>
      <c r="C11" s="2" t="inlineStr">
        <is>
          <t>PetSmart (ad hoc committee via J.P. Morgan) / Industry Participant</t>
        </is>
      </c>
      <c r="D11" s="2" t="inlineStr">
        <is>
          <t>Target decision</t>
        </is>
      </c>
      <c r="E11" s="2" t="n">
        <v>1</v>
      </c>
      <c r="F11" s="2" t="n">
        <v>0</v>
      </c>
      <c r="G11" s="2" t="n"/>
      <c r="H11" s="2" t="inlineStr">
        <is>
          <t>Industry Participant told it would not be invited to the exploratory sale process; rationale: very high antitrust risk (likely second request, eight months to a year or more), risk of leaking competitively advantageous information, and risk of disrupting or delaying the process. J.P. Morgan added that a proposal or other communication from Industry Participant would be considered by the board; Industry Participant said it remained interested in a combination; no contact since 08/27/2014.</t>
        </is>
      </c>
      <c r="I11" s="2" t="n"/>
      <c r="J11" s="2" t="n"/>
      <c r="K11" s="2" t="inlineStr">
        <is>
          <t>Stated: decision and communications dated 08/22 and 08/27; Industry Participant never entered (no NDA, no bid, never admitted), so this is a Target decision, not an outcome row. “The J.P. Morgan representative stated that Industry Participant would not be invited into the exploratory process, but that if Industry Participant were to wish to submit a proposal or other communication to the Company, the board would consider it.”</t>
        </is>
      </c>
      <c r="L11" s="3" t="inlineStr">
        <is>
          <t>P-006; P-007</t>
        </is>
      </c>
      <c r="M11" s="2" t="n"/>
      <c r="N11" s="2" t="n"/>
      <c r="O11" s="2" t="inlineStr">
        <is>
          <t>R010</t>
        </is>
      </c>
      <c r="P11" s="2" t="inlineStr">
        <is>
          <t>Yes</t>
        </is>
      </c>
      <c r="Q11" s="2" t="n"/>
      <c r="R11" s="4" t="n">
        <v>41873</v>
      </c>
      <c r="S11" s="4" t="n">
        <v>41878</v>
      </c>
      <c r="T11" s="4" t="n">
        <v>41878</v>
      </c>
      <c r="U11" s="2" t="inlineStr">
        <is>
          <t>Reported interval</t>
        </is>
      </c>
      <c r="V11" s="2" t="inlineStr">
        <is>
          <t>Assigned: bound</t>
        </is>
      </c>
      <c r="W11" s="5" t="n"/>
      <c r="X11" s="5" t="n"/>
      <c r="Y11" s="2" t="n"/>
      <c r="Z11" s="2" t="n"/>
      <c r="AA11" s="2" t="n"/>
      <c r="AB11" s="2" t="n"/>
      <c r="AC11" s="5" t="n"/>
      <c r="AD11" s="2" t="n"/>
      <c r="AE11" s="4" t="n"/>
      <c r="AF11" s="2" t="n"/>
      <c r="AG11" s="2" t="n"/>
      <c r="AH11" s="2" t="n"/>
      <c r="AI11" s="2" t="n"/>
      <c r="AJ11" s="2" t="n"/>
      <c r="AK11" s="2" t="n">
        <v>22</v>
      </c>
      <c r="AL11" s="2" t="inlineStr">
        <is>
          <t>R001; R007; R013</t>
        </is>
      </c>
      <c r="AM11" s="2" t="inlineStr">
        <is>
          <t>PetSmart</t>
        </is>
      </c>
    </row>
    <row r="12" ht="101.5" customHeight="1">
      <c r="A12" s="2" t="n">
        <v>11</v>
      </c>
      <c r="B12" s="2" t="inlineStr">
        <is>
          <t>mid-August through October 2014</t>
        </is>
      </c>
      <c r="C12" s="2" t="inlineStr">
        <is>
          <t>3 strategic parties (not counting Industry Participant) via J.P. Morgan</t>
        </is>
      </c>
      <c r="D12" s="2" t="inlineStr">
        <is>
          <t>Contact</t>
        </is>
      </c>
      <c r="E12" s="2" t="n">
        <v>1</v>
      </c>
      <c r="F12" s="2" t="n">
        <v>0</v>
      </c>
      <c r="G12" s="2" t="inlineStr">
        <is>
          <t>Strategic</t>
        </is>
      </c>
      <c r="H12" s="2" t="inlineStr">
        <is>
          <t>Aggregate contact activity, split by the filing's own composition: three strategic parties other than Industry Participant (which is tracked separately at R007). These contacts fed the October confidentiality-agreement wave; about 15 parties expressed interest by the 10/03/2014 board meeting. No strategic party is disclosed as signing an NDA or submitting an indication.</t>
        </is>
      </c>
      <c r="I12" s="2" t="n"/>
      <c r="J12" s="2" t="n"/>
      <c r="K12" s="2" t="inlineStr">
        <is>
          <t>Stated: strategic count from the filing's 27-contact split; the split is supplied, so the contact cohort is recorded by type rather than as Unknown. “J.P. Morgan was contacted by 27 potential participants in a sale process, including three strategic parties (not counting Industry Participant) and 24 financial participants”.</t>
        </is>
      </c>
      <c r="L12" s="3" t="inlineStr">
        <is>
          <t>P-008; P-009</t>
        </is>
      </c>
      <c r="M12" s="2" t="n"/>
      <c r="N12" s="2" t="n"/>
      <c r="O12" s="2" t="inlineStr">
        <is>
          <t>R011</t>
        </is>
      </c>
      <c r="P12" s="2" t="inlineStr">
        <is>
          <t>Yes</t>
        </is>
      </c>
      <c r="Q12" s="2" t="n">
        <v>3</v>
      </c>
      <c r="R12" s="4" t="n">
        <v>41866</v>
      </c>
      <c r="S12" s="4" t="n">
        <v>41943</v>
      </c>
      <c r="T12" s="4" t="n">
        <v>41904</v>
      </c>
      <c r="U12" s="2" t="inlineStr">
        <is>
          <t>Reported interval</t>
        </is>
      </c>
      <c r="V12" s="2" t="inlineStr">
        <is>
          <t>Assigned: midpoint</t>
        </is>
      </c>
      <c r="W12" s="5" t="n"/>
      <c r="X12" s="5" t="n"/>
      <c r="Y12" s="2" t="n"/>
      <c r="Z12" s="2" t="n"/>
      <c r="AA12" s="2" t="n"/>
      <c r="AB12" s="2" t="n"/>
      <c r="AC12" s="5" t="n"/>
      <c r="AD12" s="2" t="n"/>
      <c r="AE12" s="4" t="n"/>
      <c r="AF12" s="2" t="n"/>
      <c r="AG12" s="2" t="n"/>
      <c r="AH12" s="2" t="n"/>
      <c r="AI12" s="2" t="n"/>
      <c r="AJ12" s="2" t="n"/>
      <c r="AK12" s="2" t="n">
        <v>23</v>
      </c>
      <c r="AL12" s="2" t="inlineStr">
        <is>
          <t>R015; R007</t>
        </is>
      </c>
      <c r="AM12" s="2" t="inlineStr">
        <is>
          <t>PetSmart</t>
        </is>
      </c>
    </row>
    <row r="13" ht="114" customHeight="1">
      <c r="A13" s="2" t="n">
        <v>12</v>
      </c>
      <c r="B13" s="2" t="inlineStr">
        <is>
          <t>mid-August through October 2014</t>
        </is>
      </c>
      <c r="C13" s="2" t="inlineStr">
        <is>
          <t>24 financial participants via J.P. Morgan</t>
        </is>
      </c>
      <c r="D13" s="2" t="inlineStr">
        <is>
          <t>Contact</t>
        </is>
      </c>
      <c r="E13" s="2" t="n">
        <v>1</v>
      </c>
      <c r="F13" s="2" t="n">
        <v>0</v>
      </c>
      <c r="G13" s="2" t="inlineStr">
        <is>
          <t>Financial</t>
        </is>
      </c>
      <c r="H13" s="2" t="inlineStr">
        <is>
          <t>Aggregate contact activity, split by the filing's own composition: 24 financial participants, including potential lead buyers as well as large suppliers of equity capital to lead buyers. These contacts fed the October confidentiality-agreement wave; about 15 parties expressed interest by the 10/03/2014 board meeting, and 15 financial buyers signed confidentiality and standstill agreements (R015).</t>
        </is>
      </c>
      <c r="I13" s="2" t="n"/>
      <c r="J13" s="2" t="n"/>
      <c r="K13" s="2" t="inlineStr">
        <is>
          <t>Stated: financial count from the filing's 27-contact split; the population includes financing-side contacts and is not a cohort of bidders. The board was later told “approximately 15 parties had expressed interest”. “24 financial participants”; the same sentence identifies “potential lead buyers as well as large suppliers of equity capital to lead buyers”.</t>
        </is>
      </c>
      <c r="L13" s="3" t="inlineStr">
        <is>
          <t>P-008; P-009</t>
        </is>
      </c>
      <c r="M13" s="2" t="n"/>
      <c r="N13" s="2" t="n"/>
      <c r="O13" s="2" t="inlineStr">
        <is>
          <t>R012</t>
        </is>
      </c>
      <c r="P13" s="2" t="inlineStr">
        <is>
          <t>Yes</t>
        </is>
      </c>
      <c r="Q13" s="2" t="n">
        <v>24</v>
      </c>
      <c r="R13" s="4" t="n">
        <v>41866</v>
      </c>
      <c r="S13" s="4" t="n">
        <v>41943</v>
      </c>
      <c r="T13" s="4" t="n">
        <v>41904</v>
      </c>
      <c r="U13" s="2" t="inlineStr">
        <is>
          <t>Reported interval</t>
        </is>
      </c>
      <c r="V13" s="2" t="inlineStr">
        <is>
          <t>Assigned: midpoint</t>
        </is>
      </c>
      <c r="W13" s="5" t="n"/>
      <c r="X13" s="5" t="n"/>
      <c r="Y13" s="2" t="n"/>
      <c r="Z13" s="2" t="n"/>
      <c r="AA13" s="2" t="n"/>
      <c r="AB13" s="2" t="n"/>
      <c r="AC13" s="5" t="n"/>
      <c r="AD13" s="2" t="n"/>
      <c r="AE13" s="4" t="n"/>
      <c r="AF13" s="2" t="n"/>
      <c r="AG13" s="2" t="n"/>
      <c r="AH13" s="2" t="n"/>
      <c r="AI13" s="2" t="n"/>
      <c r="AJ13" s="2" t="n"/>
      <c r="AK13" s="2" t="n">
        <v>23</v>
      </c>
      <c r="AL13" s="2" t="inlineStr">
        <is>
          <t>R015</t>
        </is>
      </c>
      <c r="AM13" s="2" t="inlineStr">
        <is>
          <t>PetSmart</t>
        </is>
      </c>
    </row>
    <row r="14" ht="89" customHeight="1">
      <c r="A14" s="2" t="n">
        <v>13</v>
      </c>
      <c r="B14" s="2" t="inlineStr">
        <is>
          <t>10/03/2014</t>
        </is>
      </c>
      <c r="C14" s="2" t="inlineStr">
        <is>
          <t>PetSmart board</t>
        </is>
      </c>
      <c r="D14" s="2" t="inlineStr">
        <is>
          <t>Material process update</t>
        </is>
      </c>
      <c r="E14" s="2" t="n">
        <v>1</v>
      </c>
      <c r="F14" s="2" t="n">
        <v>0</v>
      </c>
      <c r="G14" s="2" t="n"/>
      <c r="H14" s="2" t="inlineStr">
        <is>
          <t>Board received an update on the sale process and the Profit Improvement Plan (planning complete); informed that about 15 parties had expressed interest; reaffirmed, for the August reasons, the determination not to invite Industry Participant to participate. R1 anchor candidate, rejected (R014).</t>
        </is>
      </c>
      <c r="I14" s="2" t="n"/>
      <c r="J14" s="2" t="n"/>
      <c r="K14" s="2" t="inlineStr">
        <is>
          <t>Stated: board meeting and reaffirmation dated 10/03/2014. “reaffirmed the determination not to invite Industry Participant to participate in the sale process” and “approximately 15 parties had expressed interest in participating in the process”.</t>
        </is>
      </c>
      <c r="L14" s="3" t="inlineStr">
        <is>
          <t>P-009</t>
        </is>
      </c>
      <c r="M14" s="2" t="n"/>
      <c r="N14" s="2" t="n"/>
      <c r="O14" s="2" t="inlineStr">
        <is>
          <t>R013</t>
        </is>
      </c>
      <c r="P14" s="2" t="inlineStr">
        <is>
          <t>Yes</t>
        </is>
      </c>
      <c r="Q14" s="2" t="n"/>
      <c r="R14" s="4" t="n">
        <v>41915</v>
      </c>
      <c r="S14" s="4" t="n">
        <v>41915</v>
      </c>
      <c r="T14" s="4" t="n">
        <v>41915</v>
      </c>
      <c r="U14" s="2" t="inlineStr">
        <is>
          <t>Reported day</t>
        </is>
      </c>
      <c r="V14" s="2" t="inlineStr">
        <is>
          <t>Reported</t>
        </is>
      </c>
      <c r="W14" s="5" t="n"/>
      <c r="X14" s="5" t="n"/>
      <c r="Y14" s="2" t="n"/>
      <c r="Z14" s="2" t="n"/>
      <c r="AA14" s="2" t="n"/>
      <c r="AB14" s="2" t="n"/>
      <c r="AC14" s="5" t="n"/>
      <c r="AD14" s="2" t="n"/>
      <c r="AE14" s="4" t="n"/>
      <c r="AF14" s="2" t="n"/>
      <c r="AG14" s="2" t="n"/>
      <c r="AH14" s="2" t="n"/>
      <c r="AI14" s="2" t="n"/>
      <c r="AJ14" s="2" t="n"/>
      <c r="AK14" s="2" t="n">
        <v>23</v>
      </c>
      <c r="AL14" s="2" t="inlineStr">
        <is>
          <t>R010; R015</t>
        </is>
      </c>
      <c r="AM14" s="2" t="inlineStr">
        <is>
          <t>PetSmart</t>
        </is>
      </c>
    </row>
    <row r="15" ht="151.5" customHeight="1">
      <c r="A15" s="2" t="n">
        <v>14</v>
      </c>
      <c r="B15" s="2" t="inlineStr">
        <is>
          <t>first week of October 2014</t>
        </is>
      </c>
      <c r="C15" s="2" t="inlineStr">
        <is>
          <t>PetSmart / J.P. Morgan</t>
        </is>
      </c>
      <c r="D15" s="2" t="inlineStr">
        <is>
          <t>Round opened</t>
        </is>
      </c>
      <c r="E15" s="2" t="n">
        <v>1</v>
      </c>
      <c r="F15" s="2" t="n">
        <v>1</v>
      </c>
      <c r="G15" s="2" t="n"/>
      <c r="H15" s="2" t="inlineStr">
        <is>
          <t>R1 anchor: confidentiality-agreement wave (R015) — first target-organized step admitting participants (no dated first outreach wave is reported; contacts came to J.P. Morgan). Rejected candidate anchors: R008 (08/13 decision; planned outreach was for late September/early October, not within a week), R009 (08/19 announcement replacing outreach), R013 (10/03 board update). Objective: signed NDAs/standstills, due diligence and management presentations, then non-binding indications of interest due 10/30/2014. Round finality: Not final - preliminary non-binding stage, no final/binding announcement.</t>
        </is>
      </c>
      <c r="I15" s="2" t="n"/>
      <c r="J15" s="2" t="n"/>
      <c r="K15" s="2" t="inlineStr">
        <is>
          <t>Convention and stated basis: the CA wave is the first target-organized admission step; no target outreach wave is dated in the filing (J.P. Morgan “was contacted by 27 potential participants”), so the round boundary follows the confidentiality-agreement wave under the instruction's rule 3. “In the first week of October 2014, the Company entered into confidentiality and standstill agreements with 15 potentially interested financial buyers”.</t>
        </is>
      </c>
      <c r="L15" s="3" t="inlineStr">
        <is>
          <t>P-008; P-010</t>
        </is>
      </c>
      <c r="M15" s="2" t="inlineStr">
        <is>
          <t>Q1</t>
        </is>
      </c>
      <c r="N15" s="2" t="n"/>
      <c r="O15" s="2" t="inlineStr">
        <is>
          <t>R014</t>
        </is>
      </c>
      <c r="P15" s="2" t="inlineStr">
        <is>
          <t>Yes</t>
        </is>
      </c>
      <c r="Q15" s="2" t="n"/>
      <c r="R15" s="4" t="n">
        <v>41913</v>
      </c>
      <c r="S15" s="4" t="n">
        <v>41919</v>
      </c>
      <c r="T15" s="4" t="n">
        <v>41916</v>
      </c>
      <c r="U15" s="2" t="inlineStr">
        <is>
          <t>Reported interval</t>
        </is>
      </c>
      <c r="V15" s="2" t="inlineStr">
        <is>
          <t>Assigned: midpoint</t>
        </is>
      </c>
      <c r="W15" s="5" t="n"/>
      <c r="X15" s="5" t="n"/>
      <c r="Y15" s="2" t="n"/>
      <c r="Z15" s="2" t="n"/>
      <c r="AA15" s="2" t="n"/>
      <c r="AB15" s="2" t="n"/>
      <c r="AC15" s="5" t="n"/>
      <c r="AD15" s="2" t="n"/>
      <c r="AE15" s="4" t="n"/>
      <c r="AF15" s="2" t="n"/>
      <c r="AG15" s="2" t="inlineStr">
        <is>
          <t>Not final</t>
        </is>
      </c>
      <c r="AH15" s="2" t="n"/>
      <c r="AI15" s="2" t="n"/>
      <c r="AJ15" s="2" t="n"/>
      <c r="AK15" s="2" t="n">
        <v>23</v>
      </c>
      <c r="AL15" s="2" t="inlineStr">
        <is>
          <t>R008; R009; R013; R015</t>
        </is>
      </c>
      <c r="AM15" s="2" t="inlineStr">
        <is>
          <t>PetSmart</t>
        </is>
      </c>
    </row>
    <row r="16" ht="151.5" customHeight="1">
      <c r="A16" s="2" t="n">
        <v>15</v>
      </c>
      <c r="B16" s="2" t="inlineStr">
        <is>
          <t>first week of October 2014</t>
        </is>
      </c>
      <c r="C16" s="2" t="inlineStr">
        <is>
          <t>15 potentially interested financial buyers (cohort)</t>
        </is>
      </c>
      <c r="D16" s="2" t="inlineStr">
        <is>
          <t>NDA signed</t>
        </is>
      </c>
      <c r="E16" s="2" t="n">
        <v>1</v>
      </c>
      <c r="F16" s="2" t="n">
        <v>1</v>
      </c>
      <c r="G16" s="2" t="inlineStr">
        <is>
          <t>Financial</t>
        </is>
      </c>
      <c r="H16" s="2" t="inlineStr">
        <is>
          <t>Confidentiality and standstill agreements executed with 15 financial buyers; all 15 then engaged in due diligence, received management presentations with the senior-most management and detailed financial and business-plan information including the Profit Improvement Plan. Standstills bar the signers from submitting (or seeking permission to submit) a higher bid once a definitive agreement is signed. Auction screen: met - 15 executed bidder-target confidentiality agreements covering more than one independent prospective acquiring bidder unit; no reused earlier agreements reported.</t>
        </is>
      </c>
      <c r="I16" s="2" t="n"/>
      <c r="J16" s="2" t="n"/>
      <c r="K16" s="2" t="inlineStr">
        <is>
          <t>Stated: 15 executed confidentiality/standstill agreements, all financial buyers, uniform October access. Auction screen assessed from these executed bidder-target contracts (adviser and rollover-holder agreements excluded and none reported). “entered into confidentiality and standstill agreements with 15 potentially interested financial buyers”; “all 15 of which, during the month of October engaged in due diligence, received management presentations involving the Company’s senior-most management, and received detailed financial and business plan information”.</t>
        </is>
      </c>
      <c r="L16" s="3" t="inlineStr">
        <is>
          <t>P-010; X-009</t>
        </is>
      </c>
      <c r="M16" s="2" t="inlineStr">
        <is>
          <t>Q3</t>
        </is>
      </c>
      <c r="N16" s="2" t="n"/>
      <c r="O16" s="2" t="inlineStr">
        <is>
          <t>R015</t>
        </is>
      </c>
      <c r="P16" s="2" t="inlineStr">
        <is>
          <t>Yes</t>
        </is>
      </c>
      <c r="Q16" s="2" t="n">
        <v>15</v>
      </c>
      <c r="R16" s="4" t="n">
        <v>41913</v>
      </c>
      <c r="S16" s="4" t="n">
        <v>41919</v>
      </c>
      <c r="T16" s="4" t="n">
        <v>41916</v>
      </c>
      <c r="U16" s="2" t="inlineStr">
        <is>
          <t>Reported interval</t>
        </is>
      </c>
      <c r="V16" s="2" t="inlineStr">
        <is>
          <t>Assigned: midpoint</t>
        </is>
      </c>
      <c r="W16" s="5" t="n"/>
      <c r="X16" s="5" t="n"/>
      <c r="Y16" s="2" t="n"/>
      <c r="Z16" s="2" t="n"/>
      <c r="AA16" s="2" t="n"/>
      <c r="AB16" s="2" t="n"/>
      <c r="AC16" s="5" t="n"/>
      <c r="AD16" s="2" t="n"/>
      <c r="AE16" s="4" t="n"/>
      <c r="AF16" s="2" t="n"/>
      <c r="AG16" s="2" t="n"/>
      <c r="AH16" s="2" t="n"/>
      <c r="AI16" s="2" t="n"/>
      <c r="AJ16" s="2" t="n"/>
      <c r="AK16" s="2" t="n">
        <v>23</v>
      </c>
      <c r="AL16" s="2" t="inlineStr">
        <is>
          <t>R014; R016</t>
        </is>
      </c>
      <c r="AM16" s="2" t="inlineStr">
        <is>
          <t>PetSmart</t>
        </is>
      </c>
    </row>
    <row r="17" ht="126.5" customHeight="1">
      <c r="A17" s="2" t="n">
        <v>16</v>
      </c>
      <c r="B17" s="2" t="inlineStr">
        <is>
          <t>October 2014 (day not disclosed)</t>
        </is>
      </c>
      <c r="C17" s="2" t="inlineStr">
        <is>
          <t>PetSmart / J.P. Morgan</t>
        </is>
      </c>
      <c r="D17" s="2" t="inlineStr">
        <is>
          <t>Deadline set</t>
        </is>
      </c>
      <c r="E17" s="2" t="n">
        <v>1</v>
      </c>
      <c r="F17" s="2" t="n">
        <v>1</v>
      </c>
      <c r="G17" s="2" t="n"/>
      <c r="H17" s="2" t="inlineStr">
        <is>
          <t>Potential bidders informed that non-binding preliminary indications of interest were due 10/30/2014. Bidders were also told Longview was willing to roll over up to 7.5 million shares on terms and price acceptable to it (such shares would become equity rather than receive cash), and were asked to indicate their interest in a Longview participation - expressly not a condition to participating. Communication date within October not disclosed; Working date is the window midpoint.</t>
        </is>
      </c>
      <c r="I17" s="2" t="n"/>
      <c r="J17" s="2" t="n"/>
      <c r="K17" s="2" t="inlineStr">
        <is>
          <t>Stated: due date 10/30/2014 and the Longview rollover notice, month only. Date basis is the October window (10/01-10/30); midpoint assigned. “non-binding preliminary indications of interest would be due on October 30, 2014”; “willing to “roll-over” up to 7.5 million shares on terms and price acceptable to Longview”.</t>
        </is>
      </c>
      <c r="L17" s="3" t="inlineStr">
        <is>
          <t>P-011</t>
        </is>
      </c>
      <c r="M17" s="2" t="inlineStr">
        <is>
          <t>Q7</t>
        </is>
      </c>
      <c r="N17" s="2" t="n"/>
      <c r="O17" s="2" t="inlineStr">
        <is>
          <t>R016</t>
        </is>
      </c>
      <c r="P17" s="2" t="inlineStr">
        <is>
          <t>Yes</t>
        </is>
      </c>
      <c r="Q17" s="2" t="n"/>
      <c r="R17" s="4" t="n">
        <v>41913</v>
      </c>
      <c r="S17" s="4" t="n">
        <v>41942</v>
      </c>
      <c r="T17" s="4" t="n">
        <v>41927</v>
      </c>
      <c r="U17" s="2" t="inlineStr">
        <is>
          <t>Approximate window</t>
        </is>
      </c>
      <c r="V17" s="2" t="inlineStr">
        <is>
          <t>Assigned: midpoint</t>
        </is>
      </c>
      <c r="W17" s="5" t="n"/>
      <c r="X17" s="5" t="n"/>
      <c r="Y17" s="2" t="n"/>
      <c r="Z17" s="2" t="n"/>
      <c r="AA17" s="2" t="n"/>
      <c r="AB17" s="2" t="n"/>
      <c r="AC17" s="5" t="n"/>
      <c r="AD17" s="2" t="n"/>
      <c r="AE17" s="4" t="n">
        <v>41942</v>
      </c>
      <c r="AF17" s="2" t="n"/>
      <c r="AG17" s="2" t="n"/>
      <c r="AH17" s="2" t="n"/>
      <c r="AI17" s="2" t="n"/>
      <c r="AJ17" s="2" t="n"/>
      <c r="AK17" s="2" t="n">
        <v>23</v>
      </c>
      <c r="AL17" s="2" t="inlineStr">
        <is>
          <t>R017; R040</t>
        </is>
      </c>
      <c r="AM17" s="2" t="inlineStr">
        <is>
          <t>PetSmart</t>
        </is>
      </c>
    </row>
    <row r="18" ht="101.5" customHeight="1">
      <c r="A18" s="2" t="n">
        <v>17</v>
      </c>
      <c r="B18" s="2" t="inlineStr">
        <is>
          <t>10/30/2014</t>
        </is>
      </c>
      <c r="C18" s="2" t="inlineStr">
        <is>
          <t>PetSmart / 15 NDA signers</t>
        </is>
      </c>
      <c r="D18" s="2" t="inlineStr">
        <is>
          <t>Deadline</t>
        </is>
      </c>
      <c r="E18" s="2" t="n">
        <v>1</v>
      </c>
      <c r="F18" s="2" t="n">
        <v>1</v>
      </c>
      <c r="G18" s="2" t="n"/>
      <c r="H18" s="2" t="inlineStr">
        <is>
          <t>IOI due date reached; six of the potentially interested parties submitted. J.P. Morgan then called all potential bidders, submitters and non-submitters alike, to hear price rationales and reasons for not submitting. The board advanced bidders at its 11/03/2014 meeting on the bids in hand - no extension and no late-bid acceptance.</t>
        </is>
      </c>
      <c r="I18" s="2" t="n"/>
      <c r="J18" s="2" t="n"/>
      <c r="K18" s="2" t="inlineStr">
        <is>
          <t>Stated: submissions on the due date and the follow-up calls; next step was the 11/03 board decision. Deadline treatment Enforced (target took its next step without an extension). “On October 30, six of the potentially interested parties submitted indications of interest. From October 30 to November 2, 2014, representatives of J.P. Morgan spoke by telephone with all of the potentially interested parties, including those that did not submit an indication of interest”.</t>
        </is>
      </c>
      <c r="L18" s="3" t="inlineStr">
        <is>
          <t>P-012; P-013</t>
        </is>
      </c>
      <c r="M18" s="2" t="inlineStr">
        <is>
          <t>Q2</t>
        </is>
      </c>
      <c r="N18" s="2" t="n"/>
      <c r="O18" s="2" t="inlineStr">
        <is>
          <t>R017</t>
        </is>
      </c>
      <c r="P18" s="2" t="inlineStr">
        <is>
          <t>Yes</t>
        </is>
      </c>
      <c r="Q18" s="2" t="n"/>
      <c r="R18" s="4" t="n">
        <v>41942</v>
      </c>
      <c r="S18" s="4" t="n">
        <v>41942</v>
      </c>
      <c r="T18" s="4" t="n">
        <v>41942</v>
      </c>
      <c r="U18" s="2" t="inlineStr">
        <is>
          <t>Reported day</t>
        </is>
      </c>
      <c r="V18" s="2" t="inlineStr">
        <is>
          <t>Reported</t>
        </is>
      </c>
      <c r="W18" s="5" t="n"/>
      <c r="X18" s="5" t="n"/>
      <c r="Y18" s="2" t="n"/>
      <c r="Z18" s="2" t="n"/>
      <c r="AA18" s="2" t="n"/>
      <c r="AB18" s="2" t="n"/>
      <c r="AC18" s="5" t="n"/>
      <c r="AD18" s="2" t="n"/>
      <c r="AE18" s="4" t="n">
        <v>41942</v>
      </c>
      <c r="AF18" s="2" t="inlineStr">
        <is>
          <t>Enforced</t>
        </is>
      </c>
      <c r="AG18" s="2" t="n"/>
      <c r="AH18" s="2" t="n"/>
      <c r="AI18" s="2" t="n"/>
      <c r="AJ18" s="2" t="n"/>
      <c r="AK18" s="2" t="n">
        <v>24</v>
      </c>
      <c r="AL18" s="2" t="inlineStr">
        <is>
          <t>R011; R015; R024</t>
        </is>
      </c>
      <c r="AM18" s="2" t="inlineStr">
        <is>
          <t>PetSmart</t>
        </is>
      </c>
    </row>
    <row r="19" ht="114" customHeight="1">
      <c r="A19" s="2" t="n">
        <v>18</v>
      </c>
      <c r="B19" s="2" t="inlineStr">
        <is>
          <t>10/30/2014</t>
        </is>
      </c>
      <c r="C19" s="2" t="inlineStr">
        <is>
          <t>Buyer Group (BC Partners-led consortium)</t>
        </is>
      </c>
      <c r="D19" s="2" t="inlineStr">
        <is>
          <t>Bid</t>
        </is>
      </c>
      <c r="E19" s="2" t="n">
        <v>1</v>
      </c>
      <c r="F19" s="2" t="n">
        <v>1</v>
      </c>
      <c r="G19" s="2" t="inlineStr">
        <is>
          <t>Financial</t>
        </is>
      </c>
      <c r="H19" s="2" t="inlineStr">
        <is>
          <t>Non-binding preliminary indication of interest: $81.00-$83.00 per share (range later superseded). One of three bidders initially at or above $80.00; one of six IOI submitters. No price revision. Final-round units after 11/03 are tracked separately.</t>
        </is>
      </c>
      <c r="I19" s="2" t="inlineStr">
        <is>
          <t>Informal</t>
        </is>
      </c>
      <c r="J19" s="2" t="inlineStr">
        <is>
          <t>Insufficient evidence</t>
        </is>
      </c>
      <c r="K19" s="2" t="inlineStr">
        <is>
          <t>Stated: submitted 10/30/2014 with the $81.00-$83.00 range. Formality Informal - a preliminary non-binding IOI with no formal signal (no returned agreement, no final-stage response). Conditions Insufficient evidence: price known, financing/diligence conditions not described, and the stage itself (pre-final-round IOI after October diligence access) does not supply them; preferred reading is that no substantive condition was stated. “the Buyer Group, which indicated a range of $81.00 to $83.00 per share”.</t>
        </is>
      </c>
      <c r="L19" s="3" t="inlineStr">
        <is>
          <t>P-012</t>
        </is>
      </c>
      <c r="M19" s="2" t="inlineStr">
        <is>
          <t>Q6</t>
        </is>
      </c>
      <c r="N19" s="2" t="n"/>
      <c r="O19" s="2" t="inlineStr">
        <is>
          <t>R018</t>
        </is>
      </c>
      <c r="P19" s="2" t="inlineStr">
        <is>
          <t>Yes</t>
        </is>
      </c>
      <c r="Q19" s="2" t="n">
        <v>1</v>
      </c>
      <c r="R19" s="4" t="n">
        <v>41942</v>
      </c>
      <c r="S19" s="4" t="n">
        <v>41942</v>
      </c>
      <c r="T19" s="4" t="n">
        <v>41942</v>
      </c>
      <c r="U19" s="2" t="inlineStr">
        <is>
          <t>Reported day</t>
        </is>
      </c>
      <c r="V19" s="2" t="inlineStr">
        <is>
          <t>Reported</t>
        </is>
      </c>
      <c r="W19" s="5" t="n">
        <v>81</v>
      </c>
      <c r="X19" s="5" t="n">
        <v>83</v>
      </c>
      <c r="Y19" s="2" t="inlineStr">
        <is>
          <t>Bidder range</t>
        </is>
      </c>
      <c r="Z19" s="2" t="inlineStr">
        <is>
          <t>Stated</t>
        </is>
      </c>
      <c r="AA19" s="2" t="inlineStr">
        <is>
          <t>USD</t>
        </is>
      </c>
      <c r="AB19" s="2" t="inlineStr">
        <is>
          <t>Not stated</t>
        </is>
      </c>
      <c r="AC19" s="5" t="n"/>
      <c r="AD19" s="2" t="inlineStr">
        <is>
          <t>Fin: not stated; DD required: not stated; DD open: yes; Excl: not stated</t>
        </is>
      </c>
      <c r="AE19" s="4" t="n"/>
      <c r="AF19" s="2" t="n"/>
      <c r="AG19" s="2" t="n"/>
      <c r="AH19" s="2" t="n"/>
      <c r="AI19" s="2" t="n"/>
      <c r="AJ19" s="2" t="n"/>
      <c r="AK19" s="2" t="n">
        <v>24</v>
      </c>
      <c r="AL19" s="2" t="inlineStr">
        <is>
          <t>R015; R031; R038</t>
        </is>
      </c>
      <c r="AM19" s="2" t="inlineStr">
        <is>
          <t>PetSmart</t>
        </is>
      </c>
    </row>
    <row r="20" ht="101.5" customHeight="1">
      <c r="A20" s="2" t="n">
        <v>19</v>
      </c>
      <c r="B20" s="2" t="inlineStr">
        <is>
          <t>10/30/2014</t>
        </is>
      </c>
      <c r="C20" s="2" t="inlineStr">
        <is>
          <t>Unnamed financial bidder 1 (suggested $80.00-$85.00)</t>
        </is>
      </c>
      <c r="D20" s="2" t="inlineStr">
        <is>
          <t>Bid</t>
        </is>
      </c>
      <c r="E20" s="2" t="n">
        <v>1</v>
      </c>
      <c r="F20" s="2" t="n">
        <v>1</v>
      </c>
      <c r="G20" s="2" t="inlineStr">
        <is>
          <t>Financial</t>
        </is>
      </c>
      <c r="H20" s="2" t="inlineStr">
        <is>
          <t>Non-binding preliminary indication of interest: $80.00-$85.00 per share. Individually distinguishable only by this price detail; one of the three bidders initially at or above $80.00 and among the four that advanced on 11/03/2014. Later path not individually identified - see R026 and the identity question Q5; no separate exit row is invented.</t>
        </is>
      </c>
      <c r="I20" s="2" t="inlineStr">
        <is>
          <t>Informal</t>
        </is>
      </c>
      <c r="J20" s="2" t="inlineStr">
        <is>
          <t>Insufficient evidence</t>
        </is>
      </c>
      <c r="K20" s="2" t="inlineStr">
        <is>
          <t>Stated: a distinct submitter described only by its range; included as an individual row so the remaining cohort is disjoint. Formality Informal (preliminary IOI, no formal signal); Conditions Insufficient evidence for the same reasons as R018. “another bidder, which suggested a range of $80.00 to $85.00 per share”.</t>
        </is>
      </c>
      <c r="L20" s="3" t="inlineStr">
        <is>
          <t>P-012; P-013</t>
        </is>
      </c>
      <c r="M20" s="2" t="inlineStr">
        <is>
          <t>Q3; Q5</t>
        </is>
      </c>
      <c r="N20" s="2" t="n"/>
      <c r="O20" s="2" t="inlineStr">
        <is>
          <t>R019</t>
        </is>
      </c>
      <c r="P20" s="2" t="inlineStr">
        <is>
          <t>Yes</t>
        </is>
      </c>
      <c r="Q20" s="2" t="n">
        <v>1</v>
      </c>
      <c r="R20" s="4" t="n">
        <v>41942</v>
      </c>
      <c r="S20" s="4" t="n">
        <v>41942</v>
      </c>
      <c r="T20" s="4" t="n">
        <v>41942</v>
      </c>
      <c r="U20" s="2" t="inlineStr">
        <is>
          <t>Reported day</t>
        </is>
      </c>
      <c r="V20" s="2" t="inlineStr">
        <is>
          <t>Reported</t>
        </is>
      </c>
      <c r="W20" s="5" t="n">
        <v>80</v>
      </c>
      <c r="X20" s="5" t="n">
        <v>85</v>
      </c>
      <c r="Y20" s="2" t="inlineStr">
        <is>
          <t>Bidder range</t>
        </is>
      </c>
      <c r="Z20" s="2" t="inlineStr">
        <is>
          <t>Stated</t>
        </is>
      </c>
      <c r="AA20" s="2" t="inlineStr">
        <is>
          <t>USD</t>
        </is>
      </c>
      <c r="AB20" s="2" t="inlineStr">
        <is>
          <t>Not stated</t>
        </is>
      </c>
      <c r="AC20" s="5" t="n"/>
      <c r="AD20" s="2" t="inlineStr">
        <is>
          <t>Fin: not stated; DD required: not stated; DD open: yes; Excl: not stated</t>
        </is>
      </c>
      <c r="AE20" s="4" t="n"/>
      <c r="AF20" s="2" t="n"/>
      <c r="AG20" s="2" t="n"/>
      <c r="AH20" s="2" t="n"/>
      <c r="AI20" s="2" t="n"/>
      <c r="AJ20" s="2" t="n"/>
      <c r="AK20" s="2" t="n">
        <v>24</v>
      </c>
      <c r="AL20" s="2" t="inlineStr">
        <is>
          <t>R021; R026; R035</t>
        </is>
      </c>
      <c r="AM20" s="2" t="inlineStr">
        <is>
          <t>PetSmart</t>
        </is>
      </c>
    </row>
    <row r="21" ht="76.5" customHeight="1">
      <c r="A21" s="2" t="n">
        <v>20</v>
      </c>
      <c r="B21" s="2" t="inlineStr">
        <is>
          <t>10/30/2014</t>
        </is>
      </c>
      <c r="C21" s="2" t="inlineStr">
        <is>
          <t>Bidder 2</t>
        </is>
      </c>
      <c r="D21" s="2" t="inlineStr">
        <is>
          <t>Bid</t>
        </is>
      </c>
      <c r="E21" s="2" t="n">
        <v>1</v>
      </c>
      <c r="F21" s="2" t="n">
        <v>1</v>
      </c>
      <c r="G21" s="2" t="inlineStr">
        <is>
          <t>Financial</t>
        </is>
      </c>
      <c r="H21" s="2" t="inlineStr">
        <is>
          <t>Non-binding preliminary indication of interest: $78.00 per share (submitted level), raised to $81.00-$84.00 during J.P. Morgan's follow-up calls (recorded at R023). Bidder type inferred from the cohort: all 15 NDA signers were financial buyers.</t>
        </is>
      </c>
      <c r="I21" s="2" t="inlineStr">
        <is>
          <t>Informal</t>
        </is>
      </c>
      <c r="J21" s="2" t="inlineStr">
        <is>
          <t>Insufficient evidence</t>
        </is>
      </c>
      <c r="K21" s="2" t="inlineStr">
        <is>
          <t>Stated: initial price $78.00 on 10/30/2014. Formality Informal (preliminary IOI, no formal signal); Conditions Insufficient evidence. “which had initially indicated a price of $78.00”.</t>
        </is>
      </c>
      <c r="L21" s="3" t="inlineStr">
        <is>
          <t>P-012</t>
        </is>
      </c>
      <c r="M21" s="2" t="inlineStr">
        <is>
          <t>Q6</t>
        </is>
      </c>
      <c r="N21" s="2" t="n"/>
      <c r="O21" s="2" t="inlineStr">
        <is>
          <t>R020</t>
        </is>
      </c>
      <c r="P21" s="2" t="inlineStr">
        <is>
          <t>Yes</t>
        </is>
      </c>
      <c r="Q21" s="2" t="n">
        <v>1</v>
      </c>
      <c r="R21" s="4" t="n">
        <v>41942</v>
      </c>
      <c r="S21" s="4" t="n">
        <v>41942</v>
      </c>
      <c r="T21" s="4" t="n">
        <v>41942</v>
      </c>
      <c r="U21" s="2" t="inlineStr">
        <is>
          <t>Reported day</t>
        </is>
      </c>
      <c r="V21" s="2" t="inlineStr">
        <is>
          <t>Reported</t>
        </is>
      </c>
      <c r="W21" s="5" t="n">
        <v>78</v>
      </c>
      <c r="X21" s="5" t="n">
        <v>78</v>
      </c>
      <c r="Y21" s="2" t="inlineStr">
        <is>
          <t>Point</t>
        </is>
      </c>
      <c r="Z21" s="2" t="inlineStr">
        <is>
          <t>Stated</t>
        </is>
      </c>
      <c r="AA21" s="2" t="inlineStr">
        <is>
          <t>USD</t>
        </is>
      </c>
      <c r="AB21" s="2" t="inlineStr">
        <is>
          <t>Not stated</t>
        </is>
      </c>
      <c r="AC21" s="5" t="n"/>
      <c r="AD21" s="2" t="inlineStr">
        <is>
          <t>Fin: not stated; DD required: not stated; DD open: yes; Excl: not stated</t>
        </is>
      </c>
      <c r="AE21" s="4" t="n"/>
      <c r="AF21" s="2" t="n"/>
      <c r="AG21" s="2" t="n"/>
      <c r="AH21" s="2" t="n"/>
      <c r="AI21" s="2" t="n"/>
      <c r="AJ21" s="2" t="n"/>
      <c r="AK21" s="2" t="n">
        <v>24</v>
      </c>
      <c r="AL21" s="2" t="inlineStr">
        <is>
          <t>R023</t>
        </is>
      </c>
      <c r="AM21" s="2" t="inlineStr">
        <is>
          <t>PetSmart</t>
        </is>
      </c>
    </row>
    <row r="22" ht="114" customHeight="1">
      <c r="A22" s="2" t="n">
        <v>21</v>
      </c>
      <c r="B22" s="2" t="inlineStr">
        <is>
          <t>10/30/2014</t>
        </is>
      </c>
      <c r="C22" s="2" t="inlineStr">
        <is>
          <t>3 remaining IOI submitters (cohort)</t>
        </is>
      </c>
      <c r="D22" s="2" t="inlineStr">
        <is>
          <t>Bid</t>
        </is>
      </c>
      <c r="E22" s="2" t="n">
        <v>1</v>
      </c>
      <c r="F22" s="2" t="n">
        <v>1</v>
      </c>
      <c r="G22" s="2" t="inlineStr">
        <is>
          <t>Financial</t>
        </is>
      </c>
      <c r="H22" s="2" t="inlineStr">
        <is>
          <t>Disjoint residual cohort: 6 IOI submitters minus the three individually recorded (Buyer Group, R018; Unnamed financial bidder 1, R019; Bidder 2, R020) = 3 remaining submitters. By count these comprise the third bidder that initially indicated at or above $80.00 (no individual price or name disclosed) and two submitters whose prices were below the final-round threshold. Prices not disclosed for the cohort; no endpoints invented.</t>
        </is>
      </c>
      <c r="I22" s="2" t="inlineStr">
        <is>
          <t>Informal</t>
        </is>
      </c>
      <c r="J22" s="2" t="inlineStr">
        <is>
          <t>Insufficient evidence</t>
        </is>
      </c>
      <c r="K22" s="2" t="inlineStr">
        <is>
          <t>Calculated: 6 - 3 individually recorded submitters = 3, per the instruction's disjoint-residual rule; the filing's three-bidder disclosure at or above $80.00 is the only individual content, kept in Terms. Formality Informal and Conditions Insufficient evidence for the same preliminary-IOI reasons as R018. “Three bidders initially indicated price ranges that reached at least $80.00 per share”.</t>
        </is>
      </c>
      <c r="L22" s="3" t="inlineStr">
        <is>
          <t>P-012</t>
        </is>
      </c>
      <c r="M22" s="2" t="inlineStr">
        <is>
          <t>Q3; Q4</t>
        </is>
      </c>
      <c r="N22" s="2" t="n"/>
      <c r="O22" s="2" t="inlineStr">
        <is>
          <t>R021</t>
        </is>
      </c>
      <c r="P22" s="2" t="inlineStr">
        <is>
          <t>Yes</t>
        </is>
      </c>
      <c r="Q22" s="2" t="n">
        <v>3</v>
      </c>
      <c r="R22" s="4" t="n">
        <v>41942</v>
      </c>
      <c r="S22" s="4" t="n">
        <v>41942</v>
      </c>
      <c r="T22" s="4" t="n">
        <v>41942</v>
      </c>
      <c r="U22" s="2" t="inlineStr">
        <is>
          <t>Reported day</t>
        </is>
      </c>
      <c r="V22" s="2" t="inlineStr">
        <is>
          <t>Reported</t>
        </is>
      </c>
      <c r="W22" s="5" t="n"/>
      <c r="X22" s="5" t="n"/>
      <c r="Y22" s="2" t="inlineStr">
        <is>
          <t>Undisclosed</t>
        </is>
      </c>
      <c r="Z22" s="2" t="n"/>
      <c r="AA22" s="2" t="inlineStr">
        <is>
          <t>USD</t>
        </is>
      </c>
      <c r="AB22" s="2" t="inlineStr">
        <is>
          <t>Not stated</t>
        </is>
      </c>
      <c r="AC22" s="5" t="n"/>
      <c r="AD22" s="2" t="inlineStr">
        <is>
          <t>Fin: not stated; DD required: not stated; DD open: yes; Excl: not stated</t>
        </is>
      </c>
      <c r="AE22" s="4" t="n"/>
      <c r="AF22" s="2" t="n"/>
      <c r="AG22" s="2" t="n"/>
      <c r="AH22" s="2" t="n"/>
      <c r="AI22" s="2" t="n"/>
      <c r="AJ22" s="2" t="n"/>
      <c r="AK22" s="2" t="n">
        <v>24</v>
      </c>
      <c r="AL22" s="2" t="inlineStr">
        <is>
          <t>R018; R019; R020; R025</t>
        </is>
      </c>
      <c r="AM22" s="2" t="inlineStr">
        <is>
          <t>PetSmart</t>
        </is>
      </c>
    </row>
    <row r="23" ht="101.5" customHeight="1">
      <c r="A23" s="2" t="n">
        <v>22</v>
      </c>
      <c r="B23" s="2" t="inlineStr">
        <is>
          <t>by 10/30/2014</t>
        </is>
      </c>
      <c r="C23" s="2" t="inlineStr">
        <is>
          <t>9 remaining NDA signers (unnamed cohort)</t>
        </is>
      </c>
      <c r="D23" s="2" t="inlineStr">
        <is>
          <t>Did not submit</t>
        </is>
      </c>
      <c r="E23" s="2" t="n">
        <v>1</v>
      </c>
      <c r="F23" s="2" t="n">
        <v>1</v>
      </c>
      <c r="G23" s="2" t="inlineStr">
        <is>
          <t>Financial</t>
        </is>
      </c>
      <c r="H23" s="2" t="inlineStr">
        <is>
          <t>Inferred: residual — 15 NDA signers − 6 IOI submitters = 9 non-submitters. J.P. Morgan called all potential bidders including non-submitters on 10/30-11/02 to hear their reasons, so the filing accounts for their non-participation. No decision date, motive, identity or permanent withdrawal is inferred; a non-submitter may appear again in a later stage only with a Re-entered row.</t>
        </is>
      </c>
      <c r="I23" s="2" t="n"/>
      <c r="J23" s="2" t="n"/>
      <c r="K23" s="2" t="inlineStr">
        <is>
          <t>Convention (inferred closing row): the base is the stated 15 executed confidentiality/standstill agreements; six submitters are accounted for at the 10/30/2014 deadline. “On October 30, six of the potentially interested parties submitted indications of interest”; “entered into confidentiality and standstill agreements with 15 potentially interested financial buyers”. Non-submission does not establish bidder agency, so Decided by is Unknown.</t>
        </is>
      </c>
      <c r="L23" s="3" t="inlineStr">
        <is>
          <t>P-012; P-010</t>
        </is>
      </c>
      <c r="M23" s="2" t="inlineStr">
        <is>
          <t>Q4</t>
        </is>
      </c>
      <c r="N23" s="2" t="n"/>
      <c r="O23" s="2" t="inlineStr">
        <is>
          <t>R022</t>
        </is>
      </c>
      <c r="P23" s="2" t="inlineStr">
        <is>
          <t>Yes</t>
        </is>
      </c>
      <c r="Q23" s="2" t="n">
        <v>9</v>
      </c>
      <c r="R23" s="4" t="n"/>
      <c r="S23" s="4" t="n">
        <v>41942</v>
      </c>
      <c r="T23" s="4" t="n">
        <v>41942</v>
      </c>
      <c r="U23" s="2" t="inlineStr">
        <is>
          <t>Relative only</t>
        </is>
      </c>
      <c r="V23" s="2" t="inlineStr">
        <is>
          <t>Assigned: deadline</t>
        </is>
      </c>
      <c r="W23" s="5" t="n"/>
      <c r="X23" s="5" t="n"/>
      <c r="Y23" s="2" t="n"/>
      <c r="Z23" s="2" t="n"/>
      <c r="AA23" s="2" t="n"/>
      <c r="AB23" s="2" t="n"/>
      <c r="AC23" s="5" t="n"/>
      <c r="AD23" s="2" t="n"/>
      <c r="AE23" s="4" t="n"/>
      <c r="AF23" s="2" t="n"/>
      <c r="AG23" s="2" t="n"/>
      <c r="AH23" s="2" t="inlineStr">
        <is>
          <t>Unknown</t>
        </is>
      </c>
      <c r="AI23" s="2" t="inlineStr">
        <is>
          <t>Not stated</t>
        </is>
      </c>
      <c r="AJ23" s="2" t="inlineStr">
        <is>
          <t>Inferred: residual</t>
        </is>
      </c>
      <c r="AK23" s="2" t="n">
        <v>24</v>
      </c>
      <c r="AL23" s="2" t="inlineStr">
        <is>
          <t>R015; R017; R021</t>
        </is>
      </c>
      <c r="AM23" s="2" t="inlineStr">
        <is>
          <t>PetSmart</t>
        </is>
      </c>
    </row>
    <row r="24" ht="89" customHeight="1">
      <c r="A24" s="2" t="n">
        <v>23</v>
      </c>
      <c r="B24" s="2" t="inlineStr">
        <is>
          <t>by 11/02/2014 (calls 10/30-11/02/2014)</t>
        </is>
      </c>
      <c r="C24" s="2" t="inlineStr">
        <is>
          <t>Bidder 2</t>
        </is>
      </c>
      <c r="D24" s="2" t="inlineStr">
        <is>
          <t>Bid</t>
        </is>
      </c>
      <c r="E24" s="2" t="n">
        <v>1</v>
      </c>
      <c r="F24" s="2" t="n">
        <v>1</v>
      </c>
      <c r="G24" s="2" t="inlineStr">
        <is>
          <t>Financial</t>
        </is>
      </c>
      <c r="H24" s="2" t="inlineStr">
        <is>
          <t>Revised indication: $81.00-$84.00 per share, raised from $78.00 as a result of J.P. Morgan's follow-up calls. This made Bidder 2 the fourth bidder at or above $80.00 and eligible for the final round. Same-round revision of R020; Count 0 because the same bidder unit is already recorded in R1.</t>
        </is>
      </c>
      <c r="I24" s="2" t="inlineStr">
        <is>
          <t>Informal</t>
        </is>
      </c>
      <c r="J24" s="2" t="inlineStr">
        <is>
          <t>Insufficient evidence</t>
        </is>
      </c>
      <c r="K24" s="2" t="inlineStr">
        <is>
          <t>Stated: revision and cause; price range endpoints. Formality Informal (still a preliminary non-binding indication, no formal signal); Conditions Insufficient evidence. “increased its indication to a range of $81.00 to $84.00 per share”.</t>
        </is>
      </c>
      <c r="L24" s="3" t="inlineStr">
        <is>
          <t>P-012</t>
        </is>
      </c>
      <c r="M24" s="2" t="inlineStr">
        <is>
          <t>Q7</t>
        </is>
      </c>
      <c r="N24" s="2" t="n"/>
      <c r="O24" s="2" t="inlineStr">
        <is>
          <t>R023</t>
        </is>
      </c>
      <c r="P24" s="2" t="inlineStr">
        <is>
          <t>Yes</t>
        </is>
      </c>
      <c r="Q24" s="2" t="n">
        <v>0</v>
      </c>
      <c r="R24" s="4" t="n">
        <v>41942</v>
      </c>
      <c r="S24" s="4" t="n">
        <v>41945</v>
      </c>
      <c r="T24" s="4" t="n">
        <v>41943</v>
      </c>
      <c r="U24" s="2" t="inlineStr">
        <is>
          <t>Reported interval</t>
        </is>
      </c>
      <c r="V24" s="2" t="inlineStr">
        <is>
          <t>Assigned: midpoint</t>
        </is>
      </c>
      <c r="W24" s="5" t="n">
        <v>81</v>
      </c>
      <c r="X24" s="5" t="n">
        <v>84</v>
      </c>
      <c r="Y24" s="2" t="inlineStr">
        <is>
          <t>Bidder range</t>
        </is>
      </c>
      <c r="Z24" s="2" t="inlineStr">
        <is>
          <t>Stated</t>
        </is>
      </c>
      <c r="AA24" s="2" t="inlineStr">
        <is>
          <t>USD</t>
        </is>
      </c>
      <c r="AB24" s="2" t="inlineStr">
        <is>
          <t>Not stated</t>
        </is>
      </c>
      <c r="AC24" s="5" t="n"/>
      <c r="AD24" s="2" t="inlineStr">
        <is>
          <t>Fin: not stated; DD required: not stated; DD open: yes; Excl: not stated</t>
        </is>
      </c>
      <c r="AE24" s="4" t="n"/>
      <c r="AF24" s="2" t="n"/>
      <c r="AG24" s="2" t="n"/>
      <c r="AH24" s="2" t="n"/>
      <c r="AI24" s="2" t="n"/>
      <c r="AJ24" s="2" t="n"/>
      <c r="AK24" s="2" t="n">
        <v>24</v>
      </c>
      <c r="AL24" s="2" t="inlineStr">
        <is>
          <t>revises R020</t>
        </is>
      </c>
      <c r="AM24" s="2" t="inlineStr">
        <is>
          <t>PetSmart</t>
        </is>
      </c>
    </row>
    <row r="25" ht="139" customHeight="1">
      <c r="A25" s="2" t="n">
        <v>24</v>
      </c>
      <c r="B25" s="2" t="inlineStr">
        <is>
          <t>11/03/2014</t>
        </is>
      </c>
      <c r="C25" s="2" t="inlineStr">
        <is>
          <t>PetSmart board / J.P. Morgan</t>
        </is>
      </c>
      <c r="D25" s="2" t="inlineStr">
        <is>
          <t>Round opened</t>
        </is>
      </c>
      <c r="E25" s="2" t="n">
        <v>1</v>
      </c>
      <c r="F25" s="2" t="n">
        <v>2</v>
      </c>
      <c r="G25" s="2" t="n"/>
      <c r="H25" s="2" t="inlineStr">
        <is>
          <t>R2: board allowed the four bidders that had indicated a price or range at or above $80.00 to proceed to the final round - Buyer Group, Bidder 2 and two unnamed bidders (later combined as Bidder 3, R026); J.P. Morgan notified the eliminated parties. Objective: final-round diligence and management presentations, draft merger agreement, and updated offers. Round finality: Inferred final - no binding/best-and-final announcement at the opening, but the target advanced the field toward definitive documentation; the final-bid solicitation itself opens R3.</t>
        </is>
      </c>
      <c r="I25" s="2" t="n"/>
      <c r="J25" s="2" t="n"/>
      <c r="K25" s="2" t="inlineStr">
        <is>
          <t>Stated: advancement decision, threshold, and the notification. Finality assessed as Inferred: the filing calls the stage the final round and the Company circulated a merger agreement in November, but no binding-stage announcement is dated at the opening. “determined to allow the four bidders that had indicated a price or range at or above $80.00 per share to proceed to the final round of the sale process”.</t>
        </is>
      </c>
      <c r="L25" s="3" t="inlineStr">
        <is>
          <t>P-013</t>
        </is>
      </c>
      <c r="M25" s="2" t="inlineStr">
        <is>
          <t>Q1</t>
        </is>
      </c>
      <c r="N25" s="2" t="n"/>
      <c r="O25" s="2" t="inlineStr">
        <is>
          <t>R024</t>
        </is>
      </c>
      <c r="P25" s="2" t="inlineStr">
        <is>
          <t>Yes</t>
        </is>
      </c>
      <c r="Q25" s="2" t="n"/>
      <c r="R25" s="4" t="n">
        <v>41946</v>
      </c>
      <c r="S25" s="4" t="n">
        <v>41946</v>
      </c>
      <c r="T25" s="4" t="n">
        <v>41946</v>
      </c>
      <c r="U25" s="2" t="inlineStr">
        <is>
          <t>Reported day</t>
        </is>
      </c>
      <c r="V25" s="2" t="inlineStr">
        <is>
          <t>Reported</t>
        </is>
      </c>
      <c r="W25" s="5" t="n"/>
      <c r="X25" s="5" t="n"/>
      <c r="Y25" s="2" t="n"/>
      <c r="Z25" s="2" t="n"/>
      <c r="AA25" s="2" t="n"/>
      <c r="AB25" s="2" t="n"/>
      <c r="AC25" s="5" t="n"/>
      <c r="AD25" s="2" t="n"/>
      <c r="AE25" s="4" t="n"/>
      <c r="AF25" s="2" t="n"/>
      <c r="AG25" s="2" t="inlineStr">
        <is>
          <t>Inferred final</t>
        </is>
      </c>
      <c r="AH25" s="2" t="n"/>
      <c r="AI25" s="2" t="n"/>
      <c r="AJ25" s="2" t="n"/>
      <c r="AK25" s="2" t="n">
        <v>24</v>
      </c>
      <c r="AL25" s="2" t="inlineStr">
        <is>
          <t>R018; R020; R023; R026; R027</t>
        </is>
      </c>
      <c r="AM25" s="2" t="inlineStr">
        <is>
          <t>PetSmart</t>
        </is>
      </c>
    </row>
    <row r="26" ht="114" customHeight="1">
      <c r="A26" s="2" t="n">
        <v>25</v>
      </c>
      <c r="B26" s="2" t="inlineStr">
        <is>
          <t>by 11/03/2014</t>
        </is>
      </c>
      <c r="C26" s="2" t="inlineStr">
        <is>
          <t>2 eliminated IOI submitters (unnamed cohort)</t>
        </is>
      </c>
      <c r="D26" s="2" t="inlineStr">
        <is>
          <t>Dropped by target</t>
        </is>
      </c>
      <c r="E26" s="2" t="n">
        <v>1</v>
      </c>
      <c r="F26" s="2" t="n">
        <v>2</v>
      </c>
      <c r="G26" s="2" t="inlineStr">
        <is>
          <t>Financial</t>
        </is>
      </c>
      <c r="H26" s="2" t="inlineStr">
        <is>
          <t>Inferred: residual — 6 IOI submitters − 4 advancing at or above $80.00 = 2 eliminated submitters, being the two members of R021 whose indications did not reach the threshold (the third member advanced within the unnamed finalists). J.P. Morgan notified the eliminated parties; none indicated any interest or ability to remain above its initial indications. Exclusion from the final round only; no motive or identity inferred.</t>
        </is>
      </c>
      <c r="I26" s="2" t="n"/>
      <c r="J26" s="2" t="n"/>
      <c r="K26" s="2" t="inlineStr">
        <is>
          <t>Stated: notification of elimination after the 11/03/2014 board meeting; the number is the arithmetic residual. The two members are identified only by count within R021, so no identity is assigned. No individual reason is stated, so Exit reason is Not stated and the price-level facts are preserved in Terms; Decided by is Target (excluded from the next stage). “representatives of J.P. Morgan notified the eliminated parties, none of which indicated any interest or ability to remain in the process at price levels above their respective initial indications”.</t>
        </is>
      </c>
      <c r="L26" s="3" t="inlineStr">
        <is>
          <t>P-013</t>
        </is>
      </c>
      <c r="M26" s="2" t="inlineStr">
        <is>
          <t>Q4</t>
        </is>
      </c>
      <c r="N26" s="2" t="n"/>
      <c r="O26" s="2" t="inlineStr">
        <is>
          <t>R025</t>
        </is>
      </c>
      <c r="P26" s="2" t="inlineStr">
        <is>
          <t>Yes</t>
        </is>
      </c>
      <c r="Q26" s="2" t="n">
        <v>2</v>
      </c>
      <c r="R26" s="4" t="n"/>
      <c r="S26" s="4" t="n">
        <v>41946</v>
      </c>
      <c r="T26" s="4" t="n">
        <v>41946</v>
      </c>
      <c r="U26" s="2" t="inlineStr">
        <is>
          <t>Relative only</t>
        </is>
      </c>
      <c r="V26" s="2" t="inlineStr">
        <is>
          <t>Assigned: decision day</t>
        </is>
      </c>
      <c r="W26" s="5" t="n"/>
      <c r="X26" s="5" t="n"/>
      <c r="Y26" s="2" t="n"/>
      <c r="Z26" s="2" t="n"/>
      <c r="AA26" s="2" t="n"/>
      <c r="AB26" s="2" t="n"/>
      <c r="AC26" s="5" t="n"/>
      <c r="AD26" s="2" t="n"/>
      <c r="AE26" s="4" t="n"/>
      <c r="AF26" s="2" t="n"/>
      <c r="AG26" s="2" t="n"/>
      <c r="AH26" s="2" t="inlineStr">
        <is>
          <t>Target</t>
        </is>
      </c>
      <c r="AI26" s="2" t="inlineStr">
        <is>
          <t>Not stated</t>
        </is>
      </c>
      <c r="AJ26" s="2" t="inlineStr">
        <is>
          <t>Inferred: residual</t>
        </is>
      </c>
      <c r="AK26" s="2" t="n">
        <v>24</v>
      </c>
      <c r="AL26" s="2" t="inlineStr">
        <is>
          <t>R021; R024</t>
        </is>
      </c>
      <c r="AM26" s="2" t="inlineStr">
        <is>
          <t>PetSmart</t>
        </is>
      </c>
    </row>
    <row r="27" ht="139" customHeight="1">
      <c r="A27" s="2" t="n">
        <v>26</v>
      </c>
      <c r="B27" s="2" t="inlineStr">
        <is>
          <t>after 11/03/2014 (day not disclosed)</t>
        </is>
      </c>
      <c r="C27" s="2" t="inlineStr">
        <is>
          <t>Bidder 3 (two of the four final-round bidders)</t>
        </is>
      </c>
      <c r="D27" s="2" t="inlineStr">
        <is>
          <t>Bidding group changed</t>
        </is>
      </c>
      <c r="E27" s="2" t="n">
        <v>1</v>
      </c>
      <c r="F27" s="2" t="n">
        <v>2</v>
      </c>
      <c r="G27" s="2" t="inlineStr">
        <is>
          <t>Financial</t>
        </is>
      </c>
      <c r="H27" s="2" t="inlineStr">
        <is>
          <t>Formation: two final-round bidders authorized to work together as “Bidder 3” after one sought an equity partner given the size of an acquisition of PetSmart and the other had said it would drop out if not permitted to team; both had worked together successfully on prior large leveraged buyouts. Bidding units 4 → 3 (units −1; analytical convention); both members are unnamed, so the unit count falls without individual identity rows. All admitted bidders had indicated some interest in a Longview rollover, none made it a condition.</t>
        </is>
      </c>
      <c r="I27" s="2" t="n"/>
      <c r="J27" s="2" t="n"/>
      <c r="K27" s="2" t="inlineStr">
        <is>
          <t>Stated: authorization by the ad hoc committee after the 11/03/2014 meeting; membership not individually identified by the filing, so the row states the unit effect by number under the instruction's anonymous-cohort convention. “After deliberation and consultation with the Company’s financial and legal advisors, the ad hoc committee authorized these two bidders to work together.”; “We refer to these two bidders together as “Bidder 3.””.</t>
        </is>
      </c>
      <c r="L27" s="3" t="inlineStr">
        <is>
          <t>P-014</t>
        </is>
      </c>
      <c r="M27" s="2" t="inlineStr">
        <is>
          <t>Q5</t>
        </is>
      </c>
      <c r="N27" s="2" t="n"/>
      <c r="O27" s="2" t="inlineStr">
        <is>
          <t>R026</t>
        </is>
      </c>
      <c r="P27" s="2" t="inlineStr">
        <is>
          <t>Yes</t>
        </is>
      </c>
      <c r="Q27" s="2" t="n">
        <v>2</v>
      </c>
      <c r="R27" s="4" t="n">
        <v>41946</v>
      </c>
      <c r="S27" s="4" t="n"/>
      <c r="T27" s="4" t="n">
        <v>41946</v>
      </c>
      <c r="U27" s="2" t="inlineStr">
        <is>
          <t>Relative only</t>
        </is>
      </c>
      <c r="V27" s="2" t="inlineStr">
        <is>
          <t>Assigned: bound</t>
        </is>
      </c>
      <c r="W27" s="5" t="n"/>
      <c r="X27" s="5" t="n"/>
      <c r="Y27" s="2" t="n"/>
      <c r="Z27" s="2" t="n"/>
      <c r="AA27" s="2" t="n"/>
      <c r="AB27" s="2" t="n"/>
      <c r="AC27" s="5" t="n"/>
      <c r="AD27" s="2" t="n"/>
      <c r="AE27" s="4" t="n"/>
      <c r="AF27" s="2" t="n"/>
      <c r="AG27" s="2" t="n"/>
      <c r="AH27" s="2" t="n"/>
      <c r="AI27" s="2" t="n"/>
      <c r="AJ27" s="2" t="n"/>
      <c r="AK27" s="2" t="n">
        <v>24</v>
      </c>
      <c r="AL27" s="2" t="inlineStr">
        <is>
          <t>R024; R034</t>
        </is>
      </c>
      <c r="AM27" s="2" t="inlineStr">
        <is>
          <t>PetSmart</t>
        </is>
      </c>
    </row>
    <row r="28" ht="114" customHeight="1">
      <c r="A28" s="2" t="n">
        <v>27</v>
      </c>
      <c r="B28" s="2" t="inlineStr">
        <is>
          <t>November 2014 (day not disclosed)</t>
        </is>
      </c>
      <c r="C28" s="2" t="inlineStr">
        <is>
          <t>PetSmart / final-round bidders</t>
        </is>
      </c>
      <c r="D28" s="2" t="inlineStr">
        <is>
          <t>Round opened</t>
        </is>
      </c>
      <c r="E28" s="2" t="n">
        <v>1</v>
      </c>
      <c r="F28" s="2" t="n">
        <v>3</v>
      </c>
      <c r="G28" s="2" t="n"/>
      <c r="H28" s="2" t="inlineStr">
        <is>
          <t>R3: Company circulated a form of merger agreement instructing bidders to submit proposed comments together with their final bids; the bid date was initially Friday 12/05/2014. Objective: obtain final bids and executable documentation from the three final-round bidding units. Round finality: Announced as final - bids were solicited as “final bids”; the 12/04-05 and 12/10-12 events are deadline revisions inside this round, not new rounds.</t>
        </is>
      </c>
      <c r="I28" s="2" t="n"/>
      <c r="J28" s="2" t="n"/>
      <c r="K28" s="2" t="inlineStr">
        <is>
          <t>Stated: November circulation and final-bid instruction; initial 12/05 date. The first request for final offers opens this round under the instruction's round rule, even though the invited set is unchanged. “the Company circulated a form of merger agreement to the bidders with instructions that the bidders submit any proposed comments on the merger agreement together with their final bids”; “had initially set Friday, December 5 as the date for submission of bids”.</t>
        </is>
      </c>
      <c r="L28" s="3" t="inlineStr">
        <is>
          <t>P-015; P-016</t>
        </is>
      </c>
      <c r="M28" s="2" t="inlineStr">
        <is>
          <t>Q1; Q7</t>
        </is>
      </c>
      <c r="N28" s="2" t="n"/>
      <c r="O28" s="2" t="inlineStr">
        <is>
          <t>R027</t>
        </is>
      </c>
      <c r="P28" s="2" t="inlineStr">
        <is>
          <t>Yes</t>
        </is>
      </c>
      <c r="Q28" s="2" t="n"/>
      <c r="R28" s="4" t="n">
        <v>41944</v>
      </c>
      <c r="S28" s="4" t="n">
        <v>41973</v>
      </c>
      <c r="T28" s="4" t="n">
        <v>41958</v>
      </c>
      <c r="U28" s="2" t="inlineStr">
        <is>
          <t>Approximate window</t>
        </is>
      </c>
      <c r="V28" s="2" t="inlineStr">
        <is>
          <t>Assigned: midpoint</t>
        </is>
      </c>
      <c r="W28" s="5" t="n"/>
      <c r="X28" s="5" t="n"/>
      <c r="Y28" s="2" t="n"/>
      <c r="Z28" s="2" t="n"/>
      <c r="AA28" s="2" t="n"/>
      <c r="AB28" s="2" t="n"/>
      <c r="AC28" s="5" t="n"/>
      <c r="AD28" s="2" t="n"/>
      <c r="AE28" s="4" t="n">
        <v>41978</v>
      </c>
      <c r="AF28" s="2" t="n"/>
      <c r="AG28" s="2" t="inlineStr">
        <is>
          <t>Announced as final</t>
        </is>
      </c>
      <c r="AH28" s="2" t="n"/>
      <c r="AI28" s="2" t="n"/>
      <c r="AJ28" s="2" t="n"/>
      <c r="AK28" s="2" t="n">
        <v>24</v>
      </c>
      <c r="AL28" s="2" t="inlineStr">
        <is>
          <t>R024; R026; R029</t>
        </is>
      </c>
      <c r="AM28" s="2" t="inlineStr">
        <is>
          <t>PetSmart</t>
        </is>
      </c>
    </row>
    <row r="29" ht="151.5" customHeight="1">
      <c r="A29" s="2" t="n">
        <v>28</v>
      </c>
      <c r="B29" s="2" t="inlineStr">
        <is>
          <t>November 2014 (following the Q3 earnings release)</t>
        </is>
      </c>
      <c r="C29" s="2" t="inlineStr">
        <is>
          <t>All final-round bidders / J.P. Morgan</t>
        </is>
      </c>
      <c r="D29" s="2" t="inlineStr">
        <is>
          <t>Information access changed</t>
        </is>
      </c>
      <c r="E29" s="2" t="n">
        <v>1</v>
      </c>
      <c r="F29" s="2" t="n">
        <v>3</v>
      </c>
      <c r="G29" s="2" t="n"/>
      <c r="H29" s="2" t="inlineStr">
        <is>
          <t>Projections revised after bidding began: after the third-quarter earnings release, at bidders' request and the board's direction, J.P. Morgan provided the bidders with updates to the fiscal-year-2014 projections to reflect actual performance and better visibility on the Profit Improvement Plan (FY2014E revenue $7,081M vs $7,088M before; EBITDA $967M vs $958M; net income $445M vs $432M; cash flow from operations unchanged at $617M). The FY2020-24 extrapolations and J.P. Morgan's downside sensitivities were not provided to bidders - see Summary comparability.</t>
        </is>
      </c>
      <c r="I29" s="2" t="n"/>
      <c r="J29" s="2" t="n"/>
      <c r="K29" s="2" t="inlineStr">
        <is>
          <t>Stated: revision and recipients; the update note gives before/after figures. A projection revision after bidding began is recorded as an information-access change; the same update went to all final-round bidders, so it is not a differentiated-access row. “Following the Company’s third quarter earnings announcement and, at the request of bidders and the direction of the board and the Company, representatives of J.P. Morgan provided the bidders with updates to the Company’s fiscal year 2014 financial projections.”</t>
        </is>
      </c>
      <c r="L29" s="3" t="inlineStr">
        <is>
          <t>P-015; X-015; X-016</t>
        </is>
      </c>
      <c r="M29" s="2" t="inlineStr">
        <is>
          <t>Q7</t>
        </is>
      </c>
      <c r="N29" s="2" t="n"/>
      <c r="O29" s="2" t="inlineStr">
        <is>
          <t>R028</t>
        </is>
      </c>
      <c r="P29" s="2" t="inlineStr">
        <is>
          <t>Yes</t>
        </is>
      </c>
      <c r="Q29" s="2" t="n"/>
      <c r="R29" s="4" t="n">
        <v>41944</v>
      </c>
      <c r="S29" s="4" t="n">
        <v>41973</v>
      </c>
      <c r="T29" s="4" t="n">
        <v>41958</v>
      </c>
      <c r="U29" s="2" t="inlineStr">
        <is>
          <t>Approximate window</t>
        </is>
      </c>
      <c r="V29" s="2" t="inlineStr">
        <is>
          <t>Assigned: midpoint</t>
        </is>
      </c>
      <c r="W29" s="5" t="n"/>
      <c r="X29" s="5" t="n"/>
      <c r="Y29" s="2" t="n"/>
      <c r="Z29" s="2" t="n"/>
      <c r="AA29" s="2" t="n"/>
      <c r="AB29" s="2" t="n"/>
      <c r="AC29" s="5" t="n"/>
      <c r="AD29" s="2" t="n"/>
      <c r="AE29" s="4" t="n"/>
      <c r="AF29" s="2" t="n"/>
      <c r="AG29" s="2" t="n"/>
      <c r="AH29" s="2" t="n"/>
      <c r="AI29" s="2" t="n"/>
      <c r="AJ29" s="2" t="n"/>
      <c r="AK29" s="2" t="n">
        <v>37</v>
      </c>
      <c r="AL29" s="2" t="inlineStr">
        <is>
          <t>R027</t>
        </is>
      </c>
      <c r="AM29" s="2" t="inlineStr">
        <is>
          <t>PetSmart</t>
        </is>
      </c>
    </row>
    <row r="30" ht="164" customHeight="1">
      <c r="A30" s="2" t="n">
        <v>29</v>
      </c>
      <c r="B30" s="2" t="inlineStr">
        <is>
          <t>12/04/2014-12/05/2014</t>
        </is>
      </c>
      <c r="C30" s="2" t="inlineStr">
        <is>
          <t>PetSmart ad hoc committee</t>
        </is>
      </c>
      <c r="D30" s="2" t="inlineStr">
        <is>
          <t>Deadline revised</t>
        </is>
      </c>
      <c r="E30" s="2" t="n">
        <v>1</v>
      </c>
      <c r="F30" s="2" t="n">
        <v>3</v>
      </c>
      <c r="G30" s="2" t="n"/>
      <c r="H30" s="2" t="inlineStr">
        <is>
          <t>Ad hoc committee, after consulting the Company's financial and legal advisers, replaced the initial 12/05/2014 bid date with the evening of 12/10/2014 (five days rather than ten before the anticipated 12/15/2014 completion), so the process could finish sooner and reduce the risk of leaks or unintended public disclosure; bidders were simultaneously asked to submit mark-ups of the draft merger agreement and other transaction documents and financing commitments, if possible, in advance. Old due date 12/05/2014 (superseded before arrival; no milestone row); new due date 12/10/2014. Deadline treatment records what followed 12/10/2014 (extended at R036).</t>
        </is>
      </c>
      <c r="I30" s="2" t="n"/>
      <c r="J30" s="2" t="n"/>
      <c r="K30" s="2" t="inlineStr">
        <is>
          <t>Stated: the two-day committee decision, the reason and both dates. Working date is the last day of the decision span (Assigned: decision day). Background premise: the 12/03/2014 board meeting had reviewed positive operating and Profit Improvement Plan indications and made no decisions because it had no bids in hand. “the ad hoc committee concluded that these matters could be accomplished in a shorter period of time, which would reduce the risk of leaks or unintended public disclosure.”; “Accordingly, the Company set the evening of Wednesday, December 10”.</t>
        </is>
      </c>
      <c r="L30" s="3" t="inlineStr">
        <is>
          <t>P-016</t>
        </is>
      </c>
      <c r="M30" s="2" t="inlineStr">
        <is>
          <t>Q2</t>
        </is>
      </c>
      <c r="N30" s="2" t="n"/>
      <c r="O30" s="2" t="inlineStr">
        <is>
          <t>R029</t>
        </is>
      </c>
      <c r="P30" s="2" t="inlineStr">
        <is>
          <t>Yes</t>
        </is>
      </c>
      <c r="Q30" s="2" t="n"/>
      <c r="R30" s="4" t="n">
        <v>41977</v>
      </c>
      <c r="S30" s="4" t="n">
        <v>41978</v>
      </c>
      <c r="T30" s="4" t="n">
        <v>41978</v>
      </c>
      <c r="U30" s="2" t="inlineStr">
        <is>
          <t>Reported interval</t>
        </is>
      </c>
      <c r="V30" s="2" t="inlineStr">
        <is>
          <t>Assigned: decision day</t>
        </is>
      </c>
      <c r="W30" s="5" t="n"/>
      <c r="X30" s="5" t="n"/>
      <c r="Y30" s="2" t="n"/>
      <c r="Z30" s="2" t="n"/>
      <c r="AA30" s="2" t="n"/>
      <c r="AB30" s="2" t="n"/>
      <c r="AC30" s="5" t="n"/>
      <c r="AD30" s="2" t="n"/>
      <c r="AE30" s="4" t="n">
        <v>41983</v>
      </c>
      <c r="AF30" s="2" t="inlineStr">
        <is>
          <t>Extended</t>
        </is>
      </c>
      <c r="AG30" s="2" t="n"/>
      <c r="AH30" s="2" t="n"/>
      <c r="AI30" s="2" t="n"/>
      <c r="AJ30" s="2" t="n"/>
      <c r="AK30" s="2" t="n">
        <v>24</v>
      </c>
      <c r="AL30" s="2" t="inlineStr">
        <is>
          <t>R027; R030</t>
        </is>
      </c>
      <c r="AM30" s="2" t="inlineStr">
        <is>
          <t>PetSmart</t>
        </is>
      </c>
    </row>
    <row r="31" ht="101.5" customHeight="1">
      <c r="A31" s="2" t="n">
        <v>30</v>
      </c>
      <c r="B31" s="2" t="inlineStr">
        <is>
          <t>12/10/2014</t>
        </is>
      </c>
      <c r="C31" s="2" t="inlineStr">
        <is>
          <t>PetSmart / final-round bidders</t>
        </is>
      </c>
      <c r="D31" s="2" t="inlineStr">
        <is>
          <t>Deadline</t>
        </is>
      </c>
      <c r="E31" s="2" t="n">
        <v>1</v>
      </c>
      <c r="F31" s="2" t="n">
        <v>3</v>
      </c>
      <c r="G31" s="2" t="n"/>
      <c r="H31" s="2" t="inlineStr">
        <is>
          <t>Final-bid deadline reached: Buyer Group and Bidder 2 submitted final bid letters with revised merger agreement and transaction documents, and Bidder 3 gave a verbal indication (R031-R034). The same evening the ad hoc committee instructed improved bids by 12/12/2014 (R036) - this due date was extended, with no late-bid acceptance issue.</t>
        </is>
      </c>
      <c r="I31" s="2" t="n"/>
      <c r="J31" s="2" t="n"/>
      <c r="K31" s="2" t="inlineStr">
        <is>
          <t>Stated: bids received on the date; extension decided that evening. Deadline treatment Extended because a Deadline revised row (R036) moved this date. “On December 10, PetSmart received final bid letters along with revised versions of the merger agreement and other transaction documents from the Buyer Group and from Bidder 2 and a verbal indication from Bidder 3.”</t>
        </is>
      </c>
      <c r="L31" s="3" t="inlineStr">
        <is>
          <t>P-020; P-021</t>
        </is>
      </c>
      <c r="M31" s="2" t="inlineStr">
        <is>
          <t>Q2</t>
        </is>
      </c>
      <c r="N31" s="2" t="n"/>
      <c r="O31" s="2" t="inlineStr">
        <is>
          <t>R030</t>
        </is>
      </c>
      <c r="P31" s="2" t="inlineStr">
        <is>
          <t>Yes</t>
        </is>
      </c>
      <c r="Q31" s="2" t="n"/>
      <c r="R31" s="4" t="n">
        <v>41983</v>
      </c>
      <c r="S31" s="4" t="n">
        <v>41983</v>
      </c>
      <c r="T31" s="4" t="n">
        <v>41983</v>
      </c>
      <c r="U31" s="2" t="inlineStr">
        <is>
          <t>Reported day</t>
        </is>
      </c>
      <c r="V31" s="2" t="inlineStr">
        <is>
          <t>Reported</t>
        </is>
      </c>
      <c r="W31" s="5" t="n"/>
      <c r="X31" s="5" t="n"/>
      <c r="Y31" s="2" t="n"/>
      <c r="Z31" s="2" t="n"/>
      <c r="AA31" s="2" t="n"/>
      <c r="AB31" s="2" t="n"/>
      <c r="AC31" s="5" t="n"/>
      <c r="AD31" s="2" t="n"/>
      <c r="AE31" s="4" t="n">
        <v>41983</v>
      </c>
      <c r="AF31" s="2" t="inlineStr">
        <is>
          <t>Extended</t>
        </is>
      </c>
      <c r="AG31" s="2" t="n"/>
      <c r="AH31" s="2" t="n"/>
      <c r="AI31" s="2" t="n"/>
      <c r="AJ31" s="2" t="n"/>
      <c r="AK31" s="2" t="n">
        <v>25</v>
      </c>
      <c r="AL31" s="2" t="inlineStr">
        <is>
          <t>R029; R036</t>
        </is>
      </c>
      <c r="AM31" s="2" t="inlineStr">
        <is>
          <t>PetSmart</t>
        </is>
      </c>
    </row>
    <row r="32" ht="139" customHeight="1">
      <c r="A32" s="2" t="n">
        <v>31</v>
      </c>
      <c r="B32" s="2" t="inlineStr">
        <is>
          <t>12/10/2014</t>
        </is>
      </c>
      <c r="C32" s="2" t="inlineStr">
        <is>
          <t>Buyer Group (BC Partners-led consortium)</t>
        </is>
      </c>
      <c r="D32" s="2" t="inlineStr">
        <is>
          <t>Bid</t>
        </is>
      </c>
      <c r="E32" s="2" t="n">
        <v>1</v>
      </c>
      <c r="F32" s="2" t="n">
        <v>3</v>
      </c>
      <c r="G32" s="2" t="inlineStr">
        <is>
          <t>Financial</t>
        </is>
      </c>
      <c r="H32" s="2" t="inlineStr">
        <is>
          <t>Final bid: $80.70 per share, in cash; final bid letter and revised merger agreement and other transaction documents, which were more favorable to the Company (less conditional, more likely to be completed, more certainty of protection) and reflected substantially more acceptance of the Company's positions than Bidder 2's. Financing commitment documents had been provided 12/06/2014. Bid not dependent on a Longview rollover, though partnering was not ruled out. Revised at R038.</t>
        </is>
      </c>
      <c r="I32" s="2" t="inlineStr">
        <is>
          <t>Formal</t>
        </is>
      </c>
      <c r="J32" s="2" t="inlineStr">
        <is>
          <t>Light</t>
        </is>
      </c>
      <c r="K32" s="2" t="inlineStr">
        <is>
          <t>Stated: price and cash form; documentation and financing facts. Formality Formal - signal 1 (bidder-returned acquisition agreement and transaction documents, substantially executable) plus the requested final-bid response. Conditions Light - no Heavy trigger; committed financing documented; remaining matters were final documentation (board approval on 12/13 was subject to resolving open points). “The Buyer Group offered $80.70 per share, in cash, and Bidder 2 offered $80.35 per share, in cash.”; “The form of merger agreement and other transaction documentation submitted by the Buyer Group were more favorable to the Company”.</t>
        </is>
      </c>
      <c r="L32" s="3" t="inlineStr">
        <is>
          <t>P-017; P-020</t>
        </is>
      </c>
      <c r="M32" s="2" t="inlineStr">
        <is>
          <t>Q6</t>
        </is>
      </c>
      <c r="N32" s="2" t="n"/>
      <c r="O32" s="2" t="inlineStr">
        <is>
          <t>R031</t>
        </is>
      </c>
      <c r="P32" s="2" t="inlineStr">
        <is>
          <t>Yes</t>
        </is>
      </c>
      <c r="Q32" s="2" t="n">
        <v>1</v>
      </c>
      <c r="R32" s="4" t="n">
        <v>41983</v>
      </c>
      <c r="S32" s="4" t="n">
        <v>41983</v>
      </c>
      <c r="T32" s="4" t="n">
        <v>41983</v>
      </c>
      <c r="U32" s="2" t="inlineStr">
        <is>
          <t>Reported day</t>
        </is>
      </c>
      <c r="V32" s="2" t="inlineStr">
        <is>
          <t>Reported</t>
        </is>
      </c>
      <c r="W32" s="5" t="n">
        <v>80.7</v>
      </c>
      <c r="X32" s="5" t="n">
        <v>80.7</v>
      </c>
      <c r="Y32" s="2" t="inlineStr">
        <is>
          <t>Point</t>
        </is>
      </c>
      <c r="Z32" s="2" t="inlineStr">
        <is>
          <t>Stated</t>
        </is>
      </c>
      <c r="AA32" s="2" t="inlineStr">
        <is>
          <t>USD</t>
        </is>
      </c>
      <c r="AB32" s="2" t="inlineStr">
        <is>
          <t>Yes</t>
        </is>
      </c>
      <c r="AC32" s="5" t="n"/>
      <c r="AD32" s="2" t="inlineStr">
        <is>
          <t>Fin: committed; DD required: not stated; DD open: no; Excl: not stated</t>
        </is>
      </c>
      <c r="AE32" s="4" t="n"/>
      <c r="AF32" s="2" t="n"/>
      <c r="AG32" s="2" t="n"/>
      <c r="AH32" s="2" t="n"/>
      <c r="AI32" s="2" t="n"/>
      <c r="AJ32" s="2" t="n"/>
      <c r="AK32" s="2" t="n">
        <v>25</v>
      </c>
      <c r="AL32" s="2" t="inlineStr">
        <is>
          <t>R018; R029; R038</t>
        </is>
      </c>
      <c r="AM32" s="2" t="inlineStr">
        <is>
          <t>PetSmart</t>
        </is>
      </c>
    </row>
    <row r="33" ht="101.5" customHeight="1">
      <c r="A33" s="2" t="n">
        <v>32</v>
      </c>
      <c r="B33" s="2" t="inlineStr">
        <is>
          <t>12/10/2014</t>
        </is>
      </c>
      <c r="C33" s="2" t="inlineStr">
        <is>
          <t>Bidder 2</t>
        </is>
      </c>
      <c r="D33" s="2" t="inlineStr">
        <is>
          <t>Bid</t>
        </is>
      </c>
      <c r="E33" s="2" t="n">
        <v>1</v>
      </c>
      <c r="F33" s="2" t="n">
        <v>3</v>
      </c>
      <c r="G33" s="2" t="inlineStr">
        <is>
          <t>Financial</t>
        </is>
      </c>
      <c r="H33" s="2" t="inlineStr">
        <is>
          <t>Final bid: $80.35 per share, in cash; final bid letter and revised merger agreement and transaction documents. Bid not dependent on a Longview rollover; Bidder 2 said any partnering with Longview would occur only after signing a merger agreement. Financing commitment documents were provided with its 12/12 revision (R039). Revised at R039.</t>
        </is>
      </c>
      <c r="I33" s="2" t="inlineStr">
        <is>
          <t>Formal</t>
        </is>
      </c>
      <c r="J33" s="2" t="inlineStr">
        <is>
          <t>Light</t>
        </is>
      </c>
      <c r="K33" s="2" t="inlineStr">
        <is>
          <t>Stated: price and cash form; documentation; rollover position. Formality Formal - revised acquisition agreement and transaction documents submitted with the final-bid response. Conditions Light - no Heavy trigger; treat as subject to final documentation; financing not stated at this date (silence neither raises nor lowers; documents followed on 12/12). “Bidder 2 offered $80.35 per share, in cash”; “Each bidder indicated that its bid was not dependent on a rollover by Longview”.</t>
        </is>
      </c>
      <c r="L33" s="3" t="inlineStr">
        <is>
          <t>P-020</t>
        </is>
      </c>
      <c r="M33" s="2" t="inlineStr">
        <is>
          <t>Q6</t>
        </is>
      </c>
      <c r="N33" s="2" t="n"/>
      <c r="O33" s="2" t="inlineStr">
        <is>
          <t>R032</t>
        </is>
      </c>
      <c r="P33" s="2" t="inlineStr">
        <is>
          <t>Yes</t>
        </is>
      </c>
      <c r="Q33" s="2" t="n">
        <v>1</v>
      </c>
      <c r="R33" s="4" t="n">
        <v>41983</v>
      </c>
      <c r="S33" s="4" t="n">
        <v>41983</v>
      </c>
      <c r="T33" s="4" t="n">
        <v>41983</v>
      </c>
      <c r="U33" s="2" t="inlineStr">
        <is>
          <t>Reported day</t>
        </is>
      </c>
      <c r="V33" s="2" t="inlineStr">
        <is>
          <t>Reported</t>
        </is>
      </c>
      <c r="W33" s="5" t="n">
        <v>80.34999999999999</v>
      </c>
      <c r="X33" s="5" t="n">
        <v>80.34999999999999</v>
      </c>
      <c r="Y33" s="2" t="inlineStr">
        <is>
          <t>Point</t>
        </is>
      </c>
      <c r="Z33" s="2" t="inlineStr">
        <is>
          <t>Stated</t>
        </is>
      </c>
      <c r="AA33" s="2" t="inlineStr">
        <is>
          <t>USD</t>
        </is>
      </c>
      <c r="AB33" s="2" t="inlineStr">
        <is>
          <t>Yes</t>
        </is>
      </c>
      <c r="AC33" s="5" t="n"/>
      <c r="AD33" s="2" t="inlineStr">
        <is>
          <t>Fin: not stated; DD required: not stated; DD open: no; Excl: not stated</t>
        </is>
      </c>
      <c r="AE33" s="4" t="n"/>
      <c r="AF33" s="2" t="n"/>
      <c r="AG33" s="2" t="n"/>
      <c r="AH33" s="2" t="n"/>
      <c r="AI33" s="2" t="n"/>
      <c r="AJ33" s="2" t="n"/>
      <c r="AK33" s="2" t="n">
        <v>25</v>
      </c>
      <c r="AL33" s="2" t="inlineStr">
        <is>
          <t>R023; R030; R039</t>
        </is>
      </c>
      <c r="AM33" s="2" t="inlineStr">
        <is>
          <t>PetSmart</t>
        </is>
      </c>
    </row>
    <row r="34" ht="89" customHeight="1">
      <c r="A34" s="2" t="n">
        <v>33</v>
      </c>
      <c r="B34" s="2" t="inlineStr">
        <is>
          <t>12/10/2014</t>
        </is>
      </c>
      <c r="C34" s="2" t="inlineStr">
        <is>
          <t>Bidder 3</t>
        </is>
      </c>
      <c r="D34" s="2" t="inlineStr">
        <is>
          <t>Valuation statement</t>
        </is>
      </c>
      <c r="E34" s="2" t="n">
        <v>1</v>
      </c>
      <c r="F34" s="2" t="n">
        <v>3</v>
      </c>
      <c r="G34" s="2" t="inlineStr">
        <is>
          <t>Financial</t>
        </is>
      </c>
      <c r="H34" s="2" t="inlineStr">
        <is>
          <t>Verbal indication in response to the final-bid solicitation: Bidder 3's valuation would not be above the then-current stock price of approximately $78.00 per share. A communicated valuation ceiling, not a bid for the bid-price cells; the non-submission is recorded at R034.</t>
        </is>
      </c>
      <c r="I34" s="2" t="n"/>
      <c r="J34" s="2" t="n"/>
      <c r="K34" s="2" t="inlineStr">
        <is>
          <t>Stated: the valuation statement and the comparison, on the final-bid date. Treated as a valuation statement (no offer made; the filing's price reference is the market price) so per-share cells are left blank and the value stays in text. “Bidder 3 verbally communicated to J.P. Morgan that their valuation would not be above the current stock price of approximately $78 per share.”</t>
        </is>
      </c>
      <c r="L34" s="3" t="inlineStr">
        <is>
          <t>P-020</t>
        </is>
      </c>
      <c r="M34" s="2" t="inlineStr">
        <is>
          <t>Q6</t>
        </is>
      </c>
      <c r="N34" s="2" t="n"/>
      <c r="O34" s="2" t="inlineStr">
        <is>
          <t>R033</t>
        </is>
      </c>
      <c r="P34" s="2" t="inlineStr">
        <is>
          <t>Yes</t>
        </is>
      </c>
      <c r="Q34" s="2" t="n"/>
      <c r="R34" s="4" t="n">
        <v>41983</v>
      </c>
      <c r="S34" s="4" t="n">
        <v>41983</v>
      </c>
      <c r="T34" s="4" t="n">
        <v>41983</v>
      </c>
      <c r="U34" s="2" t="inlineStr">
        <is>
          <t>Reported day</t>
        </is>
      </c>
      <c r="V34" s="2" t="inlineStr">
        <is>
          <t>Reported</t>
        </is>
      </c>
      <c r="W34" s="5" t="n"/>
      <c r="X34" s="5" t="n"/>
      <c r="Y34" s="2" t="n"/>
      <c r="Z34" s="2" t="n"/>
      <c r="AA34" s="2" t="n"/>
      <c r="AB34" s="2" t="n"/>
      <c r="AC34" s="5" t="n"/>
      <c r="AD34" s="2" t="n"/>
      <c r="AE34" s="4" t="n"/>
      <c r="AF34" s="2" t="n"/>
      <c r="AG34" s="2" t="n"/>
      <c r="AH34" s="2" t="n"/>
      <c r="AI34" s="2" t="n"/>
      <c r="AJ34" s="2" t="n"/>
      <c r="AK34" s="2" t="n">
        <v>25</v>
      </c>
      <c r="AL34" s="2" t="inlineStr">
        <is>
          <t>R026; R034</t>
        </is>
      </c>
      <c r="AM34" s="2" t="inlineStr">
        <is>
          <t>PetSmart</t>
        </is>
      </c>
    </row>
    <row r="35" ht="89" customHeight="1">
      <c r="A35" s="2" t="n">
        <v>34</v>
      </c>
      <c r="B35" s="2" t="inlineStr">
        <is>
          <t>12/10/2014</t>
        </is>
      </c>
      <c r="C35" s="2" t="inlineStr">
        <is>
          <t>Bidder 3</t>
        </is>
      </c>
      <c r="D35" s="2" t="inlineStr">
        <is>
          <t>Did not submit</t>
        </is>
      </c>
      <c r="E35" s="2" t="n">
        <v>1</v>
      </c>
      <c r="F35" s="2" t="n">
        <v>3</v>
      </c>
      <c r="G35" s="2" t="inlineStr">
        <is>
          <t>Financial</t>
        </is>
      </c>
      <c r="H35" s="2" t="inlineStr">
        <is>
          <t>No written final offer: after J.P. Morgan told Bidder 3 its indication was unlikely to be competitive, it submitted no written offer. Its communicated valuation was at or below the ~$78.00 market price and below the $80.70/$80.35 rival bids. The combined unit is closed here; a written submission did not occur in this solicitation.</t>
        </is>
      </c>
      <c r="I35" s="2" t="n"/>
      <c r="J35" s="2" t="n"/>
      <c r="K35" s="2" t="inlineStr">
        <is>
          <t>Stated: non-submission and the discouraging communication. Decided by Both - target discouragement followed by non-participation (mixed mechanism). Exit reason Value at or below market price (benchmark: current stock price ~$78; also below rivals, preserved in text). “J.P. Morgan communicated to Bidder 3 that it was unlikely to be competitive and accordingly Bidder 3 did not submit a written offer.”</t>
        </is>
      </c>
      <c r="L35" s="3" t="inlineStr">
        <is>
          <t>P-020</t>
        </is>
      </c>
      <c r="M35" s="2" t="inlineStr">
        <is>
          <t>Q4; Q5</t>
        </is>
      </c>
      <c r="N35" s="2" t="n"/>
      <c r="O35" s="2" t="inlineStr">
        <is>
          <t>R034</t>
        </is>
      </c>
      <c r="P35" s="2" t="inlineStr">
        <is>
          <t>Yes</t>
        </is>
      </c>
      <c r="Q35" s="2" t="n">
        <v>1</v>
      </c>
      <c r="R35" s="4" t="n">
        <v>41983</v>
      </c>
      <c r="S35" s="4" t="n">
        <v>41983</v>
      </c>
      <c r="T35" s="4" t="n">
        <v>41983</v>
      </c>
      <c r="U35" s="2" t="inlineStr">
        <is>
          <t>Reported day</t>
        </is>
      </c>
      <c r="V35" s="2" t="inlineStr">
        <is>
          <t>Reported</t>
        </is>
      </c>
      <c r="W35" s="5" t="n"/>
      <c r="X35" s="5" t="n"/>
      <c r="Y35" s="2" t="n"/>
      <c r="Z35" s="2" t="n"/>
      <c r="AA35" s="2" t="n"/>
      <c r="AB35" s="2" t="n"/>
      <c r="AC35" s="5" t="n"/>
      <c r="AD35" s="2" t="n"/>
      <c r="AE35" s="4" t="n"/>
      <c r="AF35" s="2" t="n"/>
      <c r="AG35" s="2" t="n"/>
      <c r="AH35" s="2" t="inlineStr">
        <is>
          <t>Both</t>
        </is>
      </c>
      <c r="AI35" s="2" t="inlineStr">
        <is>
          <t>Value at or below market price</t>
        </is>
      </c>
      <c r="AJ35" s="2" t="inlineStr">
        <is>
          <t>Stated</t>
        </is>
      </c>
      <c r="AK35" s="2" t="n">
        <v>25</v>
      </c>
      <c r="AL35" s="2" t="inlineStr">
        <is>
          <t>R033; R026</t>
        </is>
      </c>
      <c r="AM35" s="2" t="inlineStr">
        <is>
          <t>PetSmart</t>
        </is>
      </c>
    </row>
    <row r="36" ht="101.5" customHeight="1">
      <c r="A36" s="2" t="n">
        <v>35</v>
      </c>
      <c r="B36" s="2" t="inlineStr">
        <is>
          <t>by 12/10/2014</t>
        </is>
      </c>
      <c r="C36" s="2" t="inlineStr">
        <is>
          <t>Unnamed financial bidder 1 (suggested $80.00-$85.00)</t>
        </is>
      </c>
      <c r="D36" s="2" t="inlineStr">
        <is>
          <t>Did not submit</t>
        </is>
      </c>
      <c r="E36" s="2" t="n">
        <v>1</v>
      </c>
      <c r="F36" s="2" t="n">
        <v>3</v>
      </c>
      <c r="G36" s="2" t="inlineStr">
        <is>
          <t>Financial</t>
        </is>
      </c>
      <c r="H36" s="2" t="inlineStr">
        <is>
          <t>Inferred: identity — last individually observed advancing to the final round on 11/03/2014 (R019); not mentioned again. It may be one of the two unnamed finalists that combined as Bidder 3 (R026) and be closed by R034; alternatively its exit is already inside the anonymous final-round units. Count 0: no count moves from a cohort to a name on this basis. See Q5.</t>
        </is>
      </c>
      <c r="I36" s="2" t="n"/>
      <c r="J36" s="2" t="n"/>
      <c r="K36" s="2" t="inlineStr">
        <is>
          <t>Convention (Count-0 identity row): the filing never mentions this submitter again after the advancement, and the two anonymous finalists absorbed two of the four advancing units. Recommended reading: within the Bidder 3 unit closed at R034. “another bidder, which suggested a range of $80.00 to $85.00 per share”; “the four bidders that had indicated a price or range at or above $80.00 per share to proceed to the final round”.</t>
        </is>
      </c>
      <c r="L36" s="3" t="inlineStr">
        <is>
          <t>P-012; P-013; P-014</t>
        </is>
      </c>
      <c r="M36" s="2" t="inlineStr">
        <is>
          <t>Q4; Q5</t>
        </is>
      </c>
      <c r="N36" s="2" t="n"/>
      <c r="O36" s="2" t="inlineStr">
        <is>
          <t>R035</t>
        </is>
      </c>
      <c r="P36" s="2" t="inlineStr">
        <is>
          <t>Yes</t>
        </is>
      </c>
      <c r="Q36" s="2" t="n">
        <v>0</v>
      </c>
      <c r="R36" s="4" t="n"/>
      <c r="S36" s="4" t="n">
        <v>41983</v>
      </c>
      <c r="T36" s="4" t="n">
        <v>41983</v>
      </c>
      <c r="U36" s="2" t="inlineStr">
        <is>
          <t>Relative only</t>
        </is>
      </c>
      <c r="V36" s="2" t="inlineStr">
        <is>
          <t>Assigned: decision day</t>
        </is>
      </c>
      <c r="W36" s="5" t="n"/>
      <c r="X36" s="5" t="n"/>
      <c r="Y36" s="2" t="n"/>
      <c r="Z36" s="2" t="n"/>
      <c r="AA36" s="2" t="n"/>
      <c r="AB36" s="2" t="n"/>
      <c r="AC36" s="5" t="n"/>
      <c r="AD36" s="2" t="n"/>
      <c r="AE36" s="4" t="n"/>
      <c r="AF36" s="2" t="n"/>
      <c r="AG36" s="2" t="n"/>
      <c r="AH36" s="2" t="inlineStr">
        <is>
          <t>Both</t>
        </is>
      </c>
      <c r="AI36" s="2" t="inlineStr">
        <is>
          <t>Value at or below market price</t>
        </is>
      </c>
      <c r="AJ36" s="2" t="inlineStr">
        <is>
          <t>Inferred: identity</t>
        </is>
      </c>
      <c r="AK36" s="2" t="n">
        <v>24</v>
      </c>
      <c r="AL36" s="2" t="inlineStr">
        <is>
          <t>R019; R026; R034</t>
        </is>
      </c>
      <c r="AM36" s="2" t="inlineStr">
        <is>
          <t>PetSmart</t>
        </is>
      </c>
    </row>
    <row r="37" ht="164" customHeight="1">
      <c r="A37" s="2" t="n">
        <v>36</v>
      </c>
      <c r="B37" s="2" t="inlineStr">
        <is>
          <t>12/10/2014</t>
        </is>
      </c>
      <c r="C37" s="2" t="inlineStr">
        <is>
          <t>PetSmart ad hoc committee / J.P. Morgan</t>
        </is>
      </c>
      <c r="D37" s="2" t="inlineStr">
        <is>
          <t>Deadline revised</t>
        </is>
      </c>
      <c r="E37" s="2" t="n">
        <v>1</v>
      </c>
      <c r="F37" s="2" t="n">
        <v>3</v>
      </c>
      <c r="G37" s="2" t="n"/>
      <c r="H37" s="2" t="inlineStr">
        <is>
          <t>After receiving the 12/10 bids, the ad hoc committee found there could be no assurance the board would approve either bid unless improved, citing the closeness of the bids, positive developments from the 12/03/2014 board meeting and the shared view that neither bid was the bidder's best; J.P. Morgan was instructed to require increased bids due 12/12/2014. On the evening of 12/11/2014 J.P. Morgan also confirmed Longview's continued interest in rolling over shares, subject to approval. Old due date 12/10/2014 (extended at R030); new due date 12/12/2014. Deadline treatment records what followed 12/12/2014 (enforced at R037).</t>
        </is>
      </c>
      <c r="I37" s="2" t="n"/>
      <c r="J37" s="2" t="n"/>
      <c r="K37" s="2" t="inlineStr">
        <is>
          <t>Stated: instruction and new date; reason (closeness of bids and recent positive developments, including the Profit Improvement Plan's expected at least $200 million annual incremental profit) and the 12/11 Longview call. Working date is the reported decision day. “the ad hoc committee instructed J.P. Morgan to inform each bidder that it would need to increase its bid, and to instruct the bidders to submit improved bids on December 12, 2014.”; “indications that the Profit Improvement Plan would likely be successful in achieving at least $200 million in annual incremental profit”.</t>
        </is>
      </c>
      <c r="L37" s="3" t="inlineStr">
        <is>
          <t>P-016; P-021</t>
        </is>
      </c>
      <c r="M37" s="2" t="inlineStr">
        <is>
          <t>Q2</t>
        </is>
      </c>
      <c r="N37" s="2" t="n"/>
      <c r="O37" s="2" t="inlineStr">
        <is>
          <t>R036</t>
        </is>
      </c>
      <c r="P37" s="2" t="inlineStr">
        <is>
          <t>Yes</t>
        </is>
      </c>
      <c r="Q37" s="2" t="n"/>
      <c r="R37" s="4" t="n">
        <v>41983</v>
      </c>
      <c r="S37" s="4" t="n">
        <v>41984</v>
      </c>
      <c r="T37" s="4" t="n">
        <v>41983</v>
      </c>
      <c r="U37" s="2" t="inlineStr">
        <is>
          <t>Reported interval</t>
        </is>
      </c>
      <c r="V37" s="2" t="inlineStr">
        <is>
          <t>Assigned: decision day</t>
        </is>
      </c>
      <c r="W37" s="5" t="n"/>
      <c r="X37" s="5" t="n"/>
      <c r="Y37" s="2" t="n"/>
      <c r="Z37" s="2" t="n"/>
      <c r="AA37" s="2" t="n"/>
      <c r="AB37" s="2" t="n"/>
      <c r="AC37" s="5" t="n"/>
      <c r="AD37" s="2" t="n"/>
      <c r="AE37" s="4" t="n">
        <v>41985</v>
      </c>
      <c r="AF37" s="2" t="inlineStr">
        <is>
          <t>Enforced</t>
        </is>
      </c>
      <c r="AG37" s="2" t="n"/>
      <c r="AH37" s="2" t="n"/>
      <c r="AI37" s="2" t="n"/>
      <c r="AJ37" s="2" t="n"/>
      <c r="AK37" s="2" t="n">
        <v>25</v>
      </c>
      <c r="AL37" s="2" t="inlineStr">
        <is>
          <t>R030; R037</t>
        </is>
      </c>
      <c r="AM37" s="2" t="inlineStr">
        <is>
          <t>PetSmart</t>
        </is>
      </c>
    </row>
    <row r="38" ht="76.5" customHeight="1">
      <c r="A38" s="2" t="n">
        <v>37</v>
      </c>
      <c r="B38" s="2" t="inlineStr">
        <is>
          <t>12/12/2014</t>
        </is>
      </c>
      <c r="C38" s="2" t="inlineStr">
        <is>
          <t>PetSmart / final-round bidders</t>
        </is>
      </c>
      <c r="D38" s="2" t="inlineStr">
        <is>
          <t>Deadline</t>
        </is>
      </c>
      <c r="E38" s="2" t="n">
        <v>1</v>
      </c>
      <c r="F38" s="2" t="n">
        <v>3</v>
      </c>
      <c r="G38" s="2" t="n"/>
      <c r="H38" s="2" t="inlineStr">
        <is>
          <t>Improved-bid deadline reached: Buyer Group and Bidder 2 submitted best-and-final offers with revised drafts and financing commitment documents (R038, R039). The board met on 12/13/2014 and acted on the bids in hand - enforced, with no further extension.</t>
        </is>
      </c>
      <c r="I38" s="2" t="n"/>
      <c r="J38" s="2" t="n"/>
      <c r="K38" s="2" t="inlineStr">
        <is>
          <t>Stated: submissions on 12/12/2014 and the board meeting the next day. Deadline treatment Enforced. “each bidder submitted a revised draft of the merger agreement and other transaction agreements, and copies of their respective financing commitment documents”.</t>
        </is>
      </c>
      <c r="L38" s="3" t="inlineStr">
        <is>
          <t>P-023; P-024</t>
        </is>
      </c>
      <c r="M38" s="2" t="inlineStr">
        <is>
          <t>Q2</t>
        </is>
      </c>
      <c r="N38" s="2" t="n"/>
      <c r="O38" s="2" t="inlineStr">
        <is>
          <t>R037</t>
        </is>
      </c>
      <c r="P38" s="2" t="inlineStr">
        <is>
          <t>Yes</t>
        </is>
      </c>
      <c r="Q38" s="2" t="n"/>
      <c r="R38" s="4" t="n">
        <v>41985</v>
      </c>
      <c r="S38" s="4" t="n">
        <v>41985</v>
      </c>
      <c r="T38" s="4" t="n">
        <v>41985</v>
      </c>
      <c r="U38" s="2" t="inlineStr">
        <is>
          <t>Reported day</t>
        </is>
      </c>
      <c r="V38" s="2" t="inlineStr">
        <is>
          <t>Reported</t>
        </is>
      </c>
      <c r="W38" s="5" t="n"/>
      <c r="X38" s="5" t="n"/>
      <c r="Y38" s="2" t="n"/>
      <c r="Z38" s="2" t="n"/>
      <c r="AA38" s="2" t="n"/>
      <c r="AB38" s="2" t="n"/>
      <c r="AC38" s="5" t="n"/>
      <c r="AD38" s="2" t="n"/>
      <c r="AE38" s="4" t="n">
        <v>41985</v>
      </c>
      <c r="AF38" s="2" t="inlineStr">
        <is>
          <t>Enforced</t>
        </is>
      </c>
      <c r="AG38" s="2" t="n"/>
      <c r="AH38" s="2" t="n"/>
      <c r="AI38" s="2" t="n"/>
      <c r="AJ38" s="2" t="n"/>
      <c r="AK38" s="2" t="n">
        <v>26</v>
      </c>
      <c r="AL38" s="2" t="inlineStr">
        <is>
          <t>R036; R038; R039</t>
        </is>
      </c>
      <c r="AM38" s="2" t="inlineStr">
        <is>
          <t>PetSmart</t>
        </is>
      </c>
    </row>
    <row r="39" ht="139" customHeight="1">
      <c r="A39" s="2" t="n">
        <v>38</v>
      </c>
      <c r="B39" s="2" t="inlineStr">
        <is>
          <t>12/12/2014</t>
        </is>
      </c>
      <c r="C39" s="2" t="inlineStr">
        <is>
          <t>Buyer Group (BC Partners-led consortium)</t>
        </is>
      </c>
      <c r="D39" s="2" t="inlineStr">
        <is>
          <t>Bid</t>
        </is>
      </c>
      <c r="E39" s="2" t="n">
        <v>1</v>
      </c>
      <c r="F39" s="2" t="n">
        <v>3</v>
      </c>
      <c r="G39" s="2" t="inlineStr">
        <is>
          <t>Financial</t>
        </is>
      </c>
      <c r="H39" s="2" t="inlineStr">
        <is>
          <t>Support: Longview (rollover) — best and final offer of $83.00 per share, in cash, after an initial oral $82.50 the same evening that the Buyer Group said it was working to increase within hours. Revised merger agreement and transaction agreements in substantially executable form and financing commitment documents submitted; members of the group unwilling or unable to offer more. Longview's willingness to participate with respect to $250 million of common stock was helpful in achieving $83.00. Revises R031.</t>
        </is>
      </c>
      <c r="I39" s="2" t="inlineStr">
        <is>
          <t>Formal</t>
        </is>
      </c>
      <c r="J39" s="2" t="inlineStr">
        <is>
          <t>Light</t>
        </is>
      </c>
      <c r="K39" s="2" t="inlineStr">
        <is>
          <t>Stated: price and progression, documentation, and the Longview contribution's role. Formality Formal - signal 1 (substantially executable revised acquisition documents) confirmed by an actual best-and-final price; Conditions Light - committed financing documented and remaining matters were final documentation. “Later in the evening, the Buyer Group submitted a best and final offer of $83.00 per share, in cash.”; “Longview’s willingness to participate in the Buyer Group with respect to $250 million of the common stock was helpful in achieving an $83.00 per share price.”</t>
        </is>
      </c>
      <c r="L39" s="3" t="inlineStr">
        <is>
          <t>P-023; X-008; X-011</t>
        </is>
      </c>
      <c r="M39" s="2" t="inlineStr">
        <is>
          <t>Q6</t>
        </is>
      </c>
      <c r="N39" s="2" t="n"/>
      <c r="O39" s="2" t="inlineStr">
        <is>
          <t>R038</t>
        </is>
      </c>
      <c r="P39" s="2" t="inlineStr">
        <is>
          <t>Yes</t>
        </is>
      </c>
      <c r="Q39" s="2" t="n">
        <v>0</v>
      </c>
      <c r="R39" s="4" t="n">
        <v>41985</v>
      </c>
      <c r="S39" s="4" t="n">
        <v>41985</v>
      </c>
      <c r="T39" s="4" t="n">
        <v>41985</v>
      </c>
      <c r="U39" s="2" t="inlineStr">
        <is>
          <t>Reported day</t>
        </is>
      </c>
      <c r="V39" s="2" t="inlineStr">
        <is>
          <t>Reported</t>
        </is>
      </c>
      <c r="W39" s="5" t="n">
        <v>83</v>
      </c>
      <c r="X39" s="5" t="n">
        <v>83</v>
      </c>
      <c r="Y39" s="2" t="inlineStr">
        <is>
          <t>Point</t>
        </is>
      </c>
      <c r="Z39" s="2" t="inlineStr">
        <is>
          <t>Stated</t>
        </is>
      </c>
      <c r="AA39" s="2" t="inlineStr">
        <is>
          <t>USD</t>
        </is>
      </c>
      <c r="AB39" s="2" t="inlineStr">
        <is>
          <t>Yes</t>
        </is>
      </c>
      <c r="AC39" s="5" t="n"/>
      <c r="AD39" s="2" t="inlineStr">
        <is>
          <t>Fin: committed; DD required: not stated; DD open: no; Excl: not stated</t>
        </is>
      </c>
      <c r="AE39" s="4" t="n"/>
      <c r="AF39" s="2" t="n"/>
      <c r="AG39" s="2" t="n"/>
      <c r="AH39" s="2" t="n"/>
      <c r="AI39" s="2" t="n"/>
      <c r="AJ39" s="2" t="n"/>
      <c r="AK39" s="2" t="n">
        <v>26</v>
      </c>
      <c r="AL39" s="2" t="inlineStr">
        <is>
          <t>R031; R040</t>
        </is>
      </c>
      <c r="AM39" s="2" t="inlineStr">
        <is>
          <t>PetSmart</t>
        </is>
      </c>
    </row>
    <row r="40" ht="114" customHeight="1">
      <c r="A40" s="2" t="n">
        <v>39</v>
      </c>
      <c r="B40" s="2" t="inlineStr">
        <is>
          <t>12/12/2014</t>
        </is>
      </c>
      <c r="C40" s="2" t="inlineStr">
        <is>
          <t>Bidder 2</t>
        </is>
      </c>
      <c r="D40" s="2" t="inlineStr">
        <is>
          <t>Bid</t>
        </is>
      </c>
      <c r="E40" s="2" t="n">
        <v>1</v>
      </c>
      <c r="F40" s="2" t="n">
        <v>3</v>
      </c>
      <c r="G40" s="2" t="inlineStr">
        <is>
          <t>Financial</t>
        </is>
      </c>
      <c r="H40" s="2" t="inlineStr">
        <is>
          <t>Best and final offer: $81.50 per share, in cash; J.P. Morgan confirmed by telephone that evening that it was Bidder 2's best and final. Revised draft and financing commitment documents submitted; any Longview accommodation would not affect its price. Revises R032.</t>
        </is>
      </c>
      <c r="I40" s="2" t="inlineStr">
        <is>
          <t>Formal</t>
        </is>
      </c>
      <c r="J40" s="2" t="inlineStr">
        <is>
          <t>Light</t>
        </is>
      </c>
      <c r="K40" s="2" t="inlineStr">
        <is>
          <t>Stated: price, confirmation and documentation. Formality Formal - signal 1 (revised acquisition documents) and signal 3 (actual price confirmation during finalization); Conditions Light - committed financing documented with the revision and remaining matters were final documentation. “During the evening of December 12, 2014, Bidder 2 submitted an offer of $81.50 per share, in cash.”; “Representatives of J.P. Morgan confirmed via a conversation with Bidder 2 on the evening of December 12, 2014 that $81.50 per share was its best and final offer.”</t>
        </is>
      </c>
      <c r="L40" s="3" t="inlineStr">
        <is>
          <t>P-023</t>
        </is>
      </c>
      <c r="M40" s="2" t="inlineStr">
        <is>
          <t>Q6</t>
        </is>
      </c>
      <c r="N40" s="2" t="n"/>
      <c r="O40" s="2" t="inlineStr">
        <is>
          <t>R039</t>
        </is>
      </c>
      <c r="P40" s="2" t="inlineStr">
        <is>
          <t>Yes</t>
        </is>
      </c>
      <c r="Q40" s="2" t="n">
        <v>0</v>
      </c>
      <c r="R40" s="4" t="n">
        <v>41985</v>
      </c>
      <c r="S40" s="4" t="n">
        <v>41985</v>
      </c>
      <c r="T40" s="4" t="n">
        <v>41985</v>
      </c>
      <c r="U40" s="2" t="inlineStr">
        <is>
          <t>Reported day</t>
        </is>
      </c>
      <c r="V40" s="2" t="inlineStr">
        <is>
          <t>Reported</t>
        </is>
      </c>
      <c r="W40" s="5" t="n">
        <v>81.5</v>
      </c>
      <c r="X40" s="5" t="n">
        <v>81.5</v>
      </c>
      <c r="Y40" s="2" t="inlineStr">
        <is>
          <t>Point</t>
        </is>
      </c>
      <c r="Z40" s="2" t="inlineStr">
        <is>
          <t>Stated</t>
        </is>
      </c>
      <c r="AA40" s="2" t="inlineStr">
        <is>
          <t>USD</t>
        </is>
      </c>
      <c r="AB40" s="2" t="inlineStr">
        <is>
          <t>Yes</t>
        </is>
      </c>
      <c r="AC40" s="5" t="n"/>
      <c r="AD40" s="2" t="inlineStr">
        <is>
          <t>Fin: committed; DD required: not stated; DD open: no; Excl: not stated</t>
        </is>
      </c>
      <c r="AE40" s="4" t="n"/>
      <c r="AF40" s="2" t="n"/>
      <c r="AG40" s="2" t="n"/>
      <c r="AH40" s="2" t="n"/>
      <c r="AI40" s="2" t="n"/>
      <c r="AJ40" s="2" t="n"/>
      <c r="AK40" s="2" t="n">
        <v>26</v>
      </c>
      <c r="AL40" s="2" t="inlineStr">
        <is>
          <t>R032; R045</t>
        </is>
      </c>
      <c r="AM40" s="2" t="inlineStr">
        <is>
          <t>PetSmart</t>
        </is>
      </c>
    </row>
    <row r="41" ht="164" customHeight="1">
      <c r="A41" s="2" t="n">
        <v>40</v>
      </c>
      <c r="B41" s="2" t="inlineStr">
        <is>
          <t>12/12/2014</t>
        </is>
      </c>
      <c r="C41" s="2" t="inlineStr">
        <is>
          <t>PetSmart ad hoc committee / Buyer Group / Longview</t>
        </is>
      </c>
      <c r="D41" s="2" t="inlineStr">
        <is>
          <t>Material process update</t>
        </is>
      </c>
      <c r="E41" s="2" t="n">
        <v>1</v>
      </c>
      <c r="F41" s="2" t="n">
        <v>3</v>
      </c>
      <c r="G41" s="2" t="n"/>
      <c r="H41" s="2" t="inlineStr">
        <is>
          <t>Permitted: the ad hoc committee approved the Buyer Group's request to work more closely with Longview and include a rollover of Longview-managed shares in its bid, after the 12/09/2014 introductory meetings J.P. Morgan arranged between Longview and each of the Buyer Group and Bidder 2. Longview and the Buyer Group then signed a confidentiality agreement permitting exchange of detailed information including bid price, which had not previously been shared with Longview; Wachtell Lipton was instructed to provide a form of voting agreement to Longview. Bidder 2 declined any price effect and would consider Longview only after signing. Resolution recorded at R044.</t>
        </is>
      </c>
      <c r="I41" s="2" t="n"/>
      <c r="J41" s="2" t="n"/>
      <c r="K41" s="2" t="inlineStr">
        <is>
          <t>Stated: request, approval, confidentiality agreement and voting-agreement instruction, all on 12/12/2014. One of the two permitted rows for the rollover relationship; support is not treated as a bidding-group membership change or a new NDA by a bidder for the auction screen. “the ad hoc committee approved the Buyer Group’s request, and, later that day, Longview and the Buyer Group entered into a confidentiality agreement permitting the exchange of detailed information between them, including bid price”.</t>
        </is>
      </c>
      <c r="L41" s="3" t="inlineStr">
        <is>
          <t>P-019; P-022</t>
        </is>
      </c>
      <c r="M41" s="2" t="inlineStr">
        <is>
          <t>Q8</t>
        </is>
      </c>
      <c r="N41" s="2" t="n"/>
      <c r="O41" s="2" t="inlineStr">
        <is>
          <t>R040</t>
        </is>
      </c>
      <c r="P41" s="2" t="inlineStr">
        <is>
          <t>Yes</t>
        </is>
      </c>
      <c r="Q41" s="2" t="n"/>
      <c r="R41" s="4" t="n">
        <v>41985</v>
      </c>
      <c r="S41" s="4" t="n">
        <v>41985</v>
      </c>
      <c r="T41" s="4" t="n">
        <v>41985</v>
      </c>
      <c r="U41" s="2" t="inlineStr">
        <is>
          <t>Reported day</t>
        </is>
      </c>
      <c r="V41" s="2" t="inlineStr">
        <is>
          <t>Reported</t>
        </is>
      </c>
      <c r="W41" s="5" t="n"/>
      <c r="X41" s="5" t="n"/>
      <c r="Y41" s="2" t="n"/>
      <c r="Z41" s="2" t="n"/>
      <c r="AA41" s="2" t="n"/>
      <c r="AB41" s="2" t="n"/>
      <c r="AC41" s="5" t="n"/>
      <c r="AD41" s="2" t="n"/>
      <c r="AE41" s="4" t="n"/>
      <c r="AF41" s="2" t="n"/>
      <c r="AG41" s="2" t="n"/>
      <c r="AH41" s="2" t="n"/>
      <c r="AI41" s="2" t="n"/>
      <c r="AJ41" s="2" t="n"/>
      <c r="AK41" s="2" t="n">
        <v>25</v>
      </c>
      <c r="AL41" s="2" t="inlineStr">
        <is>
          <t>R038; R044</t>
        </is>
      </c>
      <c r="AM41" s="2" t="inlineStr">
        <is>
          <t>PetSmart</t>
        </is>
      </c>
    </row>
    <row r="42" ht="126.5" customHeight="1">
      <c r="A42" s="2" t="n">
        <v>41</v>
      </c>
      <c r="B42" s="2" t="inlineStr">
        <is>
          <t>12/13/2014</t>
        </is>
      </c>
      <c r="C42" s="2" t="inlineStr">
        <is>
          <t>PetSmart board</t>
        </is>
      </c>
      <c r="D42" s="2" t="inlineStr">
        <is>
          <t>Target decision</t>
        </is>
      </c>
      <c r="E42" s="2" t="n">
        <v>1</v>
      </c>
      <c r="F42" s="2" t="n">
        <v>3</v>
      </c>
      <c r="G42" s="2" t="n"/>
      <c r="H42" s="2" t="inlineStr">
        <is>
          <t>Board unanimously determined the merger agreement and the merger advisable and in the best interests of PetSmart and its stockholders and resolved to recommend adoption; the determination was subject to confirmation that the remaining open points in the merger agreement had been satisfactorily resolved. J.P. Morgan delivered its oral fairness opinion on the $83.00 consideration (written opinion the next day); the board would reconvene if needed.</t>
        </is>
      </c>
      <c r="I42" s="2" t="n"/>
      <c r="J42" s="2" t="n"/>
      <c r="K42" s="2" t="inlineStr">
        <is>
          <t>Stated: approval, qualification and opinion timing. Selection of the Buyer Group is reflected here and in the signing row; separate from the round opening. “the board unanimously determined that the merger agreement and the transactions contemplated thereby, including the merger, were advisable and in the best interests of PetSmart and its stockholders”; “subject, however, to confirmation that the remaining open points in the merger agreement had been satisfactorily resolved”.</t>
        </is>
      </c>
      <c r="L42" s="3" t="inlineStr">
        <is>
          <t>P-024; X-013</t>
        </is>
      </c>
      <c r="M42" s="2" t="n"/>
      <c r="N42" s="2" t="n"/>
      <c r="O42" s="2" t="inlineStr">
        <is>
          <t>R041</t>
        </is>
      </c>
      <c r="P42" s="2" t="inlineStr">
        <is>
          <t>Yes</t>
        </is>
      </c>
      <c r="Q42" s="2" t="n"/>
      <c r="R42" s="4" t="n">
        <v>41986</v>
      </c>
      <c r="S42" s="4" t="n">
        <v>41986</v>
      </c>
      <c r="T42" s="4" t="n">
        <v>41986</v>
      </c>
      <c r="U42" s="2" t="inlineStr">
        <is>
          <t>Reported day</t>
        </is>
      </c>
      <c r="V42" s="2" t="inlineStr">
        <is>
          <t>Reported</t>
        </is>
      </c>
      <c r="W42" s="5" t="n"/>
      <c r="X42" s="5" t="n"/>
      <c r="Y42" s="2" t="n"/>
      <c r="Z42" s="2" t="n"/>
      <c r="AA42" s="2" t="n"/>
      <c r="AB42" s="2" t="n"/>
      <c r="AC42" s="5" t="n"/>
      <c r="AD42" s="2" t="n"/>
      <c r="AE42" s="4" t="n"/>
      <c r="AF42" s="2" t="n"/>
      <c r="AG42" s="2" t="n"/>
      <c r="AH42" s="2" t="n"/>
      <c r="AI42" s="2" t="n"/>
      <c r="AJ42" s="2" t="n"/>
      <c r="AK42" s="2" t="n">
        <v>26</v>
      </c>
      <c r="AL42" s="2" t="inlineStr">
        <is>
          <t>R042; R043</t>
        </is>
      </c>
      <c r="AM42" s="2" t="inlineStr">
        <is>
          <t>PetSmart</t>
        </is>
      </c>
    </row>
    <row r="43" ht="151.5" customHeight="1">
      <c r="A43" s="2" t="n">
        <v>42</v>
      </c>
      <c r="B43" s="2" t="inlineStr">
        <is>
          <t>12/14/2014</t>
        </is>
      </c>
      <c r="C43" s="2" t="inlineStr">
        <is>
          <t>PetSmart / Argos Holdings Inc. (Parent) / Argos Merger Sub Inc.</t>
        </is>
      </c>
      <c r="D43" s="2" t="inlineStr">
        <is>
          <t>Merger agreement signed</t>
        </is>
      </c>
      <c r="E43" s="2" t="n">
        <v>1</v>
      </c>
      <c r="F43" s="2" t="n">
        <v>3</v>
      </c>
      <c r="G43" s="2" t="n"/>
      <c r="H43" s="2" t="inlineStr">
        <is>
          <t>Executed the Agreement and Plan of Merger dated 12/14/2014: each outstanding share converts into the right to receive $83.00 in cash at the effective time; Company termination fee $255 million for a superior-proposal termination and Parent reverse termination fee $510 million in specified financing-failure cases; closing conditioned on stockholder adoption, antitrust clearances and no prohibitory order, with an outside date of 06/14/2015. Signing is not a bid: bid-price and formality/conditionality cells are left blank (agreed consideration appears in Cash at closing).</t>
        </is>
      </c>
      <c r="I43" s="2" t="n"/>
      <c r="J43" s="2" t="n"/>
      <c r="K43" s="2" t="inlineStr">
        <is>
          <t>Stated: execution, consideration and payment form; fee framework and closing conditions. “On December 14, 2014, the parties executed the merger agreement, the voting agreement and related transaction agreements and issued a press release announcing the transaction.”</t>
        </is>
      </c>
      <c r="L43" s="3" t="inlineStr">
        <is>
          <t>P-025; X-004; X-022; X-032</t>
        </is>
      </c>
      <c r="M43" s="2" t="n"/>
      <c r="N43" s="2" t="n"/>
      <c r="O43" s="2" t="inlineStr">
        <is>
          <t>R042</t>
        </is>
      </c>
      <c r="P43" s="2" t="inlineStr">
        <is>
          <t>Yes</t>
        </is>
      </c>
      <c r="Q43" s="2" t="n"/>
      <c r="R43" s="4" t="n">
        <v>41987</v>
      </c>
      <c r="S43" s="4" t="n">
        <v>41987</v>
      </c>
      <c r="T43" s="4" t="n">
        <v>41987</v>
      </c>
      <c r="U43" s="2" t="inlineStr">
        <is>
          <t>Reported day</t>
        </is>
      </c>
      <c r="V43" s="2" t="inlineStr">
        <is>
          <t>Reported</t>
        </is>
      </c>
      <c r="W43" s="5" t="n"/>
      <c r="X43" s="5" t="n"/>
      <c r="Y43" s="2" t="n"/>
      <c r="Z43" s="2" t="n"/>
      <c r="AA43" s="2" t="inlineStr">
        <is>
          <t>USD</t>
        </is>
      </c>
      <c r="AB43" s="2" t="inlineStr">
        <is>
          <t>Yes</t>
        </is>
      </c>
      <c r="AC43" s="5" t="n">
        <v>83</v>
      </c>
      <c r="AD43" s="2" t="n"/>
      <c r="AE43" s="4" t="n"/>
      <c r="AF43" s="2" t="n"/>
      <c r="AG43" s="2" t="n"/>
      <c r="AH43" s="2" t="n"/>
      <c r="AI43" s="2" t="n"/>
      <c r="AJ43" s="2" t="n"/>
      <c r="AK43" s="2" t="n">
        <v>26</v>
      </c>
      <c r="AL43" s="2" t="inlineStr">
        <is>
          <t>R041; R043; R044; R045</t>
        </is>
      </c>
      <c r="AM43" s="2" t="inlineStr">
        <is>
          <t>PetSmart</t>
        </is>
      </c>
    </row>
    <row r="44" ht="114" customHeight="1">
      <c r="A44" s="2" t="n">
        <v>43</v>
      </c>
      <c r="B44" s="2" t="inlineStr">
        <is>
          <t>12/14/2014</t>
        </is>
      </c>
      <c r="C44" s="2" t="inlineStr">
        <is>
          <t>PetSmart / Parent</t>
        </is>
      </c>
      <c r="D44" s="2" t="inlineStr">
        <is>
          <t>Merger announced</t>
        </is>
      </c>
      <c r="E44" s="2" t="n">
        <v>1</v>
      </c>
      <c r="F44" s="2" t="n">
        <v>3</v>
      </c>
      <c r="G44" s="2" t="n"/>
      <c r="H44" s="2" t="inlineStr">
        <is>
          <t>Press release announcing the transaction, issued concurrently with execution. No go-shop was provided; the 15 NDA signers' standstill provisions bar them from submitting or seeking permission to submit a higher bid after a definitive agreement; as of 02/02/2015 no person had made an unsolicited offer or proposal to acquire PetSmart. Public disclosure of the signed deal is distinct from signing.</t>
        </is>
      </c>
      <c r="I44" s="2" t="n"/>
      <c r="J44" s="2" t="n"/>
      <c r="K44" s="2" t="inlineStr">
        <is>
          <t>Stated: announcement and the absence of post-signing proposals to the proxy date; standstills preserved as the stated mechanism. “as of February 2, 2015, the date of this proxy statement, no person has made an unsolicited offer or proposal to acquire PetSmart”.</t>
        </is>
      </c>
      <c r="L44" s="3" t="inlineStr">
        <is>
          <t>P-025; X-009; X-010</t>
        </is>
      </c>
      <c r="M44" s="2" t="n"/>
      <c r="N44" s="2" t="n"/>
      <c r="O44" s="2" t="inlineStr">
        <is>
          <t>R043</t>
        </is>
      </c>
      <c r="P44" s="2" t="inlineStr">
        <is>
          <t>Yes</t>
        </is>
      </c>
      <c r="Q44" s="2" t="n"/>
      <c r="R44" s="4" t="n">
        <v>41987</v>
      </c>
      <c r="S44" s="4" t="n">
        <v>41987</v>
      </c>
      <c r="T44" s="4" t="n">
        <v>41987</v>
      </c>
      <c r="U44" s="2" t="inlineStr">
        <is>
          <t>Reported day</t>
        </is>
      </c>
      <c r="V44" s="2" t="inlineStr">
        <is>
          <t>Reported</t>
        </is>
      </c>
      <c r="W44" s="5" t="n"/>
      <c r="X44" s="5" t="n"/>
      <c r="Y44" s="2" t="n"/>
      <c r="Z44" s="2" t="n"/>
      <c r="AA44" s="2" t="n"/>
      <c r="AB44" s="2" t="n"/>
      <c r="AC44" s="5" t="n"/>
      <c r="AD44" s="2" t="n"/>
      <c r="AE44" s="4" t="n"/>
      <c r="AF44" s="2" t="n"/>
      <c r="AG44" s="2" t="n"/>
      <c r="AH44" s="2" t="n"/>
      <c r="AI44" s="2" t="n"/>
      <c r="AJ44" s="2" t="n"/>
      <c r="AK44" s="2" t="n">
        <v>26</v>
      </c>
      <c r="AL44" s="2" t="inlineStr">
        <is>
          <t>R042</t>
        </is>
      </c>
      <c r="AM44" s="2" t="inlineStr">
        <is>
          <t>PetSmart</t>
        </is>
      </c>
    </row>
    <row r="45" ht="126.5" customHeight="1">
      <c r="A45" s="2" t="n">
        <v>44</v>
      </c>
      <c r="B45" s="2" t="inlineStr">
        <is>
          <t>12/14/2014</t>
        </is>
      </c>
      <c r="C45" s="2" t="inlineStr">
        <is>
          <t>Longview / Parent</t>
        </is>
      </c>
      <c r="D45" s="2" t="inlineStr">
        <is>
          <t>Material process update</t>
        </is>
      </c>
      <c r="E45" s="2" t="n">
        <v>1</v>
      </c>
      <c r="F45" s="2" t="n">
        <v>3</v>
      </c>
      <c r="G45" s="2" t="n"/>
      <c r="H45" s="2" t="inlineStr">
        <is>
          <t>Resolved: rollover agreement executed under which Longview contributes 3,012,050 shares (about $250 million at $83.00) to Parent immediately before the effective time in exchange for equity interests in Parent; the Company is an express third-party beneficiary. Longview enters the “Buyer Group” definition from 12/12/2014 onward; its remaining shares receive the same $83.00 cash consideration. A rolling-over shareholder admitted to the buyer vehicle is not a bidding-group membership change.</t>
        </is>
      </c>
      <c r="I45" s="2" t="n"/>
      <c r="J45" s="2" t="n"/>
      <c r="K45" s="2" t="inlineStr">
        <is>
          <t>Stated: agreement, share count and treatment of other shares. The second permitted row for the rollover relationship (permitted at R040, resolved here); no new bidder NDA or bid is created. “Longview has agreed to contribute 3,012,050 shares (“rollover shares”) to Parent immediately prior to the effective time in exchange for equity interests in Parent”; “Longview will receive the same $83.00 per share merger consideration as the other holders of the Company’s common stock for all other shares of common stock beneficially owned by it (other than the rollover shares).”</t>
        </is>
      </c>
      <c r="L45" s="3" t="inlineStr">
        <is>
          <t>X-018; X-019; X-020; X-001</t>
        </is>
      </c>
      <c r="M45" s="2" t="inlineStr">
        <is>
          <t>Q8</t>
        </is>
      </c>
      <c r="N45" s="2" t="n"/>
      <c r="O45" s="2" t="inlineStr">
        <is>
          <t>R044</t>
        </is>
      </c>
      <c r="P45" s="2" t="inlineStr">
        <is>
          <t>Yes</t>
        </is>
      </c>
      <c r="Q45" s="2" t="n"/>
      <c r="R45" s="4" t="n">
        <v>41987</v>
      </c>
      <c r="S45" s="4" t="n">
        <v>41987</v>
      </c>
      <c r="T45" s="4" t="n">
        <v>41987</v>
      </c>
      <c r="U45" s="2" t="inlineStr">
        <is>
          <t>Reported day</t>
        </is>
      </c>
      <c r="V45" s="2" t="inlineStr">
        <is>
          <t>Reported</t>
        </is>
      </c>
      <c r="W45" s="5" t="n"/>
      <c r="X45" s="5" t="n"/>
      <c r="Y45" s="2" t="n"/>
      <c r="Z45" s="2" t="n"/>
      <c r="AA45" s="2" t="n"/>
      <c r="AB45" s="2" t="n"/>
      <c r="AC45" s="5" t="n"/>
      <c r="AD45" s="2" t="n"/>
      <c r="AE45" s="4" t="n"/>
      <c r="AF45" s="2" t="n"/>
      <c r="AG45" s="2" t="n"/>
      <c r="AH45" s="2" t="n"/>
      <c r="AI45" s="2" t="n"/>
      <c r="AJ45" s="2" t="n"/>
      <c r="AK45" s="2" t="n">
        <v>41</v>
      </c>
      <c r="AL45" s="2" t="inlineStr">
        <is>
          <t>R040; R042</t>
        </is>
      </c>
      <c r="AM45" s="2" t="inlineStr">
        <is>
          <t>PetSmart</t>
        </is>
      </c>
    </row>
    <row r="46" ht="89" customHeight="1">
      <c r="A46" s="2" t="n">
        <v>45</v>
      </c>
      <c r="B46" s="2" t="inlineStr">
        <is>
          <t>12/14/2014</t>
        </is>
      </c>
      <c r="C46" s="2" t="inlineStr">
        <is>
          <t>Bidder 2</t>
        </is>
      </c>
      <c r="D46" s="2" t="inlineStr">
        <is>
          <t>Not selected at signing</t>
        </is>
      </c>
      <c r="E46" s="2" t="n">
        <v>1</v>
      </c>
      <c r="F46" s="2" t="n">
        <v>3</v>
      </c>
      <c r="G46" s="2" t="inlineStr">
        <is>
          <t>Financial</t>
        </is>
      </c>
      <c r="H46" s="2" t="inlineStr">
        <is>
          <t>The target signed with the Buyer Group; Bidder 2's $81.50 best-and-final was lower than the $83.00 price offered by the Buyer Group, and the board noted Bidder 2's $81.50 was its best and final. Participation had not previously ended, so this is a signing outcome, stated, not an invented earlier withdrawal; no Re-entered row follows.</t>
        </is>
      </c>
      <c r="I46" s="2" t="n"/>
      <c r="J46" s="2" t="n"/>
      <c r="K46" s="2" t="inlineStr">
        <is>
          <t>Stated: the choice and the price comparison; a live finalist at signing is closed as Not selected at signing with Outcome basis Stated. Decided by Target (the board selected the Buyer Group's higher-priced, more executable offer). “neither of which was willing to make a definitive offer at a price above $81.50, which was lower than the $83.00 price offered by the Buyer Group”.</t>
        </is>
      </c>
      <c r="L46" s="3" t="inlineStr">
        <is>
          <t>P-024; X-008</t>
        </is>
      </c>
      <c r="M46" s="2" t="inlineStr">
        <is>
          <t>Q4</t>
        </is>
      </c>
      <c r="N46" s="2" t="n"/>
      <c r="O46" s="2" t="inlineStr">
        <is>
          <t>R045</t>
        </is>
      </c>
      <c r="P46" s="2" t="inlineStr">
        <is>
          <t>Yes</t>
        </is>
      </c>
      <c r="Q46" s="2" t="n">
        <v>1</v>
      </c>
      <c r="R46" s="4" t="n">
        <v>41987</v>
      </c>
      <c r="S46" s="4" t="n">
        <v>41987</v>
      </c>
      <c r="T46" s="4" t="n">
        <v>41987</v>
      </c>
      <c r="U46" s="2" t="inlineStr">
        <is>
          <t>Reported day</t>
        </is>
      </c>
      <c r="V46" s="2" t="inlineStr">
        <is>
          <t>Reported</t>
        </is>
      </c>
      <c r="W46" s="5" t="n"/>
      <c r="X46" s="5" t="n"/>
      <c r="Y46" s="2" t="n"/>
      <c r="Z46" s="2" t="n"/>
      <c r="AA46" s="2" t="n"/>
      <c r="AB46" s="2" t="n"/>
      <c r="AC46" s="5" t="n"/>
      <c r="AD46" s="2" t="n"/>
      <c r="AE46" s="4" t="n"/>
      <c r="AF46" s="2" t="n"/>
      <c r="AG46" s="2" t="n"/>
      <c r="AH46" s="2" t="inlineStr">
        <is>
          <t>Target</t>
        </is>
      </c>
      <c r="AI46" s="2" t="inlineStr">
        <is>
          <t>Lower offer than rivals</t>
        </is>
      </c>
      <c r="AJ46" s="2" t="inlineStr">
        <is>
          <t>Stated</t>
        </is>
      </c>
      <c r="AK46" s="2" t="n">
        <v>26</v>
      </c>
      <c r="AL46" s="2" t="inlineStr">
        <is>
          <t>R039; R041; R042</t>
        </is>
      </c>
      <c r="AM46" s="2" t="inlineStr">
        <is>
          <t>PetSmart</t>
        </is>
      </c>
    </row>
  </sheetData>
  <autoFilter ref="A1:AM46"/>
  <dataValidations count="15">
    <dataValidation sqref="D2:D1000" showDropDown="0" showInputMessage="0" showErrorMessage="0" allowBlank="1" type="list">
      <formula1>Lists!$A$2:$A$41</formula1>
    </dataValidation>
    <dataValidation sqref="G2:G1000" showDropDown="0" showInputMessage="0" showErrorMessage="0" allowBlank="1" type="list">
      <formula1>Lists!$B$2:$B$5</formula1>
    </dataValidation>
    <dataValidation sqref="I2:I1000" showDropDown="0" showInputMessage="0" showErrorMessage="0" allowBlank="1" type="list">
      <formula1>Lists!$C$2:$C$5</formula1>
    </dataValidation>
    <dataValidation sqref="J2:J1000" showDropDown="0" showInputMessage="0" showErrorMessage="0" allowBlank="1" type="list">
      <formula1>Lists!$D$2:$D$6</formula1>
    </dataValidation>
    <dataValidation sqref="P2:P1000" showDropDown="0" showInputMessage="0" showErrorMessage="0" allowBlank="1" type="list">
      <formula1>Lists!$E$2:$E$3</formula1>
    </dataValidation>
    <dataValidation sqref="U2:U1000" showDropDown="0" showInputMessage="0" showErrorMessage="0" allowBlank="1" type="list">
      <formula1>Lists!$F$2:$F$7</formula1>
    </dataValidation>
    <dataValidation sqref="V2:V1000" showDropDown="0" showInputMessage="0" showErrorMessage="0" allowBlank="1" type="list">
      <formula1>Lists!$G$2:$G$8</formula1>
    </dataValidation>
    <dataValidation sqref="Y2:Y1000" showDropDown="0" showInputMessage="0" showErrorMessage="0" allowBlank="1" type="list">
      <formula1>Lists!$H$2:$H$6</formula1>
    </dataValidation>
    <dataValidation sqref="Z2:Z1000" showDropDown="0" showInputMessage="0" showErrorMessage="0" allowBlank="1" type="list">
      <formula1>Lists!$I$2:$I$4</formula1>
    </dataValidation>
    <dataValidation sqref="AB2:AB1000" showDropDown="0" showInputMessage="0" showErrorMessage="0" allowBlank="1" type="list">
      <formula1>Lists!$J$2:$J$4</formula1>
    </dataValidation>
    <dataValidation sqref="AF2:AF1000" showDropDown="0" showInputMessage="0" showErrorMessage="0" allowBlank="1" type="list">
      <formula1>Lists!$K$2:$K$8</formula1>
    </dataValidation>
    <dataValidation sqref="AG2:AG1000" showDropDown="0" showInputMessage="0" showErrorMessage="0" allowBlank="1" type="list">
      <formula1>Lists!$L$2:$L$4</formula1>
    </dataValidation>
    <dataValidation sqref="AH2:AH1000" showDropDown="0" showInputMessage="0" showErrorMessage="0" allowBlank="1" type="list">
      <formula1>Lists!$M$2:$M$5</formula1>
    </dataValidation>
    <dataValidation sqref="AI2:AI1000" showDropDown="0" showInputMessage="0" showErrorMessage="0" allowBlank="1" type="list">
      <formula1>Lists!$N$2:$N$10</formula1>
    </dataValidation>
    <dataValidation sqref="AJ2:AJ1000" showDropDown="0" showInputMessage="0" showErrorMessage="0" allowBlank="1" type="list">
      <formula1>Lists!$O$2:$O$6</formula1>
    </dataValidation>
  </dataValidations>
  <hyperlinks>
    <hyperlink ref="L2" location="'Source text'!A2" tooltip="go to source paragraph"/>
    <hyperlink ref="L3" location="'Source text'!A3" tooltip="go to source paragraph"/>
    <hyperlink ref="L4" location="'Source text'!A4" tooltip="go to source paragraph"/>
    <hyperlink ref="L5" location="'Source text'!A4" tooltip="go to source paragraph"/>
    <hyperlink ref="L6" location="'Source text'!A5" tooltip="go to source paragraph"/>
    <hyperlink ref="L7" location="'Source text'!A3" tooltip="go to source paragraph"/>
    <hyperlink ref="L8" location="'Source text'!A6" tooltip="go to source paragraph"/>
    <hyperlink ref="L9" location="'Source text'!A7" tooltip="go to source paragraph"/>
    <hyperlink ref="L10" location="'Source text'!A7" tooltip="go to source paragraph"/>
    <hyperlink ref="L11" location="'Source text'!A7" tooltip="go to source paragraph"/>
    <hyperlink ref="L12" location="'Source text'!A9" tooltip="go to source paragraph"/>
    <hyperlink ref="L13" location="'Source text'!A9" tooltip="go to source paragraph"/>
    <hyperlink ref="L14" location="'Source text'!A10" tooltip="go to source paragraph"/>
    <hyperlink ref="L15" location="'Source text'!A9" tooltip="go to source paragraph"/>
    <hyperlink ref="L16" location="'Source text'!A11" tooltip="go to source paragraph"/>
    <hyperlink ref="L17" location="'Source text'!A12" tooltip="go to source paragraph"/>
    <hyperlink ref="L18" location="'Source text'!A13" tooltip="go to source paragraph"/>
    <hyperlink ref="L19" location="'Source text'!A13" tooltip="go to source paragraph"/>
    <hyperlink ref="L20" location="'Source text'!A13" tooltip="go to source paragraph"/>
    <hyperlink ref="L21" location="'Source text'!A13" tooltip="go to source paragraph"/>
    <hyperlink ref="L22" location="'Source text'!A13" tooltip="go to source paragraph"/>
    <hyperlink ref="L23" location="'Source text'!A13" tooltip="go to source paragraph"/>
    <hyperlink ref="L24" location="'Source text'!A13" tooltip="go to source paragraph"/>
    <hyperlink ref="L25" location="'Source text'!A14" tooltip="go to source paragraph"/>
    <hyperlink ref="L26" location="'Source text'!A14" tooltip="go to source paragraph"/>
    <hyperlink ref="L27" location="'Source text'!A15" tooltip="go to source paragraph"/>
    <hyperlink ref="L28" location="'Source text'!A16" tooltip="go to source paragraph"/>
    <hyperlink ref="L29" location="'Source text'!A16" tooltip="go to source paragraph"/>
    <hyperlink ref="L30" location="'Source text'!A17" tooltip="go to source paragraph"/>
    <hyperlink ref="L31" location="'Source text'!A21" tooltip="go to source paragraph"/>
    <hyperlink ref="L32" location="'Source text'!A18" tooltip="go to source paragraph"/>
    <hyperlink ref="L33" location="'Source text'!A21" tooltip="go to source paragraph"/>
    <hyperlink ref="L34" location="'Source text'!A21" tooltip="go to source paragraph"/>
    <hyperlink ref="L35" location="'Source text'!A21" tooltip="go to source paragraph"/>
    <hyperlink ref="L36" location="'Source text'!A13" tooltip="go to source paragraph"/>
    <hyperlink ref="L37" location="'Source text'!A17" tooltip="go to source paragraph"/>
    <hyperlink ref="L38" location="'Source text'!A24" tooltip="go to source paragraph"/>
    <hyperlink ref="L39" location="'Source text'!A24" tooltip="go to source paragraph"/>
    <hyperlink ref="L40" location="'Source text'!A24" tooltip="go to source paragraph"/>
    <hyperlink ref="L41" location="'Source text'!A20" tooltip="go to source paragraph"/>
    <hyperlink ref="L42" location="'Source text'!A25" tooltip="go to source paragraph"/>
    <hyperlink ref="L43" location="'Source text'!A26" tooltip="go to source paragraph"/>
    <hyperlink ref="L44" location="'Source text'!A26" tooltip="go to source paragraph"/>
    <hyperlink ref="L45" location="'Source text'!A44" tooltip="go to source paragraph"/>
    <hyperlink ref="L46" location="'Source text'!A25" tooltip="go to source paragraph"/>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1"/>
  <sheetViews>
    <sheetView workbookViewId="0">
      <selection activeCell="A1" sqref="A1"/>
    </sheetView>
  </sheetViews>
  <sheetFormatPr baseColWidth="8" defaultRowHeight="15"/>
  <sheetData>
    <row r="1">
      <c r="A1" s="6" t="inlineStr">
        <is>
          <t>What happened</t>
        </is>
      </c>
      <c r="B1" s="6" t="inlineStr">
        <is>
          <t>Type</t>
        </is>
      </c>
      <c r="C1" s="6" t="inlineStr">
        <is>
          <t>Formality</t>
        </is>
      </c>
      <c r="D1" s="6" t="inlineStr">
        <is>
          <t>Conditions level</t>
        </is>
      </c>
      <c r="E1" s="6" t="inlineStr">
        <is>
          <t>Include</t>
        </is>
      </c>
      <c r="F1" s="6" t="inlineStr">
        <is>
          <t>Date basis</t>
        </is>
      </c>
      <c r="G1" s="6" t="inlineStr">
        <is>
          <t>Date method</t>
        </is>
      </c>
      <c r="H1" s="6" t="inlineStr">
        <is>
          <t>Price kind</t>
        </is>
      </c>
      <c r="I1" s="6" t="inlineStr">
        <is>
          <t>Price origin</t>
        </is>
      </c>
      <c r="J1" s="6" t="inlineStr">
        <is>
          <t>All cash</t>
        </is>
      </c>
      <c r="K1" s="6" t="inlineStr">
        <is>
          <t>Deadline treatment</t>
        </is>
      </c>
      <c r="L1" s="6" t="inlineStr">
        <is>
          <t>Round finality</t>
        </is>
      </c>
      <c r="M1" s="6" t="inlineStr">
        <is>
          <t>Decided by</t>
        </is>
      </c>
      <c r="N1" s="6" t="inlineStr">
        <is>
          <t>Exit reason</t>
        </is>
      </c>
      <c r="O1" s="6" t="inlineStr">
        <is>
          <t>Outcome basis</t>
        </is>
      </c>
    </row>
    <row r="2">
      <c r="A2" s="7" t="inlineStr">
        <is>
          <t>Target interest</t>
        </is>
      </c>
      <c r="B2" s="7" t="inlineStr">
        <is>
          <t>Strategic</t>
        </is>
      </c>
      <c r="C2" s="7" t="inlineStr">
        <is>
          <t>Formal</t>
        </is>
      </c>
      <c r="D2" s="7" t="inlineStr">
        <is>
          <t>None</t>
        </is>
      </c>
      <c r="E2" s="7" t="inlineStr">
        <is>
          <t>Yes</t>
        </is>
      </c>
      <c r="F2" s="7" t="inlineStr">
        <is>
          <t>Reported day</t>
        </is>
      </c>
      <c r="G2" s="7" t="inlineStr">
        <is>
          <t>Reported</t>
        </is>
      </c>
      <c r="H2" s="7" t="inlineStr">
        <is>
          <t>Point</t>
        </is>
      </c>
      <c r="I2" s="7" t="inlineStr">
        <is>
          <t>Stated</t>
        </is>
      </c>
      <c r="J2" s="7" t="inlineStr">
        <is>
          <t>Yes</t>
        </is>
      </c>
      <c r="K2" s="7" t="inlineStr">
        <is>
          <t>Extended</t>
        </is>
      </c>
      <c r="L2" s="7" t="inlineStr">
        <is>
          <t>Announced as final</t>
        </is>
      </c>
      <c r="M2" s="7" t="inlineStr">
        <is>
          <t>Bidder</t>
        </is>
      </c>
      <c r="N2" s="7" t="inlineStr">
        <is>
          <t>Value below market price</t>
        </is>
      </c>
      <c r="O2" s="7" t="inlineStr">
        <is>
          <t>Stated</t>
        </is>
      </c>
    </row>
    <row r="3">
      <c r="A3" s="7" t="inlineStr">
        <is>
          <t>Bidder interest</t>
        </is>
      </c>
      <c r="B3" s="7" t="inlineStr">
        <is>
          <t>Financial</t>
        </is>
      </c>
      <c r="C3" s="7" t="inlineStr">
        <is>
          <t>Informal</t>
        </is>
      </c>
      <c r="D3" s="7" t="inlineStr">
        <is>
          <t>Light</t>
        </is>
      </c>
      <c r="E3" s="7" t="inlineStr">
        <is>
          <t>No</t>
        </is>
      </c>
      <c r="F3" s="7" t="inlineStr">
        <is>
          <t>Inferred day</t>
        </is>
      </c>
      <c r="G3" s="7" t="inlineStr">
        <is>
          <t>Inferred</t>
        </is>
      </c>
      <c r="H3" s="7" t="inlineStr">
        <is>
          <t>Bidder range</t>
        </is>
      </c>
      <c r="I3" s="7" t="inlineStr">
        <is>
          <t>Carried forward</t>
        </is>
      </c>
      <c r="J3" s="7" t="inlineStr">
        <is>
          <t>No</t>
        </is>
      </c>
      <c r="K3" s="7" t="inlineStr">
        <is>
          <t>Late bids accepted</t>
        </is>
      </c>
      <c r="L3" s="7" t="inlineStr">
        <is>
          <t>Inferred final</t>
        </is>
      </c>
      <c r="M3" s="7" t="inlineStr">
        <is>
          <t>Target</t>
        </is>
      </c>
      <c r="N3" s="7" t="inlineStr">
        <is>
          <t>Value at or below market price</t>
        </is>
      </c>
      <c r="O3" s="7" t="inlineStr">
        <is>
          <t>Inferred: residual</t>
        </is>
      </c>
    </row>
    <row r="4">
      <c r="A4" s="7" t="inlineStr">
        <is>
          <t>Target sale decision</t>
        </is>
      </c>
      <c r="B4" s="7" t="inlineStr">
        <is>
          <t>Mixed</t>
        </is>
      </c>
      <c r="C4" s="7" t="inlineStr">
        <is>
          <t>Insufficient evidence</t>
        </is>
      </c>
      <c r="D4" s="7" t="inlineStr">
        <is>
          <t>Heavy</t>
        </is>
      </c>
      <c r="F4" s="7" t="inlineStr">
        <is>
          <t>Reported interval</t>
        </is>
      </c>
      <c r="G4" s="7" t="inlineStr">
        <is>
          <t>Assigned: deadline</t>
        </is>
      </c>
      <c r="H4" s="7" t="inlineStr">
        <is>
          <t>Group envelope</t>
        </is>
      </c>
      <c r="I4" s="7" t="inlineStr">
        <is>
          <t>Inferred</t>
        </is>
      </c>
      <c r="J4" s="7" t="inlineStr">
        <is>
          <t>Not stated</t>
        </is>
      </c>
      <c r="K4" s="7" t="inlineStr">
        <is>
          <t>Enforced</t>
        </is>
      </c>
      <c r="L4" s="7" t="inlineStr">
        <is>
          <t>Not final</t>
        </is>
      </c>
      <c r="M4" s="7" t="inlineStr">
        <is>
          <t>Both</t>
        </is>
      </c>
      <c r="N4" s="7" t="inlineStr">
        <is>
          <t>Value below earlier offer</t>
        </is>
      </c>
      <c r="O4" s="7" t="inlineStr">
        <is>
          <t>Inferred: exclusivity</t>
        </is>
      </c>
    </row>
    <row r="5">
      <c r="A5" s="7" t="inlineStr">
        <is>
          <t>Activist pressure</t>
        </is>
      </c>
      <c r="B5" s="7" t="inlineStr">
        <is>
          <t>Unknown</t>
        </is>
      </c>
      <c r="C5" s="7" t="inlineStr">
        <is>
          <t>Varies</t>
        </is>
      </c>
      <c r="D5" s="7" t="inlineStr">
        <is>
          <t>Insufficient evidence</t>
        </is>
      </c>
      <c r="F5" s="7" t="inlineStr">
        <is>
          <t>Approximate window</t>
        </is>
      </c>
      <c r="G5" s="7" t="inlineStr">
        <is>
          <t>Assigned: decision day</t>
        </is>
      </c>
      <c r="H5" s="7" t="inlineStr">
        <is>
          <t>Bound only</t>
        </is>
      </c>
      <c r="K5" s="7" t="inlineStr">
        <is>
          <t>Passed without action</t>
        </is>
      </c>
      <c r="M5" s="7" t="inlineStr">
        <is>
          <t>Unknown</t>
        </is>
      </c>
      <c r="N5" s="7" t="inlineStr">
        <is>
          <t>Value at earlier offer</t>
        </is>
      </c>
      <c r="O5" s="7" t="inlineStr">
        <is>
          <t>Inferred: silent</t>
        </is>
      </c>
    </row>
    <row r="6">
      <c r="A6" s="7" t="inlineStr">
        <is>
          <t>Activist involvement</t>
        </is>
      </c>
      <c r="D6" s="7" t="inlineStr">
        <is>
          <t>Varies</t>
        </is>
      </c>
      <c r="F6" s="7" t="inlineStr">
        <is>
          <t>Relative only</t>
        </is>
      </c>
      <c r="G6" s="7" t="inlineStr">
        <is>
          <t>Assigned: midpoint</t>
        </is>
      </c>
      <c r="H6" s="7" t="inlineStr">
        <is>
          <t>Undisclosed</t>
        </is>
      </c>
      <c r="K6" s="7" t="inlineStr">
        <is>
          <t>Unclear</t>
        </is>
      </c>
      <c r="N6" s="7" t="inlineStr">
        <is>
          <t>Would not improve earlier offer</t>
        </is>
      </c>
      <c r="O6" s="7" t="inlineStr">
        <is>
          <t>Inferred: identity</t>
        </is>
      </c>
    </row>
    <row r="7">
      <c r="A7" s="7" t="inlineStr">
        <is>
          <t>Adviser engaged</t>
        </is>
      </c>
      <c r="F7" s="7" t="inlineStr">
        <is>
          <t>Undated</t>
        </is>
      </c>
      <c r="G7" s="7" t="inlineStr">
        <is>
          <t>Assigned: bound</t>
        </is>
      </c>
      <c r="K7" s="7" t="inlineStr">
        <is>
          <t>No deadline stated</t>
        </is>
      </c>
      <c r="N7" s="7" t="inlineStr">
        <is>
          <t>Lower offer than rivals</t>
        </is>
      </c>
    </row>
    <row r="8">
      <c r="A8" s="7" t="inlineStr">
        <is>
          <t>Adviser service observed</t>
        </is>
      </c>
      <c r="G8" s="7" t="inlineStr">
        <is>
          <t>Assigned: sequence</t>
        </is>
      </c>
      <c r="K8" s="7" t="inlineStr">
        <is>
          <t>Extended; Late bids accepted</t>
        </is>
      </c>
      <c r="N8" s="7" t="inlineStr">
        <is>
          <t>Terms or process</t>
        </is>
      </c>
    </row>
    <row r="9">
      <c r="A9" s="7" t="inlineStr">
        <is>
          <t>Adviser ended</t>
        </is>
      </c>
      <c r="N9" s="7" t="inlineStr">
        <is>
          <t>Other stated reason</t>
        </is>
      </c>
    </row>
    <row r="10">
      <c r="A10" s="7" t="inlineStr">
        <is>
          <t>Contact</t>
        </is>
      </c>
      <c r="N10" s="7" t="inlineStr">
        <is>
          <t>Not stated</t>
        </is>
      </c>
    </row>
    <row r="11">
      <c r="A11" s="7" t="inlineStr">
        <is>
          <t>NDA signed</t>
        </is>
      </c>
    </row>
    <row r="12">
      <c r="A12" s="7" t="inlineStr">
        <is>
          <t>Round opened</t>
        </is>
      </c>
    </row>
    <row r="13">
      <c r="A13" s="7" t="inlineStr">
        <is>
          <t>Deadline set</t>
        </is>
      </c>
    </row>
    <row r="14">
      <c r="A14" s="7" t="inlineStr">
        <is>
          <t>Deadline revised</t>
        </is>
      </c>
    </row>
    <row r="15">
      <c r="A15" s="7" t="inlineStr">
        <is>
          <t>Deadline</t>
        </is>
      </c>
    </row>
    <row r="16">
      <c r="A16" s="7" t="inlineStr">
        <is>
          <t>Target decision</t>
        </is>
      </c>
    </row>
    <row r="17">
      <c r="A17" s="7" t="inlineStr">
        <is>
          <t>Information access changed</t>
        </is>
      </c>
    </row>
    <row r="18">
      <c r="A18" s="7" t="inlineStr">
        <is>
          <t>Material process update</t>
        </is>
      </c>
    </row>
    <row r="19">
      <c r="A19" s="7" t="inlineStr">
        <is>
          <t>Exclusivity changed</t>
        </is>
      </c>
    </row>
    <row r="20">
      <c r="A20" s="7" t="inlineStr">
        <is>
          <t>Bid</t>
        </is>
      </c>
    </row>
    <row r="21">
      <c r="A21" s="7" t="inlineStr">
        <is>
          <t>Bid reaffirmed</t>
        </is>
      </c>
    </row>
    <row r="22">
      <c r="A22" s="7" t="inlineStr">
        <is>
          <t>Offer update</t>
        </is>
      </c>
    </row>
    <row r="23">
      <c r="A23" s="7" t="inlineStr">
        <is>
          <t>Other-scope bid</t>
        </is>
      </c>
    </row>
    <row r="24">
      <c r="A24" s="7" t="inlineStr">
        <is>
          <t>Valuation statement</t>
        </is>
      </c>
    </row>
    <row r="25">
      <c r="A25" s="7" t="inlineStr">
        <is>
          <t>Bidding group changed</t>
        </is>
      </c>
    </row>
    <row r="26">
      <c r="A26" s="7" t="inlineStr">
        <is>
          <t>Joined group</t>
        </is>
      </c>
    </row>
    <row r="27">
      <c r="A27" s="7" t="inlineStr">
        <is>
          <t>Dropped by target</t>
        </is>
      </c>
    </row>
    <row r="28">
      <c r="A28" s="7" t="inlineStr">
        <is>
          <t>Withdrew</t>
        </is>
      </c>
    </row>
    <row r="29">
      <c r="A29" s="7" t="inlineStr">
        <is>
          <t>Did not submit</t>
        </is>
      </c>
    </row>
    <row r="30">
      <c r="A30" s="7" t="inlineStr">
        <is>
          <t>Participation paused</t>
        </is>
      </c>
    </row>
    <row r="31">
      <c r="A31" s="7" t="inlineStr">
        <is>
          <t>Re-entered</t>
        </is>
      </c>
    </row>
    <row r="32">
      <c r="A32" s="7" t="inlineStr">
        <is>
          <t>Not selected at signing</t>
        </is>
      </c>
    </row>
    <row r="33">
      <c r="A33" s="7" t="inlineStr">
        <is>
          <t>Sale process announced</t>
        </is>
      </c>
    </row>
    <row r="34">
      <c r="A34" s="7" t="inlineStr">
        <is>
          <t>Bid announced</t>
        </is>
      </c>
    </row>
    <row r="35">
      <c r="A35" s="7" t="inlineStr">
        <is>
          <t>Merger announced</t>
        </is>
      </c>
    </row>
    <row r="36">
      <c r="A36" s="7" t="inlineStr">
        <is>
          <t>Merger agreement signed</t>
        </is>
      </c>
    </row>
    <row r="37">
      <c r="A37" s="7" t="inlineStr">
        <is>
          <t>Go-shop changed</t>
        </is>
      </c>
    </row>
    <row r="38">
      <c r="A38" s="7" t="inlineStr">
        <is>
          <t>Process terminated</t>
        </is>
      </c>
    </row>
    <row r="39">
      <c r="A39" s="7" t="inlineStr">
        <is>
          <t>Process restarted</t>
        </is>
      </c>
    </row>
    <row r="40">
      <c r="A40" s="7" t="inlineStr">
        <is>
          <t>Agreement terminated</t>
        </is>
      </c>
    </row>
    <row r="41">
      <c r="A41" s="7" t="inlineStr">
        <is>
          <t>Closed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0"/>
  <sheetViews>
    <sheetView workbookViewId="0">
      <selection activeCell="A1" sqref="A1"/>
    </sheetView>
  </sheetViews>
  <sheetFormatPr baseColWidth="8" defaultRowHeight="15"/>
  <cols>
    <col width="34" customWidth="1" min="1" max="1"/>
    <col width="132" customWidth="1" min="2" max="2"/>
    <col width="58" customWidth="1" min="3" max="3"/>
  </cols>
  <sheetData>
    <row r="1" ht="22" customHeight="1">
      <c r="A1" s="8" t="inlineStr">
        <is>
          <t>PetSmart, Inc. - deal ledger summary</t>
        </is>
      </c>
      <c r="B1" s="9" t="n"/>
    </row>
    <row r="2" ht="64" customHeight="1">
      <c r="A2" s="10" t="inlineStr">
        <is>
          <t>Basis</t>
        </is>
      </c>
      <c r="B2" s="2" t="inlineStr">
        <is>
          <t>AI first pass; not human-approved. Prepared from the single supplied filing (raw_filing/petsmart_2015-02-02_DEFM14A.htm) under 'Reading a merger filing into a deal ledger: extraction instruction' (revision of 19 September 2026, short form). No other source, example or workbook was used; the complete Background of the Merger (printed pp. 21-26) and every other passage used are reproduced on the 'Source text' sheet.</t>
        </is>
      </c>
    </row>
    <row r="3" ht="20" customHeight="1">
      <c r="A3" s="11" t="inlineStr">
        <is>
          <t>1. STATUS AND COMMERCIAL ACCOUNT</t>
        </is>
      </c>
      <c r="B3" s="12" t="inlineStr"/>
    </row>
    <row r="4" ht="176.5" customHeight="1">
      <c r="A4" s="2" t="inlineStr">
        <is>
          <t>Commercial account</t>
        </is>
      </c>
      <c r="B4" s="2" t="inlineStr">
        <is>
          <t>PetSmart's board reviewed strategic alternatives during 2014 after a weak 05/21/2014 first-quarter earnings release, stockholder communications and public activism by JANA Partners (9.9% stake) and Longview; the board's 08/13/2014 decision launched a sale process that was announced on 08/19/2014. Fifteen financial buyers signed confidentiality and standstill agreements in the first week of October and six submitted non-binding indications of interest by 10/30; the four bidders at or above $80.00 advanced to the final round on 11/03, and two of them combined as 'Bidder 3' (bidding units 4 to 3). On 12/10 the Buyer Group bid $80.70 and Bidder 2 $80.35, while Bidder 3 gave only a verbal indication below roughly the $78.00 market price and submitted no written offer; the ad hoc committee then required improved bids. On 12/12 the Buyer Group submitted a best-and-final $83.00 in cash - after an initial oral $82.50 - Bidder 2 confirmed $81.50 as its best and final, and Longview was approved to work with the Buyer Group on a share rollover. The board approved the merger on 12/13 and PetSmart signed the all-cash $83.00 merger on 12/14/2014 with Argos Holdings (a BC Partners-led consortium that includes Longview from 12/12), with Longview rolling over 3,012,050 shares (about $250 million) and voting 7,424,591 shares (about 7.5%) for the deal. Observed outcome: signing and announcement only - completion was expected in the first half of 2015 and is not observed in the supplied filing; there was no go-shop and no competing or unsolicited proposal reported through the 02/02/2015 proxy date.</t>
        </is>
      </c>
    </row>
    <row r="5" ht="51.5" customHeight="1">
      <c r="A5" s="2" t="inlineStr">
        <is>
          <t>Initiation assessment</t>
        </is>
      </c>
      <c r="B5" s="2" t="inlineStr">
        <is>
          <t>Mixed - target-led exploration by the board and the ad hoc committee, following activist pressure (JANA, Longview) and inbound interest (Industry Participant's 08/07/2014 approach and 27 contacts), with the 08/19/2014 public announcement deliberately used to widen the field. Sequence: R001-R013 (round 0), then R014 (round 1 opening).</t>
        </is>
      </c>
    </row>
    <row r="6" ht="20" customHeight="1">
      <c r="A6" s="11" t="inlineStr">
        <is>
          <t>2. DEAL FACTS</t>
        </is>
      </c>
      <c r="B6" s="12" t="inlineStr"/>
    </row>
    <row r="7" ht="39" customHeight="1">
      <c r="A7" s="2" t="inlineStr">
        <is>
          <t>Target</t>
        </is>
      </c>
      <c r="B7" s="2" t="inlineStr">
        <is>
          <t>PetSmart, Inc., a Delaware corporation; NASDAQ: PETM; 1,404 stores and 202 in-store dog and cat boarding facilities in the United States, Canada and Puerto Rico (p.16).</t>
        </is>
      </c>
    </row>
    <row r="8" ht="64" customHeight="1">
      <c r="A8" s="2" t="inlineStr">
        <is>
          <t>Focal acquirer (winner)</t>
        </is>
      </c>
      <c r="B8" s="2" t="inlineStr">
        <is>
          <t>Argos Holdings Inc. ('Parent') and Argos Merger Sub Inc., an acquisition vehicle affiliated with funds advised by BC Partners, Inc., to be owned by the Buyer Group: funds advised by BC Partners, Inc., La Caisse de depot et placement du Quebec, affiliates of GIC Special Investments Pte Ltd, affiliates of StepStone Group LP and (from 12/12/2014) Longview Asset Management, LLC. Type: Financial (sponsor-led consortium; no strategic operating acquirer).</t>
        </is>
      </c>
    </row>
    <row r="9" ht="64" customHeight="1">
      <c r="A9" s="2" t="inlineStr">
        <is>
          <t>Agreed consideration</t>
        </is>
      </c>
      <c r="B9" s="2" t="inlineStr">
        <is>
          <t>$83.00 per share in cash; all cash on the cashed-out shares. Equity value approximately $8.25 billion (labelled calculation in the inputs block below). Total funds required approximately $8.4 billion as disclosed: debt up to about $6.2 billion plus a $750 million asset-based revolver; cash equity up to about $1.83 billion; Longview rollover of $250 million of stock; about $425 million of Company cash on hand (pp.40-41).</t>
        </is>
      </c>
    </row>
    <row r="10" ht="51.5" customHeight="1">
      <c r="A10" s="2" t="inlineStr">
        <is>
          <t>Signing / announcement / completion</t>
        </is>
      </c>
      <c r="B10" s="2" t="inlineStr">
        <is>
          <t>Merger agreement dated and executed 12/14/2014; announced by press release the same day. Completion expected in the first half of 2015, subject to stockholder adoption and antitrust clearances; no completion is observed in the supplied filing (see 'Regulatory / litigation').</t>
        </is>
      </c>
    </row>
    <row r="11" ht="51.5" customHeight="1">
      <c r="A11" s="2" t="inlineStr">
        <is>
          <t>Filing</t>
        </is>
      </c>
      <c r="B11" s="2" t="inlineStr">
        <is>
          <t>DEFM14A definitive proxy statement, PetSmart, Inc., dated 02/02/2015; special meeting 03/06/2015; record date 01/29/2015. Source file: raw_filing/petsmart_2015-02-02_DEFM14A.htm. Background pages 21-26; annexes A (merger agreement), B (J.P. Morgan opinion) and C (DGCL s.262) were not extracted.</t>
        </is>
      </c>
    </row>
    <row r="12" ht="64" customHeight="1">
      <c r="A12" s="2" t="inlineStr">
        <is>
          <t>Deal protection / termination</t>
        </is>
      </c>
      <c r="B12" s="2" t="inlineStr">
        <is>
          <t>Company termination fee $255 million (superior-proposal/change-of-recommendation cases); Parent reverse termination fee $510 million (specified financing-failure cases), supported by termination fee commitment letters from Buyer Group members other than Longview; no go-shop; the 15 NDA signers' standstills bar post-signing higher bids. Terms are context only (no ledger rows for deal-protection negotiation).</t>
        </is>
      </c>
    </row>
    <row r="13" ht="51.5" customHeight="1">
      <c r="A13" s="2" t="inlineStr">
        <is>
          <t>Regulatory / litigation</t>
        </is>
      </c>
      <c r="B13" s="2" t="inlineStr">
        <is>
          <t>One Summary line: HSR filings 12/24/2014 with early termination granted 01/07/2015; Canadian Competition Act request 12/30/2014 with an Advance Ruling Certificate issued 01/14/2015; seven Delaware Court of Chancery class actions filed after the announcement (amended complaints 01/20/2015 and 01/30/2015; the Company says they are without merit).</t>
        </is>
      </c>
    </row>
    <row r="14" ht="20" customHeight="1">
      <c r="A14" s="11" t="inlineStr">
        <is>
          <t>3. PROCESS AND ROUND MAP - PROCESS 1 (2014 SALE PROCESS)</t>
        </is>
      </c>
      <c r="B14" s="12" t="inlineStr"/>
    </row>
    <row r="15" ht="39" customHeight="1">
      <c r="A15" s="2" t="inlineStr">
        <is>
          <t>Process outcome</t>
        </is>
      </c>
      <c r="B15" s="2" t="inlineStr">
        <is>
          <t>One continuing sale attempt: launched by the 08/13/2014 board decision, announced 08/19/2014, ended in a signed merger with the Buyer Group on 12/14/2014. No suspension, termination or restart; rounds numbered 1-3 plus round 0 (pre-launch).</t>
        </is>
      </c>
    </row>
    <row r="16" ht="64" customHeight="1">
      <c r="A16" s="2" t="inlineStr">
        <is>
          <t>Round 1 (Round opened row R014) - Not final</t>
        </is>
      </c>
      <c r="B16" s="2" t="inlineStr">
        <is>
          <t>Anchor: the confidentiality-agreement wave (R015); rejected candidate anchors kept as rows: R008 (08/13 decision), R009 (08/19 announcement), R013 (10/03 board update). Scope: 15 financial NDA signers; October diligence, management presentations and Profit Improvement Plan access; non-binding IOIs due 10/30/2014 (R016, R017). Round-bidder tally: 6 submitting units (R018-R021; Bidder 2's revision R023 carries Count 0).</t>
        </is>
      </c>
    </row>
    <row r="17" ht="51.5" customHeight="1">
      <c r="A17" s="2" t="inlineStr">
        <is>
          <t>Round 2 (Round opened row R024) - Inferred final</t>
        </is>
      </c>
      <c r="B17" s="2" t="inlineStr">
        <is>
          <t>Opened 11/03/2014: four bidders at or above $80.00 advance (Buyer Group R018, Bidder 2 R020/R023, and two unnamed finalists tracked in R021); two submitters eliminated (R025); final-round diligence and merger-agreement circulation; two finalists combine as Bidder 3, units 4 to 3 (R026).</t>
        </is>
      </c>
    </row>
    <row r="18" ht="64" customHeight="1">
      <c r="A18" s="2" t="inlineStr">
        <is>
          <t>Round 3 (Round opened row R027) - Announced as final</t>
        </is>
      </c>
      <c r="B18" s="2" t="inlineStr">
        <is>
          <t>Opened during November with the first request for 'final bids' (initial deadline 12/05). Final bids 12/10: Buyer Group $80.70 and Bidder 2 $80.35 written, Bidder 3 verbal with no written offer (R030-R034). Committee required improved bids (R036); best-and-final 12/12: Buyer Group $83.00, Bidder 2 $81.50 (R038, R039). Board approval 12/13 (R041); signing and announcement 12/14 (R042, R043); rollover resolution (R044); Bidder 2 closing outcome (R045).</t>
        </is>
      </c>
    </row>
    <row r="19" ht="76.5" customHeight="1">
      <c r="A19" s="2" t="inlineStr">
        <is>
          <t>Deadline history and treatment</t>
        </is>
      </c>
      <c r="B19" s="2" t="inlineStr">
        <is>
          <t>10/30/2014 IOIs (R017) - Enforced: six submissions, J.P. Morgan feedback calls 10/30-11/02, board advanced four on 11/03. 12/05/2014 final bids (on R027) - Extended: superseded 12/04-05 before arrival and moved by R029; no milestone row. 12/10/2014 final bids (R030) - Extended: bids received; committee moved the deadline to 12/12 by R036. 12/12/2014 improved bids (R037) - Enforced: best-and-final offers received; board acted 12/13. No 'Late bids accepted' case; round 2 has no submission deadline; 'No deadline stated' does not apply. Earlier R1 anchors rejected: R008, R009, R013.</t>
        </is>
      </c>
    </row>
    <row r="20" ht="51.5" customHeight="1">
      <c r="A20" s="2" t="inlineStr">
        <is>
          <t>Endings and tallies</t>
        </is>
      </c>
      <c r="B20" s="2" t="inlineStr">
        <is>
          <t>Winner: Buyer Group (no exit row). Stated outcomes: Bidder 3 Did not submit (R034; 1 unit), Bidder 2 Not selected at signing (R045; 1 unit). Inferred outcomes: 9 Did not submit (R022; residual), 2 Dropped by target (R025; residual); one Count-0 identity row (R035). Round-bidder tallies are scoped to each stage, not unique firms across the deal.</t>
        </is>
      </c>
    </row>
    <row r="21" ht="51.5" customHeight="1">
      <c r="A21" s="2" t="inlineStr">
        <is>
          <t>Post-signing</t>
        </is>
      </c>
      <c r="B21" s="2" t="inlineStr">
        <is>
          <t>No go-shop; standstills bar the 15 NDA parties from post-signing bids; no unsolicited proposal as of 02/02/2015; vote pending at the 03/06/2015 special meeting; closing not observed. No 'post' round rows exist because no competing proposal, go-shop activity, termination or closing is disclosed.</t>
        </is>
      </c>
    </row>
    <row r="22" ht="20" customHeight="1">
      <c r="A22" s="11" t="inlineStr">
        <is>
          <t>4. PARTICIPANTS AND ADVISERS</t>
        </is>
      </c>
      <c r="B22" s="12" t="inlineStr"/>
    </row>
    <row r="23" ht="76.5" customHeight="1">
      <c r="A23" s="2" t="inlineStr">
        <is>
          <t>Buyer Group (winner)</t>
        </is>
      </c>
      <c r="B23" s="2" t="inlineStr">
        <is>
          <t>Aliases: Parent/Argos; BC Partners consortium, Longview added to the defined group after 12/12/2014. Type Financial. First observed 10/30/2014 IOI at $81.00-$83.00 (R018); final $80.70 (R031); best-and-final $83.00 with Longview support (R038, R040, R044); closes as winner at signing (R042). Funding: member equity commitments up to about $1.83 billion; Longview rollover 3,012,050 shares. Ownership attributes: Delaware acquisition vehicles; consortium includes Quebec, Singapore and other institutional capital.</t>
        </is>
      </c>
    </row>
    <row r="24" ht="51.5" customHeight="1">
      <c r="A24" s="2" t="inlineStr">
        <is>
          <t>Bidder 2</t>
        </is>
      </c>
      <c r="B24" s="2" t="inlineStr">
        <is>
          <t>Unnamed financial bidder (the filing's alias). Type Financial (inferred: one of the 15 financial NDA signers / six first-round submitters). First observed 10/30/2014 at $78.00 (R020); raised to $81.00-$84.00 (R023); $80.35 final (R032); $81.50 best and final (R039); closed Not selected at signing, stated (R045).</t>
        </is>
      </c>
    </row>
    <row r="25" ht="51.5" customHeight="1">
      <c r="A25" s="2" t="inlineStr">
        <is>
          <t>Bidder 3</t>
        </is>
      </c>
      <c r="B25" s="2" t="inlineStr">
        <is>
          <t>The filing's alias for two final-round bidders authorized to work together after 11/03/2014 (R026); units 4 to 3. Type Financial (inferred). First observed as a combined unit 12/10/2014: verbal valuation not above about $78.00, no written offer (R033, R034); closed Did not submit (R034). Individual members are not identified by the filing.</t>
        </is>
      </c>
    </row>
    <row r="26" ht="39" customHeight="1">
      <c r="A26" s="2" t="inlineStr">
        <is>
          <t>Unnamed financial bidder 1</t>
        </is>
      </c>
      <c r="B26" s="2" t="inlineStr">
        <is>
          <t>Individually distinguishable by price only. 10/30/2014 IOI at $80.00-$85.00 (R019); advanced 11/03/2014; later path not individually identified - recommended reading: within Bidder 3; Count-0 identity row R035 (see Q5). Type Financial.</t>
        </is>
      </c>
    </row>
    <row r="27" ht="51.5" customHeight="1">
      <c r="A27" s="2" t="inlineStr">
        <is>
          <t>Other first-round cohort</t>
        </is>
      </c>
      <c r="B27" s="2" t="inlineStr">
        <is>
          <t>The third bidder initially at or above $80.00 is not individually distinguishable (tracked within R021, R024, R026); two submitters below the threshold were eliminated (R025, inferred residual); nine NDA signers did not submit IOIs (R022, inferred residual). These are scoped cohorts, not unique firms; one member of R021 advanced within the unnamed finalists.</t>
        </is>
      </c>
    </row>
    <row r="28" ht="64" customHeight="1">
      <c r="A28" s="2" t="inlineStr">
        <is>
          <t>Longview Asset Management, LLC</t>
        </is>
      </c>
      <c r="B28" s="2" t="inlineStr">
        <is>
          <t>Activist stockholder and rollover supporter (about 9% of shares; 8,214,170 shares per its 12/19/2014 13D/A). R006 (advocacy and rollover willingness); R016 (up to 7.5 million shares notice); R040 (approved to work with the Buyer Group); R044 (rollover agreement for 3,012,050 shares; voting agreement over 7,424,591 shares, X-023). Not a bidder and not a bidder-target NDA (auction screen unaffected).</t>
        </is>
      </c>
    </row>
    <row r="29" ht="39" customHeight="1">
      <c r="A29" s="2" t="inlineStr">
        <is>
          <t>JANA Partners LLC</t>
        </is>
      </c>
      <c r="B29" s="2" t="inlineStr">
        <is>
          <t>Activist stockholder: 9.9% Schedule 13D and public advocacy (R005); held 5,050,107 shares (5.1%) at the record date. No admission to the process is disclosed.</t>
        </is>
      </c>
    </row>
    <row r="30" ht="39" customHeight="1">
      <c r="A30" s="2" t="inlineStr">
        <is>
          <t>Industry Participant</t>
        </is>
      </c>
      <c r="B30" s="2" t="inlineStr">
        <is>
          <t>Unnamed privately held industry participant. PetSmart's own approach in Spring 2014 (R001); inbound approach 08/07/2014 (R007); excluded from the process on 08/22-27/2014, reaffirmed 10/03/2014 (R010, R013). Never entered - no NDA or bid; no outcome row.</t>
        </is>
      </c>
    </row>
    <row r="31" ht="89" customHeight="1">
      <c r="A31" s="2" t="inlineStr">
        <is>
          <t>Advisers</t>
        </is>
      </c>
      <c r="B31" s="2" t="inlineStr">
        <is>
          <t>J.P. Morgan Securities LLC - financial adviser to PetSmart; retained July 2014 (engagement letter effective 08/21/2014); oral fairness opinion 12/13/2014, written 12/14/2014; fee up to about $39 million, substantially contingent (R004). Wachtell, Lipton, Rosen &amp; Katz - legal adviser to PetSmart; observed from 06/18/2014; engagement date not disclosed (R003). Innisfree M&amp;A Incorporated - proxy solicitor for the special meeting (about $182,725 paid as of the record date; about $240,000 expected through March 2015); disclosed at p.20 but not a deal-adviser ledger row. Buyer-side financial or legal advisers are not disclosed; debt commitment from Citigroup, Barclays, Deutsche Bank, Nomura and Jefferies, with RBC, Macquarie and Natixis joinders (X-021).</t>
        </is>
      </c>
    </row>
    <row r="32" ht="20" customHeight="1">
      <c r="A32" s="11" t="inlineStr">
        <is>
          <t>5. COUNTS AND AUCTION SCREEN</t>
        </is>
      </c>
      <c r="B32" s="12" t="inlineStr"/>
    </row>
    <row r="33" ht="101.5" customHeight="1">
      <c r="A33" s="2" t="inlineStr">
        <is>
          <t>NDA signers</t>
        </is>
      </c>
      <c r="B33" s="13">
        <f>SUMIFS('Deal ledger'!$Q:$Q,'Deal ledger'!$D:$D,"NDA signed",'Deal ledger'!$E:$E,1,'Deal ledger'!$P:$P,"Yes")</f>
        <v/>
      </c>
      <c r="C33" s="2" t="inlineStr">
        <is>
          <t>Filing: 15 executed confidentiality/standstill agreements with financial buyers (p.23). Auction screen: MET - more than one independent prospective acquiring bidder unit under bidder-target confidentiality agreements; no reused earlier agreements reported. Excluded as not bidder-target contracts: none reported (no lender-only, adviser or rollover-holder NDAs).</t>
        </is>
      </c>
    </row>
    <row r="34" ht="89" customHeight="1">
      <c r="A34" s="2" t="inlineStr">
        <is>
          <t>Contacts</t>
        </is>
      </c>
      <c r="B34" s="13">
        <f>SUMIFS('Deal ledger'!$Q:$Q,'Deal ledger'!$D:$D,"Contact",'Deal ledger'!$E:$E,1,'Deal ledger'!$P:$P,"Yes")</f>
        <v/>
      </c>
      <c r="C34" s="2" t="inlineStr">
        <is>
          <t>Filing: 27 potential participants (3 strategic excluding Industry Participant; 24 financial) (p.23); the Reasons section says 'more than 25' (p.27) - a consistent lower-bound formulation. The ledger keeps the filing's type split as two contact rows (R011 strategic; R012 financial).</t>
        </is>
      </c>
    </row>
    <row r="35" ht="89" customHeight="1">
      <c r="A35" s="2" t="inlineStr">
        <is>
          <t>Round 1 IOI submitting units</t>
        </is>
      </c>
      <c r="B35" s="13">
        <f>SUMIFS('Deal ledger'!$Q:$Q,'Deal ledger'!$D:$D,"Bid",'Deal ledger'!$F:$F,1,'Deal ledger'!$E:$E,1,'Deal ledger'!$P:$P,"Yes")</f>
        <v/>
      </c>
      <c r="C35" s="2" t="inlineStr">
        <is>
          <t>6 units: Buyer Group, Unnamed financial bidder 1, Bidder 2 (initial Count 1 + revision Count 0) and the 3-submitter residual cohort. Filing background: six submitters (p.24); the Reasons section says '5 bidder groups' (p.27) - conflict; the specific background count of six is preferred (Q3).</t>
        </is>
      </c>
    </row>
    <row r="36" ht="64" customHeight="1">
      <c r="A36" s="2" t="inlineStr">
        <is>
          <t>Round 3 written final bids</t>
        </is>
      </c>
      <c r="B36" s="13">
        <f>SUMIFS('Deal ledger'!$Q:$Q,'Deal ledger'!$D:$D,"Bid",'Deal ledger'!$F:$F,3,'Deal ledger'!$E:$E,1,'Deal ledger'!$P:$P,"Yes")</f>
        <v/>
      </c>
      <c r="C36" s="2" t="inlineStr">
        <is>
          <t>2 units (Buyer Group, Bidder 2); Bidder 3 gave a valuation statement and submitted no written offer (R033-R034). The 12/12 best-and-final revisions carry Count 0 because they are later rows for the same bidders.</t>
        </is>
      </c>
    </row>
    <row r="37" ht="51.5" customHeight="1">
      <c r="A37" s="2" t="inlineStr">
        <is>
          <t>Did not submit - affected units</t>
        </is>
      </c>
      <c r="B37" s="13">
        <f>SUMIFS('Deal ledger'!$Q:$Q,'Deal ledger'!$D:$D,"Did not submit",'Deal ledger'!$E:$E,1,'Deal ledger'!$P:$P,"Yes")</f>
        <v/>
      </c>
      <c r="C37" s="2" t="inlineStr">
        <is>
          <t>9 inferred residual non-submitters at 10/30 (R022) + 1 stated non-submission by Bidder 3 at 12/10 (R034) + Count-0 identity row R035 (not in the sum).</t>
        </is>
      </c>
    </row>
    <row r="38" ht="39" customHeight="1">
      <c r="A38" s="2" t="inlineStr">
        <is>
          <t>Dropped by target - affected units</t>
        </is>
      </c>
      <c r="B38" s="13">
        <f>SUMIFS('Deal ledger'!$Q:$Q,'Deal ledger'!$D:$D,"Dropped by target",'Deal ledger'!$E:$E,1,'Deal ledger'!$P:$P,"Yes")</f>
        <v/>
      </c>
      <c r="C38" s="2" t="inlineStr">
        <is>
          <t>2 eliminated submitters at the 11/03 advancement (R025, inferred residual).</t>
        </is>
      </c>
    </row>
    <row r="39" ht="39" customHeight="1">
      <c r="A39" s="2" t="inlineStr">
        <is>
          <t>Not selected at signing - affected unit</t>
        </is>
      </c>
      <c r="B39" s="13">
        <f>SUMIFS('Deal ledger'!$Q:$Q,'Deal ledger'!$D:$D,"Not selected at signing",'Deal ledger'!$E:$E,1,'Deal ledger'!$P:$P,"Yes")</f>
        <v/>
      </c>
      <c r="C39" s="2" t="inlineStr">
        <is>
          <t>1: Bidder 2 (R045, stated) - a live finalist when the target chose the Buyer Group.</t>
        </is>
      </c>
    </row>
    <row r="40" ht="76.5" customHeight="1">
      <c r="A40" s="2" t="inlineStr">
        <is>
          <t>Per-stage balance (units)</t>
        </is>
      </c>
      <c r="B40" s="2" t="inlineStr">
        <is>
          <t>Entrants 15 (all unit exits and re-entries shown below; no re-entries). 15 - 9 (Did not submit, inferred) = 6 live; 6 - 2 (Dropped, inferred) = 4; 4 - 1 (Bidder 3 combination, 'units -1') = 3; 3 - 1 (Bidder 3 Did not submit, stated) = 2; 2 - 1 (Bidder 2 Not selected at signing, stated) = 1 - only the winner remains at signing. Inferred share: 11 of 13 unit exits (9 + 2) are inferred residuals, plus one Count-0 identity row (R035); stated exits: Bidder 3 and Bidder 2. Balance is never negative. Outcome tallies are affected units/occurrences, not unique permanent exits.</t>
        </is>
      </c>
    </row>
    <row r="41" ht="51.5" customHeight="1">
      <c r="A41" s="2" t="inlineStr">
        <is>
          <t>Reconciliation caution</t>
        </is>
      </c>
      <c r="B41" s="2" t="inlineStr">
        <is>
          <t>Do not sum across steps: contacts, NDA signatures, IOI units, advancement units, final-bid units and exits are different quantities, and Count is a scoped tally contribution. Bases are uncertain in two places: the assumption that all 15 NDA signers were eligible for the 10/30 IOI solicitation, and the 2 eliminees being a residual within the 3-submitter cohort R021 (Q3, Q4).</t>
        </is>
      </c>
    </row>
    <row r="42" ht="20" customHeight="1">
      <c r="A42" s="11" t="inlineStr">
        <is>
          <t>6. COMPARABILITY AND INPUTS</t>
        </is>
      </c>
      <c r="B42" s="12" t="inlineStr"/>
    </row>
    <row r="43" ht="39" customHeight="1">
      <c r="A43" s="2" t="inlineStr">
        <is>
          <t>Other-scope proposals</t>
        </is>
      </c>
      <c r="B43" s="2" t="inlineStr">
        <is>
          <t>None disclosed. Every communicated proposal concerned the whole company's equity; no segment, asset or minority-stake bids, and no unresolved scope. PetSmart's Spring 2014 approach to Industry Participant is context, not a bid in this process.</t>
        </is>
      </c>
    </row>
    <row r="44" ht="64" customHeight="1">
      <c r="A44" s="2" t="inlineStr">
        <is>
          <t>Consideration and rollover</t>
        </is>
      </c>
      <c r="B44" s="2" t="inlineStr">
        <is>
          <t>All cash (USD) at $83.00 per share on the cashed-out shares. Exception to cash: Longview's 3,012,050 rollover shares are contributed to Parent for equity instead of cash (about $250 million at $83.00); a majority of Longview's shares still receive $83.00 cash. Rollover is treated as support, not a bidding-group membership change; no CVRs, earnouts or share consideration are disclosed.</t>
        </is>
      </c>
    </row>
    <row r="45" ht="76.5" customHeight="1">
      <c r="A45" s="2" t="inlineStr">
        <is>
          <t>Equity value (labelled calculation)</t>
        </is>
      </c>
      <c r="B45" s="13">
        <f>99455151*83</f>
        <v/>
      </c>
      <c r="C45" s="2" t="inlineStr">
        <is>
          <t>Calculation: 99,455,151 shares outstanding (01/29/2015, p.2) x $83.00 (p.1) = about $8.25 billion. Labelled calculation only; the filing states no total equity value. No net-debt, dilution, preferred conversion or rollover adjustments were assumed.</t>
        </is>
      </c>
    </row>
    <row r="46" ht="51.5" customHeight="1">
      <c r="A46" s="2" t="inlineStr">
        <is>
          <t>Market benchmarks</t>
        </is>
      </c>
      <c r="B46" s="2" t="inlineStr">
        <is>
          <t>Closing price 12/12/2014 (last trading day before announcement) $77.67 (p.76); closing price 01/30/2015 $81.71; a board-cited premium of 38.8% to the 07/02/2014 stock price (p.26); Bidder 3's 12/10/2014 valuation referenced the then-current price of approximately $78.00 (p.25). Benchmarks are reference points, not offers.</t>
        </is>
      </c>
    </row>
    <row r="47" ht="51.5" customHeight="1">
      <c r="A47" s="2" t="inlineStr">
        <is>
          <t>Funding inputs</t>
        </is>
      </c>
      <c r="B47" s="2" t="inlineStr">
        <is>
          <t>Debt commitment up to $6.95 billion in aggregate ($4.3 billion term loan B, $750 million ABL, $1.9 billion bridge/notes; X-021); cash equity up to about $1.83 billion (X-018); rollover $250 million; about $425 million of Company cash. The merger is not subject to a financing condition.</t>
        </is>
      </c>
    </row>
    <row r="48" ht="39" customHeight="1">
      <c r="A48" s="2" t="inlineStr">
        <is>
          <t>Currency and units</t>
        </is>
      </c>
      <c r="B48" s="2" t="inlineStr">
        <is>
          <t>USD throughout; per-share amounts in dollars; share amounts as stated. No currency conversion performed. Per-share price cells are blank where no per-share bid amount exists (signing rows, valuation statement, outcome rows).</t>
        </is>
      </c>
    </row>
    <row r="49" ht="64" customHeight="1">
      <c r="A49" s="2" t="inlineStr">
        <is>
          <t>Glossary</t>
        </is>
      </c>
      <c r="B49" s="2" t="inlineStr">
        <is>
          <t>NDA = confidentiality agreement. IOI = indication of interest. DD = due diligence (investigation of the target). Rollover = contributing shares into the buyer's equity instead of receiving cash. 'Units -1' = the Bidder 3 combination reduces independent bidding units by one, stated in the Bidding group changed row. Formality and Conditions level are analytical assessments under the instruction, not filing labels. Inferred rows say only that a participant was out by that transition, not how or why.</t>
        </is>
      </c>
    </row>
    <row r="50" ht="39" customHeight="1">
      <c r="A50" s="10" t="inlineStr">
        <is>
          <t>Source links</t>
        </is>
      </c>
      <c r="B50" s="2" t="inlineStr">
        <is>
          <t>The ledger's Source column links to the main paragraph on the 'Source text' sheet (P-001 to P-025 for the complete background; X-001 to X-032 for other passages used). Static links and prose counts may need refreshing after sorting or corrections.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62" customWidth="1" min="3" max="3"/>
    <col width="62" customWidth="1" min="4" max="4"/>
    <col width="30" customWidth="1" min="5" max="5"/>
    <col width="46" customWidth="1" min="6" max="6"/>
    <col width="10" customWidth="1" min="7" max="7"/>
    <col width="18" customWidth="1" min="8" max="8"/>
  </cols>
  <sheetData>
    <row r="1" ht="30" customHeight="1">
      <c r="A1" s="1" t="inlineStr">
        <is>
          <t>Q</t>
        </is>
      </c>
      <c r="B1" s="1" t="inlineStr">
        <is>
          <t>Review topic</t>
        </is>
      </c>
      <c r="C1" s="1" t="inlineStr">
        <is>
          <t>Recommended answer</t>
        </is>
      </c>
      <c r="D1" s="1" t="inlineStr">
        <is>
          <t>Why and source</t>
        </is>
      </c>
      <c r="E1" s="1" t="inlineStr">
        <is>
          <t>Affected rows/fields</t>
        </is>
      </c>
      <c r="F1" s="1" t="inlineStr">
        <is>
          <t>Consequence of changing it</t>
        </is>
      </c>
      <c r="G1" s="1" t="inlineStr">
        <is>
          <t>Status</t>
        </is>
      </c>
      <c r="H1" s="1" t="inlineStr">
        <is>
          <t>Reviewer note</t>
        </is>
      </c>
    </row>
    <row r="2" ht="139" customHeight="1">
      <c r="A2" s="13" t="inlineStr">
        <is>
          <t>Q1</t>
        </is>
      </c>
      <c r="B2" s="2" t="inlineStr">
        <is>
          <t>Process and round map; R1 anchor and finality values</t>
        </is>
      </c>
      <c r="C2" s="2" t="inlineStr">
        <is>
          <t>Recommended: one process (2014 sale process); R1 anchored on the first-week-of-October confidentiality wave (R015), not the 08/13 decision, 08/19 announcement or 10/03 board update (all retained as rows R008/R009/R013 so the boundary can move). R2 opens with the 11/03 advancement (R024; Inferred final); R3 opens with the November request for 'final bids' (R027; Announced as final); the 12/04-05 and 12/10-12 events are deadline revisions inside R3 (R029, R036), not new rounds. Keep R1 'Not final' (preliminary IOI stage).</t>
        </is>
      </c>
      <c r="D2" s="2" t="inlineStr">
        <is>
          <t>The instruction prefers the first target-organized admission step when no dated first outreach wave exists; the filing reports contacts coming to J.P. Morgan ('J.P. Morgan was contacted by 27 potential participants', P-008) and dates the CA wave (P-010). The first final-offer request opens a round even with the same bidders (P-015; initial 12/05 date in P-016); the later improvement request is a deadline revision, not a round (P-021). Alternatives: anchor R1 at the 08/13 decision or 08/19 announcement; open R3 at the 12/10 deadline instead of the November request; merge R2 into R3.</t>
        </is>
      </c>
      <c r="E2" s="2" t="inlineStr">
        <is>
          <t>R014, R015, R016, R024, R026, R027, R029, R036; Summary process/round map</t>
        </is>
      </c>
      <c r="F2" s="2" t="inlineStr">
        <is>
          <t>Moving the R1 anchor changes the round-1 scope (e.g., an 08/13 anchor would pull pre-NDA contacts into R1). A separate final-solicitation round raised at 12/10 instead of November would shift the deadline history between rounds; merging R2/R3 would drop the advancement/Documentation transition, and the round-bidder tallies (6 IOI units; 4 advancing; 2 written finals) would need restating.</t>
        </is>
      </c>
      <c r="G2" s="2" t="inlineStr">
        <is>
          <t>Pending</t>
        </is>
      </c>
      <c r="H2" s="2" t="inlineStr"/>
    </row>
    <row r="3" ht="139" customHeight="1">
      <c r="A3" s="13" t="inlineStr">
        <is>
          <t>Q2</t>
        </is>
      </c>
      <c r="B3" s="2" t="inlineStr">
        <is>
          <t>Deadline history and treatments</t>
        </is>
      </c>
      <c r="C3" s="2" t="inlineStr">
        <is>
          <t>Recommended: 10/30/2014 IOI date - Enforced (R017; board advanced on 11/03 without revision). 12/05/2014 final-bid date - Extended; superseded on 12/04-05 before arrival, so it gets no milestone row and is recorded on the Deadline revised row R029. 12/10/2014 - Extended (R030; moved to 12/12 by R036). 12/12/2014 - Enforced (R037; best-and-final bids received and the board acted on 12/13). No deadline was 'Late bids accepted': Bidder 3's verbal valuation was received on the 12/10 date itself, and it then submitted nothing rather than a late bid.</t>
        </is>
      </c>
      <c r="D3" s="2" t="inlineStr">
        <is>
          <t>Dates and sequence in P-011, P-012, P-013, P-016, P-020, P-021, P-023, P-024. The instruction treats a post-deadline request for improved bids by a new date as a Deadline revised (extension), and a date superseded before arrival needs no milestone row. The 12/05 date was set but never reached; its replacement was decided 12/04-05.</t>
        </is>
      </c>
      <c r="E3" s="2" t="inlineStr">
        <is>
          <t>R017, R022, R029, R030, R036, R037; Summary deadline map</t>
        </is>
      </c>
      <c r="F3" s="2" t="inlineStr">
        <is>
          <t>If the 12/05 date were treated as reached (not superseded), it would need its own Deadline row/Enforced value; if the 12/10 improvement request were treated as a fresh Deadline set or new round, the R3 boundary and tallies change.</t>
        </is>
      </c>
      <c r="G3" s="2" t="inlineStr">
        <is>
          <t>Pending</t>
        </is>
      </c>
      <c r="H3" s="2" t="inlineStr"/>
    </row>
    <row r="4" ht="176.5" customHeight="1">
      <c r="A4" s="13" t="inlineStr">
        <is>
          <t>Q3</t>
        </is>
      </c>
      <c r="B4" s="2" t="inlineStr">
        <is>
          <t>Count and population bases (conflicts and residuals)</t>
        </is>
      </c>
      <c r="C4" s="2" t="inlineStr">
        <is>
          <t>Recommended readings: (a) six IOI submitters (background, p.24) over '5 bidder groups' (Reasons, p.27) - the background is specific and contemporaneous, and the six include the two below-$80 submitters; (b) all 15 NDA signers were eligible for the 10/30 solicitation (they had been told the due date), so the residual is 9 non-submitters (R022); (c) the two eliminees are the two residual submitters within R021 whose indications were below $80.00 - a count-based residual, not named identities; (d) 27 contacts (p.23) with the 'more than 25' wording (p.27) treated as a consistent lower bound; (e) Bidder 2, Bidder 3 and Unnamed financial bidder 1 are typed Financial by inference from the all-financial 15-signer cohort - the filing never states their type individually.</t>
        </is>
      </c>
      <c r="D4" s="2" t="inlineStr">
        <is>
          <t>Counts at P-008, P-010, P-012, P-013, P-014; conflict passages P-012 vs X-008; type basis P-010 ('15 potentially interested financial buyers'). The instruction requires residual cohorts to be disjoint from individually recorded members and counts to be scoped, with bases surfaced where uncertain.</t>
        </is>
      </c>
      <c r="E4" s="2" t="inlineStr">
        <is>
          <t>R011, R012, R015, R018-R021, R023, R024, R025; Summary counts block</t>
        </is>
      </c>
      <c r="F4" s="2" t="inlineStr">
        <is>
          <t>If some signers were not eligible for the IOI solicitation, the 9-non-submitter residual shrinks; if '5 groups' were preferred, the round-1 tally falls by one (the six otherwise reconcile to 4 advancing + 2 eliminated). Any change to the R021/R025 split changes the inferred-elimination count.</t>
        </is>
      </c>
      <c r="G4" s="2" t="inlineStr">
        <is>
          <t>Pending</t>
        </is>
      </c>
      <c r="H4" s="2" t="inlineStr"/>
    </row>
    <row r="5" ht="164" customHeight="1">
      <c r="A5" s="13" t="inlineStr">
        <is>
          <t>Q4</t>
        </is>
      </c>
      <c r="B5" s="2" t="inlineStr">
        <is>
          <t>Every inferred closing row (grouped by transition)</t>
        </is>
      </c>
      <c r="C5" s="2" t="inlineStr">
        <is>
          <t>Recommended: (a) 10/30/2014 - 9 unnamed NDA signers Did not submit, Inferred: residual (15 NDA signers - 6 submitters), Count 9, Decided by Unknown, reason Not stated (R022); (b) 11/03/2014 - 2 unnamed submitters Dropped by target, Inferred: residual (6 submitters - 4 advancing), Count 2, Decided by Target, Exit reason Not stated (the lower-price context is preserved in Terms; R025); (c) by 12/10/2014 - Unnamed financial bidder 1, Count-0 identity row (recommended reading: closed inside Bidder 3; R035). Stated comparators: Bidder 3 Did not submit (R034) and Bidder 2 Not selected at signing (R045). No identities, motives or permanent withdrawals are inferred.</t>
        </is>
      </c>
      <c r="D5" s="2" t="inlineStr">
        <is>
          <t>Instruction's closing rules: residual non-submissions by subtraction; eliminations by residual at the advancement; a named-but-silent party gets a Count-0 identity row naming the covering cohort; stated outcomes take no opener. Arithmetic and passages: P-010, P-012, P-013; covering rows R021, R026, R034.</t>
        </is>
      </c>
      <c r="E5" s="2" t="inlineStr">
        <is>
          <t>R022, R025, R035 (plus stated R034, R045); Summary balance</t>
        </is>
      </c>
      <c r="F5" s="2" t="inlineStr">
        <is>
          <t>Changing a base (e.g., fewer eligible signers) changes the residual counts and the inferred share of the per-stage balance; re-labelling the two eliminees as a different cohort changes the count of stated outcomes but not the total exits.</t>
        </is>
      </c>
      <c r="G5" s="2" t="inlineStr">
        <is>
          <t>Pending</t>
        </is>
      </c>
      <c r="H5" s="2" t="inlineStr"/>
    </row>
    <row r="6" ht="151.5" customHeight="1">
      <c r="A6" s="13" t="inlineStr">
        <is>
          <t>Q5</t>
        </is>
      </c>
      <c r="B6" s="2" t="inlineStr">
        <is>
          <t>Anonymous identities and mappings (combining bidders; types)</t>
        </is>
      </c>
      <c r="C6" s="2" t="inlineStr">
        <is>
          <t>Recommended: the two bidders that combined as Bidder 3 were two of the four finalists - necessarily the $80.00-$85.00 submitter (R019) and the third, otherwise unnamed, submitter initially at or above $80.00 - because the four advancing units are the Buyer Group, Bidder 2 and those two, and both combining members were invited to the final round. The ledger keeps the combination anonymous (R026), treats Unnamed financial bidder 1's exit as a Count-0 identity row (R035, recommended reading: inside Bidder 3), and does not move counts to a name. Types: Financial for both finalists and for Bidder 2/Bidder 3 by the cohort inference (Q3).</t>
        </is>
      </c>
      <c r="D6" s="2" t="inlineStr">
        <is>
          <t>Advancement arithmetic P-013 (four bidders at or above $80.00 = three initially at or above $80.00 per P-012 plus Bidder 2 after its raise) and the three December bidding units (P-020); combination facts P-014. The filing never identifies the members, so identity stays a hypothesis. Alternative: one combiner was not an invitee - rejected because the fourth finalist would then be unaccounted for among the December bidders.</t>
        </is>
      </c>
      <c r="E6" s="2" t="inlineStr">
        <is>
          <t>R019, R021, R024, R025, R026, R034, R035; Summary participants</t>
        </is>
      </c>
      <c r="F6" s="2" t="inlineStr">
        <is>
          <t>If a reviewer accepts a different mapping, R035's recommended reading changes but no count or balance changes (Count 0); if a combiner was not a finalist, the R2/R3 unit counts and R025's residual basis would need restating.</t>
        </is>
      </c>
      <c r="G6" s="2" t="inlineStr">
        <is>
          <t>Pending</t>
        </is>
      </c>
      <c r="H6" s="2" t="inlineStr"/>
    </row>
    <row r="7" ht="214" customHeight="1">
      <c r="A7" s="13" t="inlineStr">
        <is>
          <t>Q6</t>
        </is>
      </c>
      <c r="B7" s="2" t="inlineStr">
        <is>
          <t>Formality and Conditions levels (borderline assessments)</t>
        </is>
      </c>
      <c r="C7" s="2" t="inlineStr">
        <is>
          <t>Recommended: IOI rows (R018-R021, including the 3-submitter cohort R021) Informal with Conditions 'Insufficient evidence' - preliminary non-binding indications after October diligence access, no formal signal and no stated financing/diligence condition; not Heavy by context because each bidder had substantive data-room and management access before indicating. Final-bid rows (R031, R032) and best-and-final rows (R038, R039) Formal (bidder-returned acquisition agreement/transaction documents; price confirmation for Bidder 2) with Light conditions (committed financing documented or confirmed; remaining matters were final documentation, as the 12/13 board approval was subject to resolving open points). Bidder 3's 12/10 communication is a Valuation statement, not a bid: per-share cells are blank and the value stays in text (R033). No LOIs, no 'None' levels, no late-reconfirmation rows, and the winner does have Formal rows.</t>
        </is>
      </c>
      <c r="D7" s="2" t="inlineStr">
        <is>
          <t>Signals in P-020, P-022, P-023; conditions facts in P-016, P-017, P-024; the instruction's formality signals and conditions tests (diligence-access context for preliminary indications; 'None' requires affirmative readiness). The 12/12 'substantially executable' formulation supports Light rather than None.</t>
        </is>
      </c>
      <c r="E7" s="2" t="inlineStr">
        <is>
          <t>R018-R021, R023, R031-R039</t>
        </is>
      </c>
      <c r="F7" s="2" t="inlineStr">
        <is>
          <t>Reclassifying IOIs as Formal or Heavy would change the conditionality record but not counts; treating the valuation statement as a bid would create a bound price observation and a second bid row for Bidder 3; classifying the finals as 'None' would overstate readiness given the open points resolved only at signing.</t>
        </is>
      </c>
      <c r="G7" s="2" t="inlineStr">
        <is>
          <t>Pending</t>
        </is>
      </c>
      <c r="H7" s="2" t="inlineStr"/>
    </row>
    <row r="8" ht="201.5" customHeight="1">
      <c r="A8" s="13" t="inlineStr">
        <is>
          <t>Q7</t>
        </is>
      </c>
      <c r="B8" s="2" t="inlineStr">
        <is>
          <t>Working dates and display order conventions</t>
        </is>
      </c>
      <c r="C8" s="2" t="inlineStr">
        <is>
          <t>Recommended: NDA wave Working date 10/04/2014 (midpoint of 10/01-10/07) with the interval preserved; 27-contact Working date 09/22/2014 (midpoint of mid-August-end October); R3 and the projection-update rows 11/15/2014 (November midpoints); Bidder 3 formation 11/03/2014 (Assigned: bound - after the 11/03 meeting, day not disclosed); inferred closings use the deadline/decision day (10/30, 11/03, 12/10). Same-day blocks (10/30 deadline vs submissions; 12/10 bids, valuation, non-submission and revision; 12/14 signing, announcement, rollover resolution and Bidder 2's outcome) use a deterministic display order; the relative order within them is not established by the filing and the shared dates are a display convention. A reviewer may adopt the alternative first-day reading for the NDA wave (10/01) and the 10/30/2014 bound for the contact row.</t>
        </is>
      </c>
      <c r="D8" s="2" t="inlineStr">
        <is>
          <t>Instruction's date rules; intervals and relative expressions in P-008, P-010, P-014, P-015, P-021, P-022, P-023, P-025. Bounds are tightened where a later passage shows the event (e.g., the 11/03 board had the IOI set before it, so all submissions sit at 10/30).</t>
        </is>
      </c>
      <c r="E8" s="2" t="inlineStr">
        <is>
          <t>R011, R012, R014, R015, R022, R023, R026, R027, R028, R035; Date fields</t>
        </is>
      </c>
      <c r="F8" s="2" t="inlineStr">
        <is>
          <t>Moving the NDA wave to 10/01 would place it before the 10/03 board update and might suggest NDAs preceded that update; moving R3's Working date later narrows the gap to the 12/04-05 revision but changes no facts. Any reassignment must keep Working dates non-decreasing and inside each row's own bounds.</t>
        </is>
      </c>
      <c r="G8" s="2" t="inlineStr">
        <is>
          <t>Pending</t>
        </is>
      </c>
      <c r="H8" s="2" t="inlineStr"/>
    </row>
    <row r="9" ht="151.5" customHeight="1">
      <c r="A9" s="13" t="inlineStr">
        <is>
          <t>Q8</t>
        </is>
      </c>
      <c r="B9" s="2" t="inlineStr">
        <is>
          <t>Comparability, consideration and other-scope coverage</t>
        </is>
      </c>
      <c r="C9" s="2" t="inlineStr">
        <is>
          <t>Recommended: no other-scope bids (nothing to exclude from core counts); single currency USD; the only non-cash element is Longview's rollover of 3,012,050 shares into Parent equity, treated as support rather than a bidding-group membership change or a partial-company offer; equity value is a labelled calculation (99,455,151 x $83.00 = about $8.25 billion), not a filing-stated total; market references ($77.67 close on 12/12/2014; 38.8% premium to 07/02/2014; about $78.00 reference on 12/10) are benchmarks, not offers; funding inputs (debt up to $6.95 billion, equity up to about $1.83 billion, rollover $250 million, ~$425 million cash) are as disclosed.</t>
        </is>
      </c>
      <c r="D9" s="2" t="inlineStr">
        <is>
          <t>P-001, P-011, P-022, X-007 (premium), X-008, X-017, X-019, X-020, X-026, X-029; instruction rules on per-share cells, rollover support and labelled conversions.</t>
        </is>
      </c>
      <c r="E9" s="2" t="inlineStr">
        <is>
          <t>R019, R033, R035, R038, R040, R044, R045; Summary deal facts and inputs</t>
        </is>
      </c>
      <c r="F9" s="2" t="inlineStr">
        <is>
          <t>Re-normalizing the rollover or adding net debt would be a new labelled calculation, not an observed price; treating the rollover as a membership change would alter the R040/R044 treatment and the unit-count narrative; treating the equity value as filing-stated would misstate its provenance.</t>
        </is>
      </c>
      <c r="G9" s="2" t="inlineStr">
        <is>
          <t>Pending</t>
        </is>
      </c>
      <c r="H9"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8"/>
  <sheetViews>
    <sheetView workbookViewId="0">
      <pane ySplit="1" topLeftCell="A2" activePane="bottomLeft" state="frozen"/>
      <selection pane="bottomLeft" activeCell="A1" sqref="A1"/>
    </sheetView>
  </sheetViews>
  <sheetFormatPr baseColWidth="8" defaultRowHeight="15"/>
  <cols>
    <col width="11" customWidth="1" min="1" max="1"/>
    <col width="46" customWidth="1" min="2" max="2"/>
    <col width="6" customWidth="1" min="3" max="3"/>
    <col width="160" customWidth="1" min="4" max="4"/>
  </cols>
  <sheetData>
    <row r="1" ht="20" customHeight="1">
      <c r="A1" s="1" t="inlineStr">
        <is>
          <t>Paragraph</t>
        </is>
      </c>
      <c r="B1" s="1" t="inlineStr">
        <is>
          <t>Section</t>
        </is>
      </c>
      <c r="C1" s="1" t="inlineStr">
        <is>
          <t>Page</t>
        </is>
      </c>
      <c r="D1" s="1" t="inlineStr">
        <is>
          <t>Text</t>
        </is>
      </c>
    </row>
    <row r="2" ht="176.5" customHeight="1">
      <c r="A2" s="2" t="inlineStr">
        <is>
          <t>P-001</t>
        </is>
      </c>
      <c r="B2" s="2" t="inlineStr">
        <is>
          <t>The Merger (Proposal 1) - Background of the Merger</t>
        </is>
      </c>
      <c r="C2" s="2" t="n">
        <v>21</v>
      </c>
      <c r="D2" s="2" t="inlineStr">
        <is>
          <t>The board frequently reviews, with the Company’s management and with the assistance of financial and legal advisors, the Company’s strategic and financial alternatives in light of developments in the Company’s business, in the sectors in which it competes, in the economy generally and in financial markets. The alternatives reviewed have included large and small acquisitions, mergers, a sale of the Company, as well as alternatives for returning capital to stockholders, including by means of levered or unlevered share repurchases or extraordinary dividends, and, from time to time, the Company received inquiries from third parties seeking to determine the Company’s interest in a sale transaction. During the first calendar quarter of 2014, one of the alternatives considered by the board was a merger with or acquisition of another participant in PetSmart’s industry, a privately-held company which we refer to here as “Industry Participant.” In March, 2014, the board authorized management to contact Industry Participant to determine Industry Participant’s interest in initiating exploratory discussions concerning the feasibility of a merger or acquisition transaction. During the Spring of 2014, David Lenhardt, PetSmart’s chief executive officer, spoke on a few occasions to Industry Participant’s CEO. Industry Participant’s CEO informed Mr. Lenhardt that Industry Participant was not for sale and that, in any event, Industry Participant’s management and owners believed that antitrust clearance for a combination of PetSmart and Industry Participant would not be received or would be received only with unacceptable conditions. Over the next two months, Mr. Lenhardt spoke on several other occasions with Industry Participant’s CEO and with a representative of one of Industry Participant’s controlling stockholders, during which time, Industry Participant continued to raise concerns regarding receiving antitrust clearance for such a transaction.</t>
        </is>
      </c>
    </row>
    <row r="3" ht="89" customHeight="1">
      <c r="A3" s="2" t="inlineStr">
        <is>
          <t>P-002</t>
        </is>
      </c>
      <c r="B3" s="2" t="inlineStr">
        <is>
          <t>The Merger (Proposal 1) - Background of the Merger</t>
        </is>
      </c>
      <c r="C3" s="2" t="n">
        <v>21</v>
      </c>
      <c r="D3" s="2" t="inlineStr">
        <is>
          <t>On May 21, 2014, the Company released its first quarter earnings announcement, which disclosed quarterly performance below Wall Street expectations and weaker-than-expected guidance for its second quarter and full year. Following this release, in late May and June 2014, the Company received written or verbal communications from some stockholders and from interested parties suggesting that the Company engage in various strategic or financial alternatives. Among the alternatives suggested were a levered return of capital to stockholders and a sale of the Company. Also during May 2014, representatives of Longview met with certain members of the board and senior management. At those meetings, representatives of Longview presented their views on the business and strategic direction of the Company, but did not advocate for any specific transactions or alternatives.</t>
        </is>
      </c>
    </row>
    <row r="4" ht="114" customHeight="1">
      <c r="A4" s="2" t="inlineStr">
        <is>
          <t>P-003</t>
        </is>
      </c>
      <c r="B4" s="2" t="inlineStr">
        <is>
          <t>The Merger (Proposal 1) - Background of the Merger</t>
        </is>
      </c>
      <c r="C4" s="2" t="n">
        <v>21</v>
      </c>
      <c r="D4" s="2" t="inlineStr">
        <is>
          <t>At a meeting on June 18, 2014, the board reviewed, together with a financial advisor and with Wachtell, Lipton, Rosen &amp; Katz (“Wachtell Lipton”), its legal advisor, the various strategic and financial alternatives potentially available to the Company and determined to explore more intensively potential changes to the Company’s capital structure, with a focus on returning capital to stockholders. The board also established an ad hoc advisory subcommittee (the “ad hoc committee”) with respect to, among other things, the review of alternatives. Chairman Gregory Josefowicz and directors Rakesh Gangwal and Thomas Stemberg, all of whom are nonexecutive, independent directors, were appointed to the ad hoc committee. In addition, the board authorized the vetting and retention of a financial advisor to assist in the review. In July, after interviewing several potential financial advisors, the Company retained J.P. Morgan as financial advisor based on, among other factors, J.P. Morgan’s reputation, experience in mergers and acquisitions, valuation, financing and capital markets and its familiarity with the Company.</t>
        </is>
      </c>
    </row>
    <row r="5" ht="126.5" customHeight="1">
      <c r="A5" s="2" t="inlineStr">
        <is>
          <t>P-004</t>
        </is>
      </c>
      <c r="B5" s="2" t="inlineStr">
        <is>
          <t>The Merger (Proposal 1) - Background of the Merger</t>
        </is>
      </c>
      <c r="C5" s="2" t="n">
        <v>22</v>
      </c>
      <c r="D5" s="2" t="inlineStr">
        <is>
          <t>On July 3, 2014, JANA Partners filed a Schedule 13D with the SEC disclosing that JANA had acquired 9.9% of the Company’s outstanding common stock and that JANA intended to engage in discussions with management and the board with respect to a review of strategic alternatives, including a sale of the Company. On July 7, 2014, Longview made public a letter to the board in which Longview stated that the board should consider the a sale of the Company (as well as other strategic alternatives) and that should the board determine a sale transaction to be in the interests of all stockholders, Longview would consider, depending on the parties and terms involved, rolling part or all of its holdings into equity of the acquiring entity rather than receive cash consideration, should doing so prove necessary in order to enable the Company to complete a transaction. Over the course of July and August, JANA Partners filed several amendments to its Schedule 13D and publicly disclosed letters to the board, advocating for a sale of PetSmart. On July 10, 2014, representatives of JANA met in person with representatives of the Company. At this meeting, the JANA representatives presented their perspectives on the Company and advocated for a sale of the Company. On July 10, 2014, representatives of the Company also spoke to representatives of Longview and Longview reiterated its advocacy for a sale of the Company.</t>
        </is>
      </c>
    </row>
    <row r="6" ht="64" customHeight="1">
      <c r="A6" s="2" t="inlineStr">
        <is>
          <t>P-005</t>
        </is>
      </c>
      <c r="B6" s="2" t="inlineStr">
        <is>
          <t>The Merger (Proposal 1) - Background of the Merger</t>
        </is>
      </c>
      <c r="C6" s="2" t="n">
        <v>22</v>
      </c>
      <c r="D6" s="2" t="inlineStr">
        <is>
          <t>On August 7, 2014, a representative of Industry Participant contacted a representative of J.P. Morgan. The Industry Participant representative indicated that she had heard rumors that J.P. Morgan was working with the Company and wanted to inform J.P. Morgan that, if the Company were to pursue strategic alternatives, Industry Participant might be interested in re-visiting the conversations that had taken place in the Spring concerning the feasibility of a possible combination of the two Companies. The J.P. Morgan representative reported the conversation to the ad hoc committee.</t>
        </is>
      </c>
    </row>
    <row r="7" ht="314" customHeight="1">
      <c r="A7" s="2" t="inlineStr">
        <is>
          <t>P-006</t>
        </is>
      </c>
      <c r="B7" s="2" t="inlineStr">
        <is>
          <t>The Merger (Proposal 1) - Background of the Merger</t>
        </is>
      </c>
      <c r="C7" s="2" t="n">
        <v>22</v>
      </c>
      <c r="D7" s="2" t="inlineStr">
        <is>
          <t>On August 13, 2014, the board met in person, together with members of management and representatives of J.P. Morgan and Wachtell Lipton, to complete its initial review of strategic and financial alternatives potentially available to the Company and to receive an update on communications from stockholders and other interested parties, including Industry Participant. As a result of this meeting, the board (1) determined to explore strategic alternatives (including a possible sale of the Company) for the Company to maximize value for stockholders including by commencing a process to determine the potential value that could be achieved via a sale of the Company; (2) instructed management to commence intensive planning for a cost-reduction and profit-improvement plan (which we refer to collectively as the “Profit Improvement Plan”) to potentially increase the value of the Company, whether in a sale of the Company or on a standalone basis should no sale materialize; and (3) authorized the ad hoc committee to oversee the sale exploration process, and, in between meetings of the full board, to give direction to the Company’s financial and legal advisors, to lead on behalf of the Company (or to give guidance to the Company’s representatives in connection with) any negotiations with potentially interested parties and periodically to brief the full board on the status of the sale exploration process. Together with the Company’s financial and legal advisors, the board also considered and discussed alternative formats and timing for the conduct of the exploratory sale process, and determined that at the appropriate time, which was expected to be during the second half of September or early October, J.P. Morgan should contact financial and strategic parties deemed likely to be interested and capable of completing a transaction. In addition, the board determined that the Company would issue a public announcement of its intention to explore strategic alternatives, which would ensure that interested parties not contacted would become aware of the process and could contact J.P. Morgan on their own initiative. In connection with this discussion, after deliberation and consultation with its financial and legal advisors, the board reviewed the potential benefits and risks of inviting Industry Participant to participate in the exploratory sale process. In this regard, the board considered, among other things, in addition to the communications with Industry Representative in the Spring and on August 7, the very high risk that an acquisition by or a combination with Industry Participant would not receive antitrust clearances, or would receive such clearances only with the imposition by governmental authorities of unacceptable conditions; the near certainty that the process of seeking such clearances would result in the receipt of a so-called “second request” from governmental authorities and would take eight months to a year, or longer, to pursue, with no assurance of success even after such a delay; the risk that Industry Participant would obtain competitively advantageous information in the course of due diligence even if it were not the winning bidder or indeed never bid; and the risk that participation by Industry Participant in the sale process would disrupt or negatively impact the sale process or impose an unacceptable time delay, in either case which would not advance the goal of maximizing shareholder value. On August 19, 2014, concurrent with its second quarter earnings announcement, the Company issued a press release announcing that it determined to explore strategic alternatives for the Company to maximize value for stockholders, including a possible sale of the Company.</t>
        </is>
      </c>
    </row>
    <row r="8" ht="176.5" customHeight="1">
      <c r="A8" s="2" t="inlineStr">
        <is>
          <t>P-007</t>
        </is>
      </c>
      <c r="B8" s="2" t="inlineStr">
        <is>
          <t>The Merger (Proposal 1) - Background of the Merger</t>
        </is>
      </c>
      <c r="C8" s="2" t="n">
        <v>23</v>
      </c>
      <c r="D8" s="2" t="inlineStr">
        <is>
          <t>During the weeks following the August 13 board meeting, members of the ad hoc committee continued to discuss among themselves, with fellow directors and with J.P. Morgan, the timing and process for the exploration of strategic alternatives, including issues relating to Industry Participant. In light of the risks discussed at the August 13 meeting and in these subsequent discussions, the ad hoc committee directed J.P. Morgan to communicate to Industry Participant the board’s concerns as a result of which Industry Participant would not be invited to participate in the exploratory process. On August 22, 2014, a representative of J.P. Morgan contacted by telephone the representative of Industry Participant with whom the J.P. Morgan representative had spoken to on August 7. During this call, Industry Participant confirmed that it was aware of the Company’s August 19 announcement and the J.P Morgan representative informed the Industry Participant representative of the board’s concerns regarding Industry Participant’s participation. The parties agreed to speak again in a few days. On August 27, 2014, representatives of Industry Participant contacted by telephone the representative of J.P. Morgan. During this call, the Industry Participant representatives stated that Industry Participant would have interest in discussing the possibility of a combination of the two companies. The J.P. Morgan representative reiterated the concerns identified by the board that engaging with Industry Participant was unlikely to maximize value for PetSmart’s stockholders. The J.P. Morgan representative stated that Industry Participant would not be invited into the exploratory process, but that if Industry Participant were to wish to submit a proposal or other communication to the Company, the board would consider it. There has been no contact between PetSmart and Industry Participant (or between any of their respective representatives) since August 27, 2014.</t>
        </is>
      </c>
    </row>
    <row r="9" ht="51.5" customHeight="1">
      <c r="A9" s="2" t="inlineStr">
        <is>
          <t>P-008</t>
        </is>
      </c>
      <c r="B9" s="2" t="inlineStr">
        <is>
          <t>The Merger (Proposal 1) - Background of the Merger</t>
        </is>
      </c>
      <c r="C9" s="2" t="n">
        <v>23</v>
      </c>
      <c r="D9" s="2" t="inlineStr">
        <is>
          <t>During the period from the middle of August through the end of October, the Company developed the Profit Improvement Plan and prepared for a sale process. During this period, J.P. Morgan was contacted by 27 potential participants in a sale process, including three strategic parties (not counting Industry Participant) and 24 financial participants (including potential lead buyers as well as large suppliers of equity capital to lead buyers).</t>
        </is>
      </c>
    </row>
    <row r="10" ht="89" customHeight="1">
      <c r="A10" s="2" t="inlineStr">
        <is>
          <t>P-009</t>
        </is>
      </c>
      <c r="B10" s="2" t="inlineStr">
        <is>
          <t>The Merger (Proposal 1) - Background of the Merger</t>
        </is>
      </c>
      <c r="C10" s="2" t="n">
        <v>23</v>
      </c>
      <c r="D10" s="2" t="inlineStr">
        <is>
          <t>On October 3, 2014, the board met, together with members of management and representatives of J.P. Morgan and Wachtell Lipton, to conduct regularly scheduled business and to receive an update on the status of the Profit Improvement Plan, the planning for which had been completed, and on the sale process, including an update on communications with the 27 potentially interested parties as well as Industry Participant that had occurred since the August 13 board meeting. Among other things, the board was informed that approximately 15 parties had expressed interest in participating in the process. In addition, at this meeting, in consultation with its financial and legal advisors, the board reviewed and, for the reasons discussed in August, reaffirmed the determination not to invite Industry Participant to participate in the sale process.</t>
        </is>
      </c>
    </row>
    <row r="11" ht="64" customHeight="1">
      <c r="A11" s="2" t="inlineStr">
        <is>
          <t>P-010</t>
        </is>
      </c>
      <c r="B11" s="2" t="inlineStr">
        <is>
          <t>The Merger (Proposal 1) - Background of the Merger</t>
        </is>
      </c>
      <c r="C11" s="2" t="n">
        <v>23</v>
      </c>
      <c r="D11" s="2" t="inlineStr">
        <is>
          <t>In the first week of October 2014, the Company entered into confidentiality and standstill agreements with 15 potentially interested financial buyers, all 15 of which, during the month of October engaged in due diligence, received management presentations involving the Company’s senior-most management, and received detailed financial and business plan information, including detailed information concerning the Profit Improvement Plan and associated cost-saving plans and opportunities.</t>
        </is>
      </c>
    </row>
    <row r="12" ht="76.5" customHeight="1">
      <c r="A12" s="2" t="inlineStr">
        <is>
          <t>P-011</t>
        </is>
      </c>
      <c r="B12" s="2" t="inlineStr">
        <is>
          <t>The Merger (Proposal 1) - Background of the Merger</t>
        </is>
      </c>
      <c r="C12" s="2" t="n">
        <v>23</v>
      </c>
      <c r="D12" s="2" t="inlineStr">
        <is>
          <t>During October, the potential bidders were informed that non-binding preliminary indications of interest would be due on October 30, 2014. The potential bidders were also informed that Longview had informed the Company that it would be willing to “roll-over” up to 7.5 million shares on terms and price acceptable to Longview, meaning that such shares would not receive cash merger consideration but would remain outstanding as equity in PetSmart or the buyer’s acquisition vehicle, if so desired by the bidder. The Company requested that, in connection with their preliminary indications of interest, the bidders should indicate their interest, if any, in participation by Longview, but that such interest was not a condition to participation in the process.</t>
        </is>
      </c>
    </row>
    <row r="13" ht="89" customHeight="1">
      <c r="A13" s="2" t="inlineStr">
        <is>
          <t>P-012</t>
        </is>
      </c>
      <c r="B13" s="2" t="inlineStr">
        <is>
          <t>The Merger (Proposal 1) - Background of the Merger</t>
        </is>
      </c>
      <c r="C13" s="2" t="n">
        <v>24</v>
      </c>
      <c r="D13" s="2" t="inlineStr">
        <is>
          <t>On October 30, six of the potentially interested parties submitted indications of interest. From October 30 to November 2, 2014, representatives of J.P. Morgan spoke by telephone with all of the potentially interested parties, including those that did not submit an indication of interest, to hear the parties’ respective rationales for the price levels suggested in their indications or rationales for not submitting an indication. Three bidders initially indicated price ranges that reached at least $80.00 per share, including the Buyer Group, which indicated a range of $81.00 to $83.00 per share, and another bidder, which suggested a range of $80.00 to $85.00 per share. As a result of its discussions with J.P. Morgan, another bidder (which we refer to as “Bidder 2”), which had initially indicated a price of $78.00, increased its indication to a range of $81.00 to $84.00 per share.</t>
        </is>
      </c>
    </row>
    <row r="14" ht="64" customHeight="1">
      <c r="A14" s="2" t="inlineStr">
        <is>
          <t>P-013</t>
        </is>
      </c>
      <c r="B14" s="2" t="inlineStr">
        <is>
          <t>The Merger (Proposal 1) - Background of the Merger</t>
        </is>
      </c>
      <c r="C14" s="2" t="n">
        <v>24</v>
      </c>
      <c r="D14" s="2" t="inlineStr">
        <is>
          <t>On November 3, 2014, the board met in person, together with members of management and representatives of J.P. Morgan and Wachtell Lipton, to continue its review of strategic alternatives, including a review of the indications of interest. The board determined to allow the four bidders that had indicated a price or range at or above $80.00 per share to proceed to the final round of the sale process. Following this meeting, representatives of J.P. Morgan notified the eliminated parties, none of which indicated any interest or ability to remain in the process at price levels above their respective initial indications.</t>
        </is>
      </c>
    </row>
    <row r="15" ht="89" customHeight="1">
      <c r="A15" s="2" t="inlineStr">
        <is>
          <t>P-014</t>
        </is>
      </c>
      <c r="B15" s="2" t="inlineStr">
        <is>
          <t>The Merger (Proposal 1) - Background of the Merger</t>
        </is>
      </c>
      <c r="C15" s="2" t="n">
        <v>24</v>
      </c>
      <c r="D15" s="2" t="inlineStr">
        <is>
          <t>Two of the bidders (one of which had been invited into the final round but had indicated a desire to work with an equity partner in light of the size of an acquisition of PetSmart, and the other of which had indicated to J.P. Morgan that it would drop out of the process if not permitted to work together with another bidder) requested permission to work together. These two bidders informed J.P. Morgan that they had worked together successfully in previous large leveraged buyouts. After deliberation and consultation with the Company’s financial and legal advisors, the ad hoc committee authorized these two bidders to work together. We refer to these two bidders together as “Bidder 3.” Each of the bidders invited into the final round indicated some interest in a Longview rollover, though each also stated that its bid would not be conditioned or dependent on Longview participation.</t>
        </is>
      </c>
    </row>
    <row r="16" ht="64" customHeight="1">
      <c r="A16" s="2" t="inlineStr">
        <is>
          <t>P-015</t>
        </is>
      </c>
      <c r="B16" s="2" t="inlineStr">
        <is>
          <t>The Merger (Proposal 1) - Background of the Merger</t>
        </is>
      </c>
      <c r="C16" s="2" t="n">
        <v>24</v>
      </c>
      <c r="D16" s="2" t="inlineStr">
        <is>
          <t>During November, the bidders engaged in further extensive due diligence investigations of the Company, including further detailed management presentations. Also during November, the Company circulated a form of merger agreement to the bidders with instructions that the bidders submit any proposed comments on the merger agreement together with their final bids. Following the Company’s third quarter earnings announcement and, at the request of bidders and the direction of the board and the Company, representatives of J.P. Morgan provided the bidders with updates to the Company’s fiscal year 2014 financial projections.</t>
        </is>
      </c>
    </row>
    <row r="17" ht="189" customHeight="1">
      <c r="A17" s="2" t="inlineStr">
        <is>
          <t>P-016</t>
        </is>
      </c>
      <c r="B17" s="2" t="inlineStr">
        <is>
          <t>The Merger (Proposal 1) - Background of the Merger</t>
        </is>
      </c>
      <c r="C17" s="2" t="n">
        <v>24</v>
      </c>
      <c r="D17" s="2" t="inlineStr">
        <is>
          <t>On December 3, 2014, the board met in-person for a regularly scheduled meeting. In addition to regular business, significant portions of this meeting were devoted to a further review and financial analysis of the Company’s strategic and financial alternatives, particularly in light of positive indications about the Company’s operating results based on preliminary information from the Fall and Thanksgiving season and indications that the Profit Improvement Plan would likely be successful in achieving at least $200 million in annual incremental profit. During these portions of the meeting, which were attended by members of management and representatives of J.P. Morgan and Wachtell Lipton, the board considered the values for the Company that might be achieved on a standalone basis, with and without a leveraged return of capital to stockholders. Because the board did not have bids in hand at this time, no decisions were made. The board had initially targeted Monday, December 15 for completion of the sale process, and had initially set Friday, December 5 as the date for submission of bids so as to allow sufficient time for the Company to receive and analyze the bids, conduct further rounds of bidding, if necessary, to negotiate final documentation, and to permit the winning bidder a short period of time to discuss and negotiate a Longview rollover, if desired by the winning bidder. However, on December 4 and December 5, 2014, after consultation with the Company’s financial and legal advisors, the ad hoc committee concluded that these matters could be accomplished in a shorter period of time, which would reduce the risk of leaks or unintended public disclosure. Accordingly, the Company set the evening of Wednesday, December 10 (five days, rather than 10 days prior to the anticipated December 15 completion date) as the deadline for submission of final bids, and at the same time asked the bidders to submit mark-ups of the draft merger agreement and the other transaction documents and financing commitments, if possible, in advance.</t>
        </is>
      </c>
    </row>
    <row r="18" ht="39" customHeight="1">
      <c r="A18" s="2" t="inlineStr">
        <is>
          <t>P-017</t>
        </is>
      </c>
      <c r="B18" s="2" t="inlineStr">
        <is>
          <t>The Merger (Proposal 1) - Background of the Merger</t>
        </is>
      </c>
      <c r="C18" s="2" t="n">
        <v>25</v>
      </c>
      <c r="D18" s="2" t="inlineStr">
        <is>
          <t>On December 6, 2014, the Buyer Group and Bidder 2 submitted their respective comments on the draft merger agreement and other transaction documents, and the Buyer Group provided its financing commitment documents.</t>
        </is>
      </c>
    </row>
    <row r="19" ht="64" customHeight="1">
      <c r="A19" s="2" t="inlineStr">
        <is>
          <t>P-018</t>
        </is>
      </c>
      <c r="B19" s="2" t="inlineStr">
        <is>
          <t>The Merger (Proposal 1) - Background of the Merger</t>
        </is>
      </c>
      <c r="C19" s="2" t="n">
        <v>25</v>
      </c>
      <c r="D19" s="2" t="inlineStr">
        <is>
          <t>On December 8, 2014, the board met telephonically, together with members of management and representatives of J.P. Morgan and Wachtell Lipton, to receive an update and review and discuss the comments from the bidders on the draft merger agreement and other transaction documents. Later on December 8, 2014, Wachtell Lipton sent to the Buyer Group and Bidder 2 revised versions of the form of merger agreement and other transaction documents, reflecting the Company’s positions and reactions to the bidders’ respective comments.</t>
        </is>
      </c>
    </row>
    <row r="20" ht="64" customHeight="1">
      <c r="A20" s="2" t="inlineStr">
        <is>
          <t>P-019</t>
        </is>
      </c>
      <c r="B20" s="2" t="inlineStr">
        <is>
          <t>The Merger (Proposal 1) - Background of the Merger</t>
        </is>
      </c>
      <c r="C20" s="2" t="n">
        <v>25</v>
      </c>
      <c r="D20" s="2" t="inlineStr">
        <is>
          <t>Following the execution of a confidentiality agreement, on December 9, 2014, J.P. Morgan arranged introductory meetings between Longview and the Buyer Group, and between Longview and Bidder 2. These meetings, which were attended by representatives of J.P. Morgan and Wachtell Lipton, were introductory in nature, to enable the bidders to determine their interest in working with Longview, and vice versa, and the bidders were prohibited at this time from disclosing to Longview the respective prices that the bidders intended to bid.</t>
        </is>
      </c>
    </row>
    <row r="21" ht="126.5" customHeight="1">
      <c r="A21" s="2" t="inlineStr">
        <is>
          <t>P-020</t>
        </is>
      </c>
      <c r="B21" s="2" t="inlineStr">
        <is>
          <t>The Merger (Proposal 1) - Background of the Merger</t>
        </is>
      </c>
      <c r="C21" s="2" t="n">
        <v>25</v>
      </c>
      <c r="D21" s="2" t="inlineStr">
        <is>
          <t>On December 10, PetSmart received final bid letters along with revised versions of the merger agreement and other transaction documents from the Buyer Group and from Bidder 2 and a verbal indication from Bidder 3. The Buyer Group offered $80.70 per share, in cash, and Bidder 2 offered $80.35 per share, in cash. Bidder 3 verbally communicated to J.P. Morgan that their valuation would not be above the current stock price of approximately $78 per share. J.P. Morgan communicated to Bidder 3 that it was unlikely to be competitive and accordingly Bidder 3 did not submit a written offer. The form of merger agreement and other transaction documentation submitted by the Buyer Group were more favorable to the Company (including because they were less conditional and more likely to be completed and because they offered more certainty of protection for the Company in the unlikely event of non-completion of the transaction) and reflected substantially more acceptance of the Company’s positions. Each bidder indicated that its bid was not dependent on a rollover by Longview, but neither the Buyer Group nor Bidder 2 ruled out the possibility of partnering with Longview in a transaction, though Bidder 2 indicated that any partnering with Longview would only occur after completion of bidding and execution of a definitive merger agreement with the Company.</t>
        </is>
      </c>
    </row>
    <row r="22" ht="114" customHeight="1">
      <c r="A22" s="2" t="inlineStr">
        <is>
          <t>P-021</t>
        </is>
      </c>
      <c r="B22" s="2" t="inlineStr">
        <is>
          <t>The Merger (Proposal 1) - Background of the Merger</t>
        </is>
      </c>
      <c r="C22" s="2" t="n">
        <v>25</v>
      </c>
      <c r="D22" s="2" t="inlineStr">
        <is>
          <t>On December 10, 2014, the ad hoc committee discussed the bids and the draft merger agreements with representatives of J.P. Morgan and Wachtell Lipton. The ad hoc committee was of the view that there could be no assurance that the board would approve either bid unless improved. In light of the closeness of the bids, recent positive developments identified at the board meeting on December 3, and the view shared by the ad hoc committee and J.P. Morgan that neither of the bids represented the bidders’ respective best offers, the ad hoc committee instructed J.P. Morgan to inform each bidder that it would need to increase its bid, and to instruct the bidders to submit improved bids on December 12, 2014. On the evening of December 11, 2014, representatives of J.P. Morgan contacted Longview to inform Longview that the bidders have been asked to submit revised and improved bids, and to confirm that Longview continued to be interested and willing to participate in a potential transaction by rolling over a portion of its Company common stock, so long as Longview’s participation was desired and approved by the ad hoc committee.</t>
        </is>
      </c>
    </row>
    <row r="23" ht="126.5" customHeight="1">
      <c r="A23" s="2" t="inlineStr">
        <is>
          <t>P-022</t>
        </is>
      </c>
      <c r="B23" s="2" t="inlineStr">
        <is>
          <t>The Merger (Proposal 1) - Background of the Merger</t>
        </is>
      </c>
      <c r="C23" s="2" t="n">
        <v>25</v>
      </c>
      <c r="D23" s="2" t="inlineStr">
        <is>
          <t>Early in the day on December 12, 2014, the Buyer Group requested permission to work more closely with Longview in order to include a rollover of a portion of the Company shares managed by Longview in the Buyer Group’s bid. The Buyer Group informed J.P. Morgan that the Buyer Group was working to achieve a higher price, and that Longview participation with the Buyer Group might enhance the Buyer Group’s ability to do so. Bidder 2 indicated to J.P. Morgan that accommodation of a Longview rollover would not affect Bidder 2’s price, and that Bidder 2 would consider accommodating a Longview rollover only after execution of a merger agreement between the Company and Bidder 2. After consultation with the Company’s financial and legal advisors, the ad hoc committee approved the Buyer Group’s request, and, later that day, Longview and the Buyer Group entered into a confidentiality agreement permitting the exchange of detailed information between them, including bid price, which had not previously been shared with Longview. The ad hoc committee also instructed Wachtell Lipton to provide a form of voting agreement to Longview to secure Longview’s commitment to vote for the merger subject to certain exceptions, including a change of recommendation by the board.</t>
        </is>
      </c>
    </row>
    <row r="24" ht="89" customHeight="1">
      <c r="A24" s="2" t="inlineStr">
        <is>
          <t>P-023</t>
        </is>
      </c>
      <c r="B24" s="2" t="inlineStr">
        <is>
          <t>The Merger (Proposal 1) - Background of the Merger</t>
        </is>
      </c>
      <c r="C24" s="2" t="n">
        <v>26</v>
      </c>
      <c r="D24" s="2" t="inlineStr">
        <is>
          <t>During the evening of December 12, 2014, Bidder 2 submitted an offer of $81.50 per share, in cash. Representatives of J.P. Morgan confirmed via a conversation with Bidder 2 on the evening of December 12, 2014 that $81.50 per share was its best and final offer. The Buyer Group initially submitted an oral offer of $82.50 per share, in cash, but stated that it was working to increase the offer within the next few hours. Later in the evening, the Buyer Group submitted a best and final offer of $83.00 per share, in cash. In addition, each bidder submitted a revised draft of the merger agreement and other transaction agreements, and copies of their respective financing commitment documents. The versions submitted by the Buyer Group were, with few exceptions, in substantially executable form.</t>
        </is>
      </c>
    </row>
    <row r="25" ht="164" customHeight="1">
      <c r="A25" s="2" t="inlineStr">
        <is>
          <t>P-024</t>
        </is>
      </c>
      <c r="B25" s="2" t="inlineStr">
        <is>
          <t>The Merger (Proposal 1) - Background of the Merger</t>
        </is>
      </c>
      <c r="C25" s="2" t="n">
        <v>26</v>
      </c>
      <c r="D25" s="2" t="inlineStr">
        <is>
          <t>On December 13, 2014, the board met in person, together with the members of management and representatives of J.P. Morgan and Wachtell Lipton, to discuss and review the final bids and to consider the proposed transaction. Representatives of J.P. Morgan reviewed the respective bids as well as the recent progression of the sale process. Representatives of Wachtell Lipton reviewed the terms of the draft merger agreement and other transaction documents and reviewed the financing commitments that had been provided by the Buyer Group. Representatives of J.P. Morgan made a financial presentation concerning the proposed transaction with the Buyer Group, as well as the Company’s alternatives to a sale of the Company, including a leveraged share repurchase. J.P. Morgan then rendered its oral opinion, which was subsequently confirmed in writing, to the board that, as of that date, and based upon and subject to the factors, assumptions and limitations set forth in its opinion, the merger consideration of $83.00 in cash to be paid to the holders of the Company’s common stock in the merger was fair, from a financial point of view, to such holders. Following extensive discussion, the board unanimously determined that the merger agreement and the transactions contemplated thereby, including the merger, were advisable and in the best interests of PetSmart and its stockholders, and to recommend that the Company’s stockholders approve the adoption of the merger agreement. The board’s determination was subject, however, to confirmation that the remaining open points in the merger agreement had been satisfactorily resolved, and the board determined to reconvene, if deemed necessary by the ad hoc committee or the chairman of the board.</t>
        </is>
      </c>
    </row>
    <row r="26" ht="51.5" customHeight="1">
      <c r="A26" s="2" t="inlineStr">
        <is>
          <t>P-025</t>
        </is>
      </c>
      <c r="B26" s="2" t="inlineStr">
        <is>
          <t>The Merger (Proposal 1) - Background of the Merger</t>
        </is>
      </c>
      <c r="C26" s="2" t="n">
        <v>26</v>
      </c>
      <c r="D26" s="2" t="inlineStr">
        <is>
          <t>Following the board meeting, the parties completed negotiations on terms satisfactory to both parties, and finalized the terms of the Longview voting agreement. On December 14, 2014, the parties executed the merger agreement, the voting agreement and related transaction agreements and issued a press release announcing the transaction.</t>
        </is>
      </c>
    </row>
    <row r="27" ht="39" customHeight="1">
      <c r="A27" s="2" t="inlineStr">
        <is>
          <t>X-001</t>
        </is>
      </c>
      <c r="B27" s="2" t="inlineStr">
        <is>
          <t>Summary (glossary)</t>
        </is>
      </c>
      <c r="C27" s="2" t="n">
        <v>1</v>
      </c>
      <c r="D27" s="2" t="inlineStr">
        <is>
          <t>the “Buyer Group” refers to a consortium of funds advised by BC Partners, Inc., La Caisse de dépôt et placement du Québec, affiliates of GIC Special Investments Pte Ltd, affiliates of StepStone Group LP and, at all times after December 12, 2014, Longview Asset Management, LLC;</t>
        </is>
      </c>
    </row>
    <row r="28" ht="126.5" customHeight="1">
      <c r="A28" s="2" t="inlineStr">
        <is>
          <t>X-002</t>
        </is>
      </c>
      <c r="B28" s="2" t="inlineStr">
        <is>
          <t>Summary - Voting Support Agreement</t>
        </is>
      </c>
      <c r="C28" s="2" t="n">
        <v>2</v>
      </c>
      <c r="D28" s="2" t="inlineStr">
        <is>
          <t>On December 14, 2014, the Company entered into a voting agreement (the “voting agreement”) with Parent and Longview Asset Management, LLC (“Longview”), on behalf of Longview clients and certain related parties. Under the voting agreement, Longview agreed, among other things, to vote or cause to be voted 7,424,591 shares of common stock, which represent approximately 7.5% of the total outstanding shares of common stock as of the close of business on the record date, in favor of the adoption of the merger agreement, and against any other action, proposal, agreement or transaction made in opposition to or competition with the merger or the merger agreement that is not approved by the board. The voting agreement will terminate upon the earliest to occur of (i) the effective time of the merger, (ii) the termination of the merger agreement in accordance with its terms, (iii) the termination of the voting agreement by the mutual written consent of the Company, Parent and Longview, (iv) a change of recommendation (as defined under “ The Merger Agreement — Other Covenants and Agreements — No Solicitation ) or (v) the making of any change, by amendment, waiver or other modification to any provision of the merger agreement that decreases the amount of, or changes the form of, the merger consideration.</t>
        </is>
      </c>
    </row>
    <row r="29" ht="126.5" customHeight="1">
      <c r="A29" s="2" t="inlineStr">
        <is>
          <t>X-003</t>
        </is>
      </c>
      <c r="B29" s="2" t="inlineStr">
        <is>
          <t>Summary - Financing</t>
        </is>
      </c>
      <c r="C29" s="2" t="n">
        <v>5</v>
      </c>
      <c r="D29" s="2" t="inlineStr">
        <is>
          <t>Parent estimates that the total amount required to complete the merger and related transactions and pay related fees and expenses will be approximately $8.4 billion. Parent expects this amount to be funded through a combination of the following: debt financing in an aggregate principal amount of up to approximately $6.2 billion as well as a $750 million senior secured asset-based revolving credit facility, a portion of which will be available at closing. Parent has received firm commitments from a consortium of financial institutions to provide the debt financing and revolving credit facility (see “ The Merger (Proposal 1) — Financing — Debt Financing ”); cash equity investments by members of the Buyer Group (other than Longview) in an aggregate amount up to approximately $1.83 billion and Longview’s contribution to Parent of $250 million worth of the Company’s common stock immediately prior to the effective time of the merger. Parent has received equity commitments for the equity financing from the Buyer Group (other than Longview) and has entered into a rollover agreement with Longview with respect to its contribution of Company common stock to Parent (see “ The Merger (Proposal 1) — Financing — Equity Financing ”); and approximately $425 million of cash is expected to be on hand in the Company and available at the closing.</t>
        </is>
      </c>
    </row>
    <row r="30" ht="76.5" customHeight="1">
      <c r="A30" s="2" t="inlineStr">
        <is>
          <t>X-004</t>
        </is>
      </c>
      <c r="B30" s="2" t="inlineStr">
        <is>
          <t>Summary - Termination Fee Commitment Letters</t>
        </is>
      </c>
      <c r="C30" s="2" t="n">
        <v>5</v>
      </c>
      <c r="D30" s="2" t="inlineStr">
        <is>
          <t>Each of the members of the Buyer Group (other than Longview) has entered into a termination fee commitment letter with Parent and the Company and has agreed on a several basis, and subject to other terms and conditions of the termination fee commitment letters, to pay to the Company (or if consented to by the Company, to purchase common equity securities of Parent to enable Parent to pay to the Company) an amount equal to its portion of the $510 million Parent termination fee and certain expense reimbursement that may be payable by Parent under the merger agreement, if and when due under the merger agreement. See “ The Merger — Termination Fee Commitment Letters .”</t>
        </is>
      </c>
    </row>
    <row r="31" ht="76.5" customHeight="1">
      <c r="A31" s="2" t="inlineStr">
        <is>
          <t>X-005</t>
        </is>
      </c>
      <c r="B31" s="2" t="inlineStr">
        <is>
          <t>The Parties to the Merger Agreement - PetSmart, Inc.</t>
        </is>
      </c>
      <c r="C31" s="2" t="n">
        <v>16</v>
      </c>
      <c r="D31" s="2" t="inlineStr">
        <is>
          <t>PetSmart, Inc. is a Delaware corporation with principal executive offices located at 19601 North 27th Avenue, Phoenix, Arizona 85027. The Company is one of the largest providers of pet products and services in North America. PetSmart sells goods and services in 1,404 stores and operates 202 in-store dog and cat boarding facilities in the United States, Canada and Puerto Rico. A detailed description of the Company’s business is contained in the Company’s Annual Report on Form 10-K for the fiscal year ended February 2, 2014, which is incorporated by reference into this proxy statement. See “ Where You Can Find Additional Information.”</t>
        </is>
      </c>
    </row>
    <row r="32" ht="89" customHeight="1">
      <c r="A32" s="2" t="inlineStr">
        <is>
          <t>X-006</t>
        </is>
      </c>
      <c r="B32" s="2" t="inlineStr">
        <is>
          <t>The Parties to the Merger Agreement - Argos Holdings Inc. and Argos Merger Sub Inc.</t>
        </is>
      </c>
      <c r="C32" s="2" t="n">
        <v>16</v>
      </c>
      <c r="D32" s="2" t="inlineStr">
        <is>
          <t>Argos Holdings Inc. is a Delaware corporation. Argos Merger Sub Inc. is a Delaware corporation and a wholly owned subsidiary of Parent. Parent and Merger Sub are affiliates of funds advised by BC Partners, Inc. and at the closing of the transactions contemplated by the merger agreement will be owned by a consortium comprised of funds advised by BC Partners, Inc., La Caisse de dépôt et placement du Québec, affiliates of GIC Special Investments Pte Ltd, affiliates of StepStone Group LP and Longview. The principal executive offices of both Parent and Merger Sub are located at 667 Madison Avenue, 19th Floor, New York, NY 10065. Both Parent and Merger Sub were formed solely for the purpose of entering into the merger agreement and consummating the transactions contemplated by the merger agreement, and have not engaged in any business except for activities incidental to their formation and as contemplated by the merger agreement.</t>
        </is>
      </c>
    </row>
    <row r="33" ht="76.5" customHeight="1">
      <c r="A33" s="2" t="inlineStr">
        <is>
          <t>X-007</t>
        </is>
      </c>
      <c r="B33" s="2" t="inlineStr">
        <is>
          <t>The Merger - Reasons for the Merger - Attractive Value</t>
        </is>
      </c>
      <c r="C33" s="2" t="n">
        <v>26</v>
      </c>
      <c r="D33" s="2" t="inlineStr">
        <is>
          <t>Attractive Value. The board considered the current and historical market prices of the common stock, including the market performance of the common stock relative to those of other participants in the Company’s industry and general market indices, and the fact that the merger consideration of $83.00 per share in cash represents an attractive premium to estimates of the Company’s unaffected stock price, including a premium of 38.8% to the Company’s stock price on July 2, 2014, the date on which a PetSmart stockholder disclosed its acquisition of a 9.9% stake in the Company and advocated publicly for the Company to explore strategic alternatives, including a sale of the Company.</t>
        </is>
      </c>
    </row>
    <row r="34" ht="139" customHeight="1">
      <c r="A34" s="2" t="inlineStr">
        <is>
          <t>X-008</t>
        </is>
      </c>
      <c r="B34" s="2" t="inlineStr">
        <is>
          <t>The Merger - Reasons for the Merger - Best Alternative / Sale Process</t>
        </is>
      </c>
      <c r="C34" s="2" t="n">
        <v>27</v>
      </c>
      <c r="D34" s="2" t="inlineStr">
        <is>
          <t>The board considered that the Company had conducted a lengthy and thorough process, directed by the board and the ad hoc committee, which consisted solely of independent directors, during which representatives of the Company contacted or were contacted by more than 25 potential participants, entered into non-disclosure agreements with and engaged in due diligence or provided management presentation to 15 potential bidders, received first round indications of interest from 5 bidder groups, and ultimately negotiated with the Buyer Group as well as two other bidding groups, neither of which was willing to make a definitive offer at a price above $81.50, which was lower than the $83.00 price offered by the Buyer Group. The board noted that Bidder 2 had informed the Company’s representatives that $81.50 per share was its best and final offer. The board also noted that, based on conversations with, and based on the course of negotiations with, the Buyer Group, $83.00 per share appeared to be the highest price the Buyer Group could offer. Among other things, the Buyer Group informed representatives of the Company that after increasing its offer from $82.50 to $83.00 per share, some members of the group, or all of them, were unwilling or unable to offer additional consideration. The Buyer Group also informed representatives of the Company that Longview’s willingness to participate in the Buyer Group with respect to $250 million of the common stock was helpful in achieving an $83.00 per share price.</t>
        </is>
      </c>
    </row>
    <row r="35" ht="89" customHeight="1">
      <c r="A35" s="2" t="inlineStr">
        <is>
          <t>X-009</t>
        </is>
      </c>
      <c r="B35" s="2" t="inlineStr">
        <is>
          <t>The Merger - Reasons for the Merger - Alternative Proposals (standstills)</t>
        </is>
      </c>
      <c r="C35" s="2" t="n">
        <v>28</v>
      </c>
      <c r="D35" s="2" t="inlineStr">
        <is>
          <t>PetSmart’s right, subject to certain conditions, to respond to and negotiate unsolicited acquisition proposals made prior to the time PetSmart’s stockholders approve the proposal to adopt the merger agreement. In this regard, the board took into consideration that the confidentiality agreements entered into by the 15 potentially interested parties that engaged in due diligence contained standstill provisions that prevent those parties from submitting (or even seeking permission to submit) a higher bid once the Company entered into a definitive transaction agreement with the winning sale process participant. The board, after deliberation and consultation with its financial and legal advisors, believed that such provisions promoted the goal of maximizing shareholder value by encouraging the potentially interested parties to put their best bids forward during the sale process;</t>
        </is>
      </c>
    </row>
    <row r="36" ht="26.5" customHeight="1">
      <c r="A36" s="2" t="inlineStr">
        <is>
          <t>X-010</t>
        </is>
      </c>
      <c r="B36" s="2" t="inlineStr">
        <is>
          <t>The Merger - Reasons for the Merger - Alternative Proposals (no offers by 02/02/2015)</t>
        </is>
      </c>
      <c r="C36" s="2" t="n">
        <v>28</v>
      </c>
      <c r="D36" s="2" t="inlineStr">
        <is>
          <t>the fact that as of February 2, 2015, the date of this proxy statement, no person has made an unsolicited offer or proposal to acquire PetSmart.</t>
        </is>
      </c>
    </row>
    <row r="37" ht="64" customHeight="1">
      <c r="A37" s="2" t="inlineStr">
        <is>
          <t>X-011</t>
        </is>
      </c>
      <c r="B37" s="2" t="inlineStr">
        <is>
          <t>The Merger - Reasons for the Merger - Other Factors (Longview)</t>
        </is>
      </c>
      <c r="C37" s="2" t="n">
        <v>29</v>
      </c>
      <c r="D37" s="2" t="inlineStr">
        <is>
          <t>The fact that Longview, which as of the date of the merger agreement managed 9% of the Company’s outstanding stock, and which is a long-term investor in the Company, supports and has agreed to vote in favor of the merger. In this connection, the board noted that a majority of the Company shares managed by Longview are not being rolled over in the transaction but will receive the same $83.00 per share merger consideration as all other stockholders, and that the willingness of Longview to roll over a portion of its shares was helpful to the Buyer Group in achieving an $83.00 price per share.</t>
        </is>
      </c>
    </row>
    <row r="38" ht="76.5" customHeight="1">
      <c r="A38" s="2" t="inlineStr">
        <is>
          <t>X-012</t>
        </is>
      </c>
      <c r="B38" s="2" t="inlineStr">
        <is>
          <t>The Merger - Opinion of J.P. Morgan (engagement)</t>
        </is>
      </c>
      <c r="C38" s="2" t="n">
        <v>30</v>
      </c>
      <c r="D38" s="2" t="inlineStr">
        <is>
          <t>Pursuant to an engagement letter effective as of August 21, 2014, the Company retained J.P. Morgan as its financial advisor in connection with a possible transaction, including: (a) any merger, consolidation, joint venture or other business combination pursuant to which the business of the Company is combined with that of another person, (b) the acquisition by another person, directly or indirectly, of a majority of the capital stock of the Company, by way of tender or exchange offer, negotiated purchase or any other means, and/or (c) the acquisition by another person, directly or indirectly, of a majority of the assets, properties and/or businesses of the Company, by way of a direct or indirect purchase, lease, license, exchange, joint venture or other means.</t>
        </is>
      </c>
    </row>
    <row r="39" ht="64" customHeight="1">
      <c r="A39" s="2" t="inlineStr">
        <is>
          <t>X-013</t>
        </is>
      </c>
      <c r="B39" s="2" t="inlineStr">
        <is>
          <t>The Merger - Opinion of J.P. Morgan (opinion dates)</t>
        </is>
      </c>
      <c r="C39" s="2" t="n">
        <v>30</v>
      </c>
      <c r="D39" s="2" t="inlineStr">
        <is>
          <t>At the meeting of the board on December 13, 2014, J.P. Morgan rendered its oral opinion, subsequently confirmed in writing on December 14, 2014, to the board that, as of such date and based upon and subject to the factors, assumptions and limitations set forth in its opinion, the merger consideration to be paid to the holders of the Company’s common stock in the merger was fair, from a financial point of view, to such holders. No limitations were imposed by the board upon J.P. Morgan with respect to the investigations made or procedures followed by it in rendering its opinion.</t>
        </is>
      </c>
    </row>
    <row r="40" ht="64" customHeight="1">
      <c r="A40" s="2" t="inlineStr">
        <is>
          <t>X-014</t>
        </is>
      </c>
      <c r="B40" s="2" t="inlineStr">
        <is>
          <t>The Merger - Opinion of J.P. Morgan (fee and relationships)</t>
        </is>
      </c>
      <c r="C40" s="2" t="n">
        <v>37</v>
      </c>
      <c r="D40" s="2" t="inlineStr">
        <is>
          <t>For services rendered in connection with the merger and the delivery of its opinion, the Company has agreed to pay J.P. Morgan an amount up to approximately $39 million, a substantial portion of which will become payable only if the merger is consummated. In addition, the Company has agreed to reimburse J.P. Morgan for its expenses incurred in connection with its services, including the fees and disbursements of counsel, and will indemnify J.P. Morgan against certain liabilities, including liabilities arising under the Federal securities laws.</t>
        </is>
      </c>
    </row>
    <row r="41" ht="164" customHeight="1">
      <c r="A41" s="2" t="inlineStr">
        <is>
          <t>X-015</t>
        </is>
      </c>
      <c r="B41" s="2" t="inlineStr">
        <is>
          <t>The Merger - Projected Financial Information (scope)</t>
        </is>
      </c>
      <c r="C41" s="2" t="n">
        <v>37</v>
      </c>
      <c r="D41" s="2" t="inlineStr">
        <is>
          <t>The Company does not as a matter of course make public projections as to future performance or earnings beyond the current fiscal year and is especially wary of making projections for extended earnings periods due to the unpredictability of the underlying assumptions and estimates. However, in connection with the review of strategic alternatives, management, at the request of the board, prepared financial projections for fiscal years 2014, 2015, 2016, 2017, 2018 and 2019. Following the release of the Company’s third fiscal quarter financial results, selected income statement line items for fiscal year 2014 only were updated to reflect actual performance and better visibility into the performance of the Company’s profit improvement plan. These projections, as updated, were provided to the board and J.P. Morgan for purposes of considering, analyzing and evaluating the Company’s strategic and financial alternatives, including the merger. Portions of these projections were also made available to Parent, Merger Sub and members of the Buyer Group in connection with their respective consideration and evaluation of a merger with the Company. In addition, financial forecasts for fiscal years 2020, 2021, 2022, 2023 and 2024 were extrapolated jointly by J.P. Morgan and the Company’s management from prior years’ forecasts at the direction of, and were approved by, the management of the Company and were made available to the board and J.P. Morgan in connection with their respective considerations of the merger, but were not made available to Parent, Merger Sub or members of the Buyer Group. We have included a summary of these projections (the “Projections”) below to give stockholders access to certain nonpublic information provided to our board</t>
        </is>
      </c>
    </row>
    <row r="42" ht="51.5" customHeight="1">
      <c r="A42" s="2" t="inlineStr">
        <is>
          <t>X-016</t>
        </is>
      </c>
      <c r="B42" s="2" t="inlineStr">
        <is>
          <t>The Merger - Projected Financial Information (FY2014 update note)</t>
        </is>
      </c>
      <c r="C42" s="2" t="n">
        <v>38</v>
      </c>
      <c r="D42" s="2" t="inlineStr">
        <is>
          <t>Prior to the update discussed above following the release of the Company’s third fiscal quarter financial results, the Projections included projected revenue was $7,088 million, projected EBITDA was $958 million and projected net income was $432 million. Cash flow from operations was projected to be $617 million prior to such update and was not changed in such update.</t>
        </is>
      </c>
    </row>
    <row r="43" ht="126.5" customHeight="1">
      <c r="A43" s="2" t="inlineStr">
        <is>
          <t>X-017</t>
        </is>
      </c>
      <c r="B43" s="2" t="inlineStr">
        <is>
          <t>The Merger - Financing (total funds required)</t>
        </is>
      </c>
      <c r="C43" s="2" t="n">
        <v>40</v>
      </c>
      <c r="D43" s="2" t="inlineStr">
        <is>
          <t>The Company and Parent estimate that the total amount of funds required to complete the merger and related transactions and pay related fees and expenses will be approximately $8.4 billion. Parent expects this amount to be funded through a combination of the following: debt financing in an aggregate principal amount of up to approximately $6.2 billion as well as a $750 million senior secured asset-based revolving credit facility, a portion of which will be available at closing. Parent has received firm commitments from a consortium of financial institutions to provide the debt financing and revolving credit facility. See “ — Debt Financing ”; cash equity investments by members of the Buyer Group (other than Longview) in an aggregate amount up to approximately $1.83 billion and Longview’s contribution to Parent of $250 million worth of the Company’s common stock immediately prior to the effective time of the merger. Parent has received equity commitments for the equity financing from the Buyer Group (other than Longview) and has entered into a rollover agreement with Longview with respect to its contribution of Company common stock to Parent. See “ — Equity Financing ”; and approximately $425 million of cash is expected to be on hand and available at the closing.</t>
        </is>
      </c>
    </row>
    <row r="44" ht="64" customHeight="1">
      <c r="A44" s="2" t="inlineStr">
        <is>
          <t>X-018</t>
        </is>
      </c>
      <c r="B44" s="2" t="inlineStr">
        <is>
          <t>The Merger - Financing - Equity Financing (commitment letters)</t>
        </is>
      </c>
      <c r="C44" s="2" t="n">
        <v>40</v>
      </c>
      <c r="D44" s="2" t="inlineStr">
        <is>
          <t>On December 14, 2014, members of the Buyer Group (other than Longview) entered into equity commitment letters (collectively referred to as the “equity commitment letters” and, together with the debt commitment letters described below, the “commitment letters”) with Parent pursuant to which the Buyer Group (other than Longview) committed to contribute (or cause to be contributed) to Parent up to $1.83 billion in cash in the aggregate. The equity commitments are subject to the following conditions:</t>
        </is>
      </c>
    </row>
    <row r="45" ht="51.5" customHeight="1">
      <c r="A45" s="2" t="inlineStr">
        <is>
          <t>X-019</t>
        </is>
      </c>
      <c r="B45" s="2" t="inlineStr">
        <is>
          <t>The Merger - Financing - Equity Financing (rollover agreement)</t>
        </is>
      </c>
      <c r="C45" s="2" t="n">
        <v>41</v>
      </c>
      <c r="D45" s="2" t="inlineStr">
        <is>
          <t>On December 14, 2014, the Parent and Longview entered into a rollover agreement (the “rollover agreement”) under which Longview has agreed to contribute 3,012,050 shares (“rollover shares”) to Parent immediately prior to the effective time in exchange for equity interests in Parent. Longview’s obligation to transfer and contribute to Parent the rollover shares is subject to the satisfaction of the following conditions:</t>
        </is>
      </c>
    </row>
    <row r="46" ht="39" customHeight="1">
      <c r="A46" s="2" t="inlineStr">
        <is>
          <t>X-020</t>
        </is>
      </c>
      <c r="B46" s="2" t="inlineStr">
        <is>
          <t>The Merger - Financing - Equity Financing (Longview other shares)</t>
        </is>
      </c>
      <c r="C46" s="2" t="n">
        <v>41</v>
      </c>
      <c r="D46" s="2" t="inlineStr">
        <is>
          <t>Longview will receive the same $83.00 per share merger consideration as the other holders of the Company’s common stock for all other shares of common stock beneficially owned by it (other than the rollover shares).</t>
        </is>
      </c>
    </row>
    <row r="47" ht="101.5" customHeight="1">
      <c r="A47" s="2" t="inlineStr">
        <is>
          <t>X-021</t>
        </is>
      </c>
      <c r="B47" s="2" t="inlineStr">
        <is>
          <t>The Merger - Financing - Debt Financing (lenders)</t>
        </is>
      </c>
      <c r="C47" s="2" t="n">
        <v>41</v>
      </c>
      <c r="D47" s="2" t="inlineStr">
        <is>
          <t>In connection with the entry into the merger agreement, Merger Sub has (i) obtained a commitment letter (as amended from time to time in accordance with the merger agreement, the “debt commitment letter”) from Citigroup Global Markets Inc., Barclays Bank PLC, Deutsche Bank AG New York Branch, Nomura Securities International, Inc. and Jefferies Finance LLC, and, in some cases, certain of their affiliates (collectively, the “Initial Lenders”) and (ii) entered into joinder agreements with respect to the debt commitment letter with each of RBC Capital Markets, Macquarie Capital (USA) Inc. and Natixis, New York Branch (together with the Initial Lenders, the “Lenders”) to provide, severally but not jointly, upon the terms and subject to the conditions set forth in the debt commitment letter, in the aggregate up to $6.95 billion in debt financing (not all of which is expected to be drawn at the closing of the merger), consisting of the following:</t>
        </is>
      </c>
    </row>
    <row r="48" ht="76.5" customHeight="1">
      <c r="A48" s="2" t="inlineStr">
        <is>
          <t>X-022</t>
        </is>
      </c>
      <c r="B48" s="2" t="inlineStr">
        <is>
          <t>The Merger - Termination Fee Commitment Letters</t>
        </is>
      </c>
      <c r="C48" s="2" t="n">
        <v>44</v>
      </c>
      <c r="D48" s="2" t="inlineStr">
        <is>
          <t>Concurrently with the execution of the merger agreement, members of the Buyer Group (other than Longview) have also executed and delivered a termination fee commitment letter in favor of the Company (collectively, the “termination fee commitment letters”), pursuant to which members of the Buyer Group (other than Longview) severally agreed, subject to the terms and conditions of the termination fee commitment letters, to pay to the Company (or if consented to by the Company, to purchase common equity securities of Parent to enable Parent to pay to the Company) an amount equal to such members’ respective pro rata portion of the Parent termination fee and certain expense reimbursements (each as</t>
        </is>
      </c>
    </row>
    <row r="49" ht="139" customHeight="1">
      <c r="A49" s="2" t="inlineStr">
        <is>
          <t>X-023</t>
        </is>
      </c>
      <c r="B49" s="2" t="inlineStr">
        <is>
          <t>The Merger - Voting Support Agreement</t>
        </is>
      </c>
      <c r="C49" s="2" t="n">
        <v>45</v>
      </c>
      <c r="D49" s="2" t="inlineStr">
        <is>
          <t>On December 14, 2014, the Company entered into the voting agreement with Parent and Longview, on behalf of Longview clients and certain related parties. Under the voting agreement, Longview agreed, among other things, to vote or cause to be voted 7,424,591 shares of common stock, which represent approximately 7.5% of the total outstanding shares of common stock as of the close of business on the record date, in favor of the adoption of the merger agreement, and against any other action, proposal, agreement or transaction made in opposition to or competition with the merger or the merger agreement that is not approved by the board. The voting agreement will terminate upon the earliest to occur of (i) the effective time of the merger, (ii) the termination of the merger agreement in accordance with its terms, (iii) the termination of the voting agreement by the mutual written consent of the Company, Parent and Longview, (iv) a change of recommendation (as defined under “ The Merger Agreement — Other Covenants and Agreements — No Solicitation ) or (v) the making of any change, by amendment, waiver or other modification to any provision of the merger agreement that decreases the amount of, or changes the form of, the merger consideration. James Crown, a client of Longview with a significant economic interest in the shares of common stock subject to the voting agreement, serves on the board of directors of JP Morgan Chase &amp; Co., which is an affiliate of J.P. Morgan.</t>
        </is>
      </c>
    </row>
    <row r="50" ht="114" customHeight="1">
      <c r="A50" s="2" t="inlineStr">
        <is>
          <t>X-024</t>
        </is>
      </c>
      <c r="B50" s="2" t="inlineStr">
        <is>
          <t>Regulatory Approvals</t>
        </is>
      </c>
      <c r="C50" s="2" t="n">
        <v>52</v>
      </c>
      <c r="D50" s="2" t="inlineStr">
        <is>
          <t>Under the HSR Act and related rules, certain transactions, including the merger, may not be completed until notifications have been given and information furnished to the Antitrust Division and the FTC and all statutory waiting period requirements have been satisfied. On December 24, 2014, both the Company and Parent filed their respective Notification and Report Forms with the Antitrust Division and the FTC. The 30-day waiting period under the HSR Act will expire at 11:59 pm on January 23, 2015, unless terminated early or otherwise extended. Both the Company and Parent received early termination of the HSR waiting period on January 7, 2015. Under the Competition Act in Canada, the parties must file a pre-Merger notification and observe the specified waiting period requirements before consummating the merger, unless the parties are exempted from such requirements through the issuance of an ARC, or a “no-action” letter together with a waiver of the notification and waiting period requirements. On December 30, 2014, the parties submitted a request to the Commissioner of Competition in Canada for an ARC or, in the alternative, a “no-action” letter. The parties were issued an ARC pursuant to section 102 of the Competition Act on January 14, 2015.</t>
        </is>
      </c>
    </row>
    <row r="51" ht="189" customHeight="1">
      <c r="A51" s="2" t="inlineStr">
        <is>
          <t>X-025</t>
        </is>
      </c>
      <c r="B51" s="2" t="inlineStr">
        <is>
          <t>Litigation</t>
        </is>
      </c>
      <c r="C51" s="2" t="n">
        <v>52</v>
      </c>
      <c r="D51" s="2" t="inlineStr">
        <is>
          <t>Since the December 14, 2014 announcement of the transaction, the members of the board, Parent, Merger Sub, and BC Partners, Inc. have been named in seven putative class action lawsuits filed in the Delaware Court of Chancery challenging the merger. PetSmart, La Caisse de dépôt et placement du Québec, GIC Special Investments Pte Ltd, Longview Asset Management, LLC and Stepstone Group LP have been named in six of the seven lawsuits, and Jana Partners LLC has been named in one of the lawsuits. The cases are captioned Soffer v. Lenhardt, et al. , C.A. No. 10482-VCN, Sharkey v. PetSmart, Inc., et al. , C.A. No. 10496-VCN, Lipovich v. PetSmart, Inc., et al. , C.A. No. 10504-VCN, Wayne County Employees’ Retirement System v. BC Partners, Inc., et al ., C.A. No. 10514-VCN, Levine v. PetSmart, Inc., et al. , C.A. No. 10516-VCN, City of Atlanta Firefighters Pension Plan v. Lenhardt, et al. , C.A. No. 10527-VCN and Seawell v. PetSmart, Inc., et al. , C.A. No. 10541-VCN. On January 20, 2015, plaintiff in the City of Atlanta Firefighters Pension Plan action filed an Amended Verified Class Action Complaint for Breach of Fiduciary Duty. On January 30, 2015, plaintiff in the Soffer action filed a Verified Amended Class Action Complaint. The complaints generally allege, among other things, that the PetSmart directors breached their fiduciary duties by agreeing to the transaction at an inadequate price and through an inadequate process and by agreeing to deal terms that allegedly prevent a superior offer for the Company. The amended complaints in the City of Atlanta Firefighters Pension Plan and Soffer actions also allege that the individual defendants breached their fiduciary duties by filing a false and misleading preliminary proxy statement. The complaints also allege that PetSmart and/or some or all of the other entity defendants aided and abetted the directors’ alleged breaches of duty. The complaints seek, among other things, to enjoin the transaction or to rescind the transaction if consummated, and attorney’s fees and other costs. We believe that the lawsuits are without merit.</t>
        </is>
      </c>
    </row>
    <row r="52" ht="51.5" customHeight="1">
      <c r="A52" s="2" t="inlineStr">
        <is>
          <t>X-026</t>
        </is>
      </c>
      <c r="B52" s="2" t="inlineStr">
        <is>
          <t>Market Price of the Company's Common Stock</t>
        </is>
      </c>
      <c r="C52" s="2" t="n">
        <v>76</v>
      </c>
      <c r="D52" s="2" t="inlineStr">
        <is>
          <t>The closing sale price of our common stock on December 12, 2014, which was the last trading day before the merger was publicly announced, was $77.67 per share. On January 30, 2015, the most recent practicable date before this proxy statement was mailed to our stockholders, the closing price for our common stock was $81.71 per share. You are encouraged to obtain current market quotations for our common stock in connection with voting your shares of our common stock.</t>
        </is>
      </c>
    </row>
    <row r="53" ht="64" customHeight="1">
      <c r="A53" s="2" t="inlineStr">
        <is>
          <t>X-027</t>
        </is>
      </c>
      <c r="B53" s="2" t="inlineStr">
        <is>
          <t>Security Ownership of Certain Beneficial Owners and Management</t>
        </is>
      </c>
      <c r="C53" s="2" t="n">
        <v>77</v>
      </c>
      <c r="D53" s="2" t="inlineStr">
        <is>
          <t>Name and Address of Beneficial Owner ​ ​ Number of Shares Beneficially Owned ​ ​ Percent of Class ​ 5% Stockholders: ​ ​ ​ Longview Asset Management, LLC (1) ​ ​ ​ ​ 8,214,170 ​ ​ ​ ​ ​ 8.3 % ​ ​ The Vanguard Group, Inc (2) ​ ​ ​ ​ 7,404,716 ​ ​ ​ ​ ​ 7.1 % ​ ​ JANA Partners LLC (3) ​ ​ ​ ​ 5,050,107 ​ ​ ​ ​ ​ 5.1 % ​ ​ Information is based solely upon a Schedule 13D/A filed by Longview Asset Management, LLC on December 19, 2014, which reported that Longview Asset Management, LLC has an aggregate beneficial ownership of 8,214,170 shares.</t>
        </is>
      </c>
    </row>
    <row r="54" ht="89" customHeight="1">
      <c r="A54" s="2" t="inlineStr">
        <is>
          <t>X-028</t>
        </is>
      </c>
      <c r="B54" s="2" t="inlineStr">
        <is>
          <t>The Special Meeting - Solicitation of Proxies (Innisfree)</t>
        </is>
      </c>
      <c r="C54" s="2" t="n">
        <v>20</v>
      </c>
      <c r="D54" s="2" t="inlineStr">
        <is>
          <t>The board is soliciting your proxy, and we will bear the cost of soliciting proxies. This includes the charges and expenses of brokerage firms and others for forwarding solicitation material to beneficial owners of our outstanding common stock. Innisfree M&amp;A Incorporated, a proxy solicitation firm, has been retained to assist it in the solicitation of proxies for the special meeting. As of the record date, the Company has paid Innisfree M&amp;A Incorporated approximately $182,725 for the solicitation of proxies in connection with the special meeting and other advisory work, and expects to pay Innisfree M&amp;A Incorporated, in the aggregate, approximately $240,000 through March 2015. Proxies may be solicited by mail, personal interview, e-mail, telephone, or via the Internet by Innisfree M&amp;A Incorporated or, without additional compensation by certain of the Company’s directors, officers and employees.</t>
        </is>
      </c>
    </row>
    <row r="55" ht="51.5" customHeight="1">
      <c r="A55" s="2" t="inlineStr">
        <is>
          <t>X-029</t>
        </is>
      </c>
      <c r="B55" s="2" t="inlineStr">
        <is>
          <t>Summary - Record Date and Quorum</t>
        </is>
      </c>
      <c r="C55" s="2" t="n">
        <v>2</v>
      </c>
      <c r="D55" s="2" t="inlineStr">
        <is>
          <t>The holders of record of the common stock as of the close of business on January 29, 2015 (the record date for determination of stockholders entitled to notice of and to vote at the special meeting), are entitled to receive notice of and to vote at the special meeting. As of the close of business on the record date, there were 99,455,151 shares of common stock outstanding.</t>
        </is>
      </c>
    </row>
    <row r="56" ht="26.5" customHeight="1">
      <c r="A56" s="2" t="inlineStr">
        <is>
          <t>X-030</t>
        </is>
      </c>
      <c r="B56" s="2" t="inlineStr">
        <is>
          <t>Letter to Stockholders (proxy statement date)</t>
        </is>
      </c>
      <c r="C56" s="2" t="n"/>
      <c r="D56" s="2" t="inlineStr">
        <is>
          <t>This proxy statement is dated February 2, 2015 and is first being mailed to stockholders on or about February 2, 2015.</t>
        </is>
      </c>
    </row>
    <row r="57" ht="114" customHeight="1">
      <c r="A57" s="2" t="inlineStr">
        <is>
          <t>X-031</t>
        </is>
      </c>
      <c r="B57" s="2" t="inlineStr">
        <is>
          <t>Letter to Stockholders (transaction and consortium)</t>
        </is>
      </c>
      <c r="C57" s="2" t="n"/>
      <c r="D57" s="2" t="inlineStr">
        <is>
          <t>At the special meeting, holders of our common stock, par value $0.0001 per share (“common stock”), will be asked to consider and vote on a proposal to adopt an Agreement and Plan of Merger (as it may be amended from time to time, the “merger agreement”), dated as of December 14, 2014, by and among the Company, Argos Holdings Inc., a Delaware corporation (“Parent”), and Argos Merger Sub Inc., a Delaware corporation and wholly owned subsidiary of Parent (“Merger Sub”). Under the merger agreement, Merger Sub will be merged with and into the Company (the “merger”), and each share of common stock outstanding at the effective time of the merger (other than certain shares as set forth in the merger agreement) will be cancelled and converted into the right to receive $83.00 in cash (the “merger consideration”). If the merger is completed, the Company will become a subsidiary of Parent, an entity which will be owned by a consortium including funds advised by BC Partners, Inc., La Caisse de dépôt et placement du Québec, affiliates of GIC Special Investments Pte Ltd, affiliates of StepStone Group LP and Longview Asset Management, LLC.</t>
        </is>
      </c>
    </row>
    <row r="58" ht="76.5" customHeight="1">
      <c r="A58" s="2" t="inlineStr">
        <is>
          <t>X-032</t>
        </is>
      </c>
      <c r="B58" s="2" t="inlineStr">
        <is>
          <t>Summary - Termination (Company termination fee)</t>
        </is>
      </c>
      <c r="C58" s="2" t="n">
        <v>7</v>
      </c>
      <c r="D58" s="2" t="inlineStr">
        <is>
          <t>Following the end of such three business day period (and any extension thereto), after taking into account any revisions to the terms and conditions of the merger agreement proposed by Parent, the board must determine that the superior proposal remains superior to the merger proposal. If the Company terminates the merger agreement to enter into an agreement with a third party regarding a superior proposal or the board changes its recommendation in response to a superior proposal and the agreement is terminated by Parent, then the Company must pay a termination fee of $255 million to Parent (as described in more detail under The Merger Agreement — Termination ).</t>
        </is>
      </c>
    </row>
  </sheetData>
  <autoFilter ref="A1:D5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2026-09-19T13:41:20Z</dcterms:created>
  <dcterms:modified xmlns:dcterms="http://purl.org/dc/terms/" xmlns:xsi="http://www.w3.org/2001/XMLSchema-instance" xsi:type="dcterms:W3CDTF">2026-09-19T13:41:20Z</dcterms:modified>
</cp:coreProperties>
</file>