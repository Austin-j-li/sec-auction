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Lists" sheetId="5" state="hidden" r:id="rId5"/>
  </sheets>
  <definedNames>
    <definedName name="List_WhatHappened">Lists!$A$2:$A$41</definedName>
    <definedName name="List_Type">Lists!$B$2:$B$5</definedName>
    <definedName name="List_Formality">Lists!$C$2:$C$5</definedName>
    <definedName name="List_ConditionsLevel">Lists!$D$2:$D$6</definedName>
    <definedName name="List_Include">Lists!$E$2:$E$3</definedName>
    <definedName name="List_DateBasis">Lists!$F$2:$F$7</definedName>
    <definedName name="List_DateMethod">Lists!$G$2:$G$8</definedName>
    <definedName name="List_PriceKind">Lists!$H$2:$H$6</definedName>
    <definedName name="List_PriceOrigin">Lists!$I$2:$I$4</definedName>
    <definedName name="List_AllCash">Lists!$J$2:$J$4</definedName>
    <definedName name="List_DeadlineTreatment">Lists!$K$2:$K$8</definedName>
    <definedName name="List_RoundFinality">Lists!$L$2:$L$4</definedName>
    <definedName name="List_DecidedBy">Lists!$M$2:$M$5</definedName>
    <definedName name="List_ExitReason">Lists!$N$2:$N$10</definedName>
    <definedName name="List_OutcomeBasis">Lists!$O$2:$O$6</definedName>
    <definedName name="_xlnm._FilterDatabase" localSheetId="0" hidden="1">'Deal ledger'!$A$1:$AM$50</definedName>
    <definedName name="_xlnm._FilterDatabase" localSheetId="3" hidden="1">'Source text'!$A$1:$D$70</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7">
    <font>
      <name val="Calibri"/>
      <family val="2"/>
      <color theme="1"/>
      <sz val="11"/>
      <scheme val="minor"/>
    </font>
    <font>
      <b val="1"/>
      <sz val="10"/>
    </font>
    <font>
      <b val="1"/>
      <color rgb="00FFFFFF"/>
      <sz val="10"/>
    </font>
    <font>
      <sz val="10"/>
    </font>
    <font>
      <color rgb="000563C1"/>
      <sz val="10"/>
      <u val="single"/>
    </font>
    <font>
      <b val="1"/>
      <sz val="13"/>
    </font>
    <font>
      <b val="1"/>
      <sz val="1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165" fontId="3" fillId="0" borderId="1" applyAlignment="1" pivotButton="0" quotePrefix="0" xfId="0">
      <alignment vertical="top" wrapText="1"/>
    </xf>
    <xf numFmtId="165" fontId="3" fillId="0" borderId="1" applyAlignment="1" pivotButton="0" quotePrefix="0" xfId="0">
      <alignment horizontal="center" vertical="top" wrapText="1"/>
    </xf>
    <xf numFmtId="4" fontId="3" fillId="0" borderId="1" applyAlignment="1" pivotButton="0" quotePrefix="0" xfId="0">
      <alignment vertical="top" wrapText="1"/>
    </xf>
    <xf numFmtId="0" fontId="5" fillId="0" borderId="0" pivotButton="0" quotePrefix="0" xfId="0"/>
    <xf numFmtId="0" fontId="6" fillId="3" borderId="0" pivotButton="0" quotePrefix="0" xfId="0"/>
    <xf numFmtId="0" fontId="0" fillId="3" borderId="0" pivotButton="0" quotePrefix="0" xfId="0"/>
    <xf numFmtId="0" fontId="3"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ource text'!A3" TargetMode="External" Id="rId1"/><Relationship Type="http://schemas.openxmlformats.org/officeDocument/2006/relationships/hyperlink" Target="#'Source text'!A4" TargetMode="External" Id="rId2"/><Relationship Type="http://schemas.openxmlformats.org/officeDocument/2006/relationships/hyperlink" Target="#'Source text'!A5" TargetMode="External" Id="rId3"/><Relationship Type="http://schemas.openxmlformats.org/officeDocument/2006/relationships/hyperlink" Target="#'Source text'!A5" TargetMode="External" Id="rId4"/><Relationship Type="http://schemas.openxmlformats.org/officeDocument/2006/relationships/hyperlink" Target="#'Source text'!A6" TargetMode="External" Id="rId5"/><Relationship Type="http://schemas.openxmlformats.org/officeDocument/2006/relationships/hyperlink" Target="#'Source text'!A7" TargetMode="External" Id="rId6"/><Relationship Type="http://schemas.openxmlformats.org/officeDocument/2006/relationships/hyperlink" Target="#'Source text'!A7" TargetMode="External" Id="rId7"/><Relationship Type="http://schemas.openxmlformats.org/officeDocument/2006/relationships/hyperlink" Target="#'Source text'!A7" TargetMode="External" Id="rId8"/><Relationship Type="http://schemas.openxmlformats.org/officeDocument/2006/relationships/hyperlink" Target="#'Source text'!A8" TargetMode="External" Id="rId9"/><Relationship Type="http://schemas.openxmlformats.org/officeDocument/2006/relationships/hyperlink" Target="#'Source text'!A9" TargetMode="External" Id="rId10"/><Relationship Type="http://schemas.openxmlformats.org/officeDocument/2006/relationships/hyperlink" Target="#'Source text'!A11" TargetMode="External" Id="rId11"/><Relationship Type="http://schemas.openxmlformats.org/officeDocument/2006/relationships/hyperlink" Target="#'Source text'!A10" TargetMode="External" Id="rId12"/><Relationship Type="http://schemas.openxmlformats.org/officeDocument/2006/relationships/hyperlink" Target="#'Source text'!A12" TargetMode="External" Id="rId13"/><Relationship Type="http://schemas.openxmlformats.org/officeDocument/2006/relationships/hyperlink" Target="#'Source text'!A12" TargetMode="External" Id="rId14"/><Relationship Type="http://schemas.openxmlformats.org/officeDocument/2006/relationships/hyperlink" Target="#'Source text'!A13" TargetMode="External" Id="rId15"/><Relationship Type="http://schemas.openxmlformats.org/officeDocument/2006/relationships/hyperlink" Target="#'Source text'!A14" TargetMode="External" Id="rId16"/><Relationship Type="http://schemas.openxmlformats.org/officeDocument/2006/relationships/hyperlink" Target="#'Source text'!A14" TargetMode="External" Id="rId17"/><Relationship Type="http://schemas.openxmlformats.org/officeDocument/2006/relationships/hyperlink" Target="#'Source text'!A15" TargetMode="External" Id="rId18"/><Relationship Type="http://schemas.openxmlformats.org/officeDocument/2006/relationships/hyperlink" Target="#'Source text'!A17" TargetMode="External" Id="rId19"/><Relationship Type="http://schemas.openxmlformats.org/officeDocument/2006/relationships/hyperlink" Target="#'Source text'!A17" TargetMode="External" Id="rId20"/><Relationship Type="http://schemas.openxmlformats.org/officeDocument/2006/relationships/hyperlink" Target="#'Source text'!A17" TargetMode="External" Id="rId21"/><Relationship Type="http://schemas.openxmlformats.org/officeDocument/2006/relationships/hyperlink" Target="#'Source text'!A17" TargetMode="External" Id="rId22"/><Relationship Type="http://schemas.openxmlformats.org/officeDocument/2006/relationships/hyperlink" Target="#'Source text'!A17" TargetMode="External" Id="rId23"/><Relationship Type="http://schemas.openxmlformats.org/officeDocument/2006/relationships/hyperlink" Target="#'Source text'!A17" TargetMode="External" Id="rId24"/><Relationship Type="http://schemas.openxmlformats.org/officeDocument/2006/relationships/hyperlink" Target="#'Source text'!A17" TargetMode="External" Id="rId25"/><Relationship Type="http://schemas.openxmlformats.org/officeDocument/2006/relationships/hyperlink" Target="#'Source text'!A18" TargetMode="External" Id="rId26"/><Relationship Type="http://schemas.openxmlformats.org/officeDocument/2006/relationships/hyperlink" Target="#'Source text'!A18" TargetMode="External" Id="rId27"/><Relationship Type="http://schemas.openxmlformats.org/officeDocument/2006/relationships/hyperlink" Target="#'Source text'!A19" TargetMode="External" Id="rId28"/><Relationship Type="http://schemas.openxmlformats.org/officeDocument/2006/relationships/hyperlink" Target="#'Source text'!A20" TargetMode="External" Id="rId29"/><Relationship Type="http://schemas.openxmlformats.org/officeDocument/2006/relationships/hyperlink" Target="#'Source text'!A20" TargetMode="External" Id="rId30"/><Relationship Type="http://schemas.openxmlformats.org/officeDocument/2006/relationships/hyperlink" Target="#'Source text'!A21" TargetMode="External" Id="rId31"/><Relationship Type="http://schemas.openxmlformats.org/officeDocument/2006/relationships/hyperlink" Target="#'Source text'!A21" TargetMode="External" Id="rId32"/><Relationship Type="http://schemas.openxmlformats.org/officeDocument/2006/relationships/hyperlink" Target="#'Source text'!A22" TargetMode="External" Id="rId33"/><Relationship Type="http://schemas.openxmlformats.org/officeDocument/2006/relationships/hyperlink" Target="#'Source text'!A26" TargetMode="External" Id="rId34"/><Relationship Type="http://schemas.openxmlformats.org/officeDocument/2006/relationships/hyperlink" Target="#'Source text'!A26" TargetMode="External" Id="rId35"/><Relationship Type="http://schemas.openxmlformats.org/officeDocument/2006/relationships/hyperlink" Target="#'Source text'!A26" TargetMode="External" Id="rId36"/><Relationship Type="http://schemas.openxmlformats.org/officeDocument/2006/relationships/hyperlink" Target="#'Source text'!A26" TargetMode="External" Id="rId37"/><Relationship Type="http://schemas.openxmlformats.org/officeDocument/2006/relationships/hyperlink" Target="#'Source text'!A26" TargetMode="External" Id="rId38"/><Relationship Type="http://schemas.openxmlformats.org/officeDocument/2006/relationships/hyperlink" Target="#'Source text'!A27" TargetMode="External" Id="rId39"/><Relationship Type="http://schemas.openxmlformats.org/officeDocument/2006/relationships/hyperlink" Target="#'Source text'!A30" TargetMode="External" Id="rId40"/><Relationship Type="http://schemas.openxmlformats.org/officeDocument/2006/relationships/hyperlink" Target="#'Source text'!A28" TargetMode="External" Id="rId41"/><Relationship Type="http://schemas.openxmlformats.org/officeDocument/2006/relationships/hyperlink" Target="#'Source text'!A30" TargetMode="External" Id="rId42"/><Relationship Type="http://schemas.openxmlformats.org/officeDocument/2006/relationships/hyperlink" Target="#'Source text'!A30" TargetMode="External" Id="rId43"/><Relationship Type="http://schemas.openxmlformats.org/officeDocument/2006/relationships/hyperlink" Target="#'Source text'!A30" TargetMode="External" Id="rId44"/><Relationship Type="http://schemas.openxmlformats.org/officeDocument/2006/relationships/hyperlink" Target="#'Source text'!A31" TargetMode="External" Id="rId45"/><Relationship Type="http://schemas.openxmlformats.org/officeDocument/2006/relationships/hyperlink" Target="#'Source text'!A52" TargetMode="External" Id="rId46"/><Relationship Type="http://schemas.openxmlformats.org/officeDocument/2006/relationships/hyperlink" Target="#'Source text'!A32" TargetMode="External" Id="rId47"/><Relationship Type="http://schemas.openxmlformats.org/officeDocument/2006/relationships/hyperlink" Target="#'Source text'!A32" TargetMode="External" Id="rId48"/><Relationship Type="http://schemas.openxmlformats.org/officeDocument/2006/relationships/hyperlink" Target="#'Source text'!A50" TargetMode="External" Id="rId49"/></Relationships>
</file>

<file path=xl/worksheets/sheet1.xml><?xml version="1.0" encoding="utf-8"?>
<worksheet xmlns="http://schemas.openxmlformats.org/spreadsheetml/2006/main">
  <sheetPr>
    <outlinePr summaryBelow="1" summaryRight="0"/>
    <pageSetUpPr/>
  </sheetPr>
  <dimension ref="A1:AM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6" customWidth="1" min="3" max="3"/>
    <col width="18" customWidth="1" min="4" max="4"/>
    <col width="8" customWidth="1" min="5" max="5"/>
    <col width="7" customWidth="1" min="6" max="6"/>
    <col width="11" customWidth="1" min="7" max="7"/>
    <col width="64" customWidth="1" min="8" max="8"/>
    <col width="12" customWidth="1" min="9" max="9"/>
    <col width="15" customWidth="1" min="10" max="10"/>
    <col width="95" customWidth="1" min="11" max="11"/>
    <col width="20" customWidth="1" min="12" max="12"/>
    <col width="10" customWidth="1" min="13" max="13"/>
    <col width="14" customWidth="1" min="14" max="14"/>
    <col hidden="1" outlineLevel="1" width="8" customWidth="1" min="15" max="15"/>
    <col hidden="1" outlineLevel="1" width="8" customWidth="1" min="16" max="16"/>
    <col hidden="1" outlineLevel="1" width="7" customWidth="1" min="17" max="17"/>
    <col hidden="1" outlineLevel="1" width="10" customWidth="1" min="18" max="18"/>
    <col hidden="1" outlineLevel="1" width="10" customWidth="1" min="19" max="19"/>
    <col hidden="1" outlineLevel="1" width="11" customWidth="1" min="20" max="20"/>
    <col hidden="1" outlineLevel="1" width="15" customWidth="1" min="21" max="21"/>
    <col hidden="1" outlineLevel="1" width="15" customWidth="1" min="22" max="22"/>
    <col hidden="1" outlineLevel="1" width="9" customWidth="1" min="23" max="23"/>
    <col hidden="1" outlineLevel="1" width="9" customWidth="1" min="24" max="24"/>
    <col hidden="1" outlineLevel="1" width="12" customWidth="1" min="25" max="25"/>
    <col hidden="1" outlineLevel="1" width="10" customWidth="1" min="26" max="26"/>
    <col hidden="1" outlineLevel="1" width="8" customWidth="1" min="27" max="27"/>
    <col hidden="1" outlineLevel="1" width="9" customWidth="1" min="28" max="28"/>
    <col hidden="1" outlineLevel="1" width="11" customWidth="1" min="29" max="29"/>
    <col hidden="1" outlineLevel="1" width="46" customWidth="1" min="30" max="30"/>
    <col hidden="1" outlineLevel="1" width="10" customWidth="1" min="31" max="31"/>
    <col hidden="1" outlineLevel="1" width="15" customWidth="1" min="32" max="32"/>
    <col hidden="1" outlineLevel="1" width="13" customWidth="1" min="33" max="33"/>
    <col hidden="1" outlineLevel="1" width="10" customWidth="1" min="34" max="34"/>
    <col hidden="1" outlineLevel="1" width="20" customWidth="1" min="35" max="35"/>
    <col hidden="1" outlineLevel="1" width="14" customWidth="1" min="36" max="36"/>
    <col hidden="1" outlineLevel="1" width="6" customWidth="1" min="37" max="37"/>
    <col hidden="1" outlineLevel="1" width="16" customWidth="1" min="38" max="38"/>
    <col hidden="1" outlineLevel="1" width="9" customWidth="1" min="39"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c r="A2" s="2" t="n">
        <v>1</v>
      </c>
      <c r="B2" s="3" t="inlineStr">
        <is>
          <t>March 2014 (board authorization); Spring 2014 (discussions)</t>
        </is>
      </c>
      <c r="C2" s="3" t="inlineStr">
        <is>
          <t>PetSmart board and management (contacting Industry Participant)</t>
        </is>
      </c>
      <c r="D2" s="3" t="inlineStr">
        <is>
          <t>Target interest</t>
        </is>
      </c>
      <c r="E2" s="2" t="n">
        <v>1</v>
      </c>
      <c r="F2" s="2" t="n">
        <v>0</v>
      </c>
      <c r="G2" s="3" t="inlineStr"/>
      <c r="H2" s="3" t="inlineStr">
        <is>
          <t>PetSmart considered a merger with or acquisition of Industry Participant, a privately-held company in its industry; the board authorized management in March 2014 to test interest, and discussions during Spring 2014 ended with Industry Participant saying it was not for sale and that antitrust clearance for a combination would be unavailable or available only with unacceptable conditions. PetSmart-side acquisition attempt — recorded as context; not a bid for PetSmart and excluded from core bid counts.</t>
        </is>
      </c>
      <c r="I2" s="3" t="inlineStr"/>
      <c r="J2" s="3" t="inlineStr"/>
      <c r="K2" s="3" t="inlineStr">
        <is>
          <t>Stated: the filing describes PetSmart's own exploration of acquiring Industry Participant. Scope: direction is PetSmart→Industry Participant, so this is not a whole-company bid for the target; kept because it frames the later exclusion decision (R011) and the initiation story. Quotations: “During the first calendar quarter of 2014, one of the alternatives considered by the board was a merger with or acquisition of another participant in PetSmart’s industry, a privately-held company which we refer to here as “Industry Participant.”” (p. 21) “Industry Participant’s CEO informed Mr. Lenhardt that Industry Participant was not for sale and that, in any event, Industry Participant’s management and owners believed that antitrust clearance for a combination of PetSmart and Industry Participant would not be received or would be received only with unacceptable conditions.” (p. 21)</t>
        </is>
      </c>
      <c r="L2" s="4" t="inlineStr">
        <is>
          <t>P-002</t>
        </is>
      </c>
      <c r="M2" s="2" t="inlineStr">
        <is>
          <t>Q8</t>
        </is>
      </c>
      <c r="N2" s="3" t="inlineStr"/>
      <c r="O2" s="3" t="inlineStr">
        <is>
          <t>R001</t>
        </is>
      </c>
      <c r="P2" s="2" t="inlineStr">
        <is>
          <t>Yes</t>
        </is>
      </c>
      <c r="Q2" s="2" t="n"/>
      <c r="R2" s="5" t="n">
        <v>41699</v>
      </c>
      <c r="S2" s="5" t="n">
        <v>41820</v>
      </c>
      <c r="T2" s="6" t="n">
        <v>41699</v>
      </c>
      <c r="U2" s="3" t="inlineStr">
        <is>
          <t>Reported interval</t>
        </is>
      </c>
      <c r="V2" s="2" t="inlineStr">
        <is>
          <t>Assigned: bound</t>
        </is>
      </c>
      <c r="W2" s="7" t="n"/>
      <c r="X2" s="7" t="n"/>
      <c r="Y2" s="2" t="n"/>
      <c r="Z2" s="2" t="n"/>
      <c r="AA2" s="2" t="n"/>
      <c r="AB2" s="2" t="n"/>
      <c r="AC2" s="7" t="n"/>
      <c r="AD2" s="3" t="n"/>
      <c r="AE2" s="5" t="n"/>
      <c r="AF2" s="2" t="n"/>
      <c r="AG2" s="2" t="n"/>
      <c r="AH2" s="2" t="n"/>
      <c r="AI2" s="2" t="n"/>
      <c r="AJ2" s="2" t="n"/>
      <c r="AK2" s="2" t="n">
        <v>21</v>
      </c>
      <c r="AL2" s="3" t="inlineStr">
        <is>
          <t>R011</t>
        </is>
      </c>
      <c r="AM2" s="3" t="inlineStr">
        <is>
          <t>petsmart</t>
        </is>
      </c>
    </row>
    <row r="3">
      <c r="A3" s="2" t="n">
        <v>2</v>
      </c>
      <c r="B3" s="3" t="inlineStr">
        <is>
          <t>05/21/2014 (earnings release); late May–June 2014 (communications)</t>
        </is>
      </c>
      <c r="C3" s="3" t="inlineStr">
        <is>
          <t>PetSmart; stockholders and interested parties</t>
        </is>
      </c>
      <c r="D3" s="3" t="inlineStr">
        <is>
          <t>Material process update</t>
        </is>
      </c>
      <c r="E3" s="2" t="n">
        <v>1</v>
      </c>
      <c r="F3" s="2" t="n">
        <v>0</v>
      </c>
      <c r="G3" s="3" t="inlineStr"/>
      <c r="H3" s="3" t="inlineStr">
        <is>
          <t>Q1 earnings released below Wall Street expectations with weaker guidance; in late May–June the Company received written or verbal communications from some stockholders and interested parties suggesting strategic or financial alternatives, including a levered return of capital and a sale of the Company. Unpriced; initiation context.</t>
        </is>
      </c>
      <c r="I3" s="3" t="inlineStr"/>
      <c r="J3" s="3" t="inlineStr"/>
      <c r="K3" s="3" t="inlineStr">
        <is>
          <t>Stated: initiation context after the earnings miss. No price, no participant admitted; Count blank. Quotation: “On May 21, 2014, the Company released its first quarter earnings announcement, which disclosed quarterly performance below Wall Street expectations and weaker-than-expected guidance for its second quarter and full year. Following this release, in late May and June 2014, the Company received written or verbal communications from some stockholders and from interested parties suggesting that the Company engage in various strategic or financial alternatives. Among the alternatives suggested were a levered return of capital to stockholders and a sale of the Company.” (p. 21)</t>
        </is>
      </c>
      <c r="L3" s="4" t="inlineStr">
        <is>
          <t>P-003</t>
        </is>
      </c>
      <c r="M3" s="2" t="inlineStr">
        <is>
          <t>Q1</t>
        </is>
      </c>
      <c r="N3" s="3" t="inlineStr"/>
      <c r="O3" s="3" t="inlineStr">
        <is>
          <t>R002</t>
        </is>
      </c>
      <c r="P3" s="2" t="inlineStr">
        <is>
          <t>Yes</t>
        </is>
      </c>
      <c r="Q3" s="2" t="n"/>
      <c r="R3" s="5" t="n">
        <v>41780</v>
      </c>
      <c r="S3" s="5" t="n">
        <v>41820</v>
      </c>
      <c r="T3" s="6" t="n">
        <v>41780</v>
      </c>
      <c r="U3" s="3" t="inlineStr">
        <is>
          <t>Reported interval</t>
        </is>
      </c>
      <c r="V3" s="2" t="inlineStr">
        <is>
          <t>Assigned: bound</t>
        </is>
      </c>
      <c r="W3" s="7" t="n"/>
      <c r="X3" s="7" t="n"/>
      <c r="Y3" s="2" t="n"/>
      <c r="Z3" s="2" t="n"/>
      <c r="AA3" s="2" t="n"/>
      <c r="AB3" s="2" t="n"/>
      <c r="AC3" s="7" t="n"/>
      <c r="AD3" s="3" t="n"/>
      <c r="AE3" s="5" t="n"/>
      <c r="AF3" s="2" t="n"/>
      <c r="AG3" s="2" t="n"/>
      <c r="AH3" s="2" t="n"/>
      <c r="AI3" s="2" t="n"/>
      <c r="AJ3" s="2" t="n"/>
      <c r="AK3" s="2" t="n">
        <v>21</v>
      </c>
      <c r="AL3" s="3" t="inlineStr"/>
      <c r="AM3" s="3" t="inlineStr">
        <is>
          <t>petsmart</t>
        </is>
      </c>
    </row>
    <row r="4">
      <c r="A4" s="2" t="n">
        <v>3</v>
      </c>
      <c r="B4" s="3" t="inlineStr">
        <is>
          <t>06/18/2014</t>
        </is>
      </c>
      <c r="C4" s="3" t="inlineStr">
        <is>
          <t>PetSmart board</t>
        </is>
      </c>
      <c r="D4" s="3" t="inlineStr">
        <is>
          <t>Target sale decision</t>
        </is>
      </c>
      <c r="E4" s="2" t="n">
        <v>1</v>
      </c>
      <c r="F4" s="2" t="n">
        <v>0</v>
      </c>
      <c r="G4" s="3" t="inlineStr"/>
      <c r="H4" s="3" t="inlineStr">
        <is>
          <t>Board determined to explore more intensively potential changes to the Company's capital structure, with a focus on returning capital to stockholders — a capital-structure review, not yet a decision to sell; established the ad hoc committee (Chairman Gregory Josefowicz and directors Rakesh Gangwal and Thomas Stemberg) to review alternatives and authorized vetting and retention of a financial advisor.</t>
        </is>
      </c>
      <c r="I4" s="3" t="inlineStr"/>
      <c r="J4" s="3" t="inlineStr"/>
      <c r="K4" s="3" t="inlineStr">
        <is>
          <t>Stated; qualifications preserved (capital-return focus). Sale exploration began as one alternative among several. Quotations: “At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The board also established an ad hoc advisory subcommittee (the “ad hoc committee”)” (p. 21) “Chairman Gregory Josefowicz and directors Rakesh Gangwal and Thomas Stemberg, all of whom are nonexecutive, independent directors, were appointed to the ad hoc committee. In addition, the board authorized the vetting and retention of a financial advisor to assist in the review.” (p. 22)</t>
        </is>
      </c>
      <c r="L4" s="4" t="inlineStr">
        <is>
          <t>P-004; P-005</t>
        </is>
      </c>
      <c r="M4" s="2" t="inlineStr">
        <is>
          <t>Q1</t>
        </is>
      </c>
      <c r="N4" s="3" t="inlineStr"/>
      <c r="O4" s="3" t="inlineStr">
        <is>
          <t>R003</t>
        </is>
      </c>
      <c r="P4" s="2" t="inlineStr">
        <is>
          <t>Yes</t>
        </is>
      </c>
      <c r="Q4" s="2" t="n"/>
      <c r="R4" s="5" t="n">
        <v>41808</v>
      </c>
      <c r="S4" s="5" t="n">
        <v>41808</v>
      </c>
      <c r="T4" s="6" t="n">
        <v>41808</v>
      </c>
      <c r="U4" s="3" t="inlineStr">
        <is>
          <t>Reported day</t>
        </is>
      </c>
      <c r="V4" s="2" t="inlineStr">
        <is>
          <t>Reported</t>
        </is>
      </c>
      <c r="W4" s="7" t="n"/>
      <c r="X4" s="7" t="n"/>
      <c r="Y4" s="2" t="n"/>
      <c r="Z4" s="2" t="n"/>
      <c r="AA4" s="2" t="n"/>
      <c r="AB4" s="2" t="n"/>
      <c r="AC4" s="7" t="n"/>
      <c r="AD4" s="3" t="n"/>
      <c r="AE4" s="5" t="n"/>
      <c r="AF4" s="2" t="n"/>
      <c r="AG4" s="2" t="n"/>
      <c r="AH4" s="2" t="n"/>
      <c r="AI4" s="2" t="n"/>
      <c r="AJ4" s="2" t="n"/>
      <c r="AK4" s="2" t="n">
        <v>21</v>
      </c>
      <c r="AL4" s="3" t="inlineStr">
        <is>
          <t>R004; R005</t>
        </is>
      </c>
      <c r="AM4" s="3" t="inlineStr">
        <is>
          <t>petsmart</t>
        </is>
      </c>
    </row>
    <row r="5">
      <c r="A5" s="2" t="n">
        <v>4</v>
      </c>
      <c r="B5" s="3" t="inlineStr">
        <is>
          <t>06/18/2014 (first shown advising; retention date not disclosed)</t>
        </is>
      </c>
      <c r="C5" s="3" t="inlineStr">
        <is>
          <t>Wachtell, Lipton, Rosen &amp; Katz</t>
        </is>
      </c>
      <c r="D5" s="3" t="inlineStr">
        <is>
          <t>Adviser service observed</t>
        </is>
      </c>
      <c r="E5" s="2" t="n">
        <v>1</v>
      </c>
      <c r="F5" s="2" t="n">
        <v>0</v>
      </c>
      <c r="G5" s="3" t="inlineStr"/>
      <c r="H5" s="3" t="inlineStr">
        <is>
          <t>Legal advisor to the Company; shown advising the board on strategic and financial alternatives from the 06/18/2014 meeting onward, attending board meetings and drafting/revising transaction documents through signing. Engagement date not disclosed; the filing first shows the firm acting on this mandate on 06/18/2014.</t>
        </is>
      </c>
      <c r="I5" s="3" t="inlineStr"/>
      <c r="J5" s="3" t="inlineStr"/>
      <c r="K5" s="3" t="inlineStr">
        <is>
          <t>Stated service; first mention does not prove retention on that date. Working date = earliest date the filing shows the adviser acting on the mandate (convention). Quotation: “the board reviewed, together with a financial advisor and with Wachtell, Lipton, Rosen &amp; Katz (“Wachtell Lipton”), its legal advisor, the various strategic and financial alternatives potentially available to the Company” (p. 21)</t>
        </is>
      </c>
      <c r="L5" s="4" t="inlineStr">
        <is>
          <t>P-004</t>
        </is>
      </c>
      <c r="M5" s="2" t="inlineStr">
        <is>
          <t>Q7</t>
        </is>
      </c>
      <c r="N5" s="3" t="inlineStr"/>
      <c r="O5" s="3" t="inlineStr">
        <is>
          <t>R004</t>
        </is>
      </c>
      <c r="P5" s="2" t="inlineStr">
        <is>
          <t>Yes</t>
        </is>
      </c>
      <c r="Q5" s="2" t="n"/>
      <c r="R5" s="5" t="n">
        <v>41808</v>
      </c>
      <c r="S5" s="5" t="n">
        <v>41808</v>
      </c>
      <c r="T5" s="6" t="n">
        <v>41808</v>
      </c>
      <c r="U5" s="3" t="inlineStr">
        <is>
          <t>Reported day</t>
        </is>
      </c>
      <c r="V5" s="2" t="inlineStr">
        <is>
          <t>Reported</t>
        </is>
      </c>
      <c r="W5" s="7" t="n"/>
      <c r="X5" s="7" t="n"/>
      <c r="Y5" s="2" t="n"/>
      <c r="Z5" s="2" t="n"/>
      <c r="AA5" s="2" t="n"/>
      <c r="AB5" s="2" t="n"/>
      <c r="AC5" s="7" t="n"/>
      <c r="AD5" s="3" t="n"/>
      <c r="AE5" s="5" t="n"/>
      <c r="AF5" s="2" t="n"/>
      <c r="AG5" s="2" t="n"/>
      <c r="AH5" s="2" t="n"/>
      <c r="AI5" s="2" t="n"/>
      <c r="AJ5" s="2" t="n"/>
      <c r="AK5" s="2" t="n">
        <v>21</v>
      </c>
      <c r="AL5" s="3" t="inlineStr">
        <is>
          <t>R005</t>
        </is>
      </c>
      <c r="AM5" s="3" t="inlineStr">
        <is>
          <t>petsmart</t>
        </is>
      </c>
    </row>
    <row r="6">
      <c r="A6" s="2" t="n">
        <v>5</v>
      </c>
      <c r="B6" s="3" t="inlineStr">
        <is>
          <t>July 2014 (retained); engagement letter effective 08/21/2014</t>
        </is>
      </c>
      <c r="C6" s="3" t="inlineStr">
        <is>
          <t>J.P. Morgan Securities LLC</t>
        </is>
      </c>
      <c r="D6" s="3" t="inlineStr">
        <is>
          <t>Adviser engaged</t>
        </is>
      </c>
      <c r="E6" s="2" t="n">
        <v>1</v>
      </c>
      <c r="F6" s="2" t="n">
        <v>0</v>
      </c>
      <c r="G6" s="3" t="inlineStr"/>
      <c r="H6" s="3" t="inlineStr">
        <is>
          <t>Financial advisor to the Company; retained in July 2014 after interviewing several potential advisors, with an engagement letter effective 08/21/2014. Fee up to approximately $39 million with a substantial portion payable only if the merger is consummated. Disclosed relationships: J.P. Morgan and affiliates received compensation of approximately $110 million from Buyer Group members (including ~$400,000 from Longview) in the two years before its opinion; James Crown, with a significant economic interest in shares subject to the voting agreement, serves on the board of JPMorgan Chase &amp; Co.</t>
        </is>
      </c>
      <c r="I6" s="3" t="inlineStr"/>
      <c r="J6" s="3" t="inlineStr"/>
      <c r="K6" s="3" t="inlineStr">
        <is>
          <t>Stated engagement and fee; conflicts are the filing's own disclosures. Working date = first day of the July retention window (convention; day not disclosed); later engagement-letter date listed in Terms. Quotations: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 (p. 22) “For services rendered in connection with the merger and the delivery of its opinion, the Company has agreed to pay J.P. Morgan an amount up to approximately $39 million, a substantial portion of which will become payable only if the merger is consummated.” (p. 37) “During the two years preceding the date of its opinion, J.P. Morgan and its affiliates have received compensation or other financial benefits from the members of the Buyer Group for the foregoing services in the aggregate amount of approximately $110 million, including approximately $400,000 from Longview.” (p. 37)</t>
        </is>
      </c>
      <c r="L6" s="4" t="inlineStr">
        <is>
          <t>P-005; X-025; X-029; X-030</t>
        </is>
      </c>
      <c r="M6" s="2" t="inlineStr">
        <is>
          <t>Q7</t>
        </is>
      </c>
      <c r="N6" s="3" t="inlineStr"/>
      <c r="O6" s="3" t="inlineStr">
        <is>
          <t>R005</t>
        </is>
      </c>
      <c r="P6" s="2" t="inlineStr">
        <is>
          <t>Yes</t>
        </is>
      </c>
      <c r="Q6" s="2" t="n"/>
      <c r="R6" s="5" t="n">
        <v>41821</v>
      </c>
      <c r="S6" s="5" t="n">
        <v>41851</v>
      </c>
      <c r="T6" s="6" t="n">
        <v>41821</v>
      </c>
      <c r="U6" s="3" t="inlineStr">
        <is>
          <t>Reported interval</t>
        </is>
      </c>
      <c r="V6" s="2" t="inlineStr">
        <is>
          <t>Assigned: bound</t>
        </is>
      </c>
      <c r="W6" s="7" t="n"/>
      <c r="X6" s="7" t="n"/>
      <c r="Y6" s="2" t="n"/>
      <c r="Z6" s="2" t="n"/>
      <c r="AA6" s="2" t="n"/>
      <c r="AB6" s="2" t="n"/>
      <c r="AC6" s="7" t="n"/>
      <c r="AD6" s="3" t="n"/>
      <c r="AE6" s="5" t="n"/>
      <c r="AF6" s="2" t="n"/>
      <c r="AG6" s="2" t="n"/>
      <c r="AH6" s="2" t="n"/>
      <c r="AI6" s="2" t="n"/>
      <c r="AJ6" s="2" t="n"/>
      <c r="AK6" s="2" t="n">
        <v>22</v>
      </c>
      <c r="AL6" s="3" t="inlineStr">
        <is>
          <t>R003</t>
        </is>
      </c>
      <c r="AM6" s="3" t="inlineStr">
        <is>
          <t>petsmart</t>
        </is>
      </c>
    </row>
    <row r="7">
      <c r="A7" s="2" t="n">
        <v>6</v>
      </c>
      <c r="B7" s="3" t="inlineStr">
        <is>
          <t>07/03/2014</t>
        </is>
      </c>
      <c r="C7" s="3" t="inlineStr">
        <is>
          <t>JANA Partners</t>
        </is>
      </c>
      <c r="D7" s="3" t="inlineStr">
        <is>
          <t>Activist pressure</t>
        </is>
      </c>
      <c r="E7" s="2" t="n">
        <v>1</v>
      </c>
      <c r="F7" s="2" t="n">
        <v>0</v>
      </c>
      <c r="G7" s="3" t="inlineStr"/>
      <c r="H7" s="3" t="inlineStr">
        <is>
          <t>JANA filed a Schedule 13D disclosing a 9.9% stake and an intent to engage with management and the board about a review of strategic alternatives, including a sale of the Company. Unpriced; public pressure event.</t>
        </is>
      </c>
      <c r="I7" s="3" t="inlineStr"/>
      <c r="J7" s="3" t="inlineStr"/>
      <c r="K7" s="3" t="inlineStr">
        <is>
          <t>Stated; 9.9% stake and sale advocacy. Not a bidder (no acquisition proposal). Quotation: “On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(p. 22)</t>
        </is>
      </c>
      <c r="L7" s="4" t="inlineStr">
        <is>
          <t>P-006</t>
        </is>
      </c>
      <c r="M7" s="2" t="inlineStr"/>
      <c r="N7" s="3" t="inlineStr"/>
      <c r="O7" s="3" t="inlineStr">
        <is>
          <t>R006</t>
        </is>
      </c>
      <c r="P7" s="2" t="inlineStr">
        <is>
          <t>Yes</t>
        </is>
      </c>
      <c r="Q7" s="2" t="n"/>
      <c r="R7" s="5" t="n">
        <v>41823</v>
      </c>
      <c r="S7" s="5" t="n">
        <v>41823</v>
      </c>
      <c r="T7" s="6" t="n">
        <v>41823</v>
      </c>
      <c r="U7" s="3" t="inlineStr">
        <is>
          <t>Reported day</t>
        </is>
      </c>
      <c r="V7" s="2" t="inlineStr">
        <is>
          <t>Reported</t>
        </is>
      </c>
      <c r="W7" s="7" t="n"/>
      <c r="X7" s="7" t="n"/>
      <c r="Y7" s="2" t="n"/>
      <c r="Z7" s="2" t="n"/>
      <c r="AA7" s="2" t="n"/>
      <c r="AB7" s="2" t="n"/>
      <c r="AC7" s="7" t="n"/>
      <c r="AD7" s="3" t="n"/>
      <c r="AE7" s="5" t="n"/>
      <c r="AF7" s="2" t="n"/>
      <c r="AG7" s="2" t="n"/>
      <c r="AH7" s="2" t="n"/>
      <c r="AI7" s="2" t="n"/>
      <c r="AJ7" s="2" t="n"/>
      <c r="AK7" s="2" t="n">
        <v>22</v>
      </c>
      <c r="AL7" s="3" t="inlineStr">
        <is>
          <t>R008</t>
        </is>
      </c>
      <c r="AM7" s="3" t="inlineStr">
        <is>
          <t>petsmart</t>
        </is>
      </c>
    </row>
    <row r="8">
      <c r="A8" s="2" t="n">
        <v>7</v>
      </c>
      <c r="B8" s="3" t="inlineStr">
        <is>
          <t>07/07/2014 (public letter; May 2014 meetings and 07/10/2014 call as context)</t>
        </is>
      </c>
      <c r="C8" s="3" t="inlineStr">
        <is>
          <t>Longview Asset Management, LLC</t>
        </is>
      </c>
      <c r="D8" s="3" t="inlineStr">
        <is>
          <t>Activist involvement</t>
        </is>
      </c>
      <c r="E8" s="2" t="n">
        <v>1</v>
      </c>
      <c r="F8" s="2" t="n">
        <v>0</v>
      </c>
      <c r="G8" s="3" t="inlineStr"/>
      <c r="H8" s="3" t="inlineStr">
        <is>
          <t>Longview publicly urged the board to consider a sale of the Company and said it would consider rolling part or all of its holdings into the acquiring entity's equity (rather than cash) if doing so proved necessary to complete a transaction; it had met directors and senior management in May 2014 (business/strategy views, no specific transaction advocacy) and reiterated its advocacy in a 07/10/2014 call. Longview held roughly 9% of shares.</t>
        </is>
      </c>
      <c r="I8" s="3" t="inlineStr"/>
      <c r="J8" s="3" t="inlineStr"/>
      <c r="K8" s="3" t="inlineStr">
        <is>
          <t>Stated; Longview is a shareholder/activist, not a bidder. The rollover willingness is the origin of the later support relationship (R041) and the voting agreement (R047). Quotation: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(p. 22)</t>
        </is>
      </c>
      <c r="L8" s="4" t="inlineStr">
        <is>
          <t>P-006</t>
        </is>
      </c>
      <c r="M8" s="2" t="inlineStr"/>
      <c r="N8" s="3" t="inlineStr"/>
      <c r="O8" s="3" t="inlineStr">
        <is>
          <t>R007</t>
        </is>
      </c>
      <c r="P8" s="2" t="inlineStr">
        <is>
          <t>Yes</t>
        </is>
      </c>
      <c r="Q8" s="2" t="n"/>
      <c r="R8" s="5" t="n">
        <v>41827</v>
      </c>
      <c r="S8" s="5" t="n">
        <v>41827</v>
      </c>
      <c r="T8" s="6" t="n">
        <v>41827</v>
      </c>
      <c r="U8" s="3" t="inlineStr">
        <is>
          <t>Reported day</t>
        </is>
      </c>
      <c r="V8" s="2" t="inlineStr">
        <is>
          <t>Reported</t>
        </is>
      </c>
      <c r="W8" s="7" t="n"/>
      <c r="X8" s="7" t="n"/>
      <c r="Y8" s="2" t="n"/>
      <c r="Z8" s="2" t="n"/>
      <c r="AA8" s="2" t="n"/>
      <c r="AB8" s="2" t="n"/>
      <c r="AC8" s="7" t="n"/>
      <c r="AD8" s="3" t="n"/>
      <c r="AE8" s="5" t="n"/>
      <c r="AF8" s="2" t="n"/>
      <c r="AG8" s="2" t="n"/>
      <c r="AH8" s="2" t="n"/>
      <c r="AI8" s="2" t="n"/>
      <c r="AJ8" s="2" t="n"/>
      <c r="AK8" s="2" t="n">
        <v>22</v>
      </c>
      <c r="AL8" s="3" t="inlineStr">
        <is>
          <t>R041; R047</t>
        </is>
      </c>
      <c r="AM8" s="3" t="inlineStr">
        <is>
          <t>petsmart</t>
        </is>
      </c>
    </row>
    <row r="9">
      <c r="A9" s="2" t="n">
        <v>8</v>
      </c>
      <c r="B9" s="3" t="inlineStr">
        <is>
          <t>07/10/2014 (meeting); July–August 2014 (amendments and letters)</t>
        </is>
      </c>
      <c r="C9" s="3" t="inlineStr">
        <is>
          <t>JANA Partners</t>
        </is>
      </c>
      <c r="D9" s="3" t="inlineStr">
        <is>
          <t>Activist involvement</t>
        </is>
      </c>
      <c r="E9" s="2" t="n">
        <v>1</v>
      </c>
      <c r="F9" s="2" t="n">
        <v>0</v>
      </c>
      <c r="G9" s="3" t="inlineStr"/>
      <c r="H9" s="3" t="inlineStr">
        <is>
          <t>JANA representatives met Company representatives in person and presented their perspectives, advocating a sale; over July and August JANA filed several Schedule 13D amendments and publicly disclosed letters to the board advocating a sale of PetSmart.</t>
        </is>
      </c>
      <c r="I9" s="3" t="inlineStr"/>
      <c r="J9" s="3" t="inlineStr"/>
      <c r="K9" s="3" t="inlineStr">
        <is>
          <t>Stated; follows the 13D row (R006); not a bidder. Quotations: “On July 10, 2014, representatives of JANA met in person with representatives of the Company. At this meeting, the JANA representatives presented their perspectives on the Company and advocated for a sale of the Company.” (p. 22) “Over the course of July and August, JANA Partners filed several amendments to its Schedule 13D and publicly disclosed letters to the board, advocating for a sale of PetSmart.” (p. 22)</t>
        </is>
      </c>
      <c r="L9" s="4" t="inlineStr">
        <is>
          <t>P-006</t>
        </is>
      </c>
      <c r="M9" s="2" t="inlineStr"/>
      <c r="N9" s="3" t="inlineStr"/>
      <c r="O9" s="3" t="inlineStr">
        <is>
          <t>R008</t>
        </is>
      </c>
      <c r="P9" s="2" t="inlineStr">
        <is>
          <t>Yes</t>
        </is>
      </c>
      <c r="Q9" s="2" t="n"/>
      <c r="R9" s="5" t="n">
        <v>41830</v>
      </c>
      <c r="S9" s="5" t="n">
        <v>41882</v>
      </c>
      <c r="T9" s="6" t="n">
        <v>41830</v>
      </c>
      <c r="U9" s="3" t="inlineStr">
        <is>
          <t>Reported interval</t>
        </is>
      </c>
      <c r="V9" s="2" t="inlineStr">
        <is>
          <t>Assigned: bound</t>
        </is>
      </c>
      <c r="W9" s="7" t="n"/>
      <c r="X9" s="7" t="n"/>
      <c r="Y9" s="2" t="n"/>
      <c r="Z9" s="2" t="n"/>
      <c r="AA9" s="2" t="n"/>
      <c r="AB9" s="2" t="n"/>
      <c r="AC9" s="7" t="n"/>
      <c r="AD9" s="3" t="n"/>
      <c r="AE9" s="5" t="n"/>
      <c r="AF9" s="2" t="n"/>
      <c r="AG9" s="2" t="n"/>
      <c r="AH9" s="2" t="n"/>
      <c r="AI9" s="2" t="n"/>
      <c r="AJ9" s="2" t="n"/>
      <c r="AK9" s="2" t="n">
        <v>22</v>
      </c>
      <c r="AL9" s="3" t="inlineStr">
        <is>
          <t>R006</t>
        </is>
      </c>
      <c r="AM9" s="3" t="inlineStr">
        <is>
          <t>petsmart</t>
        </is>
      </c>
    </row>
    <row r="10">
      <c r="A10" s="2" t="n">
        <v>9</v>
      </c>
      <c r="B10" s="3" t="inlineStr">
        <is>
          <t>08/07/2014</t>
        </is>
      </c>
      <c r="C10" s="3" t="inlineStr">
        <is>
          <t>Industry Participant</t>
        </is>
      </c>
      <c r="D10" s="3" t="inlineStr">
        <is>
          <t>Bidder interest</t>
        </is>
      </c>
      <c r="E10" s="2" t="n">
        <v>1</v>
      </c>
      <c r="F10" s="2" t="n">
        <v>0</v>
      </c>
      <c r="G10" s="3" t="inlineStr">
        <is>
          <t>Strategic</t>
        </is>
      </c>
      <c r="H10" s="3" t="inlineStr">
        <is>
          <t>Industry Participant's representative contacted J.P. Morgan to say that, if the Company pursued strategic alternatives, Industry Participant might be interested in re-visiting the Spring conversations about a possible combination of the two companies. Unpriced approach; reported to the ad hoc committee. Carries the first-contact fact (Count 1); Industry Participant is a strategic operating company in PetSmart's industry.</t>
        </is>
      </c>
      <c r="I10" s="3" t="inlineStr"/>
      <c r="J10" s="3" t="inlineStr"/>
      <c r="K10" s="3" t="inlineStr">
        <is>
          <t>Stated: unpriced bidder-side approach; Scope: possible whole-company combination discussed as an alternative, but Industry Participant was never admitted to the process (see R011). Contact contribution = 1 (first-contact fact carried on this row; included in the Summary contact reconciliation explicitly). Quotation: “On August 7, 2014,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(p. 22)</t>
        </is>
      </c>
      <c r="L10" s="4" t="inlineStr">
        <is>
          <t>P-007</t>
        </is>
      </c>
      <c r="M10" s="2" t="inlineStr">
        <is>
          <t>Q8</t>
        </is>
      </c>
      <c r="N10" s="3" t="inlineStr"/>
      <c r="O10" s="3" t="inlineStr">
        <is>
          <t>R009</t>
        </is>
      </c>
      <c r="P10" s="2" t="inlineStr">
        <is>
          <t>Yes</t>
        </is>
      </c>
      <c r="Q10" s="2" t="n">
        <v>1</v>
      </c>
      <c r="R10" s="5" t="n">
        <v>41858</v>
      </c>
      <c r="S10" s="5" t="n">
        <v>41858</v>
      </c>
      <c r="T10" s="6" t="n">
        <v>41858</v>
      </c>
      <c r="U10" s="3" t="inlineStr">
        <is>
          <t>Reported day</t>
        </is>
      </c>
      <c r="V10" s="2" t="inlineStr">
        <is>
          <t>Reported</t>
        </is>
      </c>
      <c r="W10" s="7" t="n"/>
      <c r="X10" s="7" t="n"/>
      <c r="Y10" s="2" t="n"/>
      <c r="Z10" s="2" t="n"/>
      <c r="AA10" s="2" t="n"/>
      <c r="AB10" s="2" t="n"/>
      <c r="AC10" s="7" t="n"/>
      <c r="AD10" s="3" t="n"/>
      <c r="AE10" s="5" t="n"/>
      <c r="AF10" s="2" t="n"/>
      <c r="AG10" s="2" t="n"/>
      <c r="AH10" s="2" t="n"/>
      <c r="AI10" s="2" t="n"/>
      <c r="AJ10" s="2" t="n"/>
      <c r="AK10" s="2" t="n">
        <v>22</v>
      </c>
      <c r="AL10" s="3" t="inlineStr">
        <is>
          <t>R001; R011</t>
        </is>
      </c>
      <c r="AM10" s="3" t="inlineStr">
        <is>
          <t>petsmart</t>
        </is>
      </c>
    </row>
    <row r="11">
      <c r="A11" s="2" t="n">
        <v>10</v>
      </c>
      <c r="B11" s="3" t="inlineStr">
        <is>
          <t>08/13/2014</t>
        </is>
      </c>
      <c r="C11" s="3" t="inlineStr">
        <is>
          <t>PetSmart board</t>
        </is>
      </c>
      <c r="D11" s="3" t="inlineStr">
        <is>
          <t>Target sale decision</t>
        </is>
      </c>
      <c r="E11" s="2" t="n">
        <v>1</v>
      </c>
      <c r="F11" s="2" t="n">
        <v>0</v>
      </c>
      <c r="G11" s="3" t="inlineStr"/>
      <c r="H11" s="3" t="inlineStr">
        <is>
          <t>Board determined to explore strategic alternatives, including a possible sale, to maximize stockholder value; instructed management to plan the Profit Improvement Plan; authorized the ad hoc committee to oversee the sale exploration and direct the Company's advisers; planned J.P. Morgan outreach to financial and strategic parties (expected in the second half of September or early October) and a public announcement of the exploration so uncontacted parties could contact J.P. Morgan.</t>
        </is>
      </c>
      <c r="I11" s="3" t="inlineStr"/>
      <c r="J11" s="3" t="inlineStr"/>
      <c r="K11" s="3" t="inlineStr">
        <is>
          <t>Stated launch decision. The filing reports the outreach as expected weeks later, so this decision is not the round-1 anchor (R016); it is a candidate anchor listed there. Quotations: “As a result of this meeting,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(which we refer to collectively as the “Profit Improvement Plan”)” (p. 22) “the board also considered and discussed alternative formats and timing for the conduct of the exploratory sale process, and determined that at the appropriate time, which was expected to be during the second half of September or early October, J.P. Morgan should contact financial and strategic parties deemed likely to be interested and capable of completing a transaction.” (p. 22)</t>
        </is>
      </c>
      <c r="L11" s="4" t="inlineStr">
        <is>
          <t>P-008</t>
        </is>
      </c>
      <c r="M11" s="2" t="inlineStr">
        <is>
          <t>Q1</t>
        </is>
      </c>
      <c r="N11" s="3" t="inlineStr"/>
      <c r="O11" s="3" t="inlineStr">
        <is>
          <t>R010</t>
        </is>
      </c>
      <c r="P11" s="2" t="inlineStr">
        <is>
          <t>Yes</t>
        </is>
      </c>
      <c r="Q11" s="2" t="n"/>
      <c r="R11" s="5" t="n">
        <v>41864</v>
      </c>
      <c r="S11" s="5" t="n">
        <v>41864</v>
      </c>
      <c r="T11" s="6" t="n">
        <v>41864</v>
      </c>
      <c r="U11" s="3" t="inlineStr">
        <is>
          <t>Reported day</t>
        </is>
      </c>
      <c r="V11" s="2" t="inlineStr">
        <is>
          <t>Reported</t>
        </is>
      </c>
      <c r="W11" s="7" t="n"/>
      <c r="X11" s="7" t="n"/>
      <c r="Y11" s="2" t="n"/>
      <c r="Z11" s="2" t="n"/>
      <c r="AA11" s="2" t="n"/>
      <c r="AB11" s="2" t="n"/>
      <c r="AC11" s="7" t="n"/>
      <c r="AD11" s="3" t="n"/>
      <c r="AE11" s="5" t="n"/>
      <c r="AF11" s="2" t="n"/>
      <c r="AG11" s="2" t="n"/>
      <c r="AH11" s="2" t="n"/>
      <c r="AI11" s="2" t="n"/>
      <c r="AJ11" s="2" t="n"/>
      <c r="AK11" s="2" t="n">
        <v>22</v>
      </c>
      <c r="AL11" s="3" t="inlineStr">
        <is>
          <t>R011; R012; R016</t>
        </is>
      </c>
      <c r="AM11" s="3" t="inlineStr">
        <is>
          <t>petsmart</t>
        </is>
      </c>
    </row>
    <row r="12">
      <c r="A12" s="2" t="n">
        <v>11</v>
      </c>
      <c r="B12" s="3" t="inlineStr">
        <is>
          <t>08/13/2014 (decision; communicated by telephone on 08/22/2014 and 08/27/2014)</t>
        </is>
      </c>
      <c r="C12" s="3" t="inlineStr">
        <is>
          <t>PetSmart board</t>
        </is>
      </c>
      <c r="D12" s="3" t="inlineStr">
        <is>
          <t>Target decision</t>
        </is>
      </c>
      <c r="E12" s="2" t="n">
        <v>1</v>
      </c>
      <c r="F12" s="2" t="n">
        <v>0</v>
      </c>
      <c r="G12" s="3" t="inlineStr"/>
      <c r="H12" s="3" t="inlineStr">
        <is>
          <t>Industry Participant would not be invited into the exploratory sale process. Board concerns: very high risk that a combination would not receive antitrust clearances (or only with unacceptable conditions); near-certain 'second request' and an eight-months-to-a-year delay; risk of competitive information exposure; and disruption/time-delay risk. J.P. Morgan communicated the concerns on 08/22 and 08/27; Industry Participant said it would be interested in discussing a combination; it was told it would not be invited but the board would consider any proposal it submitted. No contact since 08/27/2014 (reaffirmed 10/03/2014).</t>
        </is>
      </c>
      <c r="I12" s="3" t="inlineStr"/>
      <c r="J12" s="3" t="inlineStr"/>
      <c r="K12" s="3" t="inlineStr">
        <is>
          <t>Stated: target decision not to admit a party that never entered; rationale quoted. No outcome row is created because Industry Participant never entered the process (no NDA, bid or admission). Quotations: “the board reviewed the potential benefits and risks of inviting Industry Participant to participate in the exploratory sale process. In this regard, the board considered, among other things, in addition to the communications with Industry Representative in the Spring and on August 7, the very high risk that an acquisition by or a combination with Industry Participant would not receive antitrust clearances, or would receive such clearances only with the imposition by governmental authorities of unacceptable conditions” (p. 22)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 (p. 23) “the board reviewed and, for the reasons discussed in August, reaffirmed the determination not to invite Industry Participant to participate in the sale process.” (p. 23)</t>
        </is>
      </c>
      <c r="L12" s="4" t="inlineStr">
        <is>
          <t>P-008; P-009; P-010; P-012</t>
        </is>
      </c>
      <c r="M12" s="2" t="inlineStr">
        <is>
          <t>Q8</t>
        </is>
      </c>
      <c r="N12" s="3" t="inlineStr"/>
      <c r="O12" s="3" t="inlineStr">
        <is>
          <t>R011</t>
        </is>
      </c>
      <c r="P12" s="2" t="inlineStr">
        <is>
          <t>Yes</t>
        </is>
      </c>
      <c r="Q12" s="2" t="n"/>
      <c r="R12" s="5" t="n">
        <v>41864</v>
      </c>
      <c r="S12" s="5" t="n">
        <v>41864</v>
      </c>
      <c r="T12" s="6" t="n">
        <v>41864</v>
      </c>
      <c r="U12" s="3" t="inlineStr">
        <is>
          <t>Reported day</t>
        </is>
      </c>
      <c r="V12" s="2" t="inlineStr">
        <is>
          <t>Reported</t>
        </is>
      </c>
      <c r="W12" s="7" t="n"/>
      <c r="X12" s="7" t="n"/>
      <c r="Y12" s="2" t="n"/>
      <c r="Z12" s="2" t="n"/>
      <c r="AA12" s="2" t="n"/>
      <c r="AB12" s="2" t="n"/>
      <c r="AC12" s="7" t="n"/>
      <c r="AD12" s="3" t="n"/>
      <c r="AE12" s="5" t="n"/>
      <c r="AF12" s="2" t="n"/>
      <c r="AG12" s="2" t="n"/>
      <c r="AH12" s="2" t="n"/>
      <c r="AI12" s="2" t="n"/>
      <c r="AJ12" s="2" t="n"/>
      <c r="AK12" s="2" t="n">
        <v>23</v>
      </c>
      <c r="AL12" s="3" t="inlineStr">
        <is>
          <t>R009; R010; R015</t>
        </is>
      </c>
      <c r="AM12" s="3" t="inlineStr">
        <is>
          <t>petsmart</t>
        </is>
      </c>
    </row>
    <row r="13">
      <c r="A13" s="2" t="n">
        <v>12</v>
      </c>
      <c r="B13" s="3" t="inlineStr">
        <is>
          <t>08/19/2014</t>
        </is>
      </c>
      <c r="C13" s="3" t="inlineStr">
        <is>
          <t>PetSmart</t>
        </is>
      </c>
      <c r="D13" s="3" t="inlineStr">
        <is>
          <t>Sale process announced</t>
        </is>
      </c>
      <c r="E13" s="2" t="n">
        <v>1</v>
      </c>
      <c r="F13" s="2" t="n">
        <v>0</v>
      </c>
      <c r="G13" s="3" t="inlineStr"/>
      <c r="H13" s="3" t="inlineStr">
        <is>
          <t>Press release issued concurrent with the Q2 earnings announcement: the Company determined to explore strategic alternatives to maximize stockholder value, including a possible sale. The filing says the announcement ensured interested parties not contacted would learn of the process and could contact J.P. Morgan.</t>
        </is>
      </c>
      <c r="I13" s="3" t="inlineStr"/>
      <c r="J13" s="3" t="inlineStr"/>
      <c r="K13" s="3" t="inlineStr">
        <is>
          <t>Stated publicity of the exploration; a rejected round-1 anchor candidate (it replaced/directed outreach to inbound contact rather than launching a target outreach wave). Quotation: “On August 19, 2014, concurrent with its second quarter earnings announcement, the Company issued a press release announcing that it determined to explore strategic alternatives for the Company to maximize value for stockholders, including a possible sale of the Company.” (p. 23)</t>
        </is>
      </c>
      <c r="L13" s="4" t="inlineStr">
        <is>
          <t>P-009</t>
        </is>
      </c>
      <c r="M13" s="2" t="inlineStr">
        <is>
          <t>Q1</t>
        </is>
      </c>
      <c r="N13" s="3" t="inlineStr"/>
      <c r="O13" s="3" t="inlineStr">
        <is>
          <t>R012</t>
        </is>
      </c>
      <c r="P13" s="2" t="inlineStr">
        <is>
          <t>Yes</t>
        </is>
      </c>
      <c r="Q13" s="2" t="n"/>
      <c r="R13" s="5" t="n">
        <v>41870</v>
      </c>
      <c r="S13" s="5" t="n">
        <v>41870</v>
      </c>
      <c r="T13" s="6" t="n">
        <v>41870</v>
      </c>
      <c r="U13" s="3" t="inlineStr">
        <is>
          <t>Reported day</t>
        </is>
      </c>
      <c r="V13" s="2" t="inlineStr">
        <is>
          <t>Reported</t>
        </is>
      </c>
      <c r="W13" s="7" t="n"/>
      <c r="X13" s="7" t="n"/>
      <c r="Y13" s="2" t="n"/>
      <c r="Z13" s="2" t="n"/>
      <c r="AA13" s="2" t="n"/>
      <c r="AB13" s="2" t="n"/>
      <c r="AC13" s="7" t="n"/>
      <c r="AD13" s="3" t="n"/>
      <c r="AE13" s="5" t="n"/>
      <c r="AF13" s="2" t="n"/>
      <c r="AG13" s="2" t="n"/>
      <c r="AH13" s="2" t="n"/>
      <c r="AI13" s="2" t="n"/>
      <c r="AJ13" s="2" t="n"/>
      <c r="AK13" s="2" t="n">
        <v>23</v>
      </c>
      <c r="AL13" s="3" t="inlineStr">
        <is>
          <t>R010; R016</t>
        </is>
      </c>
      <c r="AM13" s="3" t="inlineStr">
        <is>
          <t>petsmart</t>
        </is>
      </c>
    </row>
    <row r="14">
      <c r="A14" s="2" t="n">
        <v>13</v>
      </c>
      <c r="B14" s="3" t="inlineStr">
        <is>
          <t>mid-August through 10/03/2014 (aggregate disclosed 10/03/2014)</t>
        </is>
      </c>
      <c r="C14" s="3" t="inlineStr">
        <is>
          <t>3 strategic parties (cohort; not counting Industry Participant)</t>
        </is>
      </c>
      <c r="D14" s="3" t="inlineStr">
        <is>
          <t>Contact</t>
        </is>
      </c>
      <c r="E14" s="2" t="n">
        <v>1</v>
      </c>
      <c r="F14" s="2" t="n">
        <v>0</v>
      </c>
      <c r="G14" s="3" t="inlineStr">
        <is>
          <t>Strategic</t>
        </is>
      </c>
      <c r="H14" s="3" t="inlineStr">
        <is>
          <t>J.P. Morgan was contacted by 27 potential participants in a sale process — here the strategic component: three strategic parties, not counting Industry Participant (recorded separately at R009/R011). Aggregate contact activity, not NDA signers or bidders; none of the three signed a confidentiality agreement.</t>
        </is>
      </c>
      <c r="I14" s="3" t="inlineStr"/>
      <c r="J14" s="3" t="inlineStr"/>
      <c r="K14" s="3" t="inlineStr">
        <is>
          <t>Stated aggregate; the filing supplies the strategic/financial split, so it is recorded as two cohort rows. Count 3 as the number of contacted strategic parties (contact tally; different step from NDA count). Quotation: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 (p. 23)</t>
        </is>
      </c>
      <c r="L14" s="4" t="inlineStr">
        <is>
          <t>P-011</t>
        </is>
      </c>
      <c r="M14" s="2" t="inlineStr">
        <is>
          <t>Q2</t>
        </is>
      </c>
      <c r="N14" s="3" t="inlineStr"/>
      <c r="O14" s="3" t="inlineStr">
        <is>
          <t>R013</t>
        </is>
      </c>
      <c r="P14" s="2" t="inlineStr">
        <is>
          <t>Yes</t>
        </is>
      </c>
      <c r="Q14" s="2" t="n">
        <v>3</v>
      </c>
      <c r="R14" s="5" t="n">
        <v>41865</v>
      </c>
      <c r="S14" s="5" t="n">
        <v>41915</v>
      </c>
      <c r="T14" s="6" t="n">
        <v>41890</v>
      </c>
      <c r="U14" s="3" t="inlineStr">
        <is>
          <t>Reported interval</t>
        </is>
      </c>
      <c r="V14" s="2" t="inlineStr">
        <is>
          <t>Assigned: midpoint</t>
        </is>
      </c>
      <c r="W14" s="7" t="n"/>
      <c r="X14" s="7" t="n"/>
      <c r="Y14" s="2" t="n"/>
      <c r="Z14" s="2" t="n"/>
      <c r="AA14" s="2" t="n"/>
      <c r="AB14" s="2" t="n"/>
      <c r="AC14" s="7" t="n"/>
      <c r="AD14" s="3" t="n"/>
      <c r="AE14" s="5" t="n"/>
      <c r="AF14" s="2" t="n"/>
      <c r="AG14" s="2" t="n"/>
      <c r="AH14" s="2" t="n"/>
      <c r="AI14" s="2" t="n"/>
      <c r="AJ14" s="2" t="n"/>
      <c r="AK14" s="2" t="n">
        <v>23</v>
      </c>
      <c r="AL14" s="3" t="inlineStr">
        <is>
          <t>R014; R011</t>
        </is>
      </c>
      <c r="AM14" s="3" t="inlineStr">
        <is>
          <t>petsmart</t>
        </is>
      </c>
    </row>
    <row r="15">
      <c r="A15" s="2" t="n">
        <v>14</v>
      </c>
      <c r="B15" s="3" t="inlineStr">
        <is>
          <t>mid-August through 10/03/2014 (aggregate disclosed 10/03/2014)</t>
        </is>
      </c>
      <c r="C15" s="3" t="inlineStr">
        <is>
          <t>24 financial participants (cohort; including potential lead buyers and equity suppliers)</t>
        </is>
      </c>
      <c r="D15" s="3" t="inlineStr">
        <is>
          <t>Contact</t>
        </is>
      </c>
      <c r="E15" s="2" t="n">
        <v>1</v>
      </c>
      <c r="F15" s="2" t="n">
        <v>0</v>
      </c>
      <c r="G15" s="3" t="inlineStr">
        <is>
          <t>Financial</t>
        </is>
      </c>
      <c r="H15" s="3" t="inlineStr">
        <is>
          <t>Financial component of the 27 contacted participants; includes potential lead buyers as well as large suppliers of equity capital to lead buyers. Aggregate contact activity; the 15 confidentiality signers are a subset of these contacts, so this row and the NDA row are not additive (different steps).</t>
        </is>
      </c>
      <c r="I15" s="3" t="inlineStr"/>
      <c r="J15" s="3" t="inlineStr"/>
      <c r="K15" s="3" t="inlineStr">
        <is>
          <t>Stated aggregate with filing-supplied split. Count 24 = number of contacted financial participants; overlap with the 15 NDA signers noted in the reason (contacts ≠ NDA step). Quotations: “including three strategic parties (not counting Industry Participant) and 24 financial participants (including potential lead buyers as well as large suppliers of equity capital to lead buyers).” (p. 23) “the board was informed that approximately 15 parties had expressed interest in participating in the process.” (p. 23)</t>
        </is>
      </c>
      <c r="L15" s="4" t="inlineStr">
        <is>
          <t>P-011; P-012</t>
        </is>
      </c>
      <c r="M15" s="2" t="inlineStr">
        <is>
          <t>Q2</t>
        </is>
      </c>
      <c r="N15" s="3" t="inlineStr"/>
      <c r="O15" s="3" t="inlineStr">
        <is>
          <t>R014</t>
        </is>
      </c>
      <c r="P15" s="2" t="inlineStr">
        <is>
          <t>Yes</t>
        </is>
      </c>
      <c r="Q15" s="2" t="n">
        <v>24</v>
      </c>
      <c r="R15" s="5" t="n">
        <v>41865</v>
      </c>
      <c r="S15" s="5" t="n">
        <v>41915</v>
      </c>
      <c r="T15" s="6" t="n">
        <v>41890</v>
      </c>
      <c r="U15" s="3" t="inlineStr">
        <is>
          <t>Reported interval</t>
        </is>
      </c>
      <c r="V15" s="2" t="inlineStr">
        <is>
          <t>Assigned: midpoint</t>
        </is>
      </c>
      <c r="W15" s="7" t="n"/>
      <c r="X15" s="7" t="n"/>
      <c r="Y15" s="2" t="n"/>
      <c r="Z15" s="2" t="n"/>
      <c r="AA15" s="2" t="n"/>
      <c r="AB15" s="2" t="n"/>
      <c r="AC15" s="7" t="n"/>
      <c r="AD15" s="3" t="n"/>
      <c r="AE15" s="5" t="n"/>
      <c r="AF15" s="2" t="n"/>
      <c r="AG15" s="2" t="n"/>
      <c r="AH15" s="2" t="n"/>
      <c r="AI15" s="2" t="n"/>
      <c r="AJ15" s="2" t="n"/>
      <c r="AK15" s="2" t="n">
        <v>23</v>
      </c>
      <c r="AL15" s="3" t="inlineStr">
        <is>
          <t>R013; R017</t>
        </is>
      </c>
      <c r="AM15" s="3" t="inlineStr">
        <is>
          <t>petsmart</t>
        </is>
      </c>
    </row>
    <row r="16">
      <c r="A16" s="2" t="n">
        <v>15</v>
      </c>
      <c r="B16" s="3" t="inlineStr">
        <is>
          <t>10/03/2014</t>
        </is>
      </c>
      <c r="C16" s="3" t="inlineStr">
        <is>
          <t>PetSmart board</t>
        </is>
      </c>
      <c r="D16" s="3" t="inlineStr">
        <is>
          <t>Material process update</t>
        </is>
      </c>
      <c r="E16" s="2" t="n">
        <v>1</v>
      </c>
      <c r="F16" s="2" t="n">
        <v>0</v>
      </c>
      <c r="G16" s="3" t="inlineStr"/>
      <c r="H16" s="3" t="inlineStr">
        <is>
          <t>Board met for regularly scheduled business and received an update on the completed Profit Improvement Plan planning and on the sale process, including communications with the 27 potentially interested parties and Industry Participant; informed that approximately 15 parties had expressed interest in participating; reaffirmed the determination not to invite Industry Participant into the sale process.</t>
        </is>
      </c>
      <c r="I16" s="3" t="inlineStr"/>
      <c r="J16" s="3" t="inlineStr"/>
      <c r="K16" s="3" t="inlineStr">
        <is>
          <t>Stated process update; candidate round-1 anchor rejected (it was a review/reaffirmation, not an outreach launch, and the confidentiality wave that admitted participants began the same week). Quotation: “On October 3, 2014, the board met, together with members of management and representatives of J.P. Morgan and Wachtell Lipton, to conduct regularly scheduled business and to receive an update on the status of the Profit Improvement Plan, the planning for which had been completed, and on the sale process, including an update on communications with the 27 potentially interested parties as well as Industry Participant that had occurred since the August 13 board meeting. Among other things, the board was informed that approximately 15 parties had expressed interest in participating in the process.” (p. 23)</t>
        </is>
      </c>
      <c r="L16" s="4" t="inlineStr">
        <is>
          <t>P-012</t>
        </is>
      </c>
      <c r="M16" s="2" t="inlineStr">
        <is>
          <t>Q1</t>
        </is>
      </c>
      <c r="N16" s="3" t="inlineStr"/>
      <c r="O16" s="3" t="inlineStr">
        <is>
          <t>R015</t>
        </is>
      </c>
      <c r="P16" s="2" t="inlineStr">
        <is>
          <t>Yes</t>
        </is>
      </c>
      <c r="Q16" s="2" t="n"/>
      <c r="R16" s="5" t="n">
        <v>41915</v>
      </c>
      <c r="S16" s="5" t="n">
        <v>41915</v>
      </c>
      <c r="T16" s="6" t="n">
        <v>41915</v>
      </c>
      <c r="U16" s="3" t="inlineStr">
        <is>
          <t>Reported day</t>
        </is>
      </c>
      <c r="V16" s="2" t="inlineStr">
        <is>
          <t>Reported</t>
        </is>
      </c>
      <c r="W16" s="7" t="n"/>
      <c r="X16" s="7" t="n"/>
      <c r="Y16" s="2" t="n"/>
      <c r="Z16" s="2" t="n"/>
      <c r="AA16" s="2" t="n"/>
      <c r="AB16" s="2" t="n"/>
      <c r="AC16" s="7" t="n"/>
      <c r="AD16" s="3" t="n"/>
      <c r="AE16" s="5" t="n"/>
      <c r="AF16" s="2" t="n"/>
      <c r="AG16" s="2" t="n"/>
      <c r="AH16" s="2" t="n"/>
      <c r="AI16" s="2" t="n"/>
      <c r="AJ16" s="2" t="n"/>
      <c r="AK16" s="2" t="n">
        <v>23</v>
      </c>
      <c r="AL16" s="3" t="inlineStr">
        <is>
          <t>R011; R016; R013; R014</t>
        </is>
      </c>
      <c r="AM16" s="3" t="inlineStr">
        <is>
          <t>petsmart</t>
        </is>
      </c>
    </row>
    <row r="17">
      <c r="A17" s="2" t="n">
        <v>16</v>
      </c>
      <c r="B17" s="3" t="inlineStr">
        <is>
          <t>first week of October 2014</t>
        </is>
      </c>
      <c r="C17" s="3" t="inlineStr">
        <is>
          <t>PetSmart / J.P. Morgan</t>
        </is>
      </c>
      <c r="D17" s="3" t="inlineStr">
        <is>
          <t>Round opened</t>
        </is>
      </c>
      <c r="E17" s="2" t="n">
        <v>1</v>
      </c>
      <c r="F17" s="2" t="n">
        <v>1</v>
      </c>
      <c r="G17" s="3" t="inlineStr"/>
      <c r="H17" s="3" t="inlineStr">
        <is>
          <t>R1 anchor: confidentiality-agreement wave (first week of October 2014) — the first target-organized step that admitted participants to a stage; the filing reports no clean target-initiated outreach wave, and parties largely contacted or were contacted by J.P. Morgan / learned of the process from the 08/19 announcement. Rejected candidate anchors: Aug 13 board decision (R010), Aug 19 public announcement (R012), aggregate contacts (R013/R014), Oct 3 board meeting (R015). Round 1 purpose: confidentiality, diligence access and non-binding IOI solicitation. Round finality: Not final — no final/binding or best-and-final designation; the round closed with non-binding indications of interest.</t>
        </is>
      </c>
      <c r="I17" s="3" t="inlineStr"/>
      <c r="J17" s="3" t="inlineStr"/>
      <c r="K17" s="3" t="inlineStr">
        <is>
          <t>Convention (round map): round opens under the instruction's rule 3 (no target outreach wave; first target-organized admitting step) anchored on the confidentiality wave; Working date = calendar midpoint of the first-week window (assigned). Quotation: “In the first week of October 2014, the Company entered into confidentiality and standstill agreements with 15 potentially interested financial buyers” (p. 23)</t>
        </is>
      </c>
      <c r="L17" s="4" t="inlineStr">
        <is>
          <t>P-013</t>
        </is>
      </c>
      <c r="M17" s="2" t="inlineStr">
        <is>
          <t>Q1</t>
        </is>
      </c>
      <c r="N17" s="3" t="inlineStr"/>
      <c r="O17" s="3" t="inlineStr">
        <is>
          <t>R016</t>
        </is>
      </c>
      <c r="P17" s="2" t="inlineStr">
        <is>
          <t>Yes</t>
        </is>
      </c>
      <c r="Q17" s="2" t="n"/>
      <c r="R17" s="5" t="n">
        <v>41913</v>
      </c>
      <c r="S17" s="5" t="n">
        <v>41919</v>
      </c>
      <c r="T17" s="6" t="n">
        <v>41916</v>
      </c>
      <c r="U17" s="3" t="inlineStr">
        <is>
          <t>Reported interval</t>
        </is>
      </c>
      <c r="V17" s="2" t="inlineStr">
        <is>
          <t>Assigned: midpoint</t>
        </is>
      </c>
      <c r="W17" s="7" t="n"/>
      <c r="X17" s="7" t="n"/>
      <c r="Y17" s="2" t="n"/>
      <c r="Z17" s="2" t="n"/>
      <c r="AA17" s="2" t="n"/>
      <c r="AB17" s="2" t="n"/>
      <c r="AC17" s="7" t="n"/>
      <c r="AD17" s="3" t="n"/>
      <c r="AE17" s="5" t="n"/>
      <c r="AF17" s="2" t="n"/>
      <c r="AG17" s="2" t="inlineStr">
        <is>
          <t>Not final</t>
        </is>
      </c>
      <c r="AH17" s="2" t="n"/>
      <c r="AI17" s="2" t="n"/>
      <c r="AJ17" s="2" t="n"/>
      <c r="AK17" s="2" t="n">
        <v>23</v>
      </c>
      <c r="AL17" s="3" t="inlineStr">
        <is>
          <t>R010; R012; R013; R014; R015; R017</t>
        </is>
      </c>
      <c r="AM17" s="3" t="inlineStr">
        <is>
          <t>petsmart</t>
        </is>
      </c>
    </row>
    <row r="18">
      <c r="A18" s="2" t="n">
        <v>17</v>
      </c>
      <c r="B18" s="3" t="inlineStr">
        <is>
          <t>first week of October 2014 (signings); diligence during October 2014</t>
        </is>
      </c>
      <c r="C18" s="3" t="inlineStr">
        <is>
          <t>15 financial buyers (cohort)</t>
        </is>
      </c>
      <c r="D18" s="3" t="inlineStr">
        <is>
          <t>NDA signed</t>
        </is>
      </c>
      <c r="E18" s="2" t="n">
        <v>1</v>
      </c>
      <c r="F18" s="2" t="n">
        <v>1</v>
      </c>
      <c r="G18" s="3" t="inlineStr">
        <is>
          <t>Financial</t>
        </is>
      </c>
      <c r="H18" s="3" t="inlineStr">
        <is>
          <t>Company entered confidentiality and standstill agreements with 15 potentially interested financial buyers; all 15 then engaged in due diligence during October, received management presentations involving senior-most management, and received detailed financial and business-plan information including the Profit Improvement Plan. The standstills prevent the 15 from submitting (or even seeking permission to submit) a higher bid once a definitive agreement is signed; the board believed this promoted best bids. New signatures in this process; no reused coverage from an earlier attempt. Uniform stage access — any access differences are recorded at R030.</t>
        </is>
      </c>
      <c r="I18" s="3" t="inlineStr"/>
      <c r="J18" s="3" t="inlineStr"/>
      <c r="K18" s="3" t="inlineStr">
        <is>
          <t>Stated: 15 signers, all financial buyers. Count 15 = cohort size at this step. Scope: signers did not all become bidders (see R024). Quotations: “In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 (p. 23)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(p. 28)</t>
        </is>
      </c>
      <c r="L18" s="4" t="inlineStr">
        <is>
          <t>P-013; X-021</t>
        </is>
      </c>
      <c r="M18" s="2" t="inlineStr">
        <is>
          <t>Q2; Q5</t>
        </is>
      </c>
      <c r="N18" s="3" t="inlineStr"/>
      <c r="O18" s="3" t="inlineStr">
        <is>
          <t>R017</t>
        </is>
      </c>
      <c r="P18" s="2" t="inlineStr">
        <is>
          <t>Yes</t>
        </is>
      </c>
      <c r="Q18" s="2" t="n">
        <v>15</v>
      </c>
      <c r="R18" s="5" t="n">
        <v>41913</v>
      </c>
      <c r="S18" s="5" t="n">
        <v>41919</v>
      </c>
      <c r="T18" s="6" t="n">
        <v>41916</v>
      </c>
      <c r="U18" s="3" t="inlineStr">
        <is>
          <t>Reported interval</t>
        </is>
      </c>
      <c r="V18" s="2" t="inlineStr">
        <is>
          <t>Assigned: midpoint</t>
        </is>
      </c>
      <c r="W18" s="7" t="n"/>
      <c r="X18" s="7" t="n"/>
      <c r="Y18" s="2" t="n"/>
      <c r="Z18" s="2" t="n"/>
      <c r="AA18" s="2" t="n"/>
      <c r="AB18" s="2" t="n"/>
      <c r="AC18" s="7" t="n"/>
      <c r="AD18" s="3" t="n"/>
      <c r="AE18" s="5" t="n"/>
      <c r="AF18" s="2" t="n"/>
      <c r="AG18" s="2" t="n"/>
      <c r="AH18" s="2" t="n"/>
      <c r="AI18" s="2" t="n"/>
      <c r="AJ18" s="2" t="n"/>
      <c r="AK18" s="2" t="n">
        <v>23</v>
      </c>
      <c r="AL18" s="3" t="inlineStr">
        <is>
          <t>R016; R024; R020</t>
        </is>
      </c>
      <c r="AM18" s="3" t="inlineStr">
        <is>
          <t>petsmart</t>
        </is>
      </c>
    </row>
    <row r="19">
      <c r="A19" s="2" t="n">
        <v>18</v>
      </c>
      <c r="B19" s="3" t="inlineStr">
        <is>
          <t>October 2014 (communication date not disclosed)</t>
        </is>
      </c>
      <c r="C19" s="3" t="inlineStr">
        <is>
          <t>PetSmart / J.P. Morgan (to the 15 potential bidders)</t>
        </is>
      </c>
      <c r="D19" s="3" t="inlineStr">
        <is>
          <t>Deadline set</t>
        </is>
      </c>
      <c r="E19" s="2" t="n">
        <v>1</v>
      </c>
      <c r="F19" s="2" t="n">
        <v>1</v>
      </c>
      <c r="G19" s="3" t="inlineStr"/>
      <c r="H19" s="3" t="inlineStr">
        <is>
          <t>Potential bidders were informed that non-binding preliminary indications of interest would be due October 30, 2014. They were also told that Longview was willing to 'roll-over' up to 7.5 million shares on terms and price acceptable to Longview (such shares would not receive cash consideration and could remain equity) and were asked to indicate interest in Longview participation, which was not a condition to participation. Communication date within October not disclosed; known only to precede 10/30/2014.</t>
        </is>
      </c>
      <c r="I19" s="3" t="inlineStr"/>
      <c r="J19" s="3" t="inlineStr"/>
      <c r="K19" s="3" t="inlineStr">
        <is>
          <t>Stated deadline communication plus stage information on the rollover. Working date = midpoint of the October window before the due date (assigned; order must follow the NDA row). Quotations: “During October, the potential bidders were informed that non-binding preliminary indications of interest would be due on October 30, 2014.” (p. 23) “The potential bidders were also informed that Longview had informed the Company that it would be willing to “roll-over” up to 7.5 million shares on terms and price acceptable to Longview, meaning that such shares would not receive cash merger consideration but would remain outstanding as equity in PetSmart or the buyer’s acquisition vehicle, if so desired by the bidder. The Company requested that, in connection with their preliminary indications of interest, the bidders should indicate their interest, if any, in participation by Longview, but that such interest was not a condition to participation in the process.” (p. 23)</t>
        </is>
      </c>
      <c r="L19" s="4" t="inlineStr">
        <is>
          <t>P-014; P-015</t>
        </is>
      </c>
      <c r="M19" s="2" t="inlineStr">
        <is>
          <t>Q6; Q8</t>
        </is>
      </c>
      <c r="N19" s="3" t="inlineStr"/>
      <c r="O19" s="3" t="inlineStr">
        <is>
          <t>R018</t>
        </is>
      </c>
      <c r="P19" s="2" t="inlineStr">
        <is>
          <t>Yes</t>
        </is>
      </c>
      <c r="Q19" s="2" t="n"/>
      <c r="R19" s="5" t="n">
        <v>41913</v>
      </c>
      <c r="S19" s="5" t="n">
        <v>41941</v>
      </c>
      <c r="T19" s="6" t="n">
        <v>41927</v>
      </c>
      <c r="U19" s="3" t="inlineStr">
        <is>
          <t>Reported interval</t>
        </is>
      </c>
      <c r="V19" s="2" t="inlineStr">
        <is>
          <t>Assigned: midpoint</t>
        </is>
      </c>
      <c r="W19" s="7" t="n"/>
      <c r="X19" s="7" t="n"/>
      <c r="Y19" s="2" t="n"/>
      <c r="Z19" s="2" t="n"/>
      <c r="AA19" s="2" t="n"/>
      <c r="AB19" s="2" t="n"/>
      <c r="AC19" s="7" t="n"/>
      <c r="AD19" s="3" t="n"/>
      <c r="AE19" s="5" t="n">
        <v>41942</v>
      </c>
      <c r="AF19" s="2" t="n"/>
      <c r="AG19" s="2" t="n"/>
      <c r="AH19" s="2" t="n"/>
      <c r="AI19" s="2" t="n"/>
      <c r="AJ19" s="2" t="n"/>
      <c r="AK19" s="2" t="n">
        <v>23</v>
      </c>
      <c r="AL19" s="3" t="inlineStr">
        <is>
          <t>R019; R041</t>
        </is>
      </c>
      <c r="AM19" s="3" t="inlineStr">
        <is>
          <t>petsmart</t>
        </is>
      </c>
    </row>
    <row r="20">
      <c r="A20" s="2" t="n">
        <v>19</v>
      </c>
      <c r="B20" s="3" t="inlineStr">
        <is>
          <t>10/30/2014</t>
        </is>
      </c>
      <c r="C20" s="3" t="inlineStr">
        <is>
          <t>PetSmart / potential bidders</t>
        </is>
      </c>
      <c r="D20" s="3" t="inlineStr">
        <is>
          <t>Deadline</t>
        </is>
      </c>
      <c r="E20" s="2" t="n">
        <v>1</v>
      </c>
      <c r="F20" s="2" t="n">
        <v>1</v>
      </c>
      <c r="G20" s="3" t="inlineStr"/>
      <c r="H20" s="3" t="inlineStr">
        <is>
          <t>Non-binding IOI due date reached; six of the potentially interested parties submitted indications. Treatment: Enforced — the board took its next step (advancing selected bidders on 11/03/2014) on the indications in hand; no extension or late acceptance is reported.</t>
        </is>
      </c>
      <c r="I20" s="3" t="inlineStr"/>
      <c r="J20" s="3" t="inlineStr"/>
      <c r="K20" s="3" t="inlineStr">
        <is>
          <t>Stated due-date milestone; treatment per instruction from what followed in the round. Quotation: “On October 30, six of the potentially interested parties submitted indications of interest.” (p. 24)</t>
        </is>
      </c>
      <c r="L20" s="4" t="inlineStr">
        <is>
          <t>P-016</t>
        </is>
      </c>
      <c r="M20" s="2" t="inlineStr">
        <is>
          <t>Q6</t>
        </is>
      </c>
      <c r="N20" s="3" t="inlineStr"/>
      <c r="O20" s="3" t="inlineStr">
        <is>
          <t>R019</t>
        </is>
      </c>
      <c r="P20" s="2" t="inlineStr">
        <is>
          <t>Yes</t>
        </is>
      </c>
      <c r="Q20" s="2" t="n"/>
      <c r="R20" s="5" t="n">
        <v>41942</v>
      </c>
      <c r="S20" s="5" t="n">
        <v>41942</v>
      </c>
      <c r="T20" s="6" t="n">
        <v>41942</v>
      </c>
      <c r="U20" s="3" t="inlineStr">
        <is>
          <t>Reported day</t>
        </is>
      </c>
      <c r="V20" s="2" t="inlineStr">
        <is>
          <t>Reported</t>
        </is>
      </c>
      <c r="W20" s="7" t="n"/>
      <c r="X20" s="7" t="n"/>
      <c r="Y20" s="2" t="n"/>
      <c r="Z20" s="2" t="n"/>
      <c r="AA20" s="2" t="n"/>
      <c r="AB20" s="2" t="n"/>
      <c r="AC20" s="7" t="n"/>
      <c r="AD20" s="3" t="n"/>
      <c r="AE20" s="5" t="n">
        <v>41942</v>
      </c>
      <c r="AF20" s="2" t="inlineStr">
        <is>
          <t>Enforced</t>
        </is>
      </c>
      <c r="AG20" s="2" t="n"/>
      <c r="AH20" s="2" t="n"/>
      <c r="AI20" s="2" t="n"/>
      <c r="AJ20" s="2" t="n"/>
      <c r="AK20" s="2" t="n">
        <v>24</v>
      </c>
      <c r="AL20" s="3" t="inlineStr">
        <is>
          <t>R018; R026</t>
        </is>
      </c>
      <c r="AM20" s="3" t="inlineStr">
        <is>
          <t>petsmart</t>
        </is>
      </c>
    </row>
    <row r="21">
      <c r="A21" s="2" t="n">
        <v>20</v>
      </c>
      <c r="B21" s="3" t="inlineStr">
        <is>
          <t>10/30/2014</t>
        </is>
      </c>
      <c r="C21" s="3" t="inlineStr">
        <is>
          <t>Buyer Group</t>
        </is>
      </c>
      <c r="D21" s="3" t="inlineStr">
        <is>
          <t>Bid</t>
        </is>
      </c>
      <c r="E21" s="2" t="n">
        <v>1</v>
      </c>
      <c r="F21" s="2" t="n">
        <v>1</v>
      </c>
      <c r="G21" s="3" t="inlineStr">
        <is>
          <t>Financial</t>
        </is>
      </c>
      <c r="H21" s="3" t="inlineStr">
        <is>
          <t>Non-binding preliminary indication of interest: range of $81.00 to $83.00 per share; one of three indications reaching at least $80.00. Bid not conditioned on a Longview rollover.</t>
        </is>
      </c>
      <c r="I21" s="3" t="inlineStr">
        <is>
          <t>Informal</t>
        </is>
      </c>
      <c r="J21" s="3" t="inlineStr">
        <is>
          <t>Insufficient evidence</t>
        </is>
      </c>
      <c r="K21" s="3" t="inlineStr">
        <is>
          <t>Stated price range. Formality: preliminary non-binding IOI with no returned documentation signal (Informal). Conditions: the filing reports the price but nothing about this bid's financing/diligence conditions; all 15 had substantive October diligence access and further diligence followed — preferred reading noted; recorded Insufficient evidence. All cash: Not stated at IOI stage (form of consideration not disclosed). Quotation: “Three bidders initially indicated price ranges that reached at least $80.00 per share, including the Buyer Group, which indicated a range of $81.00 to $83.00 per share” (p. 24)</t>
        </is>
      </c>
      <c r="L21" s="4" t="inlineStr">
        <is>
          <t>P-016</t>
        </is>
      </c>
      <c r="M21" s="2" t="inlineStr">
        <is>
          <t>Q4</t>
        </is>
      </c>
      <c r="N21" s="3" t="inlineStr"/>
      <c r="O21" s="3" t="inlineStr">
        <is>
          <t>R020</t>
        </is>
      </c>
      <c r="P21" s="2" t="inlineStr">
        <is>
          <t>Yes</t>
        </is>
      </c>
      <c r="Q21" s="2" t="n">
        <v>1</v>
      </c>
      <c r="R21" s="5" t="n">
        <v>41942</v>
      </c>
      <c r="S21" s="5" t="n">
        <v>41942</v>
      </c>
      <c r="T21" s="6" t="n">
        <v>41942</v>
      </c>
      <c r="U21" s="3" t="inlineStr">
        <is>
          <t>Reported day</t>
        </is>
      </c>
      <c r="V21" s="2" t="inlineStr">
        <is>
          <t>Reported</t>
        </is>
      </c>
      <c r="W21" s="7" t="n">
        <v>81</v>
      </c>
      <c r="X21" s="7" t="n">
        <v>83</v>
      </c>
      <c r="Y21" s="2" t="inlineStr">
        <is>
          <t>Bidder range</t>
        </is>
      </c>
      <c r="Z21" s="2" t="inlineStr">
        <is>
          <t>Stated</t>
        </is>
      </c>
      <c r="AA21" s="2" t="inlineStr">
        <is>
          <t>USD</t>
        </is>
      </c>
      <c r="AB21" s="2" t="inlineStr">
        <is>
          <t>Not stated</t>
        </is>
      </c>
      <c r="AC21" s="7" t="n"/>
      <c r="AD21" s="3" t="inlineStr">
        <is>
          <t>Fin: not stated; DD required: not stated; DD open: yes; Excl: not stated</t>
        </is>
      </c>
      <c r="AE21" s="5" t="n"/>
      <c r="AF21" s="2" t="n"/>
      <c r="AG21" s="2" t="n"/>
      <c r="AH21" s="2" t="n"/>
      <c r="AI21" s="2" t="n"/>
      <c r="AJ21" s="2" t="n"/>
      <c r="AK21" s="2" t="n">
        <v>24</v>
      </c>
      <c r="AL21" s="3" t="inlineStr">
        <is>
          <t>R035; R043</t>
        </is>
      </c>
      <c r="AM21" s="3" t="inlineStr">
        <is>
          <t>petsmart</t>
        </is>
      </c>
    </row>
    <row r="22">
      <c r="A22" s="2" t="n">
        <v>21</v>
      </c>
      <c r="B22" s="3" t="inlineStr">
        <is>
          <t>10/30/2014</t>
        </is>
      </c>
      <c r="C22" s="3" t="inlineStr">
        <is>
          <t>Bidder 2</t>
        </is>
      </c>
      <c r="D22" s="3" t="inlineStr">
        <is>
          <t>Bid</t>
        </is>
      </c>
      <c r="E22" s="2" t="n">
        <v>1</v>
      </c>
      <c r="F22" s="2" t="n">
        <v>1</v>
      </c>
      <c r="G22" s="3" t="inlineStr">
        <is>
          <t>Financial</t>
        </is>
      </c>
      <c r="H22" s="3" t="inlineStr">
        <is>
          <t>Non-binding preliminary indication of interest: initially $78.00 per share. Below the $80.00 threshold applied on 11/03/2014 until revised (R025).</t>
        </is>
      </c>
      <c r="I22" s="3" t="inlineStr">
        <is>
          <t>Informal</t>
        </is>
      </c>
      <c r="J22" s="3" t="inlineStr">
        <is>
          <t>Insufficient evidence</t>
        </is>
      </c>
      <c r="K22" s="3" t="inlineStr">
        <is>
          <t>Stated initial price. Formality/conditions as for the other IOIs (no formal signal; financing/conditions not stated). Superseded by the revised indication before the selection decision. Quotation: “another bidder (which we refer to as “Bidder 2”), which had initially indicated a price of $78.00” (p. 24)</t>
        </is>
      </c>
      <c r="L22" s="4" t="inlineStr">
        <is>
          <t>P-016</t>
        </is>
      </c>
      <c r="M22" s="2" t="inlineStr">
        <is>
          <t>Q4</t>
        </is>
      </c>
      <c r="N22" s="3" t="inlineStr"/>
      <c r="O22" s="3" t="inlineStr">
        <is>
          <t>R021</t>
        </is>
      </c>
      <c r="P22" s="2" t="inlineStr">
        <is>
          <t>Yes</t>
        </is>
      </c>
      <c r="Q22" s="2" t="n">
        <v>1</v>
      </c>
      <c r="R22" s="5" t="n">
        <v>41942</v>
      </c>
      <c r="S22" s="5" t="n">
        <v>41942</v>
      </c>
      <c r="T22" s="6" t="n">
        <v>41942</v>
      </c>
      <c r="U22" s="3" t="inlineStr">
        <is>
          <t>Reported day</t>
        </is>
      </c>
      <c r="V22" s="2" t="inlineStr">
        <is>
          <t>Reported</t>
        </is>
      </c>
      <c r="W22" s="7" t="n">
        <v>78</v>
      </c>
      <c r="X22" s="7" t="n">
        <v>78</v>
      </c>
      <c r="Y22" s="2" t="inlineStr">
        <is>
          <t>Point</t>
        </is>
      </c>
      <c r="Z22" s="2" t="inlineStr">
        <is>
          <t>Stated</t>
        </is>
      </c>
      <c r="AA22" s="2" t="inlineStr">
        <is>
          <t>USD</t>
        </is>
      </c>
      <c r="AB22" s="2" t="inlineStr">
        <is>
          <t>Not stated</t>
        </is>
      </c>
      <c r="AC22" s="7" t="n"/>
      <c r="AD22" s="3" t="inlineStr">
        <is>
          <t>Fin: not stated; DD required: not stated; DD open: yes; Excl: not stated</t>
        </is>
      </c>
      <c r="AE22" s="5" t="n"/>
      <c r="AF22" s="2" t="n"/>
      <c r="AG22" s="2" t="n"/>
      <c r="AH22" s="2" t="n"/>
      <c r="AI22" s="2" t="n"/>
      <c r="AJ22" s="2" t="n"/>
      <c r="AK22" s="2" t="n">
        <v>24</v>
      </c>
      <c r="AL22" s="3" t="inlineStr">
        <is>
          <t>R025; R036</t>
        </is>
      </c>
      <c r="AM22" s="3" t="inlineStr">
        <is>
          <t>petsmart</t>
        </is>
      </c>
    </row>
    <row r="23">
      <c r="A23" s="2" t="n">
        <v>22</v>
      </c>
      <c r="B23" s="3" t="inlineStr">
        <is>
          <t>10/30/2014</t>
        </is>
      </c>
      <c r="C23" s="3" t="inlineStr">
        <is>
          <t>Unnamed bidder 1 (range $80–$85)</t>
        </is>
      </c>
      <c r="D23" s="3" t="inlineStr">
        <is>
          <t>Bid</t>
        </is>
      </c>
      <c r="E23" s="2" t="n">
        <v>1</v>
      </c>
      <c r="F23" s="2" t="n">
        <v>1</v>
      </c>
      <c r="G23" s="3" t="inlineStr">
        <is>
          <t>Financial</t>
        </is>
      </c>
      <c r="H23" s="3" t="inlineStr">
        <is>
          <t>Non-binding preliminary indication of interest: range of $80.00 to $85.00 per share. Individually described unnamed bidder; possibly one of the two bidders that later formed Bidder 3 — identity not established (Q2), so no link is asserted in the ledger.</t>
        </is>
      </c>
      <c r="I23" s="3" t="inlineStr">
        <is>
          <t>Informal</t>
        </is>
      </c>
      <c r="J23" s="3" t="inlineStr">
        <is>
          <t>Insufficient evidence</t>
        </is>
      </c>
      <c r="K23" s="3" t="inlineStr">
        <is>
          <t>Stated range for an unnamed but individually distinguishable participant. No identity mapping to later anonymous roles (hypothesis only, Q2). Conditions not stated. Quotation: “and another bidder, which suggested a range of $80.00 to $85.00 per share” (p. 24)</t>
        </is>
      </c>
      <c r="L23" s="4" t="inlineStr">
        <is>
          <t>P-016</t>
        </is>
      </c>
      <c r="M23" s="2" t="inlineStr">
        <is>
          <t>Q2; Q4</t>
        </is>
      </c>
      <c r="N23" s="3" t="inlineStr"/>
      <c r="O23" s="3" t="inlineStr">
        <is>
          <t>R022</t>
        </is>
      </c>
      <c r="P23" s="2" t="inlineStr">
        <is>
          <t>Yes</t>
        </is>
      </c>
      <c r="Q23" s="2" t="n">
        <v>1</v>
      </c>
      <c r="R23" s="5" t="n">
        <v>41942</v>
      </c>
      <c r="S23" s="5" t="n">
        <v>41942</v>
      </c>
      <c r="T23" s="6" t="n">
        <v>41942</v>
      </c>
      <c r="U23" s="3" t="inlineStr">
        <is>
          <t>Reported day</t>
        </is>
      </c>
      <c r="V23" s="2" t="inlineStr">
        <is>
          <t>Reported</t>
        </is>
      </c>
      <c r="W23" s="7" t="n">
        <v>80</v>
      </c>
      <c r="X23" s="7" t="n">
        <v>85</v>
      </c>
      <c r="Y23" s="2" t="inlineStr">
        <is>
          <t>Bidder range</t>
        </is>
      </c>
      <c r="Z23" s="2" t="inlineStr">
        <is>
          <t>Stated</t>
        </is>
      </c>
      <c r="AA23" s="2" t="inlineStr">
        <is>
          <t>USD</t>
        </is>
      </c>
      <c r="AB23" s="2" t="inlineStr">
        <is>
          <t>Not stated</t>
        </is>
      </c>
      <c r="AC23" s="7" t="n"/>
      <c r="AD23" s="3" t="inlineStr">
        <is>
          <t>Fin: not stated; DD required: not stated; DD open: yes; Excl: not stated</t>
        </is>
      </c>
      <c r="AE23" s="5" t="n"/>
      <c r="AF23" s="2" t="n"/>
      <c r="AG23" s="2" t="n"/>
      <c r="AH23" s="2" t="n"/>
      <c r="AI23" s="2" t="n"/>
      <c r="AJ23" s="2" t="n"/>
      <c r="AK23" s="2" t="n">
        <v>24</v>
      </c>
      <c r="AL23" s="3" t="inlineStr">
        <is>
          <t>R028</t>
        </is>
      </c>
      <c r="AM23" s="3" t="inlineStr">
        <is>
          <t>petsmart</t>
        </is>
      </c>
    </row>
    <row r="24">
      <c r="A24" s="2" t="n">
        <v>23</v>
      </c>
      <c r="B24" s="3" t="inlineStr">
        <is>
          <t>10/30/2014</t>
        </is>
      </c>
      <c r="C24" s="3" t="inlineStr">
        <is>
          <t>Unnamed IOI submitters (residual cohort of 3)</t>
        </is>
      </c>
      <c r="D24" s="3" t="inlineStr">
        <is>
          <t>Bid</t>
        </is>
      </c>
      <c r="E24" s="2" t="n">
        <v>1</v>
      </c>
      <c r="F24" s="2" t="n">
        <v>1</v>
      </c>
      <c r="G24" s="3" t="inlineStr">
        <is>
          <t>Financial</t>
        </is>
      </c>
      <c r="H24" s="3" t="inlineStr">
        <is>
          <t>Residual of the six stated IOI submitters after the three individually described indications (Buyer Group $81–$83; Bidder 2 $78; unnamed bidder $80–$85): three further submitters whose prices are not disclosed — one indicated a price or range at or above $80.00 (included within the four bidders advanced to the final round) and two were below $80.00 (eliminated on 11/03/2014). Prices and identities not disclosed.</t>
        </is>
      </c>
      <c r="I24" s="3" t="inlineStr">
        <is>
          <t>Informal</t>
        </is>
      </c>
      <c r="J24" s="3" t="inlineStr">
        <is>
          <t>Insufficient evidence</t>
        </is>
      </c>
      <c r="K24" s="3" t="inlineStr">
        <is>
          <t>Residual partition: 6 stated submitters − 3 individually described units = 3. Formality Informal (preliminary non-binding indications); conditions not stated. Undisclosed prices are preserved in text; no endpoints invented. Quotations: “On October 30, six of the potentially interested parties submitted indications of interest.” (p. 24) “The board determined to allow the four bidders that had indicated a price or range at or above $80.00 per share to proceed to the final round of the sale process.” (p. 24)</t>
        </is>
      </c>
      <c r="L24" s="4" t="inlineStr">
        <is>
          <t>P-016; P-017</t>
        </is>
      </c>
      <c r="M24" s="2" t="inlineStr">
        <is>
          <t>Q2; Q4</t>
        </is>
      </c>
      <c r="N24" s="3" t="inlineStr"/>
      <c r="O24" s="3" t="inlineStr">
        <is>
          <t>R023</t>
        </is>
      </c>
      <c r="P24" s="2" t="inlineStr">
        <is>
          <t>Yes</t>
        </is>
      </c>
      <c r="Q24" s="2" t="n">
        <v>3</v>
      </c>
      <c r="R24" s="5" t="n">
        <v>41942</v>
      </c>
      <c r="S24" s="5" t="n">
        <v>41942</v>
      </c>
      <c r="T24" s="6" t="n">
        <v>41942</v>
      </c>
      <c r="U24" s="3" t="inlineStr">
        <is>
          <t>Reported day</t>
        </is>
      </c>
      <c r="V24" s="2" t="inlineStr">
        <is>
          <t>Reported</t>
        </is>
      </c>
      <c r="W24" s="7" t="n"/>
      <c r="X24" s="7" t="n"/>
      <c r="Y24" s="2" t="inlineStr">
        <is>
          <t>Undisclosed</t>
        </is>
      </c>
      <c r="Z24" s="2" t="n"/>
      <c r="AA24" s="2" t="n"/>
      <c r="AB24" s="2" t="inlineStr">
        <is>
          <t>Not stated</t>
        </is>
      </c>
      <c r="AC24" s="7" t="n"/>
      <c r="AD24" s="3" t="inlineStr">
        <is>
          <t>Fin: not stated; DD required: not stated; DD open: yes; Excl: not stated</t>
        </is>
      </c>
      <c r="AE24" s="5" t="n"/>
      <c r="AF24" s="2" t="n"/>
      <c r="AG24" s="2" t="n"/>
      <c r="AH24" s="2" t="n"/>
      <c r="AI24" s="2" t="n"/>
      <c r="AJ24" s="2" t="n"/>
      <c r="AK24" s="2" t="n">
        <v>24</v>
      </c>
      <c r="AL24" s="3" t="inlineStr">
        <is>
          <t>R026; R028</t>
        </is>
      </c>
      <c r="AM24" s="3" t="inlineStr">
        <is>
          <t>petsmart</t>
        </is>
      </c>
    </row>
    <row r="25">
      <c r="A25" s="2" t="n">
        <v>24</v>
      </c>
      <c r="B25" s="3" t="inlineStr">
        <is>
          <t>by 10/30/2014</t>
        </is>
      </c>
      <c r="C25" s="3" t="inlineStr">
        <is>
          <t>9 non-submitting NDA signers (cohort)</t>
        </is>
      </c>
      <c r="D25" s="3" t="inlineStr">
        <is>
          <t>Did not submit</t>
        </is>
      </c>
      <c r="E25" s="2" t="n">
        <v>1</v>
      </c>
      <c r="F25" s="2" t="n">
        <v>1</v>
      </c>
      <c r="G25" s="3" t="inlineStr">
        <is>
          <t>Financial</t>
        </is>
      </c>
      <c r="H25" s="3" t="inlineStr">
        <is>
          <t>Inferred: residual — 15 NDA signers − 6 submitters = 9 non-submitters. The 15 potential bidders were told IOIs were due 10/30/2014; six submitted indications and no submission is reported for the other nine. Row records only non-submission at this solicitation, not permanent withdrawal.</t>
        </is>
      </c>
      <c r="I25" s="3" t="inlineStr"/>
      <c r="J25" s="3" t="inlineStr"/>
      <c r="K25" s="3" t="inlineStr">
        <is>
          <t>Inferred: residual (base assumes all 15 confidentiality signers were invited to submit and that the six stated submitters exhaust the submissions). Arithmetic in Terms. No identities, motives or decision dates inferred. Quotations: “the potential bidders were informed that non-binding preliminary indications of interest would be due on October 30, 2014.” (p. 23) “On October 30, six of the potentially interested parties submitted indications of interest.” (p. 24)</t>
        </is>
      </c>
      <c r="L25" s="4" t="inlineStr">
        <is>
          <t>P-014; P-016; P-013</t>
        </is>
      </c>
      <c r="M25" s="2" t="inlineStr">
        <is>
          <t>Q5</t>
        </is>
      </c>
      <c r="N25" s="3" t="inlineStr"/>
      <c r="O25" s="3" t="inlineStr">
        <is>
          <t>R024</t>
        </is>
      </c>
      <c r="P25" s="2" t="inlineStr">
        <is>
          <t>Yes</t>
        </is>
      </c>
      <c r="Q25" s="2" t="n">
        <v>9</v>
      </c>
      <c r="R25" s="5" t="n"/>
      <c r="S25" s="5" t="n">
        <v>41942</v>
      </c>
      <c r="T25" s="6" t="n">
        <v>41942</v>
      </c>
      <c r="U25" s="3" t="inlineStr">
        <is>
          <t>Relative only</t>
        </is>
      </c>
      <c r="V25" s="2" t="inlineStr">
        <is>
          <t>Assigned: deadline</t>
        </is>
      </c>
      <c r="W25" s="7" t="n"/>
      <c r="X25" s="7" t="n"/>
      <c r="Y25" s="2" t="n"/>
      <c r="Z25" s="2" t="n"/>
      <c r="AA25" s="2" t="n"/>
      <c r="AB25" s="2" t="n"/>
      <c r="AC25" s="7" t="n"/>
      <c r="AD25" s="3" t="n"/>
      <c r="AE25" s="5" t="n"/>
      <c r="AF25" s="2" t="n"/>
      <c r="AG25" s="2" t="n"/>
      <c r="AH25" s="2" t="inlineStr">
        <is>
          <t>Unknown</t>
        </is>
      </c>
      <c r="AI25" s="2" t="inlineStr">
        <is>
          <t>Not stated</t>
        </is>
      </c>
      <c r="AJ25" s="2" t="inlineStr">
        <is>
          <t>Inferred: residual</t>
        </is>
      </c>
      <c r="AK25" s="2" t="n">
        <v>24</v>
      </c>
      <c r="AL25" s="3" t="inlineStr">
        <is>
          <t>R017; R020; R021; R022; R023</t>
        </is>
      </c>
      <c r="AM25" s="3" t="inlineStr">
        <is>
          <t>petsmart</t>
        </is>
      </c>
    </row>
    <row r="26">
      <c r="A26" s="2" t="n">
        <v>25</v>
      </c>
      <c r="B26" s="3" t="inlineStr">
        <is>
          <t>between 10/30/2014 and 11/02/2014</t>
        </is>
      </c>
      <c r="C26" s="3" t="inlineStr">
        <is>
          <t>Bidder 2</t>
        </is>
      </c>
      <c r="D26" s="3" t="inlineStr">
        <is>
          <t>Bid</t>
        </is>
      </c>
      <c r="E26" s="2" t="n">
        <v>1</v>
      </c>
      <c r="F26" s="2" t="n">
        <v>1</v>
      </c>
      <c r="G26" s="3" t="inlineStr">
        <is>
          <t>Financial</t>
        </is>
      </c>
      <c r="H26" s="3" t="inlineStr">
        <is>
          <t>Revised and increased indication: range of $81.00 to $84.00 per share, after discussions with J.P. Morgan, which spoke by telephone with all potentially interested parties (including non-submitters) from 10/30 to 11/02 about their price rationales.</t>
        </is>
      </c>
      <c r="I26" s="3" t="inlineStr">
        <is>
          <t>Informal</t>
        </is>
      </c>
      <c r="J26" s="3" t="inlineStr">
        <is>
          <t>Insufficient evidence</t>
        </is>
      </c>
      <c r="K26" s="3" t="inlineStr">
        <is>
          <t>Stated revision; supersedes R021. Formality/conditions as for the IOIs. Working date = midpoint of the discussion window (assigned; keeps the revision ahead of the 11/03 selection). Quotation: “As a result of its discussions with J.P. Morgan, another bidder (which we refer to as “Bidder 2”), which had initially indicated a price of $78.00, increased its indication to a range of $81.00 to $84.00 per share.” (p. 24)</t>
        </is>
      </c>
      <c r="L26" s="4" t="inlineStr">
        <is>
          <t>P-016</t>
        </is>
      </c>
      <c r="M26" s="2" t="inlineStr">
        <is>
          <t>Q2; Q6</t>
        </is>
      </c>
      <c r="N26" s="3" t="inlineStr"/>
      <c r="O26" s="3" t="inlineStr">
        <is>
          <t>R025</t>
        </is>
      </c>
      <c r="P26" s="2" t="inlineStr">
        <is>
          <t>Yes</t>
        </is>
      </c>
      <c r="Q26" s="2" t="n">
        <v>0</v>
      </c>
      <c r="R26" s="5" t="n">
        <v>41942</v>
      </c>
      <c r="S26" s="5" t="n">
        <v>41945</v>
      </c>
      <c r="T26" s="6" t="n">
        <v>41943</v>
      </c>
      <c r="U26" s="3" t="inlineStr">
        <is>
          <t>Reported interval</t>
        </is>
      </c>
      <c r="V26" s="2" t="inlineStr">
        <is>
          <t>Assigned: midpoint</t>
        </is>
      </c>
      <c r="W26" s="7" t="n">
        <v>81</v>
      </c>
      <c r="X26" s="7" t="n">
        <v>84</v>
      </c>
      <c r="Y26" s="2" t="inlineStr">
        <is>
          <t>Bidder range</t>
        </is>
      </c>
      <c r="Z26" s="2" t="inlineStr">
        <is>
          <t>Stated</t>
        </is>
      </c>
      <c r="AA26" s="2" t="inlineStr">
        <is>
          <t>USD</t>
        </is>
      </c>
      <c r="AB26" s="2" t="inlineStr">
        <is>
          <t>Not stated</t>
        </is>
      </c>
      <c r="AC26" s="7" t="n"/>
      <c r="AD26" s="3" t="inlineStr">
        <is>
          <t>Fin: not stated; DD required: not stated; DD open: yes; Excl: not stated</t>
        </is>
      </c>
      <c r="AE26" s="5" t="n"/>
      <c r="AF26" s="2" t="n"/>
      <c r="AG26" s="2" t="n"/>
      <c r="AH26" s="2" t="n"/>
      <c r="AI26" s="2" t="n"/>
      <c r="AJ26" s="2" t="n"/>
      <c r="AK26" s="2" t="n">
        <v>24</v>
      </c>
      <c r="AL26" s="3" t="inlineStr">
        <is>
          <t>R021; R036</t>
        </is>
      </c>
      <c r="AM26" s="3" t="inlineStr">
        <is>
          <t>petsmart</t>
        </is>
      </c>
    </row>
    <row r="27">
      <c r="A27" s="2" t="n">
        <v>26</v>
      </c>
      <c r="B27" s="3" t="inlineStr">
        <is>
          <t>11/03/2014</t>
        </is>
      </c>
      <c r="C27" s="3" t="inlineStr">
        <is>
          <t>PetSmart board</t>
        </is>
      </c>
      <c r="D27" s="3" t="inlineStr">
        <is>
          <t>Round opened</t>
        </is>
      </c>
      <c r="E27" s="2" t="n">
        <v>1</v>
      </c>
      <c r="F27" s="2" t="n">
        <v>2</v>
      </c>
      <c r="G27" s="3" t="inlineStr"/>
      <c r="H27" s="3" t="inlineStr">
        <is>
          <t>R2 opens: board met and allowed the four bidders that had indicated a price or range at or above $80.00 per share to proceed to the 'final round of the sale process'. Individually described ≥$80 units: Buyer Group (R020), Bidder 2 (R025, raised from $78) and unnamed bidder 1 (R022); one further ≥$80 submitter sits inside residual R023. Purpose: finalist diligence and negotiation toward definitive documentation. Round finality: Inferred final — selected bidders moved toward a definitive agreement; the filing calls it the board's final round, but no announcement to bidders of a binding/best-and-final stage is quoted at this opening.</t>
        </is>
      </c>
      <c r="I27" s="3" t="inlineStr"/>
      <c r="J27" s="3" t="inlineStr"/>
      <c r="K27" s="3" t="inlineStr">
        <is>
          <t>Stated selection threshold and count; round map per instruction. See Q1/Q2 on the four-bidder composition. Quotation: “On November 3, 2014, the board met in person, together with members of management and representatives of J.P. Morgan and Wachtell Lipton, to continue its review of strategic alternatives, including a review of the indications of interest. The board determined to allow the four bidders that had indicated a price or range at or above $80.00 per share to proceed to the final round of the sale process.” (p. 24)</t>
        </is>
      </c>
      <c r="L27" s="4" t="inlineStr">
        <is>
          <t>P-017</t>
        </is>
      </c>
      <c r="M27" s="2" t="inlineStr">
        <is>
          <t>Q1; Q2</t>
        </is>
      </c>
      <c r="N27" s="3" t="inlineStr"/>
      <c r="O27" s="3" t="inlineStr">
        <is>
          <t>R026</t>
        </is>
      </c>
      <c r="P27" s="2" t="inlineStr">
        <is>
          <t>Yes</t>
        </is>
      </c>
      <c r="Q27" s="2" t="n"/>
      <c r="R27" s="5" t="n">
        <v>41946</v>
      </c>
      <c r="S27" s="5" t="n">
        <v>41946</v>
      </c>
      <c r="T27" s="6" t="n">
        <v>41946</v>
      </c>
      <c r="U27" s="3" t="inlineStr">
        <is>
          <t>Reported day</t>
        </is>
      </c>
      <c r="V27" s="2" t="inlineStr">
        <is>
          <t>Reported</t>
        </is>
      </c>
      <c r="W27" s="7" t="n"/>
      <c r="X27" s="7" t="n"/>
      <c r="Y27" s="2" t="n"/>
      <c r="Z27" s="2" t="n"/>
      <c r="AA27" s="2" t="n"/>
      <c r="AB27" s="2" t="n"/>
      <c r="AC27" s="7" t="n"/>
      <c r="AD27" s="3" t="n"/>
      <c r="AE27" s="5" t="n"/>
      <c r="AF27" s="2" t="n"/>
      <c r="AG27" s="2" t="inlineStr">
        <is>
          <t>Inferred final</t>
        </is>
      </c>
      <c r="AH27" s="2" t="n"/>
      <c r="AI27" s="2" t="n"/>
      <c r="AJ27" s="2" t="n"/>
      <c r="AK27" s="2" t="n">
        <v>24</v>
      </c>
      <c r="AL27" s="3" t="inlineStr">
        <is>
          <t>R020; R022; R023; R025; R027; R028; R029</t>
        </is>
      </c>
      <c r="AM27" s="3" t="inlineStr">
        <is>
          <t>petsmart</t>
        </is>
      </c>
    </row>
    <row r="28">
      <c r="A28" s="2" t="n">
        <v>27</v>
      </c>
      <c r="B28" s="3" t="inlineStr">
        <is>
          <t>11/03/2014 (advancement decision; notification followed the meeting, day not disclosed)</t>
        </is>
      </c>
      <c r="C28" s="3" t="inlineStr">
        <is>
          <t>2 eliminated IOI submitters (cohort)</t>
        </is>
      </c>
      <c r="D28" s="3" t="inlineStr">
        <is>
          <t>Dropped by target</t>
        </is>
      </c>
      <c r="E28" s="2" t="n">
        <v>1</v>
      </c>
      <c r="F28" s="2" t="n">
        <v>1</v>
      </c>
      <c r="G28" s="3" t="inlineStr">
        <is>
          <t>Financial</t>
        </is>
      </c>
      <c r="H28" s="3" t="inlineStr">
        <is>
          <t>Target excluded the submitters below the ≥$80.00 threshold from the final round; J.P. Morgan notified the eliminated parties after the 11/03/2014 board meeting, and none indicated any interest or ability to remain in the process at price levels above their respective initial indications.</t>
        </is>
      </c>
      <c r="I28" s="3" t="inlineStr"/>
      <c r="J28" s="3" t="inlineStr"/>
      <c r="K28" s="3" t="inlineStr">
        <is>
          <t>Stated exclusion of two submitting units (6 submitters − 4 advanced). Decided by Target; reason: lower price than rivals carried forward to the threshold. The notified parties' own lack of interest to remain is preserved. Quotation: “Following this meeting, representatives of J.P. Morgan notified the eliminated parties, none of which indicated any interest or ability to remain in the process at price levels above their respective initial indications.” (p. 24)</t>
        </is>
      </c>
      <c r="L28" s="4" t="inlineStr">
        <is>
          <t>P-017; P-016</t>
        </is>
      </c>
      <c r="M28" s="2" t="inlineStr">
        <is>
          <t>Q2; Q5</t>
        </is>
      </c>
      <c r="N28" s="3" t="inlineStr"/>
      <c r="O28" s="3" t="inlineStr">
        <is>
          <t>R027</t>
        </is>
      </c>
      <c r="P28" s="2" t="inlineStr">
        <is>
          <t>Yes</t>
        </is>
      </c>
      <c r="Q28" s="2" t="n">
        <v>2</v>
      </c>
      <c r="R28" s="5" t="n">
        <v>41946</v>
      </c>
      <c r="S28" s="5" t="n"/>
      <c r="T28" s="6" t="n">
        <v>41946</v>
      </c>
      <c r="U28" s="3" t="inlineStr">
        <is>
          <t>Relative only</t>
        </is>
      </c>
      <c r="V28" s="2" t="inlineStr">
        <is>
          <t>Assigned: decision day</t>
        </is>
      </c>
      <c r="W28" s="7" t="n"/>
      <c r="X28" s="7" t="n"/>
      <c r="Y28" s="2" t="n"/>
      <c r="Z28" s="2" t="n"/>
      <c r="AA28" s="2" t="n"/>
      <c r="AB28" s="2" t="n"/>
      <c r="AC28" s="7" t="n"/>
      <c r="AD28" s="3" t="n"/>
      <c r="AE28" s="5" t="n"/>
      <c r="AF28" s="2" t="n"/>
      <c r="AG28" s="2" t="n"/>
      <c r="AH28" s="2" t="inlineStr">
        <is>
          <t>Target</t>
        </is>
      </c>
      <c r="AI28" s="2" t="inlineStr">
        <is>
          <t>Lower offer than rivals</t>
        </is>
      </c>
      <c r="AJ28" s="2" t="inlineStr">
        <is>
          <t>Stated</t>
        </is>
      </c>
      <c r="AK28" s="2" t="n">
        <v>24</v>
      </c>
      <c r="AL28" s="3" t="inlineStr">
        <is>
          <t>R023</t>
        </is>
      </c>
      <c r="AM28" s="3" t="inlineStr">
        <is>
          <t>petsmart</t>
        </is>
      </c>
    </row>
    <row r="29">
      <c r="A29" s="2" t="n">
        <v>28</v>
      </c>
      <c r="B29" s="3" t="inlineStr">
        <is>
          <t>after 11/03/2014; day not disclosed</t>
        </is>
      </c>
      <c r="C29" s="3" t="inlineStr">
        <is>
          <t>Bidder 3 (two unnamed final-round bidders working together)</t>
        </is>
      </c>
      <c r="D29" s="3" t="inlineStr">
        <is>
          <t>Bidding group changed</t>
        </is>
      </c>
      <c r="E29" s="2" t="n">
        <v>1</v>
      </c>
      <c r="F29" s="2" t="n">
        <v>2</v>
      </c>
      <c r="G29" s="3" t="inlineStr">
        <is>
          <t>Financial</t>
        </is>
      </c>
      <c r="H29" s="3" t="inlineStr">
        <is>
          <t>Two bidders — one invited into the final round that indicated a desire to work with an equity partner given the size of a PetSmart acquisition, and one that had indicated it would drop out of the process if not permitted to work together with another bidder — requested permission to work together (they had worked together successfully in prior large leveraged buyouts); the ad hoc committee authorized them, and the two are referred to together as 'Bidder 3'. Effect on final-round units: 4 admitted bidders → 3 bidding units (units −1). Because the members are not independently tracked elsewhere, this row states the unit effect rather than opening per-member Joined group rows; unit arithmetic keeps the stage balance intact.</t>
        </is>
      </c>
      <c r="I29" s="3" t="inlineStr"/>
      <c r="J29" s="3" t="inlineStr"/>
      <c r="K29" s="3" t="inlineStr">
        <is>
          <t>Stated formation and authorization. Convention: anonymous-pair treatment of the unit change (instruction §5.3); identity of members vs Unnamed bidder 1 (R022) not established (Q2). Quotation: “Two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These two bidders informed J.P. Morgan that they had worked together successfully in previous large leveraged buyouts. After deliberation and consultation with the Company’s financial and legal advisors, the ad hoc committee authorized these two bidders to work together. We refer to these two bidders together as “Bidder 3.”” (p. 24)</t>
        </is>
      </c>
      <c r="L29" s="4" t="inlineStr">
        <is>
          <t>P-018</t>
        </is>
      </c>
      <c r="M29" s="2" t="inlineStr">
        <is>
          <t>Q2</t>
        </is>
      </c>
      <c r="N29" s="3" t="inlineStr"/>
      <c r="O29" s="3" t="inlineStr">
        <is>
          <t>R028</t>
        </is>
      </c>
      <c r="P29" s="2" t="inlineStr">
        <is>
          <t>Yes</t>
        </is>
      </c>
      <c r="Q29" s="2" t="n">
        <v>2</v>
      </c>
      <c r="R29" s="5" t="n">
        <v>41947</v>
      </c>
      <c r="S29" s="5" t="n"/>
      <c r="T29" s="6" t="n">
        <v>41947</v>
      </c>
      <c r="U29" s="3" t="inlineStr">
        <is>
          <t>Relative only</t>
        </is>
      </c>
      <c r="V29" s="2" t="inlineStr">
        <is>
          <t>Assigned: bound</t>
        </is>
      </c>
      <c r="W29" s="7" t="n"/>
      <c r="X29" s="7" t="n"/>
      <c r="Y29" s="2" t="n"/>
      <c r="Z29" s="2" t="n"/>
      <c r="AA29" s="2" t="n"/>
      <c r="AB29" s="2" t="n"/>
      <c r="AC29" s="7" t="n"/>
      <c r="AD29" s="3" t="n"/>
      <c r="AE29" s="5" t="n"/>
      <c r="AF29" s="2" t="n"/>
      <c r="AG29" s="2" t="n"/>
      <c r="AH29" s="2" t="n"/>
      <c r="AI29" s="2" t="n"/>
      <c r="AJ29" s="2" t="n"/>
      <c r="AK29" s="2" t="n">
        <v>24</v>
      </c>
      <c r="AL29" s="3" t="inlineStr">
        <is>
          <t>R026; R037; R038</t>
        </is>
      </c>
      <c r="AM29" s="3" t="inlineStr">
        <is>
          <t>petsmart</t>
        </is>
      </c>
    </row>
    <row r="30">
      <c r="A30" s="2" t="n">
        <v>29</v>
      </c>
      <c r="B30" s="3" t="inlineStr">
        <is>
          <t>November 2014 (day not disclosed)</t>
        </is>
      </c>
      <c r="C30" s="3" t="inlineStr">
        <is>
          <t>PetSmart</t>
        </is>
      </c>
      <c r="D30" s="3" t="inlineStr">
        <is>
          <t>Round opened</t>
        </is>
      </c>
      <c r="E30" s="2" t="n">
        <v>1</v>
      </c>
      <c r="F30" s="2" t="n">
        <v>3</v>
      </c>
      <c r="G30" s="3" t="inlineStr"/>
      <c r="H30" s="3" t="inlineStr">
        <is>
          <t>R3 anchor: first request for final bids — the Company circulated a form of merger agreement to the bidders with instructions that bidders submit any proposed comments on the merger agreement together with their final bids; bidders also engaged in further extensive due diligence and management presentations during November. Rejected candidate anchors: the 12/04–12/05 setting of the 12/10 final-bid deadline (R033/R034) — treated as deadline history inside R3, not a fresh round; the 11/03 selection (R026) opens R2. Round finality: Announced as final — bidders were instructed to deliver 'final bids' and the Company later set a 'final bids' deadline and confirmed a 'best and final' offer with Bidder 2.</t>
        </is>
      </c>
      <c r="I30" s="3" t="inlineStr"/>
      <c r="J30" s="3" t="inlineStr"/>
      <c r="K30" s="3" t="inlineStr">
        <is>
          <t>Round-map convention: the instruction makes the first request for final offers a new round even with unchanged bidders; the November circulation is that request. Working date = November midpoint (assigned; day not disclosed). Quotations: “Also during November, the Company circulated a form of merger agreement to the bidders with instructions that the bidders submit any proposed comments on the merger agreement together with their final bids.” (p. 24) “During November, the bidders engaged in further extensive due diligence investigations of the Company, including further detailed management presentations.” (p. 24)</t>
        </is>
      </c>
      <c r="L30" s="4" t="inlineStr">
        <is>
          <t>P-019</t>
        </is>
      </c>
      <c r="M30" s="2" t="inlineStr">
        <is>
          <t>Q1</t>
        </is>
      </c>
      <c r="N30" s="3" t="inlineStr"/>
      <c r="O30" s="3" t="inlineStr">
        <is>
          <t>R029</t>
        </is>
      </c>
      <c r="P30" s="2" t="inlineStr">
        <is>
          <t>Yes</t>
        </is>
      </c>
      <c r="Q30" s="2" t="n"/>
      <c r="R30" s="5" t="n">
        <v>41944</v>
      </c>
      <c r="S30" s="5" t="n">
        <v>41973</v>
      </c>
      <c r="T30" s="6" t="n">
        <v>41958</v>
      </c>
      <c r="U30" s="3" t="inlineStr">
        <is>
          <t>Reported interval</t>
        </is>
      </c>
      <c r="V30" s="2" t="inlineStr">
        <is>
          <t>Assigned: midpoint</t>
        </is>
      </c>
      <c r="W30" s="7" t="n"/>
      <c r="X30" s="7" t="n"/>
      <c r="Y30" s="2" t="n"/>
      <c r="Z30" s="2" t="n"/>
      <c r="AA30" s="2" t="n"/>
      <c r="AB30" s="2" t="n"/>
      <c r="AC30" s="7" t="n"/>
      <c r="AD30" s="3" t="n"/>
      <c r="AE30" s="5" t="n"/>
      <c r="AF30" s="2" t="n"/>
      <c r="AG30" s="2" t="inlineStr">
        <is>
          <t>Announced as final</t>
        </is>
      </c>
      <c r="AH30" s="2" t="n"/>
      <c r="AI30" s="2" t="n"/>
      <c r="AJ30" s="2" t="n"/>
      <c r="AK30" s="2" t="n">
        <v>24</v>
      </c>
      <c r="AL30" s="3" t="inlineStr">
        <is>
          <t>R026; R033</t>
        </is>
      </c>
      <c r="AM30" s="3" t="inlineStr">
        <is>
          <t>petsmart</t>
        </is>
      </c>
    </row>
    <row r="31">
      <c r="A31" s="2" t="n">
        <v>30</v>
      </c>
      <c r="B31" s="3" t="inlineStr">
        <is>
          <t>November 2014 (following the third-quarter earnings announcement)</t>
        </is>
      </c>
      <c r="C31" s="3" t="inlineStr">
        <is>
          <t>J.P. Morgan (for PetSmart)</t>
        </is>
      </c>
      <c r="D31" s="3" t="inlineStr">
        <is>
          <t>Information access changed</t>
        </is>
      </c>
      <c r="E31" s="2" t="n">
        <v>1</v>
      </c>
      <c r="F31" s="2" t="n">
        <v>3</v>
      </c>
      <c r="G31" s="3" t="inlineStr"/>
      <c r="H31" s="3" t="inlineStr">
        <is>
          <t>Projections updated: following release of the Company's third fiscal-quarter results, selected fiscal 2014 income statement line items were revised to reflect actual performance and better visibility into the Profit Improvement Plan; at bidders' request and the board's direction, J.P. Morgan provided bidders with updates to the fiscal 2014 projections. Access was given to the then-live (final-round) bidders; no price change.</t>
        </is>
      </c>
      <c r="I31" s="3" t="inlineStr"/>
      <c r="J31" s="3" t="inlineStr"/>
      <c r="K31" s="3" t="inlineStr">
        <is>
          <t>Stated revision of projections after bidding began (IOIs 10/30/2014), provided to bidders — an information-access change per instruction §4. Count blank (process-wide information row). Quotations: “Following the Company’s third quarter earnings announcement and, at the request of bidders and the direction of the board and the Company, representatives of J.P. Morgan provided the bidders with updates to the Company’s fiscal year 2014 financial projections.” (p. 24) “Following the release of the Company’s third fiscal quarter financial results, selected income statement line items for fiscal year 2014 only were updated to reflect actual performance and better visibility into the performance of the Company’s profit improvement plan.” (p. 37)</t>
        </is>
      </c>
      <c r="L31" s="4" t="inlineStr">
        <is>
          <t>P-019; X-031</t>
        </is>
      </c>
      <c r="M31" s="2" t="inlineStr">
        <is>
          <t>Q1; Q6</t>
        </is>
      </c>
      <c r="N31" s="3" t="inlineStr"/>
      <c r="O31" s="3" t="inlineStr">
        <is>
          <t>R030</t>
        </is>
      </c>
      <c r="P31" s="2" t="inlineStr">
        <is>
          <t>Yes</t>
        </is>
      </c>
      <c r="Q31" s="2" t="n"/>
      <c r="R31" s="5" t="n">
        <v>41944</v>
      </c>
      <c r="S31" s="5" t="n">
        <v>41973</v>
      </c>
      <c r="T31" s="6" t="n">
        <v>41958</v>
      </c>
      <c r="U31" s="3" t="inlineStr">
        <is>
          <t>Reported interval</t>
        </is>
      </c>
      <c r="V31" s="2" t="inlineStr">
        <is>
          <t>Assigned: midpoint</t>
        </is>
      </c>
      <c r="W31" s="7" t="n"/>
      <c r="X31" s="7" t="n"/>
      <c r="Y31" s="2" t="n"/>
      <c r="Z31" s="2" t="n"/>
      <c r="AA31" s="2" t="n"/>
      <c r="AB31" s="2" t="n"/>
      <c r="AC31" s="7" t="n"/>
      <c r="AD31" s="3" t="n"/>
      <c r="AE31" s="5" t="n"/>
      <c r="AF31" s="2" t="n"/>
      <c r="AG31" s="2" t="n"/>
      <c r="AH31" s="2" t="n"/>
      <c r="AI31" s="2" t="n"/>
      <c r="AJ31" s="2" t="n"/>
      <c r="AK31" s="2" t="n">
        <v>24</v>
      </c>
      <c r="AL31" s="3" t="inlineStr">
        <is>
          <t>R029</t>
        </is>
      </c>
      <c r="AM31" s="3" t="inlineStr">
        <is>
          <t>petsmart</t>
        </is>
      </c>
    </row>
    <row r="32">
      <c r="A32" s="2" t="n">
        <v>31</v>
      </c>
      <c r="B32" s="3" t="inlineStr">
        <is>
          <t>12/03/2014</t>
        </is>
      </c>
      <c r="C32" s="3" t="inlineStr">
        <is>
          <t>PetSmart board</t>
        </is>
      </c>
      <c r="D32" s="3" t="inlineStr">
        <is>
          <t>Material process update</t>
        </is>
      </c>
      <c r="E32" s="2" t="n">
        <v>1</v>
      </c>
      <c r="F32" s="2" t="n">
        <v>3</v>
      </c>
      <c r="G32" s="3" t="inlineStr"/>
      <c r="H32" s="3" t="inlineStr">
        <is>
          <t>Regularly scheduled board meeting: further review and financial analysis of alternatives in light of positive operating indications from the Fall/Thanksgiving season and indications that the Profit Improvement Plan would likely achieve at least $200 million in annual incremental profit; board considered standalone values with and without a leveraged capital return. No decisions — no bids in hand. Board had initially targeted 12/15/2014 for completion and initially set 12/05/2014 for bid submissions.</t>
        </is>
      </c>
      <c r="I32" s="3" t="inlineStr"/>
      <c r="J32" s="3" t="inlineStr"/>
      <c r="K32" s="3" t="inlineStr">
        <is>
          <t>Stated; provides the improvement rationale later cited (R039) and the original deadline plan (R032). No decisions made on the bids. Quotations: “significant portions of this meeting were devoted to a further review and financial analysis of the Company’s strategic and financial alternatives, particularly in light of positive indications about the Company’s operating results based on preliminary information from the Fall and Thanksgiving season and indications that the Profit Improvement Plan would likely be successful in achieving at least $200 million in annual incremental profit.” (p. 24)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(p. 24)</t>
        </is>
      </c>
      <c r="L32" s="4" t="inlineStr">
        <is>
          <t>P-020</t>
        </is>
      </c>
      <c r="M32" s="2" t="inlineStr">
        <is>
          <t>Q1</t>
        </is>
      </c>
      <c r="N32" s="3" t="inlineStr"/>
      <c r="O32" s="3" t="inlineStr">
        <is>
          <t>R031</t>
        </is>
      </c>
      <c r="P32" s="2" t="inlineStr">
        <is>
          <t>Yes</t>
        </is>
      </c>
      <c r="Q32" s="2" t="n"/>
      <c r="R32" s="5" t="n">
        <v>41976</v>
      </c>
      <c r="S32" s="5" t="n">
        <v>41976</v>
      </c>
      <c r="T32" s="6" t="n">
        <v>41976</v>
      </c>
      <c r="U32" s="3" t="inlineStr">
        <is>
          <t>Reported day</t>
        </is>
      </c>
      <c r="V32" s="2" t="inlineStr">
        <is>
          <t>Reported</t>
        </is>
      </c>
      <c r="W32" s="7" t="n"/>
      <c r="X32" s="7" t="n"/>
      <c r="Y32" s="2" t="n"/>
      <c r="Z32" s="2" t="n"/>
      <c r="AA32" s="2" t="n"/>
      <c r="AB32" s="2" t="n"/>
      <c r="AC32" s="7" t="n"/>
      <c r="AD32" s="3" t="n"/>
      <c r="AE32" s="5" t="n"/>
      <c r="AF32" s="2" t="n"/>
      <c r="AG32" s="2" t="n"/>
      <c r="AH32" s="2" t="n"/>
      <c r="AI32" s="2" t="n"/>
      <c r="AJ32" s="2" t="n"/>
      <c r="AK32" s="2" t="n">
        <v>24</v>
      </c>
      <c r="AL32" s="3" t="inlineStr">
        <is>
          <t>R032; R033; R039; R040</t>
        </is>
      </c>
      <c r="AM32" s="3" t="inlineStr">
        <is>
          <t>petsmart</t>
        </is>
      </c>
    </row>
    <row r="33">
      <c r="A33" s="2" t="n">
        <v>32</v>
      </c>
      <c r="B33" s="3" t="inlineStr">
        <is>
          <t>reported 12/03/2014; communication date not disclosed</t>
        </is>
      </c>
      <c r="C33" s="3" t="inlineStr">
        <is>
          <t>PetSmart board</t>
        </is>
      </c>
      <c r="D33" s="3" t="inlineStr">
        <is>
          <t>Deadline set</t>
        </is>
      </c>
      <c r="E33" s="2" t="n">
        <v>1</v>
      </c>
      <c r="F33" s="2" t="n">
        <v>3</v>
      </c>
      <c r="G33" s="3" t="inlineStr"/>
      <c r="H33" s="3" t="inlineStr">
        <is>
          <t>Initial bid-submission date: Friday, December 5, 2014, set to allow analysis of bids, further bidding if needed, negotiation of final documentation and a short Longview rollover discussion by the winner; targeted completion 12/15/2014. Superseded on 12/04–12/05 (R033) before it arrived, so no milestone row is recorded for 12/05.</t>
        </is>
      </c>
      <c r="I33" s="3" t="inlineStr"/>
      <c r="J33" s="3" t="inlineStr"/>
      <c r="K33" s="3" t="inlineStr">
        <is>
          <t>Stated in the 12/03 report; exact communication date not disclosed. Upper bound = 12/03/2014 (assigned working date). Quotation: “had initially set Friday, December 5 as the date for submission of bids” (p. 24)</t>
        </is>
      </c>
      <c r="L33" s="4" t="inlineStr">
        <is>
          <t>P-020</t>
        </is>
      </c>
      <c r="M33" s="2" t="inlineStr">
        <is>
          <t>Q6</t>
        </is>
      </c>
      <c r="N33" s="3" t="inlineStr"/>
      <c r="O33" s="3" t="inlineStr">
        <is>
          <t>R032</t>
        </is>
      </c>
      <c r="P33" s="2" t="inlineStr">
        <is>
          <t>Yes</t>
        </is>
      </c>
      <c r="Q33" s="2" t="n"/>
      <c r="R33" s="5" t="n"/>
      <c r="S33" s="5" t="n">
        <v>41976</v>
      </c>
      <c r="T33" s="6" t="n">
        <v>41976</v>
      </c>
      <c r="U33" s="3" t="inlineStr">
        <is>
          <t>Relative only</t>
        </is>
      </c>
      <c r="V33" s="2" t="inlineStr">
        <is>
          <t>Assigned: bound</t>
        </is>
      </c>
      <c r="W33" s="7" t="n"/>
      <c r="X33" s="7" t="n"/>
      <c r="Y33" s="2" t="n"/>
      <c r="Z33" s="2" t="n"/>
      <c r="AA33" s="2" t="n"/>
      <c r="AB33" s="2" t="n"/>
      <c r="AC33" s="7" t="n"/>
      <c r="AD33" s="3" t="n"/>
      <c r="AE33" s="5" t="n">
        <v>41978</v>
      </c>
      <c r="AF33" s="2" t="n"/>
      <c r="AG33" s="2" t="n"/>
      <c r="AH33" s="2" t="n"/>
      <c r="AI33" s="2" t="n"/>
      <c r="AJ33" s="2" t="n"/>
      <c r="AK33" s="2" t="n">
        <v>24</v>
      </c>
      <c r="AL33" s="3" t="inlineStr">
        <is>
          <t>R033</t>
        </is>
      </c>
      <c r="AM33" s="3" t="inlineStr">
        <is>
          <t>petsmart</t>
        </is>
      </c>
    </row>
    <row r="34">
      <c r="A34" s="2" t="n">
        <v>33</v>
      </c>
      <c r="B34" s="3" t="inlineStr">
        <is>
          <t>12/04/2014 and 12/05/2014</t>
        </is>
      </c>
      <c r="C34" s="3" t="inlineStr">
        <is>
          <t>Ad hoc committee</t>
        </is>
      </c>
      <c r="D34" s="3" t="inlineStr">
        <is>
          <t>Deadline revised</t>
        </is>
      </c>
      <c r="E34" s="2" t="n">
        <v>1</v>
      </c>
      <c r="F34" s="2" t="n">
        <v>3</v>
      </c>
      <c r="G34" s="3" t="inlineStr"/>
      <c r="H34" s="3" t="inlineStr">
        <is>
          <t>Existing due date changed: from Friday 12/05/2014 to the evening of Wednesday 12/10/2014 (five days rather than ten before the anticipated 12/15 completion), to reduce the risk of leaks or unintended public disclosure; at the same time the Company asked bidders to submit mark-ups of the draft merger agreement and other transaction documents and financing commitments, if possible, in advance.</t>
        </is>
      </c>
      <c r="I34" s="3" t="inlineStr"/>
      <c r="J34" s="3" t="inlineStr"/>
      <c r="K34" s="3" t="inlineStr">
        <is>
          <t>Stated revision; ad hoc committee conclusion over 12/04–12/05, after consultation with advisers. Old and new due dates preserved (new due date in the structured field). Working date = first day of the two-day window (assigned). Quotations: “However, on December 4 and December 5, 2014, after consultation with the Company’s financial and legal advisors, the ad hoc committee concluded that these matters could be accomplished in a shorter period of time, which would reduce the risk of leaks or unintended public disclosure.” (p. 24)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 (p. 25)</t>
        </is>
      </c>
      <c r="L34" s="4" t="inlineStr">
        <is>
          <t>P-020; P-021</t>
        </is>
      </c>
      <c r="M34" s="2" t="inlineStr">
        <is>
          <t>Q6</t>
        </is>
      </c>
      <c r="N34" s="3" t="inlineStr"/>
      <c r="O34" s="3" t="inlineStr">
        <is>
          <t>R033</t>
        </is>
      </c>
      <c r="P34" s="2" t="inlineStr">
        <is>
          <t>Yes</t>
        </is>
      </c>
      <c r="Q34" s="2" t="n"/>
      <c r="R34" s="5" t="n">
        <v>41977</v>
      </c>
      <c r="S34" s="5" t="n">
        <v>41978</v>
      </c>
      <c r="T34" s="6" t="n">
        <v>41977</v>
      </c>
      <c r="U34" s="3" t="inlineStr">
        <is>
          <t>Reported interval</t>
        </is>
      </c>
      <c r="V34" s="2" t="inlineStr">
        <is>
          <t>Assigned: bound</t>
        </is>
      </c>
      <c r="W34" s="7" t="n"/>
      <c r="X34" s="7" t="n"/>
      <c r="Y34" s="2" t="n"/>
      <c r="Z34" s="2" t="n"/>
      <c r="AA34" s="2" t="n"/>
      <c r="AB34" s="2" t="n"/>
      <c r="AC34" s="7" t="n"/>
      <c r="AD34" s="3" t="n"/>
      <c r="AE34" s="5" t="n">
        <v>41983</v>
      </c>
      <c r="AF34" s="2" t="n"/>
      <c r="AG34" s="2" t="n"/>
      <c r="AH34" s="2" t="n"/>
      <c r="AI34" s="2" t="n"/>
      <c r="AJ34" s="2" t="n"/>
      <c r="AK34" s="2" t="n">
        <v>25</v>
      </c>
      <c r="AL34" s="3" t="inlineStr">
        <is>
          <t>R032; R034</t>
        </is>
      </c>
      <c r="AM34" s="3" t="inlineStr">
        <is>
          <t>petsmart</t>
        </is>
      </c>
    </row>
    <row r="35">
      <c r="A35" s="2" t="n">
        <v>34</v>
      </c>
      <c r="B35" s="3" t="inlineStr">
        <is>
          <t>12/10/2014 (evening)</t>
        </is>
      </c>
      <c r="C35" s="3" t="inlineStr">
        <is>
          <t>PetSmart / bidders</t>
        </is>
      </c>
      <c r="D35" s="3" t="inlineStr">
        <is>
          <t>Deadline</t>
        </is>
      </c>
      <c r="E35" s="2" t="n">
        <v>1</v>
      </c>
      <c r="F35" s="2" t="n">
        <v>3</v>
      </c>
      <c r="G35" s="3" t="inlineStr"/>
      <c r="H35" s="3" t="inlineStr">
        <is>
          <t>Final-bid deadline reached. PetSmart received final bid letters with revised merger agreement and transaction documents from the Buyer Group and Bidder 2, plus a verbal indication from Bidder 3. Treatment: Extended — after reviewing the bids on 12/10 the ad hoc committee asked the same bidders to submit improved bids on 12/12/2014 (Deadline revised, R039).</t>
        </is>
      </c>
      <c r="I35" s="3" t="inlineStr"/>
      <c r="J35" s="3" t="inlineStr"/>
      <c r="K35" s="3" t="inlineStr">
        <is>
          <t>Stated due-date milestone; treatment Extended because the Deadline revised row R039 moves this due date. Quotation: “On December 10, PetSmart received final bid letters along with revised versions of the merger agreement and other transaction documents from the Buyer Group and from Bidder 2 and a verbal indication from Bidder 3.” (p. 25)</t>
        </is>
      </c>
      <c r="L35" s="4" t="inlineStr">
        <is>
          <t>P-025; P-026</t>
        </is>
      </c>
      <c r="M35" s="2" t="inlineStr">
        <is>
          <t>Q6</t>
        </is>
      </c>
      <c r="N35" s="3" t="inlineStr"/>
      <c r="O35" s="3" t="inlineStr">
        <is>
          <t>R034</t>
        </is>
      </c>
      <c r="P35" s="2" t="inlineStr">
        <is>
          <t>Yes</t>
        </is>
      </c>
      <c r="Q35" s="2" t="n"/>
      <c r="R35" s="5" t="n">
        <v>41983</v>
      </c>
      <c r="S35" s="5" t="n">
        <v>41983</v>
      </c>
      <c r="T35" s="6" t="n">
        <v>41983</v>
      </c>
      <c r="U35" s="3" t="inlineStr">
        <is>
          <t>Reported day</t>
        </is>
      </c>
      <c r="V35" s="2" t="inlineStr">
        <is>
          <t>Reported</t>
        </is>
      </c>
      <c r="W35" s="7" t="n"/>
      <c r="X35" s="7" t="n"/>
      <c r="Y35" s="2" t="n"/>
      <c r="Z35" s="2" t="n"/>
      <c r="AA35" s="2" t="n"/>
      <c r="AB35" s="2" t="n"/>
      <c r="AC35" s="7" t="n"/>
      <c r="AD35" s="3" t="n"/>
      <c r="AE35" s="5" t="n">
        <v>41983</v>
      </c>
      <c r="AF35" s="2" t="inlineStr">
        <is>
          <t>Extended</t>
        </is>
      </c>
      <c r="AG35" s="2" t="n"/>
      <c r="AH35" s="2" t="n"/>
      <c r="AI35" s="2" t="n"/>
      <c r="AJ35" s="2" t="n"/>
      <c r="AK35" s="2" t="n">
        <v>25</v>
      </c>
      <c r="AL35" s="3" t="inlineStr">
        <is>
          <t>R033; R035; R036; R037; R039</t>
        </is>
      </c>
      <c r="AM35" s="3" t="inlineStr">
        <is>
          <t>petsmart</t>
        </is>
      </c>
    </row>
    <row r="36">
      <c r="A36" s="2" t="n">
        <v>35</v>
      </c>
      <c r="B36" s="3" t="inlineStr">
        <is>
          <t>12/10/2014</t>
        </is>
      </c>
      <c r="C36" s="3" t="inlineStr">
        <is>
          <t>Buyer Group</t>
        </is>
      </c>
      <c r="D36" s="3" t="inlineStr">
        <is>
          <t>Bid</t>
        </is>
      </c>
      <c r="E36" s="2" t="n">
        <v>1</v>
      </c>
      <c r="F36" s="2" t="n">
        <v>3</v>
      </c>
      <c r="G36" s="3" t="inlineStr">
        <is>
          <t>Financial</t>
        </is>
      </c>
      <c r="H36" s="3" t="inlineStr">
        <is>
          <t>Final bid: $80.70 per share, in cash, submitted with a revised merger agreement and other transaction documents; the Buyer Group had provided financing commitment documents on 12/06/2014. Its documentation was more favorable to the Company (less conditional, more likely to be completed, more acceptance of the Company's positions) and each bidder indicated its bid was not dependent on a Longview rollover.</t>
        </is>
      </c>
      <c r="I36" s="3" t="inlineStr">
        <is>
          <t>Formal</t>
        </is>
      </c>
      <c r="J36" s="3" t="inlineStr">
        <is>
          <t>Light</t>
        </is>
      </c>
      <c r="K36" s="3" t="inlineStr">
        <is>
          <t>Formality: bidder-returned revised merger agreement and transaction documents with a solicited final bid (signal 1). Conditions: committed financing documented and no reported diligence/financing contingency — Light; no Heavy trigger reported. Consideration: cash. Rollover not a condition. Quotations: “The Buyer Group offered $80.70 per share, in cash, and Bidder 2 offered $80.35 per share, in cash.” (p. 25)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 25) “On December 6, 2014, the Buyer Group and Bidder 2 submitted their respective comments on the draft merger agreement and other transaction documents, and the Buyer Group provided its financing commitment documents.” (p. 25)</t>
        </is>
      </c>
      <c r="L36" s="4" t="inlineStr">
        <is>
          <t>P-025; P-022</t>
        </is>
      </c>
      <c r="M36" s="2" t="inlineStr">
        <is>
          <t>Q4</t>
        </is>
      </c>
      <c r="N36" s="3" t="inlineStr"/>
      <c r="O36" s="3" t="inlineStr">
        <is>
          <t>R035</t>
        </is>
      </c>
      <c r="P36" s="2" t="inlineStr">
        <is>
          <t>Yes</t>
        </is>
      </c>
      <c r="Q36" s="2" t="n">
        <v>1</v>
      </c>
      <c r="R36" s="5" t="n">
        <v>41983</v>
      </c>
      <c r="S36" s="5" t="n">
        <v>41983</v>
      </c>
      <c r="T36" s="6" t="n">
        <v>41983</v>
      </c>
      <c r="U36" s="3" t="inlineStr">
        <is>
          <t>Reported day</t>
        </is>
      </c>
      <c r="V36" s="2" t="inlineStr">
        <is>
          <t>Reported</t>
        </is>
      </c>
      <c r="W36" s="7" t="n">
        <v>80.7</v>
      </c>
      <c r="X36" s="7" t="n">
        <v>80.7</v>
      </c>
      <c r="Y36" s="2" t="inlineStr">
        <is>
          <t>Point</t>
        </is>
      </c>
      <c r="Z36" s="2" t="inlineStr">
        <is>
          <t>Stated</t>
        </is>
      </c>
      <c r="AA36" s="2" t="inlineStr">
        <is>
          <t>USD</t>
        </is>
      </c>
      <c r="AB36" s="2" t="inlineStr">
        <is>
          <t>Yes</t>
        </is>
      </c>
      <c r="AC36" s="7" t="n">
        <v>80.7</v>
      </c>
      <c r="AD36" s="3" t="inlineStr">
        <is>
          <t>Fin: committed; DD required: not stated; DD open: not disclosed; Excl: not stated</t>
        </is>
      </c>
      <c r="AE36" s="5" t="n"/>
      <c r="AF36" s="2" t="n"/>
      <c r="AG36" s="2" t="n"/>
      <c r="AH36" s="2" t="n"/>
      <c r="AI36" s="2" t="n"/>
      <c r="AJ36" s="2" t="n"/>
      <c r="AK36" s="2" t="n">
        <v>25</v>
      </c>
      <c r="AL36" s="3" t="inlineStr">
        <is>
          <t>R020; R043</t>
        </is>
      </c>
      <c r="AM36" s="3" t="inlineStr">
        <is>
          <t>petsmart</t>
        </is>
      </c>
    </row>
    <row r="37">
      <c r="A37" s="2" t="n">
        <v>36</v>
      </c>
      <c r="B37" s="3" t="inlineStr">
        <is>
          <t>12/10/2014</t>
        </is>
      </c>
      <c r="C37" s="3" t="inlineStr">
        <is>
          <t>Bidder 2</t>
        </is>
      </c>
      <c r="D37" s="3" t="inlineStr">
        <is>
          <t>Bid</t>
        </is>
      </c>
      <c r="E37" s="2" t="n">
        <v>1</v>
      </c>
      <c r="F37" s="2" t="n">
        <v>3</v>
      </c>
      <c r="G37" s="3" t="inlineStr">
        <is>
          <t>Financial</t>
        </is>
      </c>
      <c r="H37" s="3" t="inlineStr">
        <is>
          <t>Final bid: $80.35 per share, in cash, submitted with a revised merger agreement and other transaction documents. Not dependent on a Longview rollover; Bidder 2 said it would consider accommodating a rollover only after execution of a merger agreement with the Company.</t>
        </is>
      </c>
      <c r="I37" s="3" t="inlineStr">
        <is>
          <t>Formal</t>
        </is>
      </c>
      <c r="J37" s="3" t="inlineStr">
        <is>
          <t>Light</t>
        </is>
      </c>
      <c r="K37" s="3" t="inlineStr">
        <is>
          <t>Formality: revised merger agreement and transaction documents returned with a solicited final bid (signal 1). Conditions: Light — subject to final documentation; no Heavy trigger reported; financing not stated at this date but commitment documents followed on 12/12 (silence neither raises nor lowers). Quotations: “Bidder 2 offered $80.35 per share, in cash.” (p. 25) “neither the Buyer Group nor Bidder 2 ruled out the possibility of partnering with Longview in a transaction, though Bidder 2 indicated that any partnering with Longview would only occur after completion of bidding and execution of a definitive merger agreement with the Company.” (p. 25)</t>
        </is>
      </c>
      <c r="L37" s="4" t="inlineStr">
        <is>
          <t>P-025</t>
        </is>
      </c>
      <c r="M37" s="2" t="inlineStr">
        <is>
          <t>Q4</t>
        </is>
      </c>
      <c r="N37" s="3" t="inlineStr"/>
      <c r="O37" s="3" t="inlineStr">
        <is>
          <t>R036</t>
        </is>
      </c>
      <c r="P37" s="2" t="inlineStr">
        <is>
          <t>Yes</t>
        </is>
      </c>
      <c r="Q37" s="2" t="n">
        <v>1</v>
      </c>
      <c r="R37" s="5" t="n">
        <v>41983</v>
      </c>
      <c r="S37" s="5" t="n">
        <v>41983</v>
      </c>
      <c r="T37" s="6" t="n">
        <v>41983</v>
      </c>
      <c r="U37" s="3" t="inlineStr">
        <is>
          <t>Reported day</t>
        </is>
      </c>
      <c r="V37" s="2" t="inlineStr">
        <is>
          <t>Reported</t>
        </is>
      </c>
      <c r="W37" s="7" t="n">
        <v>80.34999999999999</v>
      </c>
      <c r="X37" s="7" t="n">
        <v>80.34999999999999</v>
      </c>
      <c r="Y37" s="2" t="inlineStr">
        <is>
          <t>Point</t>
        </is>
      </c>
      <c r="Z37" s="2" t="inlineStr">
        <is>
          <t>Stated</t>
        </is>
      </c>
      <c r="AA37" s="2" t="inlineStr">
        <is>
          <t>USD</t>
        </is>
      </c>
      <c r="AB37" s="2" t="inlineStr">
        <is>
          <t>Yes</t>
        </is>
      </c>
      <c r="AC37" s="7" t="n">
        <v>80.34999999999999</v>
      </c>
      <c r="AD37" s="3" t="inlineStr">
        <is>
          <t>Fin: not stated; DD required: not stated; DD open: not disclosed; Excl: not stated</t>
        </is>
      </c>
      <c r="AE37" s="5" t="n"/>
      <c r="AF37" s="2" t="n"/>
      <c r="AG37" s="2" t="n"/>
      <c r="AH37" s="2" t="n"/>
      <c r="AI37" s="2" t="n"/>
      <c r="AJ37" s="2" t="n"/>
      <c r="AK37" s="2" t="n">
        <v>25</v>
      </c>
      <c r="AL37" s="3" t="inlineStr">
        <is>
          <t>R025; R042</t>
        </is>
      </c>
      <c r="AM37" s="3" t="inlineStr">
        <is>
          <t>petsmart</t>
        </is>
      </c>
    </row>
    <row r="38">
      <c r="A38" s="2" t="n">
        <v>37</v>
      </c>
      <c r="B38" s="3" t="inlineStr">
        <is>
          <t>12/10/2014</t>
        </is>
      </c>
      <c r="C38" s="3" t="inlineStr">
        <is>
          <t>Bidder 3</t>
        </is>
      </c>
      <c r="D38" s="3" t="inlineStr">
        <is>
          <t>Bid</t>
        </is>
      </c>
      <c r="E38" s="2" t="n">
        <v>1</v>
      </c>
      <c r="F38" s="2" t="n">
        <v>3</v>
      </c>
      <c r="G38" s="3" t="inlineStr">
        <is>
          <t>Financial</t>
        </is>
      </c>
      <c r="H38" s="3" t="inlineStr">
        <is>
          <t>Bound: ≤ ~$78 — verbally communicated to J.P. Morgan that Bidder 3's valuation would not be above the current stock price of approximately $78 per share. Ceiling on a valuation level; no share price was submitted, and J.P. Morgan said it was unlikely to be competitive.</t>
        </is>
      </c>
      <c r="I38" s="3" t="inlineStr">
        <is>
          <t>Informal</t>
        </is>
      </c>
      <c r="J38" s="3" t="inlineStr">
        <is>
          <t>Insufficient evidence</t>
        </is>
      </c>
      <c r="K38" s="3" t="inlineStr">
        <is>
          <t>Stated bound on a valuation (one-sided ceiling; Price high = 78 with the filer's 'approximately' noted; no low endpoint). Formality Informal: verbal indication, no documentation. Conditions: nothing stated about financing or diligence for this indication. Quotation: “Bidder 3 verbally communicated to J.P. Morgan that their valuation would not be above the current stock price of approximately $78 per share. J.P. Morgan communicated to Bidder 3 that it was unlikely to be competitive and accordingly Bidder 3 did not submit a written offer.” (p. 25)</t>
        </is>
      </c>
      <c r="L38" s="4" t="inlineStr">
        <is>
          <t>P-025</t>
        </is>
      </c>
      <c r="M38" s="2" t="inlineStr">
        <is>
          <t>Q4</t>
        </is>
      </c>
      <c r="N38" s="3" t="inlineStr"/>
      <c r="O38" s="3" t="inlineStr">
        <is>
          <t>R037</t>
        </is>
      </c>
      <c r="P38" s="2" t="inlineStr">
        <is>
          <t>Yes</t>
        </is>
      </c>
      <c r="Q38" s="2" t="n">
        <v>1</v>
      </c>
      <c r="R38" s="5" t="n">
        <v>41983</v>
      </c>
      <c r="S38" s="5" t="n">
        <v>41983</v>
      </c>
      <c r="T38" s="6" t="n">
        <v>41983</v>
      </c>
      <c r="U38" s="3" t="inlineStr">
        <is>
          <t>Reported day</t>
        </is>
      </c>
      <c r="V38" s="2" t="inlineStr">
        <is>
          <t>Reported</t>
        </is>
      </c>
      <c r="W38" s="7" t="n"/>
      <c r="X38" s="7" t="n">
        <v>78</v>
      </c>
      <c r="Y38" s="2" t="inlineStr">
        <is>
          <t>Bound only</t>
        </is>
      </c>
      <c r="Z38" s="2" t="inlineStr">
        <is>
          <t>Stated</t>
        </is>
      </c>
      <c r="AA38" s="2" t="inlineStr">
        <is>
          <t>USD</t>
        </is>
      </c>
      <c r="AB38" s="2" t="inlineStr">
        <is>
          <t>Not stated</t>
        </is>
      </c>
      <c r="AC38" s="7" t="n"/>
      <c r="AD38" s="3" t="inlineStr">
        <is>
          <t>Fin: not stated; DD required: not stated; DD open: not disclosed; Excl: not stated</t>
        </is>
      </c>
      <c r="AE38" s="5" t="n"/>
      <c r="AF38" s="2" t="n"/>
      <c r="AG38" s="2" t="n"/>
      <c r="AH38" s="2" t="n"/>
      <c r="AI38" s="2" t="n"/>
      <c r="AJ38" s="2" t="n"/>
      <c r="AK38" s="2" t="n">
        <v>25</v>
      </c>
      <c r="AL38" s="3" t="inlineStr">
        <is>
          <t>R028; R038</t>
        </is>
      </c>
      <c r="AM38" s="3" t="inlineStr">
        <is>
          <t>petsmart</t>
        </is>
      </c>
    </row>
    <row r="39">
      <c r="A39" s="2" t="n">
        <v>38</v>
      </c>
      <c r="B39" s="3" t="inlineStr">
        <is>
          <t>12/10/2014</t>
        </is>
      </c>
      <c r="C39" s="3" t="inlineStr">
        <is>
          <t>Bidder 3</t>
        </is>
      </c>
      <c r="D39" s="3" t="inlineStr">
        <is>
          <t>Did not submit</t>
        </is>
      </c>
      <c r="E39" s="2" t="n">
        <v>1</v>
      </c>
      <c r="F39" s="2" t="n">
        <v>3</v>
      </c>
      <c r="G39" s="3" t="inlineStr">
        <is>
          <t>Financial</t>
        </is>
      </c>
      <c r="H39" s="3" t="inlineStr">
        <is>
          <t>After communicating a valuation at or below approximately $78 per share and being told that it was unlikely to be competitive, Bidder 3 did not submit a written offer in the final-bid solicitation. Target discouragement followed by non-participation; the bound at R037 is not a submitted share price.</t>
        </is>
      </c>
      <c r="I39" s="3" t="inlineStr"/>
      <c r="J39" s="3" t="inlineStr"/>
      <c r="K39" s="3" t="inlineStr">
        <is>
          <t>Stated non-submission (directly reported, not inferred). Decided by Both (target discouragement + bidder non-participation); reason: value at or below market price (stated benchmark ~$78). Quotation: “J.P. Morgan communicated to Bidder 3 that it was unlikely to be competitive and accordingly Bidder 3 did not submit a written offer.” (p. 25)</t>
        </is>
      </c>
      <c r="L39" s="4" t="inlineStr">
        <is>
          <t>P-025</t>
        </is>
      </c>
      <c r="M39" s="2" t="inlineStr">
        <is>
          <t>Q5</t>
        </is>
      </c>
      <c r="N39" s="3" t="inlineStr"/>
      <c r="O39" s="3" t="inlineStr">
        <is>
          <t>R038</t>
        </is>
      </c>
      <c r="P39" s="2" t="inlineStr">
        <is>
          <t>Yes</t>
        </is>
      </c>
      <c r="Q39" s="2" t="n">
        <v>1</v>
      </c>
      <c r="R39" s="5" t="n">
        <v>41983</v>
      </c>
      <c r="S39" s="5" t="n">
        <v>41983</v>
      </c>
      <c r="T39" s="6" t="n">
        <v>41983</v>
      </c>
      <c r="U39" s="3" t="inlineStr">
        <is>
          <t>Reported day</t>
        </is>
      </c>
      <c r="V39" s="2" t="inlineStr">
        <is>
          <t>Reported</t>
        </is>
      </c>
      <c r="W39" s="7" t="n"/>
      <c r="X39" s="7" t="n"/>
      <c r="Y39" s="2" t="n"/>
      <c r="Z39" s="2" t="n"/>
      <c r="AA39" s="2" t="n"/>
      <c r="AB39" s="2" t="n"/>
      <c r="AC39" s="7" t="n"/>
      <c r="AD39" s="3" t="n"/>
      <c r="AE39" s="5" t="n"/>
      <c r="AF39" s="2" t="n"/>
      <c r="AG39" s="2" t="n"/>
      <c r="AH39" s="2" t="inlineStr">
        <is>
          <t>Both</t>
        </is>
      </c>
      <c r="AI39" s="2" t="inlineStr">
        <is>
          <t>Value at or below market price</t>
        </is>
      </c>
      <c r="AJ39" s="2" t="inlineStr">
        <is>
          <t>Stated</t>
        </is>
      </c>
      <c r="AK39" s="2" t="n">
        <v>25</v>
      </c>
      <c r="AL39" s="3" t="inlineStr">
        <is>
          <t>R037</t>
        </is>
      </c>
      <c r="AM39" s="3" t="inlineStr">
        <is>
          <t>petsmart</t>
        </is>
      </c>
    </row>
    <row r="40">
      <c r="A40" s="2" t="n">
        <v>39</v>
      </c>
      <c r="B40" s="3" t="inlineStr">
        <is>
          <t>12/10/2014</t>
        </is>
      </c>
      <c r="C40" s="3" t="inlineStr">
        <is>
          <t>Ad hoc committee</t>
        </is>
      </c>
      <c r="D40" s="3" t="inlineStr">
        <is>
          <t>Deadline revised</t>
        </is>
      </c>
      <c r="E40" s="2" t="n">
        <v>1</v>
      </c>
      <c r="F40" s="2" t="n">
        <v>3</v>
      </c>
      <c r="G40" s="3" t="inlineStr"/>
      <c r="H40" s="3" t="inlineStr">
        <is>
          <t>Existing due date changed: after reviewing the 12/10 bids, the ad hoc committee — believing neither bid would be approved unless improved and that neither represented the bidders' best offers — instructed J.P. Morgan to tell each bidder to increase its bid and to submit improved bids on 12/12/2014. Old due date 12/10/2014; new due date 12/12/2014. On the evening of 12/11 J.P. Morgan also confirmed Longview's continued interest in a rollover.</t>
        </is>
      </c>
      <c r="I40" s="3" t="inlineStr"/>
      <c r="J40" s="3" t="inlineStr"/>
      <c r="K40" s="3" t="inlineStr">
        <is>
          <t>Stated revision/extension of the round's final solicitation (not a new round). Requested by the target side; reason stated. New due date in the structured field. Quotation: “the ad hoc committee instructed J.P. Morgan to inform each bidder that it would need to increase its bid, and to instruct the bidders to submit improved bids on December 12, 2014.” (p. 25)</t>
        </is>
      </c>
      <c r="L40" s="4" t="inlineStr">
        <is>
          <t>P-026</t>
        </is>
      </c>
      <c r="M40" s="2" t="inlineStr">
        <is>
          <t>Q6</t>
        </is>
      </c>
      <c r="N40" s="3" t="inlineStr"/>
      <c r="O40" s="3" t="inlineStr">
        <is>
          <t>R039</t>
        </is>
      </c>
      <c r="P40" s="2" t="inlineStr">
        <is>
          <t>Yes</t>
        </is>
      </c>
      <c r="Q40" s="2" t="n"/>
      <c r="R40" s="5" t="n">
        <v>41983</v>
      </c>
      <c r="S40" s="5" t="n">
        <v>41983</v>
      </c>
      <c r="T40" s="6" t="n">
        <v>41983</v>
      </c>
      <c r="U40" s="3" t="inlineStr">
        <is>
          <t>Reported day</t>
        </is>
      </c>
      <c r="V40" s="2" t="inlineStr">
        <is>
          <t>Reported</t>
        </is>
      </c>
      <c r="W40" s="7" t="n"/>
      <c r="X40" s="7" t="n"/>
      <c r="Y40" s="2" t="n"/>
      <c r="Z40" s="2" t="n"/>
      <c r="AA40" s="2" t="n"/>
      <c r="AB40" s="2" t="n"/>
      <c r="AC40" s="7" t="n"/>
      <c r="AD40" s="3" t="n"/>
      <c r="AE40" s="5" t="n">
        <v>41985</v>
      </c>
      <c r="AF40" s="2" t="n"/>
      <c r="AG40" s="2" t="n"/>
      <c r="AH40" s="2" t="n"/>
      <c r="AI40" s="2" t="n"/>
      <c r="AJ40" s="2" t="n"/>
      <c r="AK40" s="2" t="n">
        <v>25</v>
      </c>
      <c r="AL40" s="3" t="inlineStr">
        <is>
          <t>R034; R040; R041</t>
        </is>
      </c>
      <c r="AM40" s="3" t="inlineStr">
        <is>
          <t>petsmart</t>
        </is>
      </c>
    </row>
    <row r="41">
      <c r="A41" s="2" t="n">
        <v>40</v>
      </c>
      <c r="B41" s="3" t="inlineStr">
        <is>
          <t>12/12/2014 (evening)</t>
        </is>
      </c>
      <c r="C41" s="3" t="inlineStr">
        <is>
          <t>PetSmart / bidders</t>
        </is>
      </c>
      <c r="D41" s="3" t="inlineStr">
        <is>
          <t>Deadline</t>
        </is>
      </c>
      <c r="E41" s="2" t="n">
        <v>1</v>
      </c>
      <c r="F41" s="2" t="n">
        <v>3</v>
      </c>
      <c r="G41" s="3" t="inlineStr"/>
      <c r="H41" s="3" t="inlineStr">
        <is>
          <t>Improved-bid deadline reached. Bidder 2 submitted $81.50 per share in cash and confirmed through J.P. Morgan that it was its best and final offer; the Buyer Group submitted $83.00 per share in cash as its best and final offer (after an interim oral $82.50). Treatment: Enforced — the board took its next step (approval of the Buyer Group on 12/13/2014) on the bids in hand.</t>
        </is>
      </c>
      <c r="I41" s="3" t="inlineStr"/>
      <c r="J41" s="3" t="inlineStr"/>
      <c r="K41" s="3" t="inlineStr">
        <is>
          <t>Stated milestone; treatment per what followed in the round. Quotation: “During the evening of December 12, 2014, Bidder 2 submitted an offer of $81.50 per share, in cash.” (p. 26)</t>
        </is>
      </c>
      <c r="L41" s="4" t="inlineStr">
        <is>
          <t>P-029</t>
        </is>
      </c>
      <c r="M41" s="2" t="inlineStr">
        <is>
          <t>Q6</t>
        </is>
      </c>
      <c r="N41" s="3" t="inlineStr"/>
      <c r="O41" s="3" t="inlineStr">
        <is>
          <t>R040</t>
        </is>
      </c>
      <c r="P41" s="2" t="inlineStr">
        <is>
          <t>Yes</t>
        </is>
      </c>
      <c r="Q41" s="2" t="n"/>
      <c r="R41" s="5" t="n">
        <v>41985</v>
      </c>
      <c r="S41" s="5" t="n">
        <v>41985</v>
      </c>
      <c r="T41" s="6" t="n">
        <v>41985</v>
      </c>
      <c r="U41" s="3" t="inlineStr">
        <is>
          <t>Reported day</t>
        </is>
      </c>
      <c r="V41" s="2" t="inlineStr">
        <is>
          <t>Reported</t>
        </is>
      </c>
      <c r="W41" s="7" t="n"/>
      <c r="X41" s="7" t="n"/>
      <c r="Y41" s="2" t="n"/>
      <c r="Z41" s="2" t="n"/>
      <c r="AA41" s="2" t="n"/>
      <c r="AB41" s="2" t="n"/>
      <c r="AC41" s="7" t="n"/>
      <c r="AD41" s="3" t="n"/>
      <c r="AE41" s="5" t="n">
        <v>41985</v>
      </c>
      <c r="AF41" s="2" t="inlineStr">
        <is>
          <t>Enforced</t>
        </is>
      </c>
      <c r="AG41" s="2" t="n"/>
      <c r="AH41" s="2" t="n"/>
      <c r="AI41" s="2" t="n"/>
      <c r="AJ41" s="2" t="n"/>
      <c r="AK41" s="2" t="n">
        <v>26</v>
      </c>
      <c r="AL41" s="3" t="inlineStr">
        <is>
          <t>R039; R042; R043; R044; R045</t>
        </is>
      </c>
      <c r="AM41" s="3" t="inlineStr">
        <is>
          <t>petsmart</t>
        </is>
      </c>
    </row>
    <row r="42">
      <c r="A42" s="2" t="n">
        <v>41</v>
      </c>
      <c r="B42" s="3" t="inlineStr">
        <is>
          <t>12/12/2014 (approval and confidentiality agreement; 12/09 introductory meetings)</t>
        </is>
      </c>
      <c r="C42" s="3" t="inlineStr">
        <is>
          <t>Longview; Buyer Group; ad hoc committee</t>
        </is>
      </c>
      <c r="D42" s="3" t="inlineStr">
        <is>
          <t>Material process update</t>
        </is>
      </c>
      <c r="E42" s="2" t="n">
        <v>1</v>
      </c>
      <c r="F42" s="2" t="n">
        <v>3</v>
      </c>
      <c r="G42" s="3" t="inlineStr"/>
      <c r="H42" s="3" t="inlineStr">
        <is>
          <t>Support: Longview (rollover) — Longview rollover/voting support formed: J.P. Morgan arranged introductory meetings between Longview and the Buyer Group and between Longview and Bidder 2 on 12/09 (attended by J.P. Morgan and Wachtell Lipton; bidders prohibited from disclosing intended bid prices to Longview). Early on 12/12 the Buyer Group requested permission to work more closely with Longview, saying Longview participation might help it achieve a higher price; the ad hoc committee approved, and later that day Longview and the Buyer Group entered a confidentiality agreement permitting exchange of detailed information including bid price. Wachtell Lipton was instructed to provide a voting-agreement form to Longview. The rollover and voting agreements were executed 12/14 (R047). Bidder 2 said a rollover accommodation would not affect its price and would be considered only after a definitive agreement.</t>
        </is>
      </c>
      <c r="I42" s="3" t="inlineStr"/>
      <c r="J42" s="3" t="inlineStr"/>
      <c r="K42" s="3" t="inlineStr">
        <is>
          <t>Stated support formation (at most one formation row per instruction §4). Working date = the dated approval day. Longview is a rolling-over shareholder, not a bidding-unit member (no membership change). Quotations: “Early in the day on December 12, 2014, the Buyer Group requested permission to work more closely with Longview in order to include a rollover of a portion of the Company shares managed by Longview in the Buyer Group’s bid. The Buyer Group informed J.P. Morgan that the Buyer Group was working to achieve a higher price, and that Longview participation with the Buyer Group might enhance the Buyer Group’s ability to do so.” (p. 25) “After consultation with the Company’s financial and legal advisors, the ad hoc committee approved the Buyer Group’s request, and, later that day, Longview and the Buyer Group entered into a confidentiality agreement permitting the exchange of detailed information between them, including bid price, which had not previously been shared with Longview.” (p. 25)</t>
        </is>
      </c>
      <c r="L42" s="4" t="inlineStr">
        <is>
          <t>P-027; P-028; P-024; X-033; X-037</t>
        </is>
      </c>
      <c r="M42" s="2" t="inlineStr">
        <is>
          <t>Q7</t>
        </is>
      </c>
      <c r="N42" s="3" t="inlineStr"/>
      <c r="O42" s="3" t="inlineStr">
        <is>
          <t>R041</t>
        </is>
      </c>
      <c r="P42" s="2" t="inlineStr">
        <is>
          <t>Yes</t>
        </is>
      </c>
      <c r="Q42" s="2" t="n"/>
      <c r="R42" s="5" t="n">
        <v>41985</v>
      </c>
      <c r="S42" s="5" t="n">
        <v>41985</v>
      </c>
      <c r="T42" s="6" t="n">
        <v>41985</v>
      </c>
      <c r="U42" s="3" t="inlineStr">
        <is>
          <t>Reported day</t>
        </is>
      </c>
      <c r="V42" s="2" t="inlineStr">
        <is>
          <t>Reported</t>
        </is>
      </c>
      <c r="W42" s="7" t="n"/>
      <c r="X42" s="7" t="n"/>
      <c r="Y42" s="2" t="n"/>
      <c r="Z42" s="2" t="n"/>
      <c r="AA42" s="2" t="n"/>
      <c r="AB42" s="2" t="n"/>
      <c r="AC42" s="7" t="n"/>
      <c r="AD42" s="3" t="n"/>
      <c r="AE42" s="5" t="n"/>
      <c r="AF42" s="2" t="n"/>
      <c r="AG42" s="2" t="n"/>
      <c r="AH42" s="2" t="n"/>
      <c r="AI42" s="2" t="n"/>
      <c r="AJ42" s="2" t="n"/>
      <c r="AK42" s="2" t="n">
        <v>25</v>
      </c>
      <c r="AL42" s="3" t="inlineStr">
        <is>
          <t>R042; R043; R044; R047</t>
        </is>
      </c>
      <c r="AM42" s="3" t="inlineStr">
        <is>
          <t>petsmart</t>
        </is>
      </c>
    </row>
    <row r="43">
      <c r="A43" s="2" t="n">
        <v>42</v>
      </c>
      <c r="B43" s="3" t="inlineStr">
        <is>
          <t>12/12/2014 (evening)</t>
        </is>
      </c>
      <c r="C43" s="3" t="inlineStr">
        <is>
          <t>Bidder 2</t>
        </is>
      </c>
      <c r="D43" s="3" t="inlineStr">
        <is>
          <t>Bid</t>
        </is>
      </c>
      <c r="E43" s="2" t="n">
        <v>1</v>
      </c>
      <c r="F43" s="2" t="n">
        <v>3</v>
      </c>
      <c r="G43" s="3" t="inlineStr">
        <is>
          <t>Financial</t>
        </is>
      </c>
      <c r="H43" s="3" t="inlineStr">
        <is>
          <t>Improved and best-and-final offer: $81.50 per share, in cash; J.P. Morgan confirmed by conversation on 12/12 that $81.50 was Bidder 2's best and final offer. It also submitted a revised draft of the merger agreement and other transaction agreements and financing commitment documents.</t>
        </is>
      </c>
      <c r="I43" s="3" t="inlineStr">
        <is>
          <t>Formal</t>
        </is>
      </c>
      <c r="J43" s="3" t="inlineStr">
        <is>
          <t>Light</t>
        </is>
      </c>
      <c r="K43" s="3" t="inlineStr">
        <is>
          <t>Formality: returned revised transaction documents and financing commitments responding to the best-and-final solicitation (signals 1–2). Conditions: Light — committed financing documented and no Heavy trigger reported. Quotations: “During the evening of December 12, 2014, Bidder 2 submitted an offer of $81.50 per share, in cash. Representatives of J.P. Morgan confirmed via a conversation with Bidder 2 on the evening of December 12, 2014 that $81.50 per share was its best and final offer.” (p. 26) “In addition, each bidder submitted a revised draft of the merger agreement and other transaction agreements, and copies of their respective financing commitment documents.” (p. 26)</t>
        </is>
      </c>
      <c r="L43" s="4" t="inlineStr">
        <is>
          <t>P-029</t>
        </is>
      </c>
      <c r="M43" s="2" t="inlineStr">
        <is>
          <t>Q4</t>
        </is>
      </c>
      <c r="N43" s="3" t="inlineStr"/>
      <c r="O43" s="3" t="inlineStr">
        <is>
          <t>R042</t>
        </is>
      </c>
      <c r="P43" s="2" t="inlineStr">
        <is>
          <t>Yes</t>
        </is>
      </c>
      <c r="Q43" s="2" t="n">
        <v>0</v>
      </c>
      <c r="R43" s="5" t="n">
        <v>41985</v>
      </c>
      <c r="S43" s="5" t="n">
        <v>41985</v>
      </c>
      <c r="T43" s="6" t="n">
        <v>41985</v>
      </c>
      <c r="U43" s="3" t="inlineStr">
        <is>
          <t>Reported day</t>
        </is>
      </c>
      <c r="V43" s="2" t="inlineStr">
        <is>
          <t>Reported</t>
        </is>
      </c>
      <c r="W43" s="7" t="n">
        <v>81.5</v>
      </c>
      <c r="X43" s="7" t="n">
        <v>81.5</v>
      </c>
      <c r="Y43" s="2" t="inlineStr">
        <is>
          <t>Point</t>
        </is>
      </c>
      <c r="Z43" s="2" t="inlineStr">
        <is>
          <t>Stated</t>
        </is>
      </c>
      <c r="AA43" s="2" t="inlineStr">
        <is>
          <t>USD</t>
        </is>
      </c>
      <c r="AB43" s="2" t="inlineStr">
        <is>
          <t>Yes</t>
        </is>
      </c>
      <c r="AC43" s="7" t="n">
        <v>81.5</v>
      </c>
      <c r="AD43" s="3" t="inlineStr">
        <is>
          <t>Fin: committed; DD required: not stated; DD open: not disclosed; Excl: not stated</t>
        </is>
      </c>
      <c r="AE43" s="5" t="n"/>
      <c r="AF43" s="2" t="n"/>
      <c r="AG43" s="2" t="n"/>
      <c r="AH43" s="2" t="n"/>
      <c r="AI43" s="2" t="n"/>
      <c r="AJ43" s="2" t="n"/>
      <c r="AK43" s="2" t="n">
        <v>26</v>
      </c>
      <c r="AL43" s="3" t="inlineStr">
        <is>
          <t>R036; R046</t>
        </is>
      </c>
      <c r="AM43" s="3" t="inlineStr">
        <is>
          <t>petsmart</t>
        </is>
      </c>
    </row>
    <row r="44">
      <c r="A44" s="2" t="n">
        <v>43</v>
      </c>
      <c r="B44" s="3" t="inlineStr">
        <is>
          <t>12/12/2014 (evening)</t>
        </is>
      </c>
      <c r="C44" s="3" t="inlineStr">
        <is>
          <t>Buyer Group</t>
        </is>
      </c>
      <c r="D44" s="3" t="inlineStr">
        <is>
          <t>Bid</t>
        </is>
      </c>
      <c r="E44" s="2" t="n">
        <v>1</v>
      </c>
      <c r="F44" s="2" t="n">
        <v>3</v>
      </c>
      <c r="G44" s="3" t="inlineStr">
        <is>
          <t>Financial</t>
        </is>
      </c>
      <c r="H44" s="3" t="inlineStr">
        <is>
          <t>Interim oral offer: $82.50 per share, in cash, with a statement that the Buyer Group was working to increase the offer within the next few hours; superseded later the same evening by the $83.00 best-and-final offer (R044). Preserved as made; not retrospectively upgraded.</t>
        </is>
      </c>
      <c r="I44" s="3" t="inlineStr">
        <is>
          <t>Formal</t>
        </is>
      </c>
      <c r="J44" s="3" t="inlineStr">
        <is>
          <t>Light</t>
        </is>
      </c>
      <c r="K44" s="3" t="inlineStr">
        <is>
          <t>Stated interim oral offer. Formality carried forward from the Buyer Group's formal documentation established in the final-bid stage (continuing proposal); Conditions Light as at R044. Quotations: “The Buyer Group initially submitted an oral offer of $82.50 per share, in cash, but stated that it was working to increase the offer within the next few hours.” (p. 26) “the Buyer Group informed representatives of the Company that after increasing its offer from $82.50 to $83.00 per share, some members of the group, or all of them, were unwilling or unable to offer additional consideration.” (p. 27)</t>
        </is>
      </c>
      <c r="L44" s="4" t="inlineStr">
        <is>
          <t>P-029; X-020</t>
        </is>
      </c>
      <c r="M44" s="2" t="inlineStr">
        <is>
          <t>Q4</t>
        </is>
      </c>
      <c r="N44" s="3" t="inlineStr"/>
      <c r="O44" s="3" t="inlineStr">
        <is>
          <t>R043</t>
        </is>
      </c>
      <c r="P44" s="2" t="inlineStr">
        <is>
          <t>Yes</t>
        </is>
      </c>
      <c r="Q44" s="2" t="n">
        <v>0</v>
      </c>
      <c r="R44" s="5" t="n">
        <v>41985</v>
      </c>
      <c r="S44" s="5" t="n">
        <v>41985</v>
      </c>
      <c r="T44" s="6" t="n">
        <v>41985</v>
      </c>
      <c r="U44" s="3" t="inlineStr">
        <is>
          <t>Reported day</t>
        </is>
      </c>
      <c r="V44" s="2" t="inlineStr">
        <is>
          <t>Reported</t>
        </is>
      </c>
      <c r="W44" s="7" t="n">
        <v>82.5</v>
      </c>
      <c r="X44" s="7" t="n">
        <v>82.5</v>
      </c>
      <c r="Y44" s="2" t="inlineStr">
        <is>
          <t>Point</t>
        </is>
      </c>
      <c r="Z44" s="2" t="inlineStr">
        <is>
          <t>Stated</t>
        </is>
      </c>
      <c r="AA44" s="2" t="inlineStr">
        <is>
          <t>USD</t>
        </is>
      </c>
      <c r="AB44" s="2" t="inlineStr">
        <is>
          <t>Yes</t>
        </is>
      </c>
      <c r="AC44" s="7" t="n">
        <v>82.5</v>
      </c>
      <c r="AD44" s="3" t="inlineStr">
        <is>
          <t>Fin: committed; DD required: not stated; DD open: not disclosed; Excl: not stated</t>
        </is>
      </c>
      <c r="AE44" s="5" t="n"/>
      <c r="AF44" s="2" t="n"/>
      <c r="AG44" s="2" t="n"/>
      <c r="AH44" s="2" t="n"/>
      <c r="AI44" s="2" t="n"/>
      <c r="AJ44" s="2" t="n"/>
      <c r="AK44" s="2" t="n">
        <v>26</v>
      </c>
      <c r="AL44" s="3" t="inlineStr">
        <is>
          <t>R035; R044</t>
        </is>
      </c>
      <c r="AM44" s="3" t="inlineStr">
        <is>
          <t>petsmart</t>
        </is>
      </c>
    </row>
    <row r="45">
      <c r="A45" s="2" t="n">
        <v>44</v>
      </c>
      <c r="B45" s="3" t="inlineStr">
        <is>
          <t>12/12/2014 (evening)</t>
        </is>
      </c>
      <c r="C45" s="3" t="inlineStr">
        <is>
          <t>Buyer Group</t>
        </is>
      </c>
      <c r="D45" s="3" t="inlineStr">
        <is>
          <t>Bid</t>
        </is>
      </c>
      <c r="E45" s="2" t="n">
        <v>1</v>
      </c>
      <c r="F45" s="2" t="n">
        <v>3</v>
      </c>
      <c r="G45" s="3" t="inlineStr">
        <is>
          <t>Financial</t>
        </is>
      </c>
      <c r="H45" s="3" t="inlineStr">
        <is>
          <t>Best-and-final offer: $83.00 per share, in cash; submitted with a revised draft of the merger agreement and other transaction agreements and copies of financing commitment documents. The Buyer Group's versions were, with few exceptions, in substantially executable form; after raising from $82.50 some or all members were unwilling or unable to offer more, and Longview's participation with respect to $250 million of common stock was helpful to achieving $83.00.</t>
        </is>
      </c>
      <c r="I45" s="3" t="inlineStr">
        <is>
          <t>Formal</t>
        </is>
      </c>
      <c r="J45" s="3" t="inlineStr">
        <is>
          <t>Light</t>
        </is>
      </c>
      <c r="K45" s="3" t="inlineStr">
        <is>
          <t>Formality: substantially executable returned agreement and financing commitments responding to the best-and-final solicitation (signals 1–2). Conditions: committed financing, no reported diligence/financing contingency — Light; no Heavy trigger. Consideration all cash for cashed-out shares (rollover explained separately). Quotations: “Later in the evening, the Buyer Group submitted a best and final offer of $83.00 per share, in cash.” (p. 26) “The versions submitted by the Buyer Group were, with few exceptions, in substantially executable form.” (p. 26) “The Buyer Group also informed representatives of the Company that Longview’s willingness to participate in the Buyer Group with respect to $250 million of the common stock was helpful in achieving an $83.00 per share price.” (p. 27)</t>
        </is>
      </c>
      <c r="L45" s="4" t="inlineStr">
        <is>
          <t>P-029; X-020</t>
        </is>
      </c>
      <c r="M45" s="2" t="inlineStr">
        <is>
          <t>Q4</t>
        </is>
      </c>
      <c r="N45" s="3" t="inlineStr"/>
      <c r="O45" s="3" t="inlineStr">
        <is>
          <t>R044</t>
        </is>
      </c>
      <c r="P45" s="2" t="inlineStr">
        <is>
          <t>Yes</t>
        </is>
      </c>
      <c r="Q45" s="2" t="n">
        <v>0</v>
      </c>
      <c r="R45" s="5" t="n">
        <v>41985</v>
      </c>
      <c r="S45" s="5" t="n">
        <v>41985</v>
      </c>
      <c r="T45" s="6" t="n">
        <v>41985</v>
      </c>
      <c r="U45" s="3" t="inlineStr">
        <is>
          <t>Reported day</t>
        </is>
      </c>
      <c r="V45" s="2" t="inlineStr">
        <is>
          <t>Reported</t>
        </is>
      </c>
      <c r="W45" s="7" t="n">
        <v>83</v>
      </c>
      <c r="X45" s="7" t="n">
        <v>83</v>
      </c>
      <c r="Y45" s="2" t="inlineStr">
        <is>
          <t>Point</t>
        </is>
      </c>
      <c r="Z45" s="2" t="inlineStr">
        <is>
          <t>Stated</t>
        </is>
      </c>
      <c r="AA45" s="2" t="inlineStr">
        <is>
          <t>USD</t>
        </is>
      </c>
      <c r="AB45" s="2" t="inlineStr">
        <is>
          <t>Yes</t>
        </is>
      </c>
      <c r="AC45" s="7" t="n">
        <v>83</v>
      </c>
      <c r="AD45" s="3" t="inlineStr">
        <is>
          <t>Fin: committed; DD required: not stated; DD open: not disclosed; Excl: not stated</t>
        </is>
      </c>
      <c r="AE45" s="5" t="n"/>
      <c r="AF45" s="2" t="n"/>
      <c r="AG45" s="2" t="n"/>
      <c r="AH45" s="2" t="n"/>
      <c r="AI45" s="2" t="n"/>
      <c r="AJ45" s="2" t="n"/>
      <c r="AK45" s="2" t="n">
        <v>26</v>
      </c>
      <c r="AL45" s="3" t="inlineStr">
        <is>
          <t>R035; R043; R047</t>
        </is>
      </c>
      <c r="AM45" s="3" t="inlineStr">
        <is>
          <t>petsmart</t>
        </is>
      </c>
    </row>
    <row r="46">
      <c r="A46" s="2" t="n">
        <v>45</v>
      </c>
      <c r="B46" s="3" t="inlineStr">
        <is>
          <t>12/13/2014</t>
        </is>
      </c>
      <c r="C46" s="3" t="inlineStr">
        <is>
          <t>PetSmart board</t>
        </is>
      </c>
      <c r="D46" s="3" t="inlineStr">
        <is>
          <t>Target decision</t>
        </is>
      </c>
      <c r="E46" s="2" t="n">
        <v>1</v>
      </c>
      <c r="F46" s="2" t="n">
        <v>3</v>
      </c>
      <c r="G46" s="3" t="inlineStr"/>
      <c r="H46" s="3" t="inlineStr">
        <is>
          <t>Board reviewed the final bids and the proposed transaction; J.P. Morgan rendered its oral fairness opinion (subsequently confirmed in writing) that the $83.00 per share cash consideration was fair from a financial point of view; the board unanimously determined the merger advisable and in the best interests of PetSmart and its stockholders and resolved to recommend approval, subject to confirmation that the remaining open points in the merger agreement had been satisfactorily resolved. The board could reconvene if the ad hoc committee or chairman deemed necessary.</t>
        </is>
      </c>
      <c r="I46" s="3" t="inlineStr"/>
      <c r="J46" s="3" t="inlineStr"/>
      <c r="K46" s="3" t="inlineStr">
        <is>
          <t>Stated approval/selection decision; the winning bidder and price identified. Ordinary fairness/approval details folded in because their timing and qualifications are material. Quotation: “Following extensive discussion, the board unanimously determined that the merger agreement and the transactions contemplated thereby, including the merger, were advisable and in the best interests of PetSmart and its stockholders, and to recommend that the Company’s stockholders approve the adoption of the merger agreement. The board’s determination was subject, however, to confirmation that the remaining open points in the merger agreement had been satisfactorily resolved” (p. 26)</t>
        </is>
      </c>
      <c r="L46" s="4" t="inlineStr">
        <is>
          <t>P-030</t>
        </is>
      </c>
      <c r="M46" s="2" t="inlineStr"/>
      <c r="N46" s="3" t="inlineStr"/>
      <c r="O46" s="3" t="inlineStr">
        <is>
          <t>R045</t>
        </is>
      </c>
      <c r="P46" s="2" t="inlineStr">
        <is>
          <t>Yes</t>
        </is>
      </c>
      <c r="Q46" s="2" t="n"/>
      <c r="R46" s="5" t="n">
        <v>41986</v>
      </c>
      <c r="S46" s="5" t="n">
        <v>41986</v>
      </c>
      <c r="T46" s="6" t="n">
        <v>41986</v>
      </c>
      <c r="U46" s="3" t="inlineStr">
        <is>
          <t>Reported day</t>
        </is>
      </c>
      <c r="V46" s="2" t="inlineStr">
        <is>
          <t>Reported</t>
        </is>
      </c>
      <c r="W46" s="7" t="n"/>
      <c r="X46" s="7" t="n"/>
      <c r="Y46" s="2" t="n"/>
      <c r="Z46" s="2" t="n"/>
      <c r="AA46" s="2" t="n"/>
      <c r="AB46" s="2" t="n"/>
      <c r="AC46" s="7" t="n"/>
      <c r="AD46" s="3" t="n"/>
      <c r="AE46" s="5" t="n"/>
      <c r="AF46" s="2" t="n"/>
      <c r="AG46" s="2" t="n"/>
      <c r="AH46" s="2" t="n"/>
      <c r="AI46" s="2" t="n"/>
      <c r="AJ46" s="2" t="n"/>
      <c r="AK46" s="2" t="n">
        <v>26</v>
      </c>
      <c r="AL46" s="3" t="inlineStr">
        <is>
          <t>R044; R046; R047</t>
        </is>
      </c>
      <c r="AM46" s="3" t="inlineStr">
        <is>
          <t>petsmart</t>
        </is>
      </c>
    </row>
    <row r="47">
      <c r="A47" s="2" t="n">
        <v>46</v>
      </c>
      <c r="B47" s="3" t="inlineStr">
        <is>
          <t>12/14/2014 (Buyer Group selected 12/13/2014; agreement signed 12/14/2014)</t>
        </is>
      </c>
      <c r="C47" s="3" t="inlineStr">
        <is>
          <t>Bidder 2</t>
        </is>
      </c>
      <c r="D47" s="3" t="inlineStr">
        <is>
          <t>Not selected at signing</t>
        </is>
      </c>
      <c r="E47" s="2" t="n">
        <v>1</v>
      </c>
      <c r="F47" s="2" t="n">
        <v>3</v>
      </c>
      <c r="G47" s="3" t="inlineStr">
        <is>
          <t>Financial</t>
        </is>
      </c>
      <c r="H47" s="3" t="inlineStr">
        <is>
          <t>Bidder 2 remained live through its $81.50 best-and-final offer; the target negotiated with two other bidding groups but neither was willing to make a definitive offer above $81.50, and the board chose the Buyer Group's $83.00. Outcome basis Stated (the filing reports the negotiation outcome and Bidder 2's best-and-final price).</t>
        </is>
      </c>
      <c r="I47" s="3" t="inlineStr"/>
      <c r="J47" s="3" t="inlineStr"/>
      <c r="K47" s="3" t="inlineStr">
        <is>
          <t>Stated outcome: still bidding when the target chose another bidder; no earlier withdrawal. Decided by Target; reason: lower offer than the winning bid. Quotation: “ultimately negotiated with the Buyer Group as well as two other bidding groups, neither of which was willing to make a definitive offer at a price above $81.50, which was lower than the $83.00 price offered by the Buyer Group. The board noted that Bidder 2 had informed the Company’s representatives that $81.50 per share was its best and final offer.” (p. 27)</t>
        </is>
      </c>
      <c r="L47" s="4" t="inlineStr">
        <is>
          <t>X-020; P-031</t>
        </is>
      </c>
      <c r="M47" s="2" t="inlineStr">
        <is>
          <t>Q2</t>
        </is>
      </c>
      <c r="N47" s="3" t="inlineStr"/>
      <c r="O47" s="3" t="inlineStr">
        <is>
          <t>R046</t>
        </is>
      </c>
      <c r="P47" s="2" t="inlineStr">
        <is>
          <t>Yes</t>
        </is>
      </c>
      <c r="Q47" s="2" t="n">
        <v>1</v>
      </c>
      <c r="R47" s="5" t="n">
        <v>41987</v>
      </c>
      <c r="S47" s="5" t="n">
        <v>41987</v>
      </c>
      <c r="T47" s="6" t="n">
        <v>41987</v>
      </c>
      <c r="U47" s="3" t="inlineStr">
        <is>
          <t>Reported day</t>
        </is>
      </c>
      <c r="V47" s="2" t="inlineStr">
        <is>
          <t>Reported</t>
        </is>
      </c>
      <c r="W47" s="7" t="n"/>
      <c r="X47" s="7" t="n"/>
      <c r="Y47" s="2" t="n"/>
      <c r="Z47" s="2" t="n"/>
      <c r="AA47" s="2" t="n"/>
      <c r="AB47" s="2" t="n"/>
      <c r="AC47" s="7" t="n"/>
      <c r="AD47" s="3" t="n"/>
      <c r="AE47" s="5" t="n"/>
      <c r="AF47" s="2" t="n"/>
      <c r="AG47" s="2" t="n"/>
      <c r="AH47" s="2" t="inlineStr">
        <is>
          <t>Target</t>
        </is>
      </c>
      <c r="AI47" s="2" t="inlineStr">
        <is>
          <t>Lower offer than rivals</t>
        </is>
      </c>
      <c r="AJ47" s="2" t="inlineStr">
        <is>
          <t>Stated</t>
        </is>
      </c>
      <c r="AK47" s="2" t="n">
        <v>27</v>
      </c>
      <c r="AL47" s="3" t="inlineStr">
        <is>
          <t>R042; R047</t>
        </is>
      </c>
      <c r="AM47" s="3" t="inlineStr">
        <is>
          <t>petsmart</t>
        </is>
      </c>
    </row>
    <row r="48">
      <c r="A48" s="2" t="n">
        <v>47</v>
      </c>
      <c r="B48" s="3" t="inlineStr">
        <is>
          <t>12/14/2014</t>
        </is>
      </c>
      <c r="C48" s="3" t="inlineStr">
        <is>
          <t>PetSmart; Argos Holdings Inc. (Parent); Argos Merger Sub Inc.</t>
        </is>
      </c>
      <c r="D48" s="3" t="inlineStr">
        <is>
          <t>Merger agreement signed</t>
        </is>
      </c>
      <c r="E48" s="2" t="n">
        <v>1</v>
      </c>
      <c r="F48" s="2" t="n">
        <v>3</v>
      </c>
      <c r="G48" s="3" t="inlineStr"/>
      <c r="H48" s="3" t="inlineStr">
        <is>
          <t>Support: Longview (rollover) — Agreed consideration $83.00 per share in cash for each outstanding share (other than excluded/appraisal shares). Longview contributes 3,012,050 shares (≈$250 million worth) to Parent immediately before the effective time for equity interests and receives $83.00 on its other shares; the voting agreement covers 7,424,591 shares. The merger is not subject to a financing condition; committed cash equity up to ~$1.83 billion and committed debt up to $6.95 billion ($4.3bn term loan B, $750m ABL, $1.9bn bridge/notes), with ~$425 million cash on hand and total funds of ~$8.4 billion. Termination fees $255 million (Company) / $510 million (Parent, several Buyer Group termination-fee commitments); end date 06/14/2015. No go-shop; the 15 signers' standstills limit post-signing bids.</t>
        </is>
      </c>
      <c r="I48" s="3" t="inlineStr"/>
      <c r="J48" s="3" t="inlineStr"/>
      <c r="K48" s="3" t="inlineStr">
        <is>
          <t>Stated execution of the merger agreement, voting agreement and related transaction agreements (signing is not an extra submitted bid; structured bid-price and formality/conditionality fields intentionally blank). Consideration and support terms stated; per-share price for cash consideration. Quotations: “On December 14, 2014, the parties executed the merger agreement, the voting agreement and related transaction agreements and issued a press release announcing the transaction.” (p. 26) “Under the voting agreement, Longview agreed, among other things, to vote or cause to be voted 7,424,591 shares of common stock, which represent approximately 7.5% of the total outstanding shares of common stock as of the close of business on the record date, in favor of the adoption of the merger agreement” (p. 45) “Longview has agreed to contribute 3,012,050 shares (“rollover shares”) to Parent immediately prior to the effective time in exchange for equity interests in Parent.” (p. 41)</t>
        </is>
      </c>
      <c r="L48" s="4" t="inlineStr">
        <is>
          <t>P-031; X-037; X-033; X-007; X-008; X-013; X-014</t>
        </is>
      </c>
      <c r="M48" s="2" t="inlineStr"/>
      <c r="N48" s="3" t="inlineStr"/>
      <c r="O48" s="3" t="inlineStr">
        <is>
          <t>R047</t>
        </is>
      </c>
      <c r="P48" s="2" t="inlineStr">
        <is>
          <t>Yes</t>
        </is>
      </c>
      <c r="Q48" s="2" t="n"/>
      <c r="R48" s="5" t="n">
        <v>41987</v>
      </c>
      <c r="S48" s="5" t="n">
        <v>41987</v>
      </c>
      <c r="T48" s="6" t="n">
        <v>41987</v>
      </c>
      <c r="U48" s="3" t="inlineStr">
        <is>
          <t>Reported day</t>
        </is>
      </c>
      <c r="V48" s="2" t="inlineStr">
        <is>
          <t>Reported</t>
        </is>
      </c>
      <c r="W48" s="7" t="n"/>
      <c r="X48" s="7" t="n"/>
      <c r="Y48" s="2" t="n"/>
      <c r="Z48" s="2" t="n"/>
      <c r="AA48" s="2" t="n"/>
      <c r="AB48" s="2" t="n"/>
      <c r="AC48" s="7" t="n"/>
      <c r="AD48" s="3" t="n"/>
      <c r="AE48" s="5" t="n"/>
      <c r="AF48" s="2" t="n"/>
      <c r="AG48" s="2" t="n"/>
      <c r="AH48" s="2" t="n"/>
      <c r="AI48" s="2" t="n"/>
      <c r="AJ48" s="2" t="n"/>
      <c r="AK48" s="2" t="n">
        <v>26</v>
      </c>
      <c r="AL48" s="3" t="inlineStr">
        <is>
          <t>R041; R044; R045; R046; R048</t>
        </is>
      </c>
      <c r="AM48" s="3" t="inlineStr">
        <is>
          <t>petsmart</t>
        </is>
      </c>
    </row>
    <row r="49">
      <c r="A49" s="2" t="n">
        <v>48</v>
      </c>
      <c r="B49" s="3" t="inlineStr">
        <is>
          <t>12/14/2014</t>
        </is>
      </c>
      <c r="C49" s="3" t="inlineStr">
        <is>
          <t>PetSmart; Parent</t>
        </is>
      </c>
      <c r="D49" s="3" t="inlineStr">
        <is>
          <t>Merger announced</t>
        </is>
      </c>
      <c r="E49" s="2" t="n">
        <v>1</v>
      </c>
      <c r="F49" s="2" t="n">
        <v>3</v>
      </c>
      <c r="G49" s="3" t="inlineStr"/>
      <c r="H49" s="3" t="inlineStr">
        <is>
          <t>Press release issued announcing the transaction, together with execution of the merger agreement, voting agreement and related transaction agreements.</t>
        </is>
      </c>
      <c r="I49" s="3" t="inlineStr"/>
      <c r="J49" s="3" t="inlineStr"/>
      <c r="K49" s="3" t="inlineStr">
        <is>
          <t>Stated publicity; kept separate from signing and closing. Quotation: “and issued a press release announcing the transaction.” (p. 26)</t>
        </is>
      </c>
      <c r="L49" s="4" t="inlineStr">
        <is>
          <t>P-031</t>
        </is>
      </c>
      <c r="M49" s="2" t="inlineStr"/>
      <c r="N49" s="3" t="inlineStr"/>
      <c r="O49" s="3" t="inlineStr">
        <is>
          <t>R048</t>
        </is>
      </c>
      <c r="P49" s="2" t="inlineStr">
        <is>
          <t>Yes</t>
        </is>
      </c>
      <c r="Q49" s="2" t="n"/>
      <c r="R49" s="5" t="n">
        <v>41987</v>
      </c>
      <c r="S49" s="5" t="n">
        <v>41987</v>
      </c>
      <c r="T49" s="6" t="n">
        <v>41987</v>
      </c>
      <c r="U49" s="3" t="inlineStr">
        <is>
          <t>Reported day</t>
        </is>
      </c>
      <c r="V49" s="2" t="inlineStr">
        <is>
          <t>Reported</t>
        </is>
      </c>
      <c r="W49" s="7" t="n"/>
      <c r="X49" s="7" t="n"/>
      <c r="Y49" s="2" t="n"/>
      <c r="Z49" s="2" t="n"/>
      <c r="AA49" s="2" t="n"/>
      <c r="AB49" s="2" t="n"/>
      <c r="AC49" s="7" t="n"/>
      <c r="AD49" s="3" t="n"/>
      <c r="AE49" s="5" t="n"/>
      <c r="AF49" s="2" t="n"/>
      <c r="AG49" s="2" t="n"/>
      <c r="AH49" s="2" t="n"/>
      <c r="AI49" s="2" t="n"/>
      <c r="AJ49" s="2" t="n"/>
      <c r="AK49" s="2" t="n">
        <v>26</v>
      </c>
      <c r="AL49" s="3" t="inlineStr">
        <is>
          <t>R047</t>
        </is>
      </c>
      <c r="AM49" s="3" t="inlineStr">
        <is>
          <t>petsmart</t>
        </is>
      </c>
    </row>
    <row r="50">
      <c r="A50" s="2" t="n">
        <v>49</v>
      </c>
      <c r="B50" s="3" t="inlineStr">
        <is>
          <t>by 01/29/2015 (record date; retention date not disclosed)</t>
        </is>
      </c>
      <c r="C50" s="3" t="inlineStr">
        <is>
          <t>Innisfree M&amp;A Incorporated</t>
        </is>
      </c>
      <c r="D50" s="3" t="inlineStr">
        <is>
          <t>Adviser engaged</t>
        </is>
      </c>
      <c r="E50" s="2" t="n">
        <v>1</v>
      </c>
      <c r="F50" s="2" t="inlineStr">
        <is>
          <t>post</t>
        </is>
      </c>
      <c r="G50" s="3" t="inlineStr"/>
      <c r="H50" s="3" t="inlineStr">
        <is>
          <t>Proxy solicitation firm retained to assist with the special-meeting solicitation; approximately $182,725 paid as of the 01/29/2015 record date and approximately $240,000 expected in total through March 2015. Other adviser relationships (engagement date not disclosed).</t>
        </is>
      </c>
      <c r="I50" s="3" t="inlineStr"/>
      <c r="J50" s="3" t="inlineStr"/>
      <c r="K50" s="3" t="inlineStr">
        <is>
          <t>Stated retention and fees. Included as a disclosed adviser; Working date = 01/29/2015 upper bound (assigned; retention date undisclosed). Quotation: “Innisfree M&amp;A Incorporated, a proxy solicitation firm, has been retained to assist it in the solicitation of proxies for the special meeting. As of the record date, the Company has paid Innisfree M&amp;A Incorporated approximately $182,725 for the solicitation of proxies in connection with the special meeting and other advisory work, and expects to pay Innisfree M&amp;A Incorporated, in the aggregate, approximately $240,000 through March 2015.” (p. 20)</t>
        </is>
      </c>
      <c r="L50" s="4" t="inlineStr">
        <is>
          <t>X-018</t>
        </is>
      </c>
      <c r="M50" s="2" t="inlineStr">
        <is>
          <t>Q7</t>
        </is>
      </c>
      <c r="N50" s="3" t="inlineStr"/>
      <c r="O50" s="3" t="inlineStr">
        <is>
          <t>R049</t>
        </is>
      </c>
      <c r="P50" s="2" t="inlineStr">
        <is>
          <t>Yes</t>
        </is>
      </c>
      <c r="Q50" s="2" t="n"/>
      <c r="R50" s="5" t="n"/>
      <c r="S50" s="5" t="n">
        <v>42033</v>
      </c>
      <c r="T50" s="6" t="n">
        <v>42033</v>
      </c>
      <c r="U50" s="3" t="inlineStr">
        <is>
          <t>Relative only</t>
        </is>
      </c>
      <c r="V50" s="2" t="inlineStr">
        <is>
          <t>Assigned: bound</t>
        </is>
      </c>
      <c r="W50" s="7" t="n"/>
      <c r="X50" s="7" t="n"/>
      <c r="Y50" s="2" t="n"/>
      <c r="Z50" s="2" t="n"/>
      <c r="AA50" s="2" t="n"/>
      <c r="AB50" s="2" t="n"/>
      <c r="AC50" s="7" t="n"/>
      <c r="AD50" s="3" t="n"/>
      <c r="AE50" s="5" t="n"/>
      <c r="AF50" s="2" t="n"/>
      <c r="AG50" s="2" t="n"/>
      <c r="AH50" s="2" t="n"/>
      <c r="AI50" s="2" t="n"/>
      <c r="AJ50" s="2" t="n"/>
      <c r="AK50" s="2" t="n">
        <v>20</v>
      </c>
      <c r="AL50" s="3" t="inlineStr"/>
      <c r="AM50" s="3" t="inlineStr">
        <is>
          <t>petsmart</t>
        </is>
      </c>
    </row>
  </sheetData>
  <autoFilter ref="A1:AM50"/>
  <dataValidations count="15">
    <dataValidation sqref="D2:D50" showDropDown="0" showInputMessage="0" showErrorMessage="1" allowBlank="1" type="list">
      <formula1>=List_WhatHappened</formula1>
    </dataValidation>
    <dataValidation sqref="G2:G50" showDropDown="0" showInputMessage="0" showErrorMessage="1" allowBlank="1" type="list">
      <formula1>=List_Type</formula1>
    </dataValidation>
    <dataValidation sqref="I2:I50" showDropDown="0" showInputMessage="0" showErrorMessage="1" allowBlank="1" type="list">
      <formula1>=List_Formality</formula1>
    </dataValidation>
    <dataValidation sqref="J2:J50" showDropDown="0" showInputMessage="0" showErrorMessage="1" allowBlank="1" type="list">
      <formula1>=List_ConditionsLevel</formula1>
    </dataValidation>
    <dataValidation sqref="P2:P50" showDropDown="0" showInputMessage="0" showErrorMessage="1" allowBlank="1" type="list">
      <formula1>=List_Include</formula1>
    </dataValidation>
    <dataValidation sqref="U2:U50" showDropDown="0" showInputMessage="0" showErrorMessage="1" allowBlank="1" type="list">
      <formula1>=List_DateBasis</formula1>
    </dataValidation>
    <dataValidation sqref="V2:V50" showDropDown="0" showInputMessage="0" showErrorMessage="1" allowBlank="1" type="list">
      <formula1>=List_DateMethod</formula1>
    </dataValidation>
    <dataValidation sqref="Y2:Y50" showDropDown="0" showInputMessage="0" showErrorMessage="1" allowBlank="1" type="list">
      <formula1>=List_PriceKind</formula1>
    </dataValidation>
    <dataValidation sqref="Z2:Z50" showDropDown="0" showInputMessage="0" showErrorMessage="1" allowBlank="1" type="list">
      <formula1>=List_PriceOrigin</formula1>
    </dataValidation>
    <dataValidation sqref="AB2:AB50" showDropDown="0" showInputMessage="0" showErrorMessage="1" allowBlank="1" type="list">
      <formula1>=List_AllCash</formula1>
    </dataValidation>
    <dataValidation sqref="AF2:AF50" showDropDown="0" showInputMessage="0" showErrorMessage="1" allowBlank="1" type="list">
      <formula1>=List_DeadlineTreatment</formula1>
    </dataValidation>
    <dataValidation sqref="AG2:AG50" showDropDown="0" showInputMessage="0" showErrorMessage="1" allowBlank="1" type="list">
      <formula1>=List_RoundFinality</formula1>
    </dataValidation>
    <dataValidation sqref="AH2:AH50" showDropDown="0" showInputMessage="0" showErrorMessage="1" allowBlank="1" type="list">
      <formula1>=List_DecidedBy</formula1>
    </dataValidation>
    <dataValidation sqref="AI2:AI50" showDropDown="0" showInputMessage="0" showErrorMessage="1" allowBlank="1" type="list">
      <formula1>=List_ExitReason</formula1>
    </dataValidation>
    <dataValidation sqref="AJ2:AJ50" showDropDown="0" showInputMessage="0" showErrorMessage="1" allowBlank="1" type="list">
      <formula1>=List_OutcomeBasis</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44" customWidth="1" min="1" max="1"/>
    <col width="132" customWidth="1" min="2" max="2"/>
  </cols>
  <sheetData>
    <row r="1">
      <c r="A1" s="8" t="inlineStr">
        <is>
          <t>PetSmart, Inc. — deal ledger summary (target: petsmart / BC Partners-led Buyer Group / Argos Holdings)</t>
        </is>
      </c>
    </row>
    <row r="2">
      <c r="A2" s="9" t="inlineStr">
        <is>
          <t>Status, instruction and source coverage</t>
        </is>
      </c>
      <c r="B2" s="10" t="n"/>
    </row>
    <row r="3">
      <c r="A3" s="11" t="inlineStr">
        <is>
          <t>Status</t>
        </is>
      </c>
      <c r="B3" s="11" t="inlineStr">
        <is>
          <t>AI first pass; not human-approved.</t>
        </is>
      </c>
    </row>
    <row r="4">
      <c r="A4" s="11" t="inlineStr">
        <is>
          <t>Instruction</t>
        </is>
      </c>
      <c r="B4" s="11" t="inlineStr">
        <is>
          <t>SEC deal-ledger extraction instruction, short-form revision of 19 September 2026 (ledger rules and schema; no self-check/correction sheet requested).</t>
        </is>
      </c>
    </row>
    <row r="5">
      <c r="A5" s="11" t="inlineStr">
        <is>
          <t>Source coverage</t>
        </is>
      </c>
      <c r="B5" s="11" t="inlineStr">
        <is>
          <t>Supplied filing only: PetSmart DEFM14A filed 02/02/2015 (raw_filing/petsmart_2015-02-02_DEFM14A.htm). Primary extraction from the Background of the Merger (pp. 21–26); cross-checked against the Summary (pp. 1–9), Reasons for the Merger (pp. 26–30), Opinion of J.P. Morgan (pp. 30–37), Projected Financial Information (pp. 37–40), Financing (pp. 40–45), Termination Fee Commitment Letters (p. 44), Voting Support Agreement (p. 45), the merger-agreement description (pp. 53–73), Regulatory Approvals and Litigation (p. 52). Source text is HTML-decoded with layout-only whitespace normalization; all quotations are recoverable from the Source text sheet.</t>
        </is>
      </c>
    </row>
    <row r="7">
      <c r="A7" s="9" t="inlineStr">
        <is>
          <t>Commercial account</t>
        </is>
      </c>
      <c r="B7" s="10" t="n"/>
    </row>
    <row r="8">
      <c r="A8" s="11" t="inlineStr">
        <is>
          <t>Sale story</t>
        </is>
      </c>
      <c r="B8" s="11" t="inlineStr">
        <is>
          <t>PetSmart entered 2014 reviewing alternatives — including a possible combination with a privately-held industry participant — and, after a weak first quarter, faced stockholder and activist pressure (JANA Partners' 13D of 07/03/2014 at 9.9%; Longview's public sale advocacy of 07/07/2014) that pushed the board into a formal exploration announced 08/19/2014. Through an independent-director ad hoc committee and J.P. Morgan, the target contacted 27 potential participants, signed confidentiality and standstill agreements with 15 financial buyers in early October, and received six non-binding indications of interest on 10/30/2014 (three individually described $80–$85 ranges and three residual submitters). On 11/03/2014 the board advanced the four bidders at or above $80.00 to a final round; two bidders combined into 'Bidder 3'. Final bids on 12/10/2014 were $80.70 in cash from the Buyer Group and $80.35 from Bidder 2, with Bidder 3 dropping out at a valuation at or below about $78; after the target demanded improvements, Bidder 2 delivered a best-and-final $81.50 and the Buyer Group a best-and-final $83.00 in cash on 12/12/2014. The board approved the Buyer Group on 12/13/2014 and the merger agreement was signed and announced on 12/14/2014: $83.00 per share in cash, with Longview rolling over 3,012,050 shares (~$250 million) into Parent and voting its 7,424,591 shares for the deal. No superior proposal is reported as of the 02/02/2015 proxy; closing was expected in the first half of 2015 and is not observed in the filing.</t>
        </is>
      </c>
    </row>
    <row r="10">
      <c r="A10" s="9" t="inlineStr">
        <is>
          <t>Deal facts</t>
        </is>
      </c>
      <c r="B10" s="10" t="n"/>
    </row>
    <row r="11">
      <c r="A11" s="11" t="inlineStr">
        <is>
          <t>Target</t>
        </is>
      </c>
      <c r="B11" s="11" t="inlineStr">
        <is>
          <t>PetSmart, Inc., a Delaware corporation (principal offices Phoenix, AZ); NASDAQ: PETM; 1,404 stores and 202 in-store boarding facilities. [X-016]</t>
        </is>
      </c>
    </row>
    <row r="12">
      <c r="A12" s="11" t="inlineStr">
        <is>
          <t>Focal acquirer</t>
        </is>
      </c>
      <c r="B12" s="11" t="inlineStr">
        <is>
          <t>Argos Holdings Inc. ("Parent") and Argos Merger Sub Inc. — affiliates of funds advised by BC Partners, Inc.; at closing owned by the Buyer Group: funds advised by BC Partners, Inc., La Caisse de dépôt et placement du Québec, affiliates of GIC Special Investments Pte Ltd, affiliates of StepStone Group LP, and (at all times after 12/12/2014) Longview Asset Management, LLC. Type: Financial (PE-led consortium of financial investors). [X-001; X-017; X-003]</t>
        </is>
      </c>
    </row>
    <row r="13">
      <c r="A13" s="11" t="inlineStr">
        <is>
          <t>Agreed consideration</t>
        </is>
      </c>
      <c r="B13" s="11" t="inlineStr">
        <is>
          <t>$83.00 per share in cash for each outstanding share (other than excluded/appraisal shares); Longview contributes 3,012,050 shares (~$250 million worth) to Parent for equity and receives $83.00 on its other shares; voting agreement covers 7,424,591 shares (~7.5%). [X-002; X-033; X-034; X-037]</t>
        </is>
      </c>
    </row>
    <row r="14">
      <c r="A14" s="11" t="inlineStr">
        <is>
          <t>Financing / funds</t>
        </is>
      </c>
      <c r="B14" s="11" t="inlineStr">
        <is>
          <t>Total funds required estimated at ~$8.4 billion: cash equity commitments up to ~$1.83 billion plus Longview stock ($250 million); committed debt up to $6.95 billion ($4.3bn term loan B, $750m ABL revolver, $1.9bn bridge/senior notes); ~$425 million cash on hand; not subject to a financing condition. [X-007; X-008; X-032; X-035]</t>
        </is>
      </c>
    </row>
    <row r="15">
      <c r="A15" s="11" t="inlineStr">
        <is>
          <t>Signing / announcement / closing</t>
        </is>
      </c>
      <c r="B15" s="11" t="inlineStr">
        <is>
          <t>Signed 12/14/2014; announced 12/14/2014 (press release with signing). Completion expected in the first half of 2015 (end date 06/14/2015) — no closing observed in the supplied filing. Signing, announcement and (unobserved) closing kept separate. [P-031; X-005; X-012]</t>
        </is>
      </c>
    </row>
    <row r="16">
      <c r="A16" s="11" t="inlineStr">
        <is>
          <t>Termination fees</t>
        </is>
      </c>
      <c r="B16" s="11" t="inlineStr">
        <is>
          <t>Company termination fee $255 million; Parent reverse termination fee $510 million (supported by several Buyer Group termination-fee commitment letters up to the $510 million cap); expense reimbursement up to $15 million. [X-013; X-014; X-009; X-036; X-015]</t>
        </is>
      </c>
    </row>
    <row r="17">
      <c r="A17" s="11" t="inlineStr">
        <is>
          <t>Regulatory (Summary line)</t>
        </is>
      </c>
      <c r="B17" s="11" t="inlineStr">
        <is>
          <t>HSR notification filed by both parties 12/24/2014; early termination of the HSR waiting period received 01/07/2015; Canadian Advance Ruling Certificate issued 01/14/2015. Regulatory filings and clearances are not ledger rows. [X-010]</t>
        </is>
      </c>
    </row>
    <row r="18">
      <c r="A18" s="11" t="inlineStr">
        <is>
          <t>Litigation (Summary line)</t>
        </is>
      </c>
      <c r="B18" s="11" t="inlineStr">
        <is>
          <t>Seven putative class actions filed in the Delaware Court of Chancery after the 12/14/2014 announcement challenging the merger (price/process and proxy-disclosure allegations); amended complaints filed 01/20/2015 and 01/30/2015. Litigation is not a ledger row. [X-038]</t>
        </is>
      </c>
    </row>
    <row r="19">
      <c r="A19" s="11" t="inlineStr">
        <is>
          <t>Filing identity and link</t>
        </is>
      </c>
      <c r="B19" s="11" t="inlineStr">
        <is>
          <t>DEFM14A definitive proxy statement, filed 02/02/2015, for the special meeting on 03/06/2015; record date 01/29/2015, 99,455,151 shares outstanding. Background at pp. 21–26. Local source: ../raw_filing/petsmart_2015-02-02_DEFM14A.htm</t>
        </is>
      </c>
    </row>
    <row r="21">
      <c r="A21" s="9" t="inlineStr">
        <is>
          <t>Process and round map (Process 1 — single continuing sale attempt; ends in signing; no termination or restart observed)</t>
        </is>
      </c>
      <c r="B21" s="10" t="n"/>
    </row>
    <row r="22">
      <c r="A22" s="11" t="inlineStr">
        <is>
          <t>Round 0 (no Round opened row)</t>
        </is>
      </c>
      <c r="B22" s="11" t="inlineStr">
        <is>
          <t>Pre-process: Industry Participant approaches and exclusion (R001, R009, R011); JANA/Longview activism (R006–R008); 06/18/2014 capital-structure review and adviser search (R003–R005); 08/13/2014 sale decision (R010); 08/19/2014 announcement (R012); 27 contacts incl. ~15 expressions of interest (R013/R014, R015).</t>
        </is>
      </c>
    </row>
    <row r="23">
      <c r="A23" s="11" t="inlineStr">
        <is>
          <t>Round 1 — solicitation / IOI stage</t>
        </is>
      </c>
      <c r="B23" s="11" t="inlineStr">
        <is>
          <t>Opened R016, anchored on the confidentiality-agreement wave (first week of October 2014; Not final). Scope: 15 financial NDA signers (R017; all engaged in diligence and received the Profit Improvement Plan information). Deadline set in October: non-binding IOIs due 10/30/2014 (R018), treatment Enforced (R019). Six indicated (R020–R023); nine non-submitters inferred (R024). Two submitters eliminated on 11/03/2014 (R027). Round-bidder tally: 6 new bidder units.</t>
        </is>
      </c>
    </row>
    <row r="24">
      <c r="A24" s="11" t="inlineStr">
        <is>
          <t>Round 2 — finalist stage</t>
        </is>
      </c>
      <c r="B24" s="11" t="inlineStr">
        <is>
          <t>Opened R026 on 11/03/2014 (Inferred final): four bidders at/above $80.00 advanced (Buyer Group, Bidder 2, and the two bidders later forming Bidder 3; see Q2). Two bidders authorized to combine → Bidder 3 (R028; final-round units 4 → 3). Further diligence during November. Round-bidder tally: 0 new bid units (no priced submission in this stage).</t>
        </is>
      </c>
    </row>
    <row r="25">
      <c r="A25" s="11" t="inlineStr">
        <is>
          <t>Round 3 — final-bid stage</t>
        </is>
      </c>
      <c r="B25" s="11" t="inlineStr">
        <is>
          <t>Opened R029, anchored on the first request for final bids (merger-agreement circulation, November 2014; Announced as final). Deadline history: 12/05/2014 initial date set (R032; superseded before arrival, no milestone row) → revised 12/04–05 to evening 12/10/2014 (R033), treatment Extended (R034) → improved bids 12/12/2014 (R039), treatment Enforced (R040). Bids: 12/10 — Buyer Group $80.70 cash (R035), Bidder 2 $80.35 cash (R036), Bidder 3 verbal ≤ ~$78 (R037; did not submit, R038); 12/12 — Bidder 2 $81.50 best-and-final (R042), Buyer Group $82.50 interim (R043) then $83.00 best-and-final (R044). Approval 12/13/2014 (R045); Bidder 2 not selected at signing (R046). Round-bidder tally: 3 new bid units; 2 units submitted improved best-and-final bids.</t>
        </is>
      </c>
    </row>
    <row r="26">
      <c r="A26" s="11" t="inlineStr">
        <is>
          <t>Post-signing</t>
        </is>
      </c>
      <c r="B26" s="11" t="inlineStr">
        <is>
          <t>No post-signing competing proposals, go-shop or agreement termination observed. No go-shop was provided; the 15 signers' standstills limit post-signing bids (X-021). As of 02/02/2015 no unsolicited offer had been made (X-022).</t>
        </is>
      </c>
    </row>
    <row r="27">
      <c r="A27" s="11" t="inlineStr">
        <is>
          <t>Process outcome</t>
        </is>
      </c>
      <c r="B27" s="11" t="inlineStr">
        <is>
          <t>Process 1 ended in signing with the Buyer Group on 12/14/2014; no Process terminated/restarted row applies. The remaining live rival (Bidder 2) was closed with a stated Not selected at signing outcome; the winner has no exit row.</t>
        </is>
      </c>
    </row>
    <row r="29">
      <c r="A29" s="9" t="inlineStr">
        <is>
          <t>Participants and advisers</t>
        </is>
      </c>
      <c r="B29" s="10" t="n"/>
    </row>
    <row r="30">
      <c r="A30" s="11" t="inlineStr">
        <is>
          <t>Buyer Group (winner)</t>
        </is>
      </c>
      <c r="B30" s="11" t="inlineStr">
        <is>
          <t>Financial. Consortium of funds advised by BC Partners, Inc., La Caisse de dépôt et placement du Québec, affiliates of GIC Special Investments Pte Ltd and affiliates of StepStone Group LP; Longview Asset Management, LLC joins after 12/12/2014 (rollover, not a bidding-unit membership change). First observed 10/30/2014 (IOI $81–$83; R020); final bids $80.70 (R035), $82.50 interim (R043), $83.00 best and final (R044); signed 12/14/2014 (R047). Receives Longview support (R041). No exit row (winner).</t>
        </is>
      </c>
    </row>
    <row r="31">
      <c r="A31" s="11" t="inlineStr">
        <is>
          <t>Bidder 2</t>
        </is>
      </c>
      <c r="B31" s="11" t="inlineStr">
        <is>
          <t>Financial (member of the 15 financial NDA signers). IOI $78 (R021) revised to $81–$84 (R025); final bids $80.35 (R036) and $81.50 best and final (R042); closed Not selected at signing (R046; Stated; lower offer than rivals).</t>
        </is>
      </c>
    </row>
    <row r="32">
      <c r="A32" s="11" t="inlineStr">
        <is>
          <t>Bidder 3</t>
        </is>
      </c>
      <c r="B32" s="11" t="inlineStr">
        <is>
          <t>Financial. Combined unit of two unnamed final-round bidders (one sought an equity partner; one would drop out unless permitted to combine); formed after 11/03/2014 (R028). Verbal valuation ≤ ~$78 on 12/10 (R037); did not submit a written offer (R038; Stated; Decided by Both; value at or below market price).</t>
        </is>
      </c>
    </row>
    <row r="33">
      <c r="A33" s="11" t="inlineStr">
        <is>
          <t>Unnamed bidder 1 (range $80–$85)</t>
        </is>
      </c>
      <c r="B33" s="11" t="inlineStr">
        <is>
          <t>Financial; individual IOI submitter (R022). Whether it is one of the two Bidder 3 members is not established in the filing — kept as a hypothesis in Q2, not mapped in the ledger.</t>
        </is>
      </c>
    </row>
    <row r="34">
      <c r="A34" s="11" t="inlineStr">
        <is>
          <t>Unnamed IOI submitters (residual of 3)</t>
        </is>
      </c>
      <c r="B34" s="11" t="inlineStr">
        <is>
          <t>Financial; one indicated at or above $80.00 (advanced within the final-round four) and two were below $80.00 (dropped 11/03/2014). Prices and identities not disclosed (R023; R027).</t>
        </is>
      </c>
    </row>
    <row r="35">
      <c r="A35" s="11" t="inlineStr">
        <is>
          <t>Industry Participant</t>
        </is>
      </c>
      <c r="B35" s="11" t="inlineStr">
        <is>
          <t>Strategic operating company in PetSmart's industry; PetSmart explored acquiring it in Spring 2014 (R001) and it re-approached the Company on 08/07/2014 (R009); excluded from the exploratory process (R011; communicated 08/22 and 08/27/2014). Never entered the process; no outcome row.</t>
        </is>
      </c>
    </row>
    <row r="36">
      <c r="A36" s="11" t="inlineStr">
        <is>
          <t>Longview Asset Management, LLC</t>
        </is>
      </c>
      <c r="B36" s="11" t="inlineStr">
        <is>
          <t>Shareholder/activist (~9%); urged a sale and offered a rollover (R007); provided rollover support to the Buyer Group (R041); executed rollover agreement (3,012,050 shares) and voting agreement (7,424,591 shares) on 12/14/2014 (R047). Not a bidder.</t>
        </is>
      </c>
    </row>
    <row r="37">
      <c r="A37" s="11" t="inlineStr">
        <is>
          <t>JANA Partners</t>
        </is>
      </c>
      <c r="B37" s="11" t="inlineStr">
        <is>
          <t>Activist shareholder (9.9% 13D; R006; July 10 meeting and July–August letters; R008). Not a bidder.</t>
        </is>
      </c>
    </row>
    <row r="38">
      <c r="A38" s="11" t="inlineStr">
        <is>
          <t>Advisers — target</t>
        </is>
      </c>
      <c r="B38" s="11" t="inlineStr">
        <is>
          <t>J.P. Morgan Securities LLC — financial advisor; retained July 2014 (engagement letter effective 08/21/2014); fee up to ~$39 million, substantially contingent; disclosed Buyer Group relationships of ~$110 million over two years and the James Crown/Longview connection (R005; X-029; X-030; X-025). Wachtell, Lipton, Rosen &amp; Katz — legal advisor, first shown advising 06/18/2014; retention date not disclosed (R004). Innisfree M&amp;A Incorporated — proxy solicitor (~$240,000 expected; R049).</t>
        </is>
      </c>
    </row>
    <row r="39">
      <c r="A39" s="11" t="inlineStr">
        <is>
          <t>Advisers — buyer side</t>
        </is>
      </c>
      <c r="B39" s="11" t="inlineStr">
        <is>
          <t>Not disclosed in the supplied filing. Debt financing provided by Citigroup, Barclays, Deutsche Bank, Nomura and Jefferies (initial lenders) plus RBC Capital Markets, Macquarie Capital (USA) and Natixis (X-035).</t>
        </is>
      </c>
    </row>
    <row r="41">
      <c r="A41" s="9" t="inlineStr">
        <is>
          <t>Counts and auction screen (scoped ledger tallies with formulas; Include = No excluded)</t>
        </is>
      </c>
      <c r="B41" s="10" t="n"/>
    </row>
    <row r="42">
      <c r="A42" s="11" t="inlineStr">
        <is>
          <t>Contacts (formula)</t>
        </is>
      </c>
      <c r="B42" s="11">
        <f>SUMIFS('Deal ledger'!$Q$2:$Q$50,'Deal ledger'!$D$2:$D$50,"Contact",'Deal ledger'!$P$2:$P$50,"Yes")</f>
        <v/>
      </c>
    </row>
    <row r="43">
      <c r="A43" s="11" t="inlineStr">
        <is>
          <t xml:space="preserve">  reconciliation</t>
        </is>
      </c>
      <c r="B43" s="11" t="inlineStr">
        <is>
          <t>Filing: "27 potential participants ... three strategic ... and 24 financial" (P-011) and "more than 25" (X-020). Ledger contact tally = 27 (3 strategic + 24 financial) plus R009 (Industry Participant first contact, Count 1 on a Bidder interest row; identified inclusion) = 28 distinct contacted parties. Units: parties contacted, not bidders or NDA signers; the 24 include equity-capital suppliers; the 15 signers are a subset.</t>
        </is>
      </c>
    </row>
    <row r="44">
      <c r="A44" s="11" t="inlineStr">
        <is>
          <t>NDA signers (formula)</t>
        </is>
      </c>
      <c r="B44" s="11">
        <f>SUMIFS('Deal ledger'!$Q$2:$Q$50,'Deal ledger'!$D$2:$D$50,"NDA signed",'Deal ledger'!$P$2:$P$50,"Yes")</f>
        <v/>
      </c>
    </row>
    <row r="45">
      <c r="A45" s="11" t="inlineStr">
        <is>
          <t xml:space="preserve">  reconciliation</t>
        </is>
      </c>
      <c r="B45" s="11" t="inlineStr">
        <is>
          <t>Filing: "15 potentially interested financial buyers" / "approximately 15 parties had expressed interest" (P-012, P-013). All new signatures in this process; no reuse from an earlier attempt; lender/adviser/rollover-holder agreements excluded. Auction screen: MET — more than one independent prospective acquiring bidder unit executed bidder-target confidentiality agreements (15 units).</t>
        </is>
      </c>
    </row>
    <row r="46">
      <c r="A46" s="11" t="inlineStr">
        <is>
          <t>Round 1 bid units (formula)</t>
        </is>
      </c>
      <c r="B46" s="11">
        <f>SUMIFS('Deal ledger'!$Q$2:$Q$50,'Deal ledger'!$D$2:$D$50,"Bid",'Deal ledger'!$F$2:$F$50,1,'Deal ledger'!$P$2:$P$50,"Yes")</f>
        <v/>
      </c>
    </row>
    <row r="47">
      <c r="A47" s="11" t="inlineStr">
        <is>
          <t xml:space="preserve">  reconciliation</t>
        </is>
      </c>
      <c r="B47" s="11" t="inlineStr">
        <is>
          <t>Filing: "six of the potentially interested parties submitted indications of interest" (P-016) and "first round indications of interest from 5 bidder groups" (X-020). Ledger: 6 submitting units = 3 individually described (Buyer Group $81–83; Bidder 2 $78; unnamed $80–85) + residual cohort of 3. The 5-group count is best explained by counting the two later Bidder 3 members as one group (hypothesis in Q2). Revisions carry Count 0 so units are not double-counted.</t>
        </is>
      </c>
    </row>
    <row r="48">
      <c r="A48" s="11" t="inlineStr">
        <is>
          <t>Round 2 entrants / units</t>
        </is>
      </c>
      <c r="B48" s="11" t="inlineStr">
        <is>
          <t>4 bidding units admitted at ≥$80.00 (P-017); two combine → 3 units (R028 states units −1). No priced submission in the stage.</t>
        </is>
      </c>
    </row>
    <row r="49">
      <c r="A49" s="11" t="inlineStr">
        <is>
          <t>Round 3 bid units (formula)</t>
        </is>
      </c>
      <c r="B49" s="11">
        <f>SUMIFS('Deal ledger'!$Q$2:$Q$50,'Deal ledger'!$D$2:$D$50,"Bid",'Deal ledger'!$F$2:$F$50,3,'Deal ledger'!$P$2:$P$50,"Yes")</f>
        <v/>
      </c>
    </row>
    <row r="50">
      <c r="A50" s="11" t="inlineStr">
        <is>
          <t xml:space="preserve">  reconciliation</t>
        </is>
      </c>
      <c r="B50" s="11" t="inlineStr">
        <is>
          <t>3 units responded to the 12/10/2014 final-bid solicitation (Buyer Group, Bidder 2, Bidder 3); 2 units (Buyer Group, Bidder 2) submitted improved best-and-final bids on 12/12/2014 (Count 0 rows R042–R044 for the same units).</t>
        </is>
      </c>
    </row>
    <row r="51">
      <c r="A51" s="11" t="inlineStr">
        <is>
          <t>Outcome tallies</t>
        </is>
      </c>
      <c r="B51" s="11" t="inlineStr">
        <is>
          <t>Affected units, not unique permanent exits:</t>
        </is>
      </c>
    </row>
    <row r="52">
      <c r="A52" s="11" t="inlineStr">
        <is>
          <t xml:space="preserve">  Did not submit (formula)</t>
        </is>
      </c>
      <c r="B52" s="11">
        <f>SUMIFS('Deal ledger'!$Q$2:$Q$50,'Deal ledger'!$D$2:$D$50,"Did not submit",'Deal ledger'!$P$2:$P$50,"Yes")</f>
        <v/>
      </c>
    </row>
    <row r="53">
      <c r="A53" s="11" t="inlineStr">
        <is>
          <t xml:space="preserve">  Dropped by target (formula)</t>
        </is>
      </c>
      <c r="B53" s="11">
        <f>SUMIFS('Deal ledger'!$Q$2:$Q$50,'Deal ledger'!$D$2:$D$50,"Dropped by target",'Deal ledger'!$P$2:$P$50,"Yes")</f>
        <v/>
      </c>
    </row>
    <row r="54">
      <c r="A54" s="11" t="inlineStr">
        <is>
          <t xml:space="preserve">  Not selected at signing (formula)</t>
        </is>
      </c>
      <c r="B54" s="11">
        <f>SUMIFS('Deal ledger'!$Q$2:$Q$50,'Deal ledger'!$D$2:$D$50,"Not selected at signing",'Deal ledger'!$P$2:$P$50,"Yes")</f>
        <v/>
      </c>
    </row>
    <row r="55">
      <c r="A55" s="11" t="inlineStr">
        <is>
          <t xml:space="preserve">  reading</t>
        </is>
      </c>
      <c r="B55" s="11" t="inlineStr">
        <is>
          <t>Did not submit = 10 (the 9-unit inferred residual R024 + Bidder 3's stated non-submission R038); Dropped = 2 (R027); Not selected = 1 (R046). All are occurrences/affected units for the specified transitions.</t>
        </is>
      </c>
    </row>
    <row r="56">
      <c r="A56" s="11" t="inlineStr">
        <is>
          <t>Per-stage balance (bidding units)</t>
        </is>
      </c>
      <c r="B56" s="11" t="inlineStr">
        <is>
          <t>R0: no entrants/admissions (Industry Participant excluded; activists never bid). R1: +15 entrants (R017) − 9 inferred non-submitters (R024) = 6 units. R2: 6 − 2 dropped (R027) = 4 entering − 1 unit from the Bidder 3 combination (R028) = 3 units. R3: 3 − 1 (Bidder 3 did not submit, R038) = 2 − 1 (Bidder 2 not selected at signing, R046) = 1 winner (Buyer Group). Inferred share: 9 of 15 round-1 entrants (60%) are closed by one inferred residual row; no inferred row is needed for the winner; balance never negative.</t>
        </is>
      </c>
    </row>
    <row r="58">
      <c r="A58" s="9" t="inlineStr">
        <is>
          <t>Comparability and inputs</t>
        </is>
      </c>
      <c r="B58" s="10" t="n"/>
    </row>
    <row r="59">
      <c r="A59" s="11" t="inlineStr">
        <is>
          <t>Other-scope / context</t>
        </is>
      </c>
      <c r="B59" s="11" t="inlineStr">
        <is>
          <t>R001 (PetSmart's own attempt to acquire Industry Participant) is context only, outside core bid counts; Industry Participant never entered. No segment, asset or minority-stake proposals occurred.</t>
        </is>
      </c>
    </row>
    <row r="60">
      <c r="A60" s="11" t="inlineStr">
        <is>
          <t>Unusual consideration</t>
        </is>
      </c>
      <c r="B60" s="11" t="inlineStr">
        <is>
          <t>All cash for cashed-out shares; Longview rollover shares (3,012,050; ~$250 million) are exchanged for Parent equity rather than cash. Contingent instruments: none disclosed for shareholders.</t>
        </is>
      </c>
    </row>
    <row r="61">
      <c r="A61" s="11" t="inlineStr">
        <is>
          <t>Stated share count / benchmarks</t>
        </is>
      </c>
      <c r="B61" s="11" t="inlineStr">
        <is>
          <t>99,455,151 shares outstanding at the 01/29/2015 record date (X-004); market closes $78.82 (12/09/2014) and $59.81 (07/02/2014); 38.8% premium to the 07/02/2014 price (X-019; X-026); J.P. Morgan DCF reference range $78.25–$106.25 (X-027); estimated net debt/(cash) of $91 million as of 01/31/2015 used in a J.P. Morgan sensitivity (X-028).</t>
        </is>
      </c>
    </row>
    <row r="62">
      <c r="A62" s="11" t="inlineStr">
        <is>
          <t>Labelled calculation (not stated)</t>
        </is>
      </c>
      <c r="B62" s="11" t="inlineStr">
        <is>
          <t>Record-date shares × merger consideration: 99,455,151 × $83.00 = $8,254,777,533 (~$8.25 billion). This is a labelled arithmetic calculation, not a stated deal value and not a bid.</t>
        </is>
      </c>
    </row>
    <row r="63">
      <c r="A63" s="11" t="inlineStr">
        <is>
          <t>Glossary</t>
        </is>
      </c>
      <c r="B63" s="11" t="inlineStr">
        <is>
          <t>NDA = confidentiality agreement; IOI = indication of interest; final round = the target-organized stage admitting selected bidders to final diligence and bidding; standstill = confidentiality-agreement provision barring a signer from bidding once a definitive agreement is signed; rollover = contributing shares to the buyer for equity instead of cash; reverse termination fee = fee payable by the buyer if the deal fails in specified circumstances; HSR = U.S. Hart-Scott-Rodino antitrust waiting period; CVR = contingent value right (none here).</t>
        </is>
      </c>
    </row>
    <row r="65">
      <c r="A65" s="11" t="inlineStr">
        <is>
          <t>Note on formulas</t>
        </is>
      </c>
      <c r="B65" s="11" t="inlineStr">
        <is>
          <t>All formula totals are scoped by What happened / Process / Round / Include and exclude Include = No; blank Count cells are ignored by SUMIFS. They are working research totals, not audited sums.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70" customWidth="1" min="3" max="3"/>
    <col width="70" customWidth="1" min="4" max="4"/>
    <col width="30" customWidth="1" min="5" max="5"/>
    <col width="50" customWidth="1" min="6" max="6"/>
    <col width="10" customWidth="1" min="7" max="7"/>
    <col width="18" customWidth="1" min="8" max="8"/>
  </cols>
  <sheetData>
    <row r="1">
      <c r="A1" s="1" t="inlineStr">
        <is>
          <t>Q</t>
        </is>
      </c>
      <c r="B1" s="1" t="inlineStr">
        <is>
          <t>Review topic</t>
        </is>
      </c>
      <c r="C1" s="1" t="inlineStr">
        <is>
          <t>Recommended answer</t>
        </is>
      </c>
      <c r="D1" s="1" t="inlineStr">
        <is>
          <t>Why and source</t>
        </is>
      </c>
      <c r="E1" s="1" t="inlineStr">
        <is>
          <t>Affected rows/fields</t>
        </is>
      </c>
      <c r="F1" s="1" t="inlineStr">
        <is>
          <t>Consequence of changing it</t>
        </is>
      </c>
      <c r="G1" s="1" t="inlineStr">
        <is>
          <t>Status</t>
        </is>
      </c>
      <c r="H1" s="1" t="inlineStr">
        <is>
          <t>Reviewer note</t>
        </is>
      </c>
    </row>
    <row r="2">
      <c r="A2" s="2" t="inlineStr">
        <is>
          <t>Q1</t>
        </is>
      </c>
      <c r="B2" s="3" t="inlineStr">
        <is>
          <t>Process and round map: single process; R1 anchor; R2/R3 split; finality values</t>
        </is>
      </c>
      <c r="C2" s="3" t="inlineStr">
        <is>
          <t>Keep one process (the 2014 sale attempt ending in the 12/14/2014 signing). Round 1 opens with the confidentiality-agreement wave (R016 anchor; rejected candidates R010, R012, R013/R014, R015 remain separate rows). Split Round 2 (11/03/2014 selection; Inferred final) from Round 3 (November first request for final bids; Announced as final). Alternatives: a two-round map folding R2/R3, or anchoring R3 on the 12/04–05 final-bid deadline.</t>
        </is>
      </c>
      <c r="D2" s="3" t="inlineStr">
        <is>
          <t>R1 anchor: the filing reports no clean target outreach wave and parties contacted or were contacted by J.P. Morgan (P-013; P-011). R2/R3: selection to the "final round" (P-017) is followed by the merger-agreement circulation with instructions to submit "final bids" (P-019) — the instruction makes the first final-offer request a new round. R2 finality inferred from selection/definitive-negotiation progress; R3 announced via "final bids"/"best and final" (P-021; P-029).</t>
        </is>
      </c>
      <c r="E2" s="3" t="inlineStr">
        <is>
          <t>Rounds on R010–R016, R026, R029–R034, R040; Round finality on R016 (Not final), R026 (Inferred final), R029 (Announced as final)</t>
        </is>
      </c>
      <c r="F2" s="3" t="inlineStr">
        <is>
          <t>Moving the R1 boundary to 08/13, 08/19 or 10/03 shifts R013–R015 into Round 1; folding R2/R3 changes round-bidder tallies (currently R1 = 6, R3 = 3 new units) and the finality labels. Boundary-candidate rows are isolated so either move is mechanical.</t>
        </is>
      </c>
      <c r="G2" s="3" t="inlineStr">
        <is>
          <t>Pending</t>
        </is>
      </c>
      <c r="H2" s="3" t="inlineStr"/>
    </row>
    <row r="3">
      <c r="A3" s="2" t="inlineStr">
        <is>
          <t>Q2</t>
        </is>
      </c>
      <c r="B3" s="3" t="inlineStr">
        <is>
          <t>Round-1 and final-round counts and identities: six IOIs vs "5 bidder groups"; four bidders ≥ $80 vs three described ranges; residual cohort; Bidder 3 membership</t>
        </is>
      </c>
      <c r="C3" s="3" t="inlineStr">
        <is>
          <t>Read the six IOI submitters as: Buyer Group ($81–83), Bidder 2 ($78, revised $81–84), Unnamed bidder 1 ($80–85) and a 3-unit residual cohort (one at/above $80, two below). Read the four ≥$80 finalists as Buyer Group, Bidder 2 and the two bidders later forming Bidder 3, so the final round falls to 3 units post-combination. Do not map Unnamed bidder 1 or any specific bidder to a Bidder 3 member.</t>
        </is>
      </c>
      <c r="D3" s="3" t="inlineStr">
        <is>
          <t>Six submitters stated (P-016); four advanced (P-017); "5 bidder groups" (X-020); two bidders formed Bidder 3 (P-018). The filing does not name the members or the fourth ≥$80 unit. The recommended reading makes all counts reconcile without inventing identities.</t>
        </is>
      </c>
      <c r="E3" s="3" t="inlineStr">
        <is>
          <t>R020–R023 (bids/residual), R026 (four admitted), R027 (two dropped), R028 (Bidder 3 formation), R046 (Bidder 2 outcome)</t>
        </is>
      </c>
      <c r="F3" s="3" t="inlineStr">
        <is>
          <t>If the two Bidder 3 members were not both among the four admitted, the final round would carry an extra unnamed bidder needing its own close-out and the R2 unit balance would change (currently 4 → 3). If "5 bidder groups" counts something else, Round 1 bid units stay 6 but the group tally presentation changes.</t>
        </is>
      </c>
      <c r="G3" s="3" t="inlineStr">
        <is>
          <t>Pending</t>
        </is>
      </c>
      <c r="H3" s="3" t="inlineStr"/>
    </row>
    <row r="4">
      <c r="A4" s="2" t="inlineStr">
        <is>
          <t>Q3</t>
        </is>
      </c>
      <c r="B4" s="3" t="inlineStr">
        <is>
          <t>Bidder types and anonymous identities</t>
        </is>
      </c>
      <c r="C4" s="3" t="inlineStr">
        <is>
          <t>Keep every bidder unit classified Financial on the filing's own description of the 15 signers as "financial buyers" (P-013), including Bidder 2, Unnamed bidder 1 and Bidder 3. Do not identify anonymous participants from outside knowledge; no person/entity mapping is asserted for Unnamed bidder 1 or the Bidder 3 members.</t>
        </is>
      </c>
      <c r="D4" s="3" t="inlineStr">
        <is>
          <t>P-013 describes the confidentiality signers as financial buyers; bidders drew from that population; Bidder 3's members had prior large-LBO experience (P-018). No strategic bidder entered; the winner is a PE-led consortium (X-001).</t>
        </is>
      </c>
      <c r="E4" s="3" t="inlineStr">
        <is>
          <t>Type cells on R020–R023, R025, R028, R035–R038, R042–R044</t>
        </is>
      </c>
      <c r="F4" s="3" t="inlineStr">
        <is>
          <t>A different type basis would change cohort descriptions but no counts; leaving the winner Unknown is not supported (BC Partners consortium).</t>
        </is>
      </c>
      <c r="G4" s="3" t="inlineStr">
        <is>
          <t>Pending</t>
        </is>
      </c>
      <c r="H4" s="3" t="inlineStr"/>
    </row>
    <row r="5">
      <c r="A5" s="2" t="inlineStr">
        <is>
          <t>Q4</t>
        </is>
      </c>
      <c r="B5" s="3" t="inlineStr">
        <is>
          <t>Formality and Conditions borderline calls (IOIs; December bids; Bidder 3 bound-only valuation)</t>
        </is>
      </c>
      <c r="C5" s="3" t="inlineStr">
        <is>
          <t>Keep IOIs Informal with Conditions "Insufficient evidence" (prices stated, financing/conditions silent, substantive October diligence access context). Keep the 12/10–12/12 Buyer Group and Bidder 2 bids Formal/Light (returned revised transaction documents and financing commitments; no reported Heavy trigger). Keep Bidder 3's verbal ≤ ~$78 indication Informal (no documentation) and its price as Bound only (Price high 78; no low endpoint).</t>
        </is>
      </c>
      <c r="D5" s="3" t="inlineStr">
        <is>
          <t>IOIs: "non-binding preliminary indications" (P-014, P-016). December: final bid letters with "revised versions of the merger agreement" (P-025) and, on 12/12, "revised draft ... and copies of their respective financing commitment documents", Buyer Group versions "substantially executable" (P-029); committed financing per X-023 and X-032. Bidder 3: "valuation would not be above the current stock price of approximately $78" (P-025).</t>
        </is>
      </c>
      <c r="E5" s="3" t="inlineStr">
        <is>
          <t>Formality/Conditions on R020–R023, R025, R035–R037, R042–R044; Conditions detail strings on the same rows</t>
        </is>
      </c>
      <c r="F5" s="3" t="inlineStr">
        <is>
          <t>Reclassifying formality/conditions affects review flags and which signals are credited, not counts. If the IOIs were judged Heavy by context, the conditions labels on R020–R023/R025 would change to Heavy; if Bidder 3 was judged to have submitted a formal indication, its formality would rise but the no-write-offer record stands.</t>
        </is>
      </c>
      <c r="G5" s="3" t="inlineStr">
        <is>
          <t>Pending</t>
        </is>
      </c>
      <c r="H5" s="3" t="inlineStr"/>
    </row>
    <row r="6">
      <c r="A6" s="2" t="inlineStr">
        <is>
          <t>Q5</t>
        </is>
      </c>
      <c r="B6" s="3" t="inlineStr">
        <is>
          <t>Inferred closing-out of participants (9 non-submitting NDA signers at the 10/30/2014 solicitation)</t>
        </is>
      </c>
      <c r="C6" s="3" t="inlineStr">
        <is>
          <t>Keep one inferred residual row (R024): 15 NDA signers − 6 submitters = 9 non-submitters, Outcome basis Inferred: residual, Decided by Unknown, Exit reason Not stated, Count 9, Working date = the 10/30/2014 due date. All other close-outs are stated: 2 dropped (R027), Bidder 3 did not submit (R038), Bidder 2 not selected at signing (R046); the winner has no exit row.</t>
        </is>
      </c>
      <c r="D6" s="3" t="inlineStr">
        <is>
          <t>Base: 15 signers and the October IOI instruction (P-013, P-014); submitters: six (P-016). The arithmetic assumes every signer was eligible to submit and the six exhaust the submissions; non-submission at this solicitation is not permanent withdrawal and does not reveal identity or motive. Two strategic contacts never entered and need no close-out.</t>
        </is>
      </c>
      <c r="E6" s="3" t="inlineStr">
        <is>
          <t>R024 (inferred row); related tallies on R017, R020–R023; balance shown in Summary</t>
        </is>
      </c>
      <c r="F6" s="3" t="inlineStr">
        <is>
          <t>If a non-submitter had actually advanced to the final round by an oral indication, the residual would still count 9 non-submissions at the written IOI step, but the four-finalist composition reading in Q2 would shift; if some signers were not invited to submit, the base would be smaller and Count would fall accordingly.</t>
        </is>
      </c>
      <c r="G6" s="3" t="inlineStr">
        <is>
          <t>Pending</t>
        </is>
      </c>
      <c r="H6" s="3" t="inlineStr"/>
    </row>
    <row r="7">
      <c r="A7" s="2" t="inlineStr">
        <is>
          <t>Q6</t>
        </is>
      </c>
      <c r="B7" s="3" t="inlineStr">
        <is>
          <t>Deadlines and working-date conventions (12/05 superseded; 12/10 Extended; 12/12 Enforced; assigned dates deciding order)</t>
        </is>
      </c>
      <c r="C7" s="3" t="inlineStr">
        <is>
          <t>Keep the deadline history as extracted: 12/05/2014 initial date set (R032, superseded before arrival; no milestone row), revised 12/04–05 to 12/10 (R033) so R034 reads Extended, improved bids due 12/12 (R039) with R040 Enforced. Keep assigned Working dates that decide in-round order where days are undisclosed (R025 midpoint 10/31; R029/R030 November midpoint 11/15; R028 first day after selection 11/04; R018 midpoint 10/15; R024 due date 10/30).</t>
        </is>
      </c>
      <c r="D7" s="3" t="inlineStr">
        <is>
          <t>Deadline facts: P-020 (initial 12/15 completion and 12/05 submissions), P-021 (12/10 set), P-026 (12/12 request). Treatment decisions follow the instruction rules and what followed in each round (board selection 11/03; board approval 12/13). Assigned dates are disclosed conventions, not observed dates.</t>
        </is>
      </c>
      <c r="E7" s="3" t="inlineStr">
        <is>
          <t>R018, R019, R024, R025, R028–R034, R040; Date basis/method fields on those rows</t>
        </is>
      </c>
      <c r="F7" s="3" t="inlineStr">
        <is>
          <t>Changing treatments would alter the Summary deadline map (e.g., reading 12/10 as Enforced if the 12/12 request is not treated as its extension). Moving assigned dates may reorder rows within the round; Row ids and quotes would need re-sorting.</t>
        </is>
      </c>
      <c r="G7" s="3" t="inlineStr">
        <is>
          <t>Pending</t>
        </is>
      </c>
      <c r="H7" s="3" t="inlineStr"/>
    </row>
    <row r="8">
      <c r="A8" s="2" t="inlineStr">
        <is>
          <t>Q7</t>
        </is>
      </c>
      <c r="B8" s="3" t="inlineStr">
        <is>
          <t>Advisers and conflicts (J.P. Morgan; Wachtell Lipton; Innisfree; buyer-side advisers)</t>
        </is>
      </c>
      <c r="C8" s="3" t="inlineStr">
        <is>
          <t>Keep J.P. Morgan as the target's financial adviser with the disclosed conflict facts in the row (fee up to ~$39 million, substantially contingent; ~$110 million of Buyer Group relationships over two years; James Crown's Longview/JPMorgan Chase connection). Keep Wachtell Lipton as service observed with the retention date undisclosed. Keep Innisfree as a disclosed proxy-solicitation adviser. Buyer-side advisers: not disclosed.</t>
        </is>
      </c>
      <c r="D8" s="3" t="inlineStr">
        <is>
          <t>P-005, X-025, X-029, X-030 (relationships), X-018, P-004. The filing discloses the relationships itself; no outside knowledge is used.</t>
        </is>
      </c>
      <c r="E8" s="3" t="inlineStr">
        <is>
          <t>R004, R005, R049; Summary adviser block</t>
        </is>
      </c>
      <c r="F8" s="3" t="inlineStr">
        <is>
          <t>If reviewers prefer strict adviser-only rows, Innisfree moves to Summary; J.P. Morgan conflict facts would remain because the filing makes them material to the fairness opinion and the board's process.</t>
        </is>
      </c>
      <c r="G8" s="3" t="inlineStr">
        <is>
          <t>Pending</t>
        </is>
      </c>
      <c r="H8" s="3" t="inlineStr"/>
    </row>
    <row r="9">
      <c r="A9" s="2" t="inlineStr">
        <is>
          <t>Q8</t>
        </is>
      </c>
      <c r="B9" s="3" t="inlineStr">
        <is>
          <t>Coverage conventions (Industry Participant context; rollover communication; regulatory/litigation; no go-shop)</t>
        </is>
      </c>
      <c r="C9" s="3" t="inlineStr">
        <is>
          <t>Keep Industry Participant as one context row (R001) plus the exclusion decision (R011), outside core bid and auction-screen counts; it never entered and is never closed. Keep the October Longview rollover communication folded into R018 (stage information), with the support relationship recorded once at formation (R041) and once through signing (R047). Keep regulatory filings/clearances and the seven class actions in one Summary line each. No go-shop row: none was provided; the standstills are recorded on R017.</t>
        </is>
      </c>
      <c r="D9" s="3" t="inlineStr">
        <is>
          <t>R001/P-002 and P-008–P-010 (Industry Participant); P-014/P-015 (rollover communication); P-013/X-021 (standstills); X-010 (regulatory); X-038 (litigation); X-022 (no unsolicited offer as of 02/02/2015).</t>
        </is>
      </c>
      <c r="E9" s="3" t="inlineStr">
        <is>
          <t>R001, R011, R017, R018, R041; Summary coverage lines</t>
        </is>
      </c>
      <c r="F9" s="3" t="inlineStr">
        <is>
          <t>If reviewers want the Industry Participant attempt excluded entirely, R001 can be set Include = No without disturbing counts; if the rollover communication should be its own row, R018 splits into deadline-set and a Material process update.</t>
        </is>
      </c>
      <c r="G9" s="3" t="inlineStr">
        <is>
          <t>Pending</t>
        </is>
      </c>
      <c r="H9"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6" customWidth="1" min="3" max="3"/>
    <col width="150" customWidth="1" min="4" max="4"/>
  </cols>
  <sheetData>
    <row r="1">
      <c r="A1" s="1" t="inlineStr">
        <is>
          <t>Paragraph</t>
        </is>
      </c>
      <c r="B1" s="1" t="inlineStr">
        <is>
          <t>Section</t>
        </is>
      </c>
      <c r="C1" s="1" t="inlineStr">
        <is>
          <t>Page</t>
        </is>
      </c>
      <c r="D1" s="1" t="inlineStr">
        <is>
          <t>Text</t>
        </is>
      </c>
    </row>
    <row r="2">
      <c r="A2" s="3" t="inlineStr">
        <is>
          <t>P-001</t>
        </is>
      </c>
      <c r="B2" s="3" t="inlineStr">
        <is>
          <t>Background of the Merger</t>
        </is>
      </c>
      <c r="C2" s="3" t="n">
        <v>21</v>
      </c>
      <c r="D2" s="3" t="inlineStr">
        <is>
          <t>Background of the Merger</t>
        </is>
      </c>
    </row>
    <row r="3">
      <c r="A3" s="3" t="inlineStr">
        <is>
          <t>P-002</t>
        </is>
      </c>
      <c r="B3" s="3" t="inlineStr">
        <is>
          <t>Background of the Merger</t>
        </is>
      </c>
      <c r="C3" s="3" t="n">
        <v>21</v>
      </c>
      <c r="D3" s="3" t="inlineStr">
        <is>
          <t>The board frequently reviews, with the Company’s management and with the assistance of financial and legal advisors, the Company’s strategic and financial alternatives in light of developments in the Company’s business, in the sectors in which it competes, in the economy generally and in financial markets. The alternatives reviewed have included large and small acquisitions, mergers, a sale of the Company, as well as alternatives for returning capital to stockholders, including by means of levered or unlevered share repurchases or extraordinary dividends, and, from time to time, the Company received inquiries from third parties seeking to determine the Company’s interest in a sale transaction. During the first calendar quarter of 2014, one of the alternatives considered by the board was a merger with or acquisition of another participant in PetSmart’s industry, a privately-held company which we refer to here as “Industry Participant.” In March, 2014, the board authorized management to contact Industry Participant to determine Industry Participant’s interest in initiating exploratory discussions concerning the feasibility of a merger or acquisition transaction. During the Spring of 2014, David Lenhardt, PetSmart’s chief executive officer, spoke on a few occasions to Industry Participant’s CEO. Industry Participant’s CEO informed Mr. Lenhardt that Industry Participant was not for sale and that, in any event, Industry Participant’s management and owners believed that antitrust clearance for a combination of PetSmart and Industry Participant would not be received or would be received only with unacceptable conditions. Over the next two months, Mr. Lenhardt spoke on several other occasions with Industry Participant’s CEO and with a representative of one of Industry Participant’s controlling stockholders, during which time, Industry Participant continued to raise concerns regarding receiving antitrust clearance for such a transaction.</t>
        </is>
      </c>
    </row>
    <row r="4">
      <c r="A4" s="3" t="inlineStr">
        <is>
          <t>P-003</t>
        </is>
      </c>
      <c r="B4" s="3" t="inlineStr">
        <is>
          <t>Background of the Merger</t>
        </is>
      </c>
      <c r="C4" s="3" t="n">
        <v>21</v>
      </c>
      <c r="D4" s="3" t="inlineStr">
        <is>
          <t>On May 21, 2014, the Company released its first quarter earnings announcement, which disclosed quarterly performance below Wall Street expectations and weaker-than-expected guidance for its second quarter and full year. Following this release, in late May and June 2014, the Company received written or verbal communications from some stockholders and from interested parties suggesting that the Company engage in various strategic or financial alternatives. Among the alternatives suggested were a levered return of capital to stockholders and a sale of the Company. Also during May 2014, representatives of Longview met with certain members of the board and senior management. At those meetings, representatives of Longview presented their views on the business and strategic direction of the Company, but did not advocate for any specific transactions or alternatives.</t>
        </is>
      </c>
    </row>
    <row r="5">
      <c r="A5" s="3" t="inlineStr">
        <is>
          <t>P-004</t>
        </is>
      </c>
      <c r="B5" s="3" t="inlineStr">
        <is>
          <t>Background of the Merger</t>
        </is>
      </c>
      <c r="C5" s="3" t="n">
        <v>21</v>
      </c>
      <c r="D5" s="3" t="inlineStr">
        <is>
          <t>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The board also established an ad hoc advisory subcommittee (the “ad hoc committee”) with respect to, among other</t>
        </is>
      </c>
    </row>
    <row r="6">
      <c r="A6" s="3" t="inlineStr">
        <is>
          <t>P-005</t>
        </is>
      </c>
      <c r="B6" s="3" t="inlineStr">
        <is>
          <t>Background of the Merger</t>
        </is>
      </c>
      <c r="C6" s="3" t="n">
        <v>22</v>
      </c>
      <c r="D6" s="3" t="inlineStr">
        <is>
          <t>things, the review of alternatives. Chairman Gregory Josefowicz and directors Rakesh Gangwal and Thomas Stemberg, all of whom are nonexecutive, independent directors, were appointed to the ad hoc committee. In addition, the board authorized the vetting and retention of a financial advisor to assist in the review.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t>
        </is>
      </c>
    </row>
    <row r="7">
      <c r="A7" s="3" t="inlineStr">
        <is>
          <t>P-006</t>
        </is>
      </c>
      <c r="B7" s="3" t="inlineStr">
        <is>
          <t>Background of the Merger</t>
        </is>
      </c>
      <c r="C7" s="3" t="n">
        <v>22</v>
      </c>
      <c r="D7" s="3" t="inlineStr">
        <is>
          <t>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Over the course of July and August, JANA Partners filed several amendments to its Schedule 13D and publicly disclosed letters to the board, advocating for a sale of PetSmart. On July 10, 2014, representatives of JANA met in person with representatives of the Company. At this meeting, the JANA representatives presented their perspectives on the Company and advocated for a sale of the Company. On July 10, 2014, representatives of the Company also spoke to representatives of Longview and Longview reiterated its advocacy for a sale of the Company.</t>
        </is>
      </c>
    </row>
    <row r="8">
      <c r="A8" s="3" t="inlineStr">
        <is>
          <t>P-007</t>
        </is>
      </c>
      <c r="B8" s="3" t="inlineStr">
        <is>
          <t>Background of the Merger</t>
        </is>
      </c>
      <c r="C8" s="3" t="n">
        <v>22</v>
      </c>
      <c r="D8" s="3" t="inlineStr">
        <is>
          <t>On August 7, 2014,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The J.P. Morgan representative reported the conversation to the ad hoc committee.</t>
        </is>
      </c>
    </row>
    <row r="9">
      <c r="A9" s="3" t="inlineStr">
        <is>
          <t>P-008</t>
        </is>
      </c>
      <c r="B9" s="3" t="inlineStr">
        <is>
          <t>Background of the Merger</t>
        </is>
      </c>
      <c r="C9" s="3" t="n">
        <v>22</v>
      </c>
      <c r="D9" s="3" t="inlineStr">
        <is>
          <t>On August 13, 2014, the board met in person, together with members of management and representatives of J.P. Morgan and Wachtell Lipton, to complete its initial review of strategic and financial alternatives potentially available to the Company and to receive an update on communications from stockholders and other interested parties, including Industry Participant. As a result of this meeting,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(which we refer to collectively as the “Profit Improvement Plan”) to potentially increase the value of the Company, whether in a sale of the Company or on a standalone basis should no sale materialize; and (3) authorized the ad hoc committee to oversee the sale exploration process, and, in between meetings of the full board, to give direction to the Company’s financial and legal advisors, to lead on behalf of the Company (or to give guidance to the Company’s representatives in connection with) any negotiations with potentially interested parties and periodically to brief the full board on the status of the sale exploration process. Together with the Company’s financial and legal advisors, the board also considered and discussed alternative formats and timing for the conduct of the exploratory sale process, and determined that at the appropriate time, which was expected to be during the second half of September or early October, J.P. Morgan should contact financial and strategic parties deemed likely to be interested and capable of completing a transaction. In addition, the board determined that the Company would issue a public announcement of its intention to explore strategic alternatives, which would ensure that interested parties not contacted would become aware of the process and could contact J.P. Morgan on their own initiative. In connection with this discussion, after deliberation and consultation with its financial and legal advisors, the board reviewed the potential benefits and risks of inviting Industry Participant to participate in the exploratory sale process. In this regard, the board considered, among other things, in addition to the communications with Industry Representative in the Spring and on August 7, the very high risk that an acquisition by or a combination with Industry Participant would not receive antitrust clearances, or would receive such clearances only with the imposition by governmental authorities of unacceptable conditions; the near certainty that the process of seeking such clearances would result in the receipt of a so-called “second request” from governmental</t>
        </is>
      </c>
    </row>
    <row r="10">
      <c r="A10" s="3" t="inlineStr">
        <is>
          <t>P-009</t>
        </is>
      </c>
      <c r="B10" s="3" t="inlineStr">
        <is>
          <t>Background of the Merger</t>
        </is>
      </c>
      <c r="C10" s="3" t="n">
        <v>23</v>
      </c>
      <c r="D10" s="3" t="inlineStr">
        <is>
          <t>authorities and would take eight months to a year, or longer, to pursue, with no assurance of success even after such a delay; the risk that Industry Participant would obtain competitively advantageous information in the course of due diligence even if it were not the winning bidder or indeed never bid; and the risk that participation by Industry Participant in the sale process would disrupt or negatively impact the sale process or impose an unacceptable time delay, in either case which would not advance the goal of maximizing shareholder value. On August 19, 2014, concurrent with its second quarter earnings announcement, the Company issued a press release announcing that it determined to explore strategic alternatives for the Company to maximize value for stockholders, including a possible sale of the Company.</t>
        </is>
      </c>
    </row>
    <row r="11">
      <c r="A11" s="3" t="inlineStr">
        <is>
          <t>P-010</t>
        </is>
      </c>
      <c r="B11" s="3" t="inlineStr">
        <is>
          <t>Background of the Merger</t>
        </is>
      </c>
      <c r="C11" s="3" t="n">
        <v>23</v>
      </c>
      <c r="D11" s="3" t="inlineStr">
        <is>
          <t>During the weeks following the August 13 board meeting, members of the ad hoc committee continued to discuss among themselves, with fellow directors and with J.P. Morgan, the timing and process for the exploration of strategic alternatives, including issues relating to Industry Participant. In light of the risks discussed at the August 13 meeting and in these subsequent discussions, the ad hoc committee directed J.P. Morgan to communicate to Industry Participant the board’s concerns as a result of which Industry Participant would not be invited to participate in the exploratory process.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On August 27, 2014, representatives of Industry Participant contacted by telephone the representative of J.P. Morgan. During this call, the Industry Participant representatives stated that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t>
        </is>
      </c>
    </row>
    <row r="12">
      <c r="A12" s="3" t="inlineStr">
        <is>
          <t>P-011</t>
        </is>
      </c>
      <c r="B12" s="3" t="inlineStr">
        <is>
          <t>Background of the Merger</t>
        </is>
      </c>
      <c r="C12" s="3" t="n">
        <v>23</v>
      </c>
      <c r="D12" s="3" t="inlineStr">
        <is>
          <t>During the period from the middle of August through the end of October, the Company developed the Profit Improvement Plan and prepared for a sale process.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t>
        </is>
      </c>
    </row>
    <row r="13">
      <c r="A13" s="3" t="inlineStr">
        <is>
          <t>P-012</t>
        </is>
      </c>
      <c r="B13" s="3" t="inlineStr">
        <is>
          <t>Background of the Merger</t>
        </is>
      </c>
      <c r="C13" s="3" t="n">
        <v>23</v>
      </c>
      <c r="D13" s="3" t="inlineStr">
        <is>
          <t>On October 3, 2014, the board met, together with members of management and representatives of J.P. Morgan and Wachtell Lipton, to conduct regularly scheduled business and to receive an update on the status of the Profit Improvement Plan, the planning for which had been completed, and on the sale process, including an update on communications with the 27 potentially interested parties as well as Industry Participant that had occurred since the August 13 board meeting. Among other things,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t>
        </is>
      </c>
    </row>
    <row r="14">
      <c r="A14" s="3" t="inlineStr">
        <is>
          <t>P-013</t>
        </is>
      </c>
      <c r="B14" s="3" t="inlineStr">
        <is>
          <t>Background of the Merger</t>
        </is>
      </c>
      <c r="C14" s="3" t="n">
        <v>23</v>
      </c>
      <c r="D14" s="3"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t>
        </is>
      </c>
    </row>
    <row r="15">
      <c r="A15" s="3" t="inlineStr">
        <is>
          <t>P-014</t>
        </is>
      </c>
      <c r="B15" s="3" t="inlineStr">
        <is>
          <t>Background of the Merger</t>
        </is>
      </c>
      <c r="C15" s="3" t="n">
        <v>23</v>
      </c>
      <c r="D15" s="3" t="inlineStr">
        <is>
          <t>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meaning that such shares would not receive cash merger consideration but would</t>
        </is>
      </c>
    </row>
    <row r="16">
      <c r="A16" s="3" t="inlineStr">
        <is>
          <t>P-015</t>
        </is>
      </c>
      <c r="B16" s="3" t="inlineStr">
        <is>
          <t>Background of the Merger</t>
        </is>
      </c>
      <c r="C16" s="3" t="n">
        <v>24</v>
      </c>
      <c r="D16" s="3" t="inlineStr">
        <is>
          <t>remain outstanding as equity in PetSmart or the buyer’s acquisition vehicle, if so desired by the bidder. The Company requested that, in connection with their preliminary indications of interest, the bidders should indicate their interest, if any, in participation by Longview, but that such interest was not a condition to participation in the process.</t>
        </is>
      </c>
    </row>
    <row r="17">
      <c r="A17" s="3" t="inlineStr">
        <is>
          <t>P-016</t>
        </is>
      </c>
      <c r="B17" s="3" t="inlineStr">
        <is>
          <t>Background of the Merger</t>
        </is>
      </c>
      <c r="C17" s="3" t="n">
        <v>24</v>
      </c>
      <c r="D17" s="3" t="inlineStr">
        <is>
          <t>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Three bidders initially indicated price ranges that reached at least $80.00 per share, including the Buyer Group, which indicated a range of $81.00 to $83.00 per share, and another bidder, which suggested a range of $80.00 to $85.00 per share. As a result of its discussions with J.P. Morgan, another bidder (which we refer to as “Bidder 2”), which had initially indicated a price of $78.00, increased its indication to a range of $81.00 to $84.00 per share.</t>
        </is>
      </c>
    </row>
    <row r="18">
      <c r="A18" s="3" t="inlineStr">
        <is>
          <t>P-017</t>
        </is>
      </c>
      <c r="B18" s="3" t="inlineStr">
        <is>
          <t>Background of the Merger</t>
        </is>
      </c>
      <c r="C18" s="3" t="n">
        <v>24</v>
      </c>
      <c r="D18" s="3" t="inlineStr">
        <is>
          <t>On November 3, 2014, the board met in person, together with members of management and representatives of J.P. Morgan and Wachtell Lipton, to continue its review of strategic alternatives, including a review of the indications of interest. The board determined to allow the four bidders that had indicated a price or range at or above $80.00 per share to proceed to the final round of the sale process. Following this meeting, representatives of J.P. Morgan notified the eliminated parties, none of which indicated any interest or ability to remain in the process at price levels above their respective initial indications.</t>
        </is>
      </c>
    </row>
    <row r="19">
      <c r="A19" s="3" t="inlineStr">
        <is>
          <t>P-018</t>
        </is>
      </c>
      <c r="B19" s="3" t="inlineStr">
        <is>
          <t>Background of the Merger</t>
        </is>
      </c>
      <c r="C19" s="3" t="n">
        <v>24</v>
      </c>
      <c r="D19" s="3"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These two bidders informed J.P. Morgan that they had worked together successfully in previous large leveraged buyouts. After deliberation and consultation with the Company’s financial and legal advisors, the ad hoc committee authorized these two bidders to work together. We refer to these two bidders together as “Bidder 3.” Each of the bidders invited into the final round indicated some interest in a Longview rollover, though each also stated that its bid would not be conditioned or dependent on Longview participation.</t>
        </is>
      </c>
    </row>
    <row r="20">
      <c r="A20" s="3" t="inlineStr">
        <is>
          <t>P-019</t>
        </is>
      </c>
      <c r="B20" s="3" t="inlineStr">
        <is>
          <t>Background of the Merger</t>
        </is>
      </c>
      <c r="C20" s="3" t="n">
        <v>24</v>
      </c>
      <c r="D20" s="3" t="inlineStr">
        <is>
          <t>During November, the bidders engaged in further extensive due diligence investigations of the Company, including further detailed management presentations. Also during November, the Company circulated a form of merger agreement to the bidders with instructions that the bidders submit any proposed comments on the merger agreement together with their final bids. Following the Company’s third quarter earnings announcement and, at the request of bidders and the direction of the board and the Company, representatives of J.P. Morgan provided the bidders with updates to the Company’s fiscal year 2014 financial projections.</t>
        </is>
      </c>
    </row>
    <row r="21">
      <c r="A21" s="3" t="inlineStr">
        <is>
          <t>P-020</t>
        </is>
      </c>
      <c r="B21" s="3" t="inlineStr">
        <is>
          <t>Background of the Merger</t>
        </is>
      </c>
      <c r="C21" s="3" t="n">
        <v>24</v>
      </c>
      <c r="D21" s="3" t="inlineStr">
        <is>
          <t>On December 3, 2014, the board met in-person for a regularly scheduled meeting. In addition to regular business, significant portions of this meeting were devoted to a further review and financial analysis of the Company’s strategic and financial alternatives, particularly in light of positive indications about the Company’s operating results based on preliminary information from the Fall and Thanksgiving season and indications that the Profit Improvement Plan would likely be successful in achieving at least $200 million in annual incremental profit. During these portions of the meeting, which were attended by members of management and representatives of J.P. Morgan and Wachtell Lipton, the board considered the values for the Company that might be achieved on a standalone basis, with and without a leveraged return of capital to stockholders. Because the board did not have bids in hand at this time, no decisions were made.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However, on December 4 and December 5, 2014, after consultation with the Company’s financial and legal advisors, the ad hoc committee concluded that these matters could be accomplished in a shorter period of time, which would reduce the risk of leaks or</t>
        </is>
      </c>
    </row>
    <row r="22">
      <c r="A22" s="3" t="inlineStr">
        <is>
          <t>P-021</t>
        </is>
      </c>
      <c r="B22" s="3" t="inlineStr">
        <is>
          <t>Background of the Merger</t>
        </is>
      </c>
      <c r="C22" s="3" t="n">
        <v>25</v>
      </c>
      <c r="D22" s="3" t="inlineStr">
        <is>
          <t>unintended public disclosure.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t>
        </is>
      </c>
    </row>
    <row r="23">
      <c r="A23" s="3" t="inlineStr">
        <is>
          <t>P-022</t>
        </is>
      </c>
      <c r="B23" s="3" t="inlineStr">
        <is>
          <t>Background of the Merger</t>
        </is>
      </c>
      <c r="C23" s="3" t="n">
        <v>25</v>
      </c>
      <c r="D23" s="3" t="inlineStr">
        <is>
          <t>On December 6, 2014, the Buyer Group and Bidder 2 submitted their respective comments on the draft merger agreement and other transaction documents, and the Buyer Group provided its financing commitment documents.</t>
        </is>
      </c>
    </row>
    <row r="24">
      <c r="A24" s="3" t="inlineStr">
        <is>
          <t>P-023</t>
        </is>
      </c>
      <c r="B24" s="3" t="inlineStr">
        <is>
          <t>Background of the Merger</t>
        </is>
      </c>
      <c r="C24" s="3" t="n">
        <v>25</v>
      </c>
      <c r="D24" s="3" t="inlineStr">
        <is>
          <t>On December 8, 2014, the board met telephonically, together with members of management and representatives of J.P. Morgan and Wachtell Lipton, to receive an update and review and discuss the comments from the bidders on the draft merger agreement and other transaction documents. Later on December 8, 2014, Wachtell Lipton sent to the Buyer Group and Bidder 2 revised versions of the form of merger agreement and other transaction documents, reflecting the Company’s positions and reactions to the bidders’ respective comments.</t>
        </is>
      </c>
    </row>
    <row r="25">
      <c r="A25" s="3" t="inlineStr">
        <is>
          <t>P-024</t>
        </is>
      </c>
      <c r="B25" s="3" t="inlineStr">
        <is>
          <t>Background of the Merger</t>
        </is>
      </c>
      <c r="C25" s="3" t="n">
        <v>25</v>
      </c>
      <c r="D25" s="3" t="inlineStr">
        <is>
          <t>Following the execution of a confidentiality agreement, on December 9, 2014, J.P. Morgan arranged introductory meetings between Longview and the Buyer Group, and between Longview and Bidder 2.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t>
        </is>
      </c>
    </row>
    <row r="26">
      <c r="A26" s="3" t="inlineStr">
        <is>
          <t>P-025</t>
        </is>
      </c>
      <c r="B26" s="3" t="inlineStr">
        <is>
          <t>Background of the Merger</t>
        </is>
      </c>
      <c r="C26" s="3" t="n">
        <v>25</v>
      </c>
      <c r="D26" s="3" t="inlineStr">
        <is>
          <t>On December 10, PetSmart received final bid letters along with revised versions of the merger agreement and other transaction documents from the Buyer Group and from Bidder 2 and a verbal indication from Bidder 3.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Each bidder indicated that its bid was not dependent on a rollover by Longview, but neither the Buyer Group nor Bidder 2 ruled out the possibility of partnering with Longview in a transaction, though Bidder 2 indicated that any partnering with Longview would only occur after completion of bidding and execution of a definitive merger agreement with the Company.</t>
        </is>
      </c>
    </row>
    <row r="27">
      <c r="A27" s="3" t="inlineStr">
        <is>
          <t>P-026</t>
        </is>
      </c>
      <c r="B27" s="3" t="inlineStr">
        <is>
          <t>Background of the Merger</t>
        </is>
      </c>
      <c r="C27" s="3" t="n">
        <v>25</v>
      </c>
      <c r="D27" s="3" t="inlineStr">
        <is>
          <t>On December 10, 2014, the ad hoc committee discussed the bids and the draft merger agreements with representatives of J.P. Morgan and Wachtell Lipton. The ad hoc committee was of the view that there could be no assurance that the board would approve either bid unless improved. In light of the closeness of the bids, recent positive developments identified at the board meeting on December 3, and the view shared by the ad hoc committee and J.P. Morgan that neither of the bids represented the bidders’ respective best offers, the ad hoc committee instructed J.P. Morgan to inform each bidder that it would need to increase its bid, and to instruct the bidders to submit improved bids on December 12, 2014.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by rolling over a portion of its Company common stock, so long as Longview’s participation was desired and approved by the ad hoc committee.</t>
        </is>
      </c>
    </row>
    <row r="28">
      <c r="A28" s="3" t="inlineStr">
        <is>
          <t>P-027</t>
        </is>
      </c>
      <c r="B28" s="3" t="inlineStr">
        <is>
          <t>Background of the Merger</t>
        </is>
      </c>
      <c r="C28" s="3" t="n">
        <v>25</v>
      </c>
      <c r="D28" s="3" t="inlineStr">
        <is>
          <t>Early in the day on December 12, 2014, the Buyer Group requested permission to work more closely with Longview in order to include a rollover of a portion of the Company shares managed by Longview in the Buyer Group’s bid. The Buyer Group informed J.P. Morgan that the Buyer Group was working to achieve a higher price, and that Longview participation with the Buyer Group might enhance the Buyer Group’s ability to do so. Bidder 2 indicated to J.P. Morgan that accommodation of a Longview rollover would not affect Bidder 2’s price, and that Bidder 2 would consider accommodating a Longview rollover only after execution of a merger agreement between the Company and Bidder 2. After consultation with the Company’s financial and legal advisors, the ad hoc committee approved the Buyer Group’s request, and,</t>
        </is>
      </c>
    </row>
    <row r="29">
      <c r="A29" s="3" t="inlineStr">
        <is>
          <t>P-028</t>
        </is>
      </c>
      <c r="B29" s="3" t="inlineStr">
        <is>
          <t>Background of the Merger</t>
        </is>
      </c>
      <c r="C29" s="3" t="n">
        <v>26</v>
      </c>
      <c r="D29" s="3" t="inlineStr">
        <is>
          <t>later that day, Longview and the Buyer Group entered into a confidentiality agreement permitting the exchange of detailed information between them, including bid price, which had not previously been shared with Longview. The ad hoc committee also instructed Wachtell Lipton to provide a form of voting agreement to Longview to secure Longview’s commitment to vote for the merger subject to certain exceptions, including a change of recommendation by the board.</t>
        </is>
      </c>
    </row>
    <row r="30">
      <c r="A30" s="3" t="inlineStr">
        <is>
          <t>P-029</t>
        </is>
      </c>
      <c r="B30" s="3" t="inlineStr">
        <is>
          <t>Background of the Merger</t>
        </is>
      </c>
      <c r="C30" s="3" t="n">
        <v>26</v>
      </c>
      <c r="D30" s="3" t="inlineStr">
        <is>
          <t>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but stated that it was working to increase the offer within the next few hours. 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t>
        </is>
      </c>
    </row>
    <row r="31">
      <c r="A31" s="3" t="inlineStr">
        <is>
          <t>P-030</t>
        </is>
      </c>
      <c r="B31" s="3" t="inlineStr">
        <is>
          <t>Background of the Merger</t>
        </is>
      </c>
      <c r="C31" s="3" t="n">
        <v>26</v>
      </c>
      <c r="D31" s="3" t="inlineStr">
        <is>
          <t>On December 13, 2014, the board met in person, together with the members of management and representatives of J.P. Morgan and Wachtell Lipton, to discuss and review the final bids and to consider the proposed transaction. Representatives of J.P. Morgan reviewed the respective bids as well as the recent progression of the sale process. Representatives of Wachtell Lipton reviewed the terms of the draft merger agreement and other transaction documents and reviewed the financing commitments that had been provided by the Buyer Group. Representatives of J.P. Morgan made a financial presentation concerning the proposed transaction with the Buyer Group, as well as the Company’s alternatives to a sale of the Company, including a leveraged share repurchase. J.P. Morgan then rendered its oral opinion, which was subsequently confirmed in writing, to the board that, as of that date, and based upon and subject to the factors, assumptions and limitations set forth in its opinion, the merger consideration of $83.00 in cash to be paid to the holders of the Company’s common stock in the merger was fair, from a financial point of view, to such holders. Following extensive discussion, the board unanimously determined that the merger agreement and the transactions contemplated thereby, including the merger, were advisable and in the best interests of PetSmart and its stockholders, and to recommend that the Company’s stockholders approve the adoption of the merger agreement. The board’s determination was subject, however, to confirmation that the remaining open points in the merger agreement had been satisfactorily resolved, and the board determined to reconvene, if deemed necessary by the ad hoc committee or the chairman of the board.</t>
        </is>
      </c>
    </row>
    <row r="32">
      <c r="A32" s="3" t="inlineStr">
        <is>
          <t>P-031</t>
        </is>
      </c>
      <c r="B32" s="3" t="inlineStr">
        <is>
          <t>Background of the Merger</t>
        </is>
      </c>
      <c r="C32" s="3" t="n">
        <v>26</v>
      </c>
      <c r="D32" s="3" t="inlineStr">
        <is>
          <t>Following the board meeting, the parties completed negotiations on terms satisfactory to both parties, and finalized the terms of the Longview voting agreement. On December 14, 2014, the parties executed the merger agreement, the voting agreement and related transaction agreements and issued a press release announcing the transaction.</t>
        </is>
      </c>
    </row>
    <row r="33">
      <c r="A33" s="3" t="inlineStr">
        <is>
          <t>X-001</t>
        </is>
      </c>
      <c r="B33" s="3" t="inlineStr">
        <is>
          <t>Summary</t>
        </is>
      </c>
      <c r="C33" s="3" t="n">
        <v>1</v>
      </c>
      <c r="D33" s="3" t="inlineStr">
        <is>
          <t>the “Buyer Group” refers to a consortium of funds advised by BC Partners, Inc., La Caisse de dépôt et placement du Québec, affiliates of GIC Special Investments Pte Ltd, affiliates of StepStone Group LP and, at all times after December 12, 2014, Longview Asset Management, LLC;</t>
        </is>
      </c>
    </row>
    <row r="34">
      <c r="A34" s="3" t="inlineStr">
        <is>
          <t>X-002</t>
        </is>
      </c>
      <c r="B34" s="3" t="inlineStr">
        <is>
          <t>Summary</t>
        </is>
      </c>
      <c r="C34" s="3" t="n">
        <v>2</v>
      </c>
      <c r="D34" s="3" t="inlineStr">
        <is>
          <t>The merger agreement provides that at the effective time of the merger each outstanding share of common stock (other than shares owned by the Company, any subsidiary of the Company, Parent, any direct or indirect holding company of Parent, Merger Sub and holders who are entitled to and properly exercise appraisal rights under Delaware law), will be converted into the right to receive $83.00 in cash (the “merger consideration”). Following the merger, the Company will therefore become a privately held company, wholly owned by Parent and the Company’s common stock will be delisted from NASDAQ and deregistered under the Securities Exchange Act of 1934, as amended. At the closing of the transactions contemplated by the merger agreement, Parent will be owned by the Buyer Group.</t>
        </is>
      </c>
    </row>
    <row r="35">
      <c r="A35" s="3" t="inlineStr">
        <is>
          <t>X-003</t>
        </is>
      </c>
      <c r="B35" s="3" t="inlineStr">
        <is>
          <t>Summary</t>
        </is>
      </c>
      <c r="C35" s="3" t="n">
        <v>2</v>
      </c>
      <c r="D35" s="3" t="inlineStr">
        <is>
          <t>The merger agreement provides that at the effective time of the merger each outstanding share of common stock (other than shares owned by the Company, any subsidiary of the Company, Parent, any direct or indirect holding company of Parent, Merger Sub and holders who are entitled to and properly exercise appraisal rights under Delaware law), will be converted into the right to receive $83.00 in cash (the “merger consideration”). Following the merger, the Company will therefore become a privately held company, wholly owned by Parent and the Company’s common stock will be delisted from NASDAQ and deregistered under the Securities Exchange Act of 1934, as amended. At the closing of the transactions contemplated by the merger agreement, Parent will be owned by the Buyer Group.</t>
        </is>
      </c>
    </row>
    <row r="36">
      <c r="A36" s="3" t="inlineStr">
        <is>
          <t>X-004</t>
        </is>
      </c>
      <c r="B36" s="3" t="inlineStr">
        <is>
          <t>Summary</t>
        </is>
      </c>
      <c r="C36" s="3" t="n">
        <v>2</v>
      </c>
      <c r="D36" s="3" t="inlineStr">
        <is>
          <t>The holders of record of the common stock as of the close of business on January 29, 2015 (the record date for determination of stockholders entitled to notice of and to vote at the special meeting), are entitled to receive notice of and to vote at the special meeting. As of the close of business on the record date, there were 99,455,151 shares of common stock outstanding.</t>
        </is>
      </c>
    </row>
    <row r="37">
      <c r="A37" s="3" t="inlineStr">
        <is>
          <t>X-005</t>
        </is>
      </c>
      <c r="B37" s="3" t="inlineStr">
        <is>
          <t>Summary</t>
        </is>
      </c>
      <c r="C37" s="3" t="n">
        <v>3</v>
      </c>
      <c r="D37" s="3" t="inlineStr">
        <is>
          <t>We anticipate completing the merger in the first half of 2015, subject to the adoption of the merger agreement by the Company’s stockholders as specified herein and the satisfaction of the other closing conditions.</t>
        </is>
      </c>
    </row>
    <row r="38">
      <c r="A38" s="3" t="inlineStr">
        <is>
          <t>X-006</t>
        </is>
      </c>
      <c r="B38" s="3" t="inlineStr">
        <is>
          <t>Summary</t>
        </is>
      </c>
      <c r="C38" s="3" t="n">
        <v>3</v>
      </c>
      <c r="D38" s="3" t="inlineStr">
        <is>
          <t>Each party’s obligation to complete the merger is subject to the satisfaction or waiver of the following conditions:</t>
        </is>
      </c>
    </row>
    <row r="39">
      <c r="A39" s="3" t="inlineStr">
        <is>
          <t>X-007</t>
        </is>
      </c>
      <c r="B39" s="3" t="inlineStr">
        <is>
          <t>Summary</t>
        </is>
      </c>
      <c r="C39" s="3" t="n">
        <v>5</v>
      </c>
      <c r="D39" s="3" t="inlineStr">
        <is>
          <t>Parent estimates that the total amount required to complete the merger and related transactions and pay related fees and expenses will be approximately $8.4 billion. Parent expects this amount to be funded through a combination of the following:</t>
        </is>
      </c>
    </row>
    <row r="40">
      <c r="A40" s="3" t="inlineStr">
        <is>
          <t>X-008</t>
        </is>
      </c>
      <c r="B40" s="3" t="inlineStr">
        <is>
          <t>Summary</t>
        </is>
      </c>
      <c r="C40" s="3" t="n">
        <v>5</v>
      </c>
      <c r="D40" s="3" t="inlineStr">
        <is>
          <t>The consummation of the merger is not subject to a financing condition (although the funding of the debt and cash equity financing is subject to the satisfaction of the conditions set forth in the commitment letters under which the financing will be provided).</t>
        </is>
      </c>
    </row>
    <row r="41">
      <c r="A41" s="3" t="inlineStr">
        <is>
          <t>X-009</t>
        </is>
      </c>
      <c r="B41" s="3" t="inlineStr">
        <is>
          <t>Summary</t>
        </is>
      </c>
      <c r="C41" s="3" t="n">
        <v>5</v>
      </c>
      <c r="D41" s="3" t="inlineStr">
        <is>
          <t>Each of the members of the Buyer Group (other than Longview) has entered into a termination fee commitment letter with Parent and the Company and has agreed on a several basis, and subject to other terms and conditions of the termination fee commitment letters, to pay to the Company (or if consented to by the Company, to purchase common equity securities of Parent to enable Parent to pay to the Company) an amount equal to its portion of the $510 million Parent termination fee and certain expense reimbursement that may be payable by Parent under the merger agreement, if and when due under the merger agreement. See “ The Merger — Termination Fee Commitment Letters .”</t>
        </is>
      </c>
    </row>
    <row r="42">
      <c r="A42" s="3" t="inlineStr">
        <is>
          <t>X-010</t>
        </is>
      </c>
      <c r="B42" s="3" t="inlineStr">
        <is>
          <t>Summary</t>
        </is>
      </c>
      <c r="C42" s="3" t="n">
        <v>6</v>
      </c>
      <c r="D42" s="3" t="inlineStr">
        <is>
          <t>Under the HSR Act and related rules, certain transactions, including the merger, may not be completed until notifications have been given and information furnished to the Antitrust Division of the United States Department of Justice (“Antitrust Division”) and the Federal Trade Commission (“FTC”) and all statutory waiting period requirements have been satisfied or early termination has been granted by the applicable agencies. On December 24, 2014, both the Company and Parent filed their respective Notification and Report Forms with the Antitrust Division and the FTC. The 30-day waiting period under the HSR Act will expire at 11:59 pm on January 23, 2015, unless it is terminated early or otherwise extended. Both the Company and Parent received early termination of the HSR waiting period on January 7, 2015.</t>
        </is>
      </c>
    </row>
    <row r="43">
      <c r="A43" s="3" t="inlineStr">
        <is>
          <t>X-011</t>
        </is>
      </c>
      <c r="B43" s="3" t="inlineStr">
        <is>
          <t>Summary</t>
        </is>
      </c>
      <c r="C43" s="3" t="n">
        <v>6</v>
      </c>
      <c r="D43" s="3" t="inlineStr">
        <is>
          <t>But if, prior to obtaining the required vote of the Company’s stockholders to adopt the merger agreement, the Company receives an unsolicited alternative proposal from a third party that in the good faith judgment of the board, after consultation with outside legal and financial advisors, constitutes, or could reasonably be expected to result in, a “superior proposal” (defined below under The Merger Agreement — Other Covenants and Agreements — No Solicitation ), then the Company may take the following actions:</t>
        </is>
      </c>
    </row>
    <row r="44">
      <c r="A44" s="3" t="inlineStr">
        <is>
          <t>X-012</t>
        </is>
      </c>
      <c r="B44" s="3" t="inlineStr">
        <is>
          <t>Summary</t>
        </is>
      </c>
      <c r="C44" s="3" t="n">
        <v>7</v>
      </c>
      <c r="D44" s="3" t="inlineStr">
        <is>
          <t>the effective time of the merger has not occurred on or before June 14, 2015 (the “end date”), and the party seeking to terminate the merger agreement pursuant to this provision has not breached in any material respect its obligations under the merger agreement in any manner that has contributed to the failure to consummate the merger on or before such date and has used the efforts required of it to consummate the merger (including obtaining antitrust approvals) and to obtain the proceeds of the financings;</t>
        </is>
      </c>
    </row>
    <row r="45">
      <c r="A45" s="3" t="inlineStr">
        <is>
          <t>X-013</t>
        </is>
      </c>
      <c r="B45" s="3" t="inlineStr">
        <is>
          <t>Summary</t>
        </is>
      </c>
      <c r="C45" s="3" t="n">
        <v>8</v>
      </c>
      <c r="D45" s="3" t="inlineStr">
        <is>
          <t>The Company will pay to Parent a termination fee of $255 million in the event that:</t>
        </is>
      </c>
    </row>
    <row r="46">
      <c r="A46" s="3" t="inlineStr">
        <is>
          <t>X-014</t>
        </is>
      </c>
      <c r="B46" s="3" t="inlineStr">
        <is>
          <t>Summary</t>
        </is>
      </c>
      <c r="C46" s="3" t="n">
        <v>8</v>
      </c>
      <c r="D46" s="3" t="inlineStr">
        <is>
          <t>Parent will pay to the Company a reverse termination fee of $510 million in cash in the event that:</t>
        </is>
      </c>
    </row>
    <row r="47">
      <c r="A47" s="3" t="inlineStr">
        <is>
          <t>X-015</t>
        </is>
      </c>
      <c r="B47" s="3" t="inlineStr">
        <is>
          <t>Summary</t>
        </is>
      </c>
      <c r="C47" s="3" t="n">
        <v>8</v>
      </c>
      <c r="D47" s="3" t="inlineStr">
        <is>
          <t>If the merger agreement is terminated under specified circumstances, then the Company will be required to reimburse Parent for all reasonable out-of-pocket expenses incurred by Parent, Merger Sub or their respective affiliates and all out-of-pocket fees and expenses of the financing sources for which Parent, Merger Sub, the Buyer Group or their respective affiliates may be responsible for in connection with the merger agreement and the transactions contemplated by the merger agreement up to a maximum amount of $15 million. If the Company subsequently becomes obligated to pay a termination fee to Parent, any such expense reimbursement paid by the Company will reduce the amount of any termination fee payable to Parent.</t>
        </is>
      </c>
    </row>
    <row r="48">
      <c r="A48" s="3" t="inlineStr">
        <is>
          <t>X-016</t>
        </is>
      </c>
      <c r="B48" s="3" t="inlineStr">
        <is>
          <t>The Parties to the Merger Agreement</t>
        </is>
      </c>
      <c r="C48" s="3" t="n">
        <v>16</v>
      </c>
      <c r="D48" s="3" t="inlineStr">
        <is>
          <t>PetSmart, Inc. is a Delaware corporation with principal executive offices located at 19601 North 27th Avenue, Phoenix, Arizona 85027. The Company is one of the largest providers of pet products and services in North America. PetSmart sells goods and services in 1,404 stores and operates 202 in-store dog and cat boarding facilities in the United States, Canada and Puerto Rico. A detailed description of the Company’s business is contained in the Company’s Annual Report on Form 10-K for the fiscal year ended February 2, 2014, which is incorporated by reference into this proxy statement. See “ Where You Can Find Additional Information.”</t>
        </is>
      </c>
    </row>
    <row r="49">
      <c r="A49" s="3" t="inlineStr">
        <is>
          <t>X-017</t>
        </is>
      </c>
      <c r="B49" s="3" t="inlineStr">
        <is>
          <t>The Parties to the Merger Agreement</t>
        </is>
      </c>
      <c r="C49" s="3" t="n">
        <v>16</v>
      </c>
      <c r="D49" s="3" t="inlineStr">
        <is>
          <t>Argos Holdings Inc. is a Delaware corporation. Argos Merger Sub Inc. is a Delaware corporation and a wholly owned subsidiary of Parent. Parent and Merger Sub are affiliates of funds advised by BC Partners, Inc. and at the closing of the transactions contemplated by the merger agreement will be owned by a consortium comprised of funds advised by BC Partners, Inc., La Caisse de dépôt et placement du Québec, affiliates of GIC Special Investments Pte Ltd, affiliates of StepStone Group LP and Longview. The principal executive offices of both Parent and Merger Sub are located at 667 Madison Avenue, 19th Floor, New York, NY 10065. Both Parent and Merger Sub were formed solely for the purpose of entering into the merger agreement and consummating the transactions contemplated by the merger agreement, and have not engaged in any business except for activities incidental to their formation and as contemplated by the merger agreement.</t>
        </is>
      </c>
    </row>
    <row r="50">
      <c r="A50" s="3" t="inlineStr">
        <is>
          <t>X-018</t>
        </is>
      </c>
      <c r="B50" s="3" t="inlineStr">
        <is>
          <t>The Special Meeting</t>
        </is>
      </c>
      <c r="C50" s="3" t="n">
        <v>20</v>
      </c>
      <c r="D50" s="3" t="inlineStr">
        <is>
          <t>The board is soliciting your proxy, and we will bear the cost of soliciting proxies. This includes the charges and expenses of brokerage firms and others for forwarding solicitation material to beneficial owners of our outstanding common stock. Innisfree M&amp;A Incorporated, a proxy solicitation firm, has been retained to assist it in the solicitation of proxies for the special meeting. As of the record date, the Company has paid Innisfree M&amp;A Incorporated approximately $182,725 for the solicitation of proxies in connection with the special meeting and other advisory work, and expects to pay Innisfree M&amp;A Incorporated, in the aggregate, approximately $240,000 through March 2015. Proxies may be solicited by mail, personal interview, e-mail, telephone, or via the Internet by Innisfree M&amp;A Incorporated or, without additional compensation by certain of the Company’s directors, officers and employees.</t>
        </is>
      </c>
    </row>
    <row r="51">
      <c r="A51" s="3" t="inlineStr">
        <is>
          <t>X-019</t>
        </is>
      </c>
      <c r="B51" s="3" t="inlineStr">
        <is>
          <t>Reasons for the Merger</t>
        </is>
      </c>
      <c r="C51" s="3" t="n">
        <v>26</v>
      </c>
      <c r="D51" s="3" t="inlineStr">
        <is>
          <t>Attractive Value. The board considered the current and historical market prices of the common stock, including the market performance of the common stock relative to those of other participants in the Company’s industry and general market indices, and the fact that the merger consideration of $83.00 per share in cash represents an attractive premium to estimates of the Company’s unaffected stock price, including a premium of 38.8% to the Company’s stock price on July 2, 2014, the date on which a PetSmart stockholder disclosed its acquisition of a 9.9% stake in the Company and advocated publicly for the Company to explore strategic alternatives, including a sale of the Company.</t>
        </is>
      </c>
    </row>
    <row r="52">
      <c r="A52" s="3" t="inlineStr">
        <is>
          <t>X-020</t>
        </is>
      </c>
      <c r="B52" s="3" t="inlineStr">
        <is>
          <t>Reasons for the Merger</t>
        </is>
      </c>
      <c r="C52" s="3" t="n">
        <v>27</v>
      </c>
      <c r="D52" s="3" t="inlineStr">
        <is>
          <t>The board considered that the Company had conducted a lengthy and thorough process, directed by the board and the ad hoc committee, which consisted solely of independent directors, during which representatives of the Company contacted or were contacted by more than 25 potential participants, entered into non-disclosure agreements with and engaged in due diligence or provided management presentation to 15 potential bidders, received first round indications of interest from 5 bidder groups, and ultimately negotiated with the Buyer Group as well as two other bidding groups, neither of which was willing to make a definitive offer at a price above $81.50, which was lower than the $83.00 price offered by the Buyer Group. The board noted that Bidder 2 had informed the Company’s representatives that $81.50 per share was its best and final offer. The board also noted that, based on conversations with, and based on the course of negotiations with, the Buyer Group, $83.00 per share appeared to be the highest price the Buyer Group could offer. Among other things, the Buyer Group informed representatives of the Company that after increasing its offer from $82.50 to $83.00 per share, some members of the group, or all of them, were unwilling or unable to offer additional consideration. The Buyer Group also informed representatives of the Company that Longview’s willingness to participate in the Buyer Group with respect to $250 million of the common stock was helpful in achieving an $83.00 per share price.</t>
        </is>
      </c>
    </row>
    <row r="53">
      <c r="A53" s="3" t="inlineStr">
        <is>
          <t>X-021</t>
        </is>
      </c>
      <c r="B53" s="3" t="inlineStr">
        <is>
          <t>Reasons for the Merger</t>
        </is>
      </c>
      <c r="C53" s="3" t="n">
        <v>28</v>
      </c>
      <c r="D53" s="3" t="inlineStr">
        <is>
          <t>PetSmart’s right, subject to certain conditions, to respond to and negotiate unsolicited acquisition proposals made prior to the time PetSmart’s stockholders approve the proposal to adopt the merger agreement. In this regard, the board took into consideration that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The board, after deliberation and consultation with its financial and legal advisors, believed that such provisions promoted the goal of maximizing shareholder value by encouraging the potentially interested parties to put their best bids forward during the sale process;</t>
        </is>
      </c>
    </row>
    <row r="54">
      <c r="A54" s="3" t="inlineStr">
        <is>
          <t>X-022</t>
        </is>
      </c>
      <c r="B54" s="3" t="inlineStr">
        <is>
          <t>Reasons for the Merger</t>
        </is>
      </c>
      <c r="C54" s="3" t="n">
        <v>28</v>
      </c>
      <c r="D54" s="3" t="inlineStr">
        <is>
          <t>the fact that as of February 2, 2015, the date of this proxy statement, no person has made an unsolicited offer or proposal to acquire PetSmart.</t>
        </is>
      </c>
    </row>
    <row r="55">
      <c r="A55" s="3" t="inlineStr">
        <is>
          <t>X-023</t>
        </is>
      </c>
      <c r="B55" s="3" t="inlineStr">
        <is>
          <t>Reasons for the Merger</t>
        </is>
      </c>
      <c r="C55" s="3" t="n">
        <v>28</v>
      </c>
      <c r="D55" s="3" t="inlineStr">
        <is>
          <t>the fact that Parent and Merger Sub have obtained committed debt financing for the transaction from reputable financial institutions and committed equity financing, the limited number and nature of the conditions to the debt and equity financing and the obligation of Parent to use reasonable best efforts to consummate the debt financing;</t>
        </is>
      </c>
    </row>
    <row r="56">
      <c r="A56" s="3" t="inlineStr">
        <is>
          <t>X-024</t>
        </is>
      </c>
      <c r="B56" s="3" t="inlineStr">
        <is>
          <t>Reasons for the Merger</t>
        </is>
      </c>
      <c r="C56" s="3" t="n">
        <v>29</v>
      </c>
      <c r="D56" s="3" t="inlineStr">
        <is>
          <t>The fact that Longview, which as of the date of the merger agreement managed 9% of the Company’s outstanding stock, and which is a long-term investor in the Company, supports and has agreed to vote in favor of the merger. In this connection, the board noted that a majority of the Company shares managed by Longview are not being rolled over in the transaction but will receive the same $83.00 per share merger consideration as all other stockholders, and that the willingness of Longview to roll over a portion of its shares was helpful to the Buyer Group in achieving an $83.00 price per share.</t>
        </is>
      </c>
    </row>
    <row r="57">
      <c r="A57" s="3" t="inlineStr">
        <is>
          <t>X-025</t>
        </is>
      </c>
      <c r="B57" s="3" t="inlineStr">
        <is>
          <t>Opinion of J.P. Morgan</t>
        </is>
      </c>
      <c r="C57" s="3" t="n">
        <v>30</v>
      </c>
      <c r="D57" s="3" t="inlineStr">
        <is>
          <t>Pursuant to an engagement letter effective as of August 21, 2014, the Company retained J.P. Morgan as its financial advisor in connection with a possible transaction, including: (a) any merger, consolidation, joint venture or other business combination pursuant to which the business of the Company is combined with that of another person, (b) the acquisition by another person, directly or indirectly, of a majority of the capital stock of the Company, by way of tender or exchange offer, negotiated purchase or any other means, and/or (c) the acquisition by another person, directly or indirectly, of a majority of the assets, properties and/or businesses of the Company, by way of a direct or indirect purchase, lease, license, exchange, joint venture or other means.</t>
        </is>
      </c>
    </row>
    <row r="58">
      <c r="A58" s="3" t="inlineStr">
        <is>
          <t>X-026</t>
        </is>
      </c>
      <c r="B58" s="3" t="inlineStr">
        <is>
          <t>Opinion of J.P. Morgan</t>
        </is>
      </c>
      <c r="C58" s="3" t="n">
        <v>33</v>
      </c>
      <c r="D58" s="3" t="inlineStr">
        <is>
          <t>After applying such ranges to the appropriate metrics for the Company as provided by Company management, the analysis indicated the following implied per share equity value ranges for shares of the Company’s common stock, rounded to the nearest $0.25, compared in each case to the merger consideration of $83.00 per share for shares of the Company’s common stock, the Company’s closing share price of $78.82 on December 9, 2014, and the Company’s closing share price of $59.81 on July 2, 2014:</t>
        </is>
      </c>
    </row>
    <row r="59">
      <c r="A59" s="3" t="inlineStr">
        <is>
          <t>X-027</t>
        </is>
      </c>
      <c r="B59" s="3" t="inlineStr">
        <is>
          <t>Opinion of J.P. Morgan</t>
        </is>
      </c>
      <c r="C59" s="3" t="n">
        <v>35</v>
      </c>
      <c r="D59" s="3" t="inlineStr">
        <is>
          <t>This analysis indicated an implied per share equity value range for shares of the Company’s common stock, rounded to the nearest $0.25, of $78.25 – $106.25, compared to the merger consideration of $83.00 per share for shares of the Company’s common stock, the Company’s closing share price of $78.82 on December 9, 2014, and the Company’s closing share price of $59.81 on July 2, 2014.</t>
        </is>
      </c>
    </row>
    <row r="60">
      <c r="A60" s="3" t="inlineStr">
        <is>
          <t>X-028</t>
        </is>
      </c>
      <c r="B60" s="3" t="inlineStr">
        <is>
          <t>Opinion of J.P. Morgan</t>
        </is>
      </c>
      <c r="C60" s="3" t="n">
        <v>35</v>
      </c>
      <c r="D60" s="3" t="inlineStr">
        <is>
          <t>At the request of the board and for reference purposes only, J.P. Morgan also performed a discounted cash flow analysis of the Company using the same perpetuity growth rates and discount rates summarized above based upon financial projections provided by Company management assuming estimated net debt / (cash) of $91 million as of January 31, 2015. This analysis indicated an implied per share equity value range for shares of the Company’s common stock, rounded to the nearest $0.25, of $77.25 – $107.00, compared to the merger consideration of $83.00 per share for shares of the Company’s common stock, the Company’s closing share price of $78.82 on December 9, 2014, and the Company’s closing share price of $59.81 on July 2, 2014.</t>
        </is>
      </c>
    </row>
    <row r="61">
      <c r="A61" s="3" t="inlineStr">
        <is>
          <t>X-029</t>
        </is>
      </c>
      <c r="B61" s="3" t="inlineStr">
        <is>
          <t>Opinion of J.P. Morgan</t>
        </is>
      </c>
      <c r="C61" s="3" t="n">
        <v>37</v>
      </c>
      <c r="D61" s="3" t="inlineStr">
        <is>
          <t>For services rendered in connection with the merger and the delivery of its opinion, the Company has agreed to pay J.P. Morgan an amount up to approximately $39 million, a substantial portion of which will become payable only if the merger is consummated. In addition, the Company has agreed to reimburse J.P. Morgan for its expenses incurred in connection with its services, including the fees and disbursements of counsel, and will indemnify J.P. Morgan against certain liabilities, including liabilities arising under the Federal securities laws.</t>
        </is>
      </c>
    </row>
    <row r="62">
      <c r="A62" s="3" t="inlineStr">
        <is>
          <t>X-030</t>
        </is>
      </c>
      <c r="B62" s="3" t="inlineStr">
        <is>
          <t>Opinion of J.P. Morgan</t>
        </is>
      </c>
      <c r="C62" s="3" t="n">
        <v>37</v>
      </c>
      <c r="D62" s="3" t="inlineStr">
        <is>
          <t>During the two years preceding the date of its opinion, neither J.P. Morgan nor its affiliates have had any material financial advisory or other material commercial or investment banking relationships with the Company other than as disclosed in this proxy statement, or with Parent, Longview or StepStone Group LP. During the two years preceding the date of its opinion, J.P. Morgan and its affiliates have had commercial or investment banking relationships with the members of the Buyer Group, for which J.P. Morgan and such affiliates have received compensation. Such services during such period have included acting as financial advisor to BC Partners Limited on the sale of its interest in Spotless Group in June 2014; as financial advisor to La Caisse de dépôt et placement du Québec on its acquisition of an equity interest in the Port of Brisbane in November 2013; as joint bookrunner on the offerings of shares in Sunway Bhd by GIC Private Limited in October 2013 and in November 2014 and as financial advisor to GIC Special Investments Pte Ltd on its sale of its interest in Beijing Capital International Airport in December 2013. In addition, during such period, J.P. Morgan and its affiliates have provided investor services and asset management services to GIC Private Limited, and have acted as lender and bookrunner for portfolio companies of BC Partners Limited, for which J.P. Morgan and such affiliates have received compensation. During the two years preceding the date of its opinion, J.P. Morgan and its affiliates have received compensation or other financial benefits from the members of the Buyer Group for the foregoing services in the aggregate amount of approximately $110 million, including approximately $400,000 from Longview. As discussed by representatives of J.P. Morgan with the board, James Crown, who serves on the board of directors of JPMorgan Chase &amp; Co., which is an affiliate of J.P. Morgan, and has a significant economic interest in its common stock, is a party affiliated with Longview. See “ Voting Support Agreement. ” In the ordinary course of its businesses, J.P. Morgan and its affiliates may actively trade the debt and equity securities of the Company and certain portfolio companies of the respective parent companies of the members of the Buyer Group for its own account or for the accounts of customers and, accordingly, may at any time hold long or short positions in such securities.</t>
        </is>
      </c>
    </row>
    <row r="63">
      <c r="A63" s="3" t="inlineStr">
        <is>
          <t>X-031</t>
        </is>
      </c>
      <c r="B63" s="3" t="inlineStr">
        <is>
          <t>Projected Financial Information</t>
        </is>
      </c>
      <c r="C63" s="3" t="n">
        <v>37</v>
      </c>
      <c r="D63" s="3" t="inlineStr">
        <is>
          <t>The Company does not as a matter of course make public projections as to future performance or earnings beyond the current fiscal year and is especially wary of making projections for extended earnings periods due to the unpredictability of the underlying assumptions and estimates. However, in connection with the review of strategic alternatives, management, at the request of the board, prepared financial projections for fiscal years 2014, 2015, 2016, 2017, 2018 and 2019. Following the release of the Company’s third fiscal quarter financial results, selected income statement line items for fiscal year 2014 only were updated to reflect actual performance and better visibility into the performance of the Company’s profit improvement plan. These projections, as updated, were provided to the board and J.P. Morgan for purposes of considering, analyzing and evaluating the Company’s strategic and financial alternatives, including the merger. Portions of these projections were also made available to Parent, Merger Sub and members of the Buyer Group in connection with their respective consideration and evaluation of a merger with the Company. In addition, financial forecasts for fiscal years 2020, 2021, 2022, 2023 and 2024 were extrapolated jointly by J.P. Morgan and the Company’s management from prior years’ forecasts at the direction of, and were approved by, the management of the Company and were made available to the board and J.P. Morgan in connection with their respective considerations of the merger, but were not made available to Parent, Merger Sub or members of the Buyer Group. We have included a summary of these projections (the “Projections”) below to give stockholders access to certain nonpublic information provided to our board</t>
        </is>
      </c>
    </row>
    <row r="64">
      <c r="A64" s="3" t="inlineStr">
        <is>
          <t>X-032</t>
        </is>
      </c>
      <c r="B64" s="3" t="inlineStr">
        <is>
          <t>Financing</t>
        </is>
      </c>
      <c r="C64" s="3" t="n">
        <v>40</v>
      </c>
      <c r="D64" s="3" t="inlineStr">
        <is>
          <t>On December 14, 2014, members of the Buyer Group (other than Longview) entered into equity commitment letters (collectively referred to as the “equity commitment letters” and, together with the debt commitment letters described below, the “commitment letters”) with Parent pursuant to which the Buyer Group (other than Longview) committed to contribute (or cause to be contributed) to Parent up to $1.83 billion in cash in the aggregate. The equity commitments are subject to the following conditions:</t>
        </is>
      </c>
    </row>
    <row r="65">
      <c r="A65" s="3" t="inlineStr">
        <is>
          <t>X-033</t>
        </is>
      </c>
      <c r="B65" s="3" t="inlineStr">
        <is>
          <t>Financing</t>
        </is>
      </c>
      <c r="C65" s="3" t="n">
        <v>41</v>
      </c>
      <c r="D65" s="3"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Longview’s obligation to transfer and contribute to Parent the rollover shares is subject to the satisfaction of the following conditions:</t>
        </is>
      </c>
    </row>
    <row r="66">
      <c r="A66" s="3" t="inlineStr">
        <is>
          <t>X-034</t>
        </is>
      </c>
      <c r="B66" s="3" t="inlineStr">
        <is>
          <t>Financing</t>
        </is>
      </c>
      <c r="C66" s="3" t="n">
        <v>41</v>
      </c>
      <c r="D66" s="3" t="inlineStr">
        <is>
          <t>Longview will receive the same $83.00 per share merger consideration as the other holders of the Company’s common stock for all other shares of common stock beneficially owned by it (other than the rollover shares).</t>
        </is>
      </c>
    </row>
    <row r="67">
      <c r="A67" s="3" t="inlineStr">
        <is>
          <t>X-035</t>
        </is>
      </c>
      <c r="B67" s="3" t="inlineStr">
        <is>
          <t>Financing</t>
        </is>
      </c>
      <c r="C67" s="3" t="n">
        <v>41</v>
      </c>
      <c r="D67" s="3" t="inlineStr">
        <is>
          <t>In connection with the entry into the merger agreement, Merger Sub has (i) obtained a commitment letter (as amended from time to time in accordance with the merger agreement, the “debt commitment letter”) from Citigroup Global Markets Inc., Barclays Bank PLC, Deutsche Bank AG New York Branch, Nomura Securities International, Inc. and Jefferies Finance LLC, and, in some cases, certain of their affiliates (collectively, the “Initial Lenders”) and (ii) entered into joinder agreements with respect to the debt commitment letter with each of RBC Capital Markets, Macquarie Capital (USA) Inc. and Natixis, New York Branch (together with the Initial Lenders, the “Lenders”) to provide, severally but not jointly, upon the terms and subject to the conditions set forth in the debt commitment letter, in the aggregate up to $6.95 billion in debt financing (not all of which is expected to be drawn at the closing of the merger), consisting of the following:</t>
        </is>
      </c>
    </row>
    <row r="68">
      <c r="A68" s="3" t="inlineStr">
        <is>
          <t>X-036</t>
        </is>
      </c>
      <c r="B68" s="3" t="inlineStr">
        <is>
          <t>Termination Fee Commitment Letters</t>
        </is>
      </c>
      <c r="C68" s="3" t="n">
        <v>44</v>
      </c>
      <c r="D68" s="3" t="inlineStr">
        <is>
          <t>Concurrently with the execution of the merger agreement, members of the Buyer Group (other than Longview) have also executed and delivered a termination fee commitment letter in favor of the Company (collectively, the “termination fee commitment letters”), pursuant to which members of the Buyer Group (other than Longview) severally agreed, subject to the terms and conditions of the termination fee commitment letters, to pay to the Company (or if consented to by the Company, to purchase common equity securities of Parent to enable Parent to pay to the Company) an amount equal to such members’ respective pro rata portion of the Parent termination fee and certain expense reimbursements (each as</t>
        </is>
      </c>
    </row>
    <row r="69">
      <c r="A69" s="3" t="inlineStr">
        <is>
          <t>X-037</t>
        </is>
      </c>
      <c r="B69" s="3" t="inlineStr">
        <is>
          <t>Voting Support Agreement</t>
        </is>
      </c>
      <c r="C69" s="3" t="n">
        <v>45</v>
      </c>
      <c r="D69" s="3" t="inlineStr">
        <is>
          <t>On December 14, 2014, the Company entered into the voting agreement with Parent and Longview, on behalf of Longview clients and certain related parties. Under the voting agreement, Longview agreed, among other things, to vote or cause to be voted 7,424,591 shares of common stock, which represent approximately 7.5% of the total outstanding shares of common stock as of the close of business on the record date, in favor of the adoption of the merger agreement, and against any other action, proposal, agreement or transaction made in opposition to or competition with the merger or the merger agreement that is not approved by the board. The voting agreement will terminate upon the earliest to occur of (i) the effective time of the merger, (ii) the termination of the merger agreement in accordance with its terms, (iii) the termination of the voting agreement by the mutual written consent of the Company, Parent and Longview, (iv) a change of recommendation (as defined under “ The Merger Agreement — Other Covenants and Agreements — No Solicitation ) or (v) the making of any change, by amendment, waiver or other modification to any provision of the merger agreement that decreases the amount of, or changes the form of, the merger consideration. James Crown, a client of Longview with a significant economic interest in the shares of common stock subject to the voting agreement, serves on the board of directors of JP Morgan Chase &amp; Co., which is an affiliate of J.P. Morgan.</t>
        </is>
      </c>
    </row>
    <row r="70">
      <c r="A70" s="3" t="inlineStr">
        <is>
          <t>X-038</t>
        </is>
      </c>
      <c r="B70" s="3" t="inlineStr">
        <is>
          <t>Litigation</t>
        </is>
      </c>
      <c r="C70" s="3" t="n">
        <v>52</v>
      </c>
      <c r="D70" s="3" t="inlineStr">
        <is>
          <t>Since the December 14, 2014 announcement of the transaction, the members of the board, Parent, Merger Sub, and BC Partners, Inc. have been named in seven putative class action lawsuits filed in the Delaware Court of Chancery challenging the merger. PetSmart, La Caisse de dépôt et placement du Québec, GIC Special Investments Pte Ltd, Longview Asset Management, LLC and Stepstone Group LP have been named in six of the seven lawsuits, and Jana Partners LLC has been named in one of the lawsuits. The cases are captioned Soffer v. Lenhardt, et al. , C.A. No. 10482-VCN, Sharkey v. PetSmart, Inc., et al. , C.A. No. 10496-VCN, Lipovich v. PetSmart, Inc., et al. , C.A. No. 10504-VCN, Wayne County Employees’ Retirement System v. BC Partners, Inc., et al ., C.A. No. 10514-VCN, Levine v. PetSmart, Inc., et al. , C.A. No. 10516-VCN, City of Atlanta Firefighters Pension Plan v. Lenhardt, et al. , C.A. No. 10527-VCN and Seawell v. PetSmart, Inc., et al. , C.A. No. 10541-VCN. On January 20, 2015, plaintiff in the City of Atlanta Firefighters Pension Plan action filed an Amended Verified Class Action Complaint for Breach of Fiduciary Duty. On January 30, 2015, plaintiff in the Soffer action filed a Verified Amended Class Action Complaint. The complaints generally allege, among other things, that the PetSmart directors breached their fiduciary duties by agreeing to the transaction at an inadequate price and through an inadequate process and by agreeing to deal terms that allegedly prevent a superior offer for the Company. The amended complaints in the City of Atlanta Firefighters Pension Plan and Soffer actions also allege that the individual defendants breached their fiduciary duties by filing a false and misleading preliminary proxy statement. The complaints also allege that PetSmart and/or some or all of the other entity defendants aided and abetted the directors’ alleged breaches of duty. The complaints seek, among other things, to enjoin the transaction or to rescind the transaction if consummated, and attorney’s fees and other costs.</t>
        </is>
      </c>
    </row>
  </sheetData>
  <autoFilter ref="A1:D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28" customWidth="1" min="1" max="1"/>
    <col width="14" customWidth="1" min="2" max="2"/>
    <col width="23" customWidth="1" min="3" max="3"/>
    <col width="23" customWidth="1" min="4" max="4"/>
    <col width="14" customWidth="1" min="5" max="5"/>
    <col width="20" customWidth="1" min="6" max="6"/>
    <col width="24" customWidth="1" min="7" max="7"/>
    <col width="16" customWidth="1" min="8" max="8"/>
    <col width="17" customWidth="1" min="9" max="9"/>
    <col width="14" customWidth="1" min="10" max="10"/>
    <col width="30" customWidth="1" min="11" max="11"/>
    <col width="20" customWidth="1" min="12" max="12"/>
    <col width="14" customWidth="1" min="13" max="13"/>
    <col width="30" customWidth="1" min="14" max="14"/>
    <col width="23" customWidth="1" min="15" max="15"/>
  </cols>
  <sheetData>
    <row r="1">
      <c r="A1" s="12" t="inlineStr">
        <is>
          <t>What happened</t>
        </is>
      </c>
      <c r="B1" s="12" t="inlineStr">
        <is>
          <t>Type</t>
        </is>
      </c>
      <c r="C1" s="12" t="inlineStr">
        <is>
          <t>Formality</t>
        </is>
      </c>
      <c r="D1" s="12" t="inlineStr">
        <is>
          <t>Conditions level</t>
        </is>
      </c>
      <c r="E1" s="12" t="inlineStr">
        <is>
          <t>Include</t>
        </is>
      </c>
      <c r="F1" s="12" t="inlineStr">
        <is>
          <t>Date basis</t>
        </is>
      </c>
      <c r="G1" s="12" t="inlineStr">
        <is>
          <t>Date method</t>
        </is>
      </c>
      <c r="H1" s="12" t="inlineStr">
        <is>
          <t>Price kind</t>
        </is>
      </c>
      <c r="I1" s="12" t="inlineStr">
        <is>
          <t>Price origin</t>
        </is>
      </c>
      <c r="J1" s="12" t="inlineStr">
        <is>
          <t>All cash</t>
        </is>
      </c>
      <c r="K1" s="12" t="inlineStr">
        <is>
          <t>Deadline treatment</t>
        </is>
      </c>
      <c r="L1" s="12" t="inlineStr">
        <is>
          <t>Round finality</t>
        </is>
      </c>
      <c r="M1" s="12" t="inlineStr">
        <is>
          <t>Decided by</t>
        </is>
      </c>
      <c r="N1" s="12" t="inlineStr">
        <is>
          <t>Exit reason</t>
        </is>
      </c>
      <c r="O1" s="12"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Extended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Late bids accepted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Extended; 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Enforced</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Passed without action</t>
        </is>
      </c>
      <c r="N6" t="inlineStr">
        <is>
          <t>Would not improve earlier offer</t>
        </is>
      </c>
      <c r="O6" t="inlineStr">
        <is>
          <t>Inferred: identity</t>
        </is>
      </c>
    </row>
    <row r="7">
      <c r="A7" t="inlineStr">
        <is>
          <t>Adviser engaged</t>
        </is>
      </c>
      <c r="F7" t="inlineStr">
        <is>
          <t>Undated</t>
        </is>
      </c>
      <c r="G7" t="inlineStr">
        <is>
          <t>Assigned: bound</t>
        </is>
      </c>
      <c r="K7" t="inlineStr">
        <is>
          <t>Unclear</t>
        </is>
      </c>
      <c r="N7" t="inlineStr">
        <is>
          <t>Lower offer than rivals</t>
        </is>
      </c>
    </row>
    <row r="8">
      <c r="A8" t="inlineStr">
        <is>
          <t>Adviser service observed</t>
        </is>
      </c>
      <c r="G8" t="inlineStr">
        <is>
          <t>Assigned: sequence</t>
        </is>
      </c>
      <c r="K8" t="inlineStr">
        <is>
          <t>No deadline stated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2026-09-19T13:40:32Z</dcterms:created>
  <dcterms:modified xmlns:dcterms="http://purl.org/dc/terms/" xmlns:xsi="http://www.w3.org/2001/XMLSchema-instance" xsi:type="dcterms:W3CDTF">2026-09-19T13:40:32Z</dcterms:modified>
</cp:coreProperties>
</file>