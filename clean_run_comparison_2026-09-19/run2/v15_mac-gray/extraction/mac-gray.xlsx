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Lists" sheetId="5" state="hidden" r:id="rId5"/>
  </sheets>
  <definedNames>
    <definedName name="_xlnm._FilterDatabase" localSheetId="0" hidden="1">'Deal ledger'!$A$1:$AM$51</definedName>
    <definedName name="_xlnm._FilterDatabase" localSheetId="2" hidden="1">'Questions'!$A$1:$H$9</definedName>
    <definedName name="_xlnm._FilterDatabase" localSheetId="3" hidden="1">'Source text'!$A$1:$D$131</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6">
    <font>
      <name val="Calibri"/>
      <family val="2"/>
      <color theme="1"/>
      <sz val="11"/>
      <scheme val="minor"/>
    </font>
    <font>
      <b val="1"/>
      <color rgb="00FFFFFF"/>
    </font>
    <font>
      <color rgb="000563C1"/>
      <u val="single"/>
    </font>
    <font>
      <b val="1"/>
    </font>
    <font>
      <b val="1"/>
      <sz val="14"/>
    </font>
    <font/>
  </fonts>
  <fills count="4">
    <fill>
      <patternFill/>
    </fill>
    <fill>
      <patternFill patternType="gray125"/>
    </fill>
    <fill>
      <patternFill patternType="solid">
        <fgColor rgb="00305496"/>
      </patternFill>
    </fill>
    <fill>
      <patternFill patternType="solid">
        <fgColor rgb="00D9E1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165" fontId="0" fillId="0" borderId="0" applyAlignment="1" pivotButton="0" quotePrefix="0" xfId="0">
      <alignment vertical="top" wrapText="1"/>
    </xf>
    <xf numFmtId="4" fontId="0"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3" fillId="3" borderId="0" applyAlignment="1" pivotButton="0" quotePrefix="0" xfId="0">
      <alignment vertical="top" wrapText="1"/>
    </xf>
    <xf numFmtId="0" fontId="1" fillId="2" borderId="0"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8" customWidth="1" min="3" max="3"/>
    <col width="21" customWidth="1" min="4" max="4"/>
    <col width="8" customWidth="1" min="5" max="5"/>
    <col width="7" customWidth="1" min="6" max="6"/>
    <col width="11" customWidth="1" min="7" max="7"/>
    <col width="62" customWidth="1" min="8" max="8"/>
    <col width="12" customWidth="1" min="9" max="9"/>
    <col width="12" customWidth="1" min="10" max="10"/>
    <col width="78" customWidth="1" min="11" max="11"/>
    <col width="24" customWidth="1" min="12" max="12"/>
    <col width="9" customWidth="1" min="13" max="13"/>
    <col width="28" customWidth="1" min="14" max="14"/>
    <col hidden="1" outlineLevel="1" width="8" customWidth="1" min="15" max="16"/>
    <col hidden="1" outlineLevel="1" width="7" customWidth="1" min="17" max="17"/>
    <col hidden="1" outlineLevel="1" width="11" customWidth="1" min="18" max="22"/>
    <col hidden="1" outlineLevel="1" width="9" customWidth="1" min="23" max="27"/>
    <col hidden="1" outlineLevel="1" width="9" customWidth="1" min="28" max="29"/>
    <col hidden="1" outlineLevel="1" width="58" customWidth="1" min="30" max="30"/>
    <col hidden="1" outlineLevel="1" width="11" customWidth="1" min="31" max="33"/>
    <col hidden="1" outlineLevel="1" width="10" customWidth="1" min="34" max="36"/>
    <col hidden="1" outlineLevel="1" width="6" customWidth="1" min="37" max="37"/>
    <col hidden="1" outlineLevel="1" width="30" customWidth="1" min="38" max="38"/>
    <col hidden="1" outlineLevel="1" width="12" customWidth="1" min="39"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ht="103.8" customHeight="1">
      <c r="A2" s="2" t="n">
        <v>1</v>
      </c>
      <c r="B2" s="2" t="inlineStr">
        <is>
          <t>Winter 2011 into early 2012 (month/day not disclosed)</t>
        </is>
      </c>
      <c r="C2" s="2" t="inlineStr">
        <is>
          <t>Mac-Gray; CSC</t>
        </is>
      </c>
      <c r="D2" s="2" t="inlineStr">
        <is>
          <t>Material process update</t>
        </is>
      </c>
      <c r="E2" s="2" t="n">
        <v>1</v>
      </c>
      <c r="F2" s="2" t="n">
        <v>0</v>
      </c>
      <c r="G2" s="2" t="inlineStr"/>
      <c r="H2" s="2" t="inlineStr">
        <is>
          <t>Pre-opening context: Mac-Gray and CSC discussed CSC’s possible acquisition by Mac-Gray (the 2011-2012 Discussions) — a reverse-direction exploration, not a sale of Mac-Gray; CSC was later sold to Pamplona in May 2013. Kept to explain the BofA Merrill Lynch mandate history.</t>
        </is>
      </c>
      <c r="I2" s="2" t="inlineStr"/>
      <c r="J2" s="2" t="inlineStr"/>
      <c r="K2" s="2" t="inlineStr">
        <is>
          <t>Context only: the filing records an earlier attempt in the opposite direction (Mac-Gray as potential acquirer of CSC), which is not one of the target’s sale attempts. Working date is a convention for the winter 2011–early 2012 window. “including discussions between Mac-Gray and CSC in the winter of 2011 and into 2012 regarding the possible acquisition of CSC by Mac-Gray” (source P-002, printed page 27). “During the fall and winter of 2012, CSC engaged in a sale process and, ultimately, CSC was purchased by Pamplona in May 2013.” (source P-002, printed page 27).</t>
        </is>
      </c>
      <c r="L2" s="3" t="inlineStr">
        <is>
          <t>P-002</t>
        </is>
      </c>
      <c r="M2" s="2" t="inlineStr">
        <is>
          <t>Q1</t>
        </is>
      </c>
      <c r="N2" s="2" t="inlineStr"/>
      <c r="O2" s="2" t="inlineStr">
        <is>
          <t>R001</t>
        </is>
      </c>
      <c r="P2" s="2" t="inlineStr">
        <is>
          <t>Yes</t>
        </is>
      </c>
      <c r="Q2" s="2" t="n"/>
      <c r="R2" s="4" t="n">
        <v>40878</v>
      </c>
      <c r="S2" s="4" t="n">
        <v>40999</v>
      </c>
      <c r="T2" s="4" t="n">
        <v>40923</v>
      </c>
      <c r="U2" s="2" t="inlineStr">
        <is>
          <t>Approximate window</t>
        </is>
      </c>
      <c r="V2" s="2" t="inlineStr">
        <is>
          <t>Assigned: midpoint</t>
        </is>
      </c>
      <c r="W2" s="2" t="n"/>
      <c r="X2" s="2" t="n"/>
      <c r="Y2" s="2" t="n"/>
      <c r="Z2" s="2" t="n"/>
      <c r="AA2" s="2" t="n"/>
      <c r="AB2" s="2" t="n"/>
      <c r="AC2" s="2" t="n"/>
      <c r="AD2" s="2" t="n"/>
      <c r="AE2" s="2" t="n"/>
      <c r="AF2" s="2" t="n"/>
      <c r="AG2" s="2" t="n"/>
      <c r="AH2" s="2" t="n"/>
      <c r="AI2" s="2" t="n"/>
      <c r="AJ2" s="2" t="n"/>
      <c r="AK2" s="2" t="n">
        <v>27</v>
      </c>
      <c r="AL2" s="2" t="inlineStr">
        <is>
          <t>related R002</t>
        </is>
      </c>
      <c r="AM2" s="2" t="inlineStr">
        <is>
          <t>Mac-Gray</t>
        </is>
      </c>
    </row>
    <row r="3" ht="40.8" customHeight="1">
      <c r="A3" s="2" t="n">
        <v>2</v>
      </c>
      <c r="B3" s="2" t="inlineStr">
        <is>
          <t>10/23/2012</t>
        </is>
      </c>
      <c r="C3" s="2" t="inlineStr">
        <is>
          <t>BofA Merrill Lynch</t>
        </is>
      </c>
      <c r="D3" s="2" t="inlineStr">
        <is>
          <t>Adviser engaged</t>
        </is>
      </c>
      <c r="E3" s="2" t="n">
        <v>1</v>
      </c>
      <c r="F3" s="2" t="n">
        <v>0</v>
      </c>
      <c r="G3" s="2" t="inlineStr"/>
      <c r="H3" s="2" t="inlineStr">
        <is>
          <t>BofA Merrill Lynch engaged by Mac-Gray in connection with the 2011-2012 Discussions (Mac-Gray’s possible acquisition of CSC).</t>
        </is>
      </c>
      <c r="I3" s="2" t="inlineStr"/>
      <c r="J3" s="2" t="inlineStr"/>
      <c r="K3" s="2" t="inlineStr">
        <is>
          <t>Stated engagement date; client = Mac-Gray; mandate concerned the earlier reverse-direction exploration (no process number of its own). “Mac-Gray engaged BofA Merrill Lynch on October 23, 2012” (source P-002, printed page 27).</t>
        </is>
      </c>
      <c r="L3" s="3" t="inlineStr">
        <is>
          <t>P-002</t>
        </is>
      </c>
      <c r="M3" s="2" t="inlineStr"/>
      <c r="N3" s="2" t="inlineStr"/>
      <c r="O3" s="2" t="inlineStr">
        <is>
          <t>R002</t>
        </is>
      </c>
      <c r="P3" s="2" t="inlineStr">
        <is>
          <t>Yes</t>
        </is>
      </c>
      <c r="Q3" s="2" t="n"/>
      <c r="R3" s="4" t="n">
        <v>41205</v>
      </c>
      <c r="S3" s="4" t="n">
        <v>41205</v>
      </c>
      <c r="T3" s="4" t="n">
        <v>41205</v>
      </c>
      <c r="U3" s="2" t="inlineStr">
        <is>
          <t>Reported day</t>
        </is>
      </c>
      <c r="V3" s="2" t="inlineStr">
        <is>
          <t>Reported</t>
        </is>
      </c>
      <c r="W3" s="2" t="n"/>
      <c r="X3" s="2" t="n"/>
      <c r="Y3" s="2" t="n"/>
      <c r="Z3" s="2" t="n"/>
      <c r="AA3" s="2" t="n"/>
      <c r="AB3" s="2" t="n"/>
      <c r="AC3" s="2" t="n"/>
      <c r="AD3" s="2" t="n"/>
      <c r="AE3" s="2" t="n"/>
      <c r="AF3" s="2" t="n"/>
      <c r="AG3" s="2" t="n"/>
      <c r="AH3" s="2" t="n"/>
      <c r="AI3" s="2" t="n"/>
      <c r="AJ3" s="2" t="n"/>
      <c r="AK3" s="2" t="n">
        <v>27</v>
      </c>
      <c r="AL3" s="2" t="inlineStr">
        <is>
          <t>related R001; related R006</t>
        </is>
      </c>
      <c r="AM3" s="2" t="inlineStr">
        <is>
          <t>Mac-Gray</t>
        </is>
      </c>
    </row>
    <row r="4" ht="78.59999999999999" customHeight="1">
      <c r="A4" s="2" t="n">
        <v>3</v>
      </c>
      <c r="B4" s="2" t="inlineStr">
        <is>
          <t>04/05/2013</t>
        </is>
      </c>
      <c r="C4" s="2" t="inlineStr">
        <is>
          <t>Mac-Gray Board of Directors</t>
        </is>
      </c>
      <c r="D4" s="2" t="inlineStr">
        <is>
          <t>Target decision</t>
        </is>
      </c>
      <c r="E4" s="2" t="n">
        <v>1</v>
      </c>
      <c r="F4" s="2" t="n">
        <v>0</v>
      </c>
      <c r="G4" s="2" t="inlineStr"/>
      <c r="H4" s="2" t="inlineStr">
        <is>
          <t>Board discussed CSC’s sale to Pamplona and industry-wide M&amp;A, and authorized Mac-Gray management to work with BofA Merrill Lynch to explore transactional opportunities, including with Party A (another strategic party in the laundry facilities management industry); alternatives review to continue at the scheduled May 9, 2013 meeting.</t>
        </is>
      </c>
      <c r="I4" s="2" t="inlineStr"/>
      <c r="J4" s="2" t="inlineStr"/>
      <c r="K4" s="2" t="inlineStr">
        <is>
          <t>Stated day; initiation step authorizing exploration, not yet an irrevocable sale decision. “authorized Mac-Gray management to work with BofA Merrill Lynch to explore transactional opportunities that might be available to Mac-Gray, including opportunities with another strategic party, whom we refer to as Party A, in the laundry facilities management industry” (source P-003, printed page 27).</t>
        </is>
      </c>
      <c r="L4" s="3" t="inlineStr">
        <is>
          <t>P-003</t>
        </is>
      </c>
      <c r="M4" s="2" t="inlineStr"/>
      <c r="N4" s="2" t="inlineStr"/>
      <c r="O4" s="2" t="inlineStr">
        <is>
          <t>R003</t>
        </is>
      </c>
      <c r="P4" s="2" t="inlineStr">
        <is>
          <t>Yes</t>
        </is>
      </c>
      <c r="Q4" s="2" t="n"/>
      <c r="R4" s="4" t="n">
        <v>41369</v>
      </c>
      <c r="S4" s="4" t="n">
        <v>41369</v>
      </c>
      <c r="T4" s="4" t="n">
        <v>41369</v>
      </c>
      <c r="U4" s="2" t="inlineStr">
        <is>
          <t>Reported day</t>
        </is>
      </c>
      <c r="V4" s="2" t="inlineStr">
        <is>
          <t>Reported</t>
        </is>
      </c>
      <c r="W4" s="2" t="n"/>
      <c r="X4" s="2" t="n"/>
      <c r="Y4" s="2" t="n"/>
      <c r="Z4" s="2" t="n"/>
      <c r="AA4" s="2" t="n"/>
      <c r="AB4" s="2" t="n"/>
      <c r="AC4" s="2" t="n"/>
      <c r="AD4" s="2" t="n"/>
      <c r="AE4" s="2" t="n"/>
      <c r="AF4" s="2" t="n"/>
      <c r="AG4" s="2" t="n"/>
      <c r="AH4" s="2" t="n"/>
      <c r="AI4" s="2" t="n"/>
      <c r="AJ4" s="2" t="n"/>
      <c r="AK4" s="2" t="n">
        <v>27</v>
      </c>
      <c r="AL4" s="2" t="inlineStr">
        <is>
          <t>related R004</t>
        </is>
      </c>
      <c r="AM4" s="2" t="inlineStr">
        <is>
          <t>Mac-Gray</t>
        </is>
      </c>
    </row>
    <row r="5" ht="103.8" customHeight="1">
      <c r="A5" s="2" t="n">
        <v>4</v>
      </c>
      <c r="B5" s="2" t="inlineStr">
        <is>
          <t>04/08/2013</t>
        </is>
      </c>
      <c r="C5" s="2" t="inlineStr">
        <is>
          <t>Party A</t>
        </is>
      </c>
      <c r="D5" s="2" t="inlineStr">
        <is>
          <t>Target interest</t>
        </is>
      </c>
      <c r="E5" s="2" t="n">
        <v>1</v>
      </c>
      <c r="F5" s="2" t="n">
        <v>0</v>
      </c>
      <c r="G5" s="2" t="inlineStr">
        <is>
          <t>Strategic</t>
        </is>
      </c>
      <c r="H5" s="2" t="inlineStr">
        <is>
          <t>First sale-related contact (outbound): BofA Merrill Lynch, instructed by the Board, telephoned Party A to discuss a possible business combination; Party A indicated it might consider one. First-contact fact carried here; no duplicate Contact row.</t>
        </is>
      </c>
      <c r="I5" s="2" t="inlineStr"/>
      <c r="J5" s="2" t="inlineStr"/>
      <c r="K5" s="2" t="inlineStr">
        <is>
          <t>Stated day and direction (Mac-Gray side telephoned). Party A treated as Strategic — an industry participant identified at initiation and later grouped with CSC/Pamplona as the two strategic bidders. “representatives of BofA Merrill Lynch, as instructed by the Board, telephoned a representative of Party A to discuss generally a possible business combination between Party A and Mac-Gray” (source P-004, printed page 27). “the representative of Party A indicated that Party A might consider a business combination with Mac-Gray” (source P-004, printed page 27).</t>
        </is>
      </c>
      <c r="L5" s="3" t="inlineStr">
        <is>
          <t>P-004; P-025</t>
        </is>
      </c>
      <c r="M5" s="2" t="inlineStr">
        <is>
          <t>Q1</t>
        </is>
      </c>
      <c r="N5" s="2" t="inlineStr"/>
      <c r="O5" s="2" t="inlineStr">
        <is>
          <t>R004</t>
        </is>
      </c>
      <c r="P5" s="2" t="inlineStr">
        <is>
          <t>Yes</t>
        </is>
      </c>
      <c r="Q5" s="2" t="n">
        <v>1</v>
      </c>
      <c r="R5" s="4" t="n">
        <v>41372</v>
      </c>
      <c r="S5" s="4" t="n">
        <v>41372</v>
      </c>
      <c r="T5" s="4" t="n">
        <v>41372</v>
      </c>
      <c r="U5" s="2" t="inlineStr">
        <is>
          <t>Reported day</t>
        </is>
      </c>
      <c r="V5" s="2" t="inlineStr">
        <is>
          <t>Reported</t>
        </is>
      </c>
      <c r="W5" s="2" t="n"/>
      <c r="X5" s="2" t="n"/>
      <c r="Y5" s="2" t="n"/>
      <c r="Z5" s="2" t="n"/>
      <c r="AA5" s="2" t="n"/>
      <c r="AB5" s="2" t="n"/>
      <c r="AC5" s="2" t="n"/>
      <c r="AD5" s="2" t="n"/>
      <c r="AE5" s="2" t="n"/>
      <c r="AF5" s="2" t="n"/>
      <c r="AG5" s="2" t="n"/>
      <c r="AH5" s="2" t="n"/>
      <c r="AI5" s="2" t="n"/>
      <c r="AJ5" s="2" t="n"/>
      <c r="AK5" s="2" t="n">
        <v>27</v>
      </c>
      <c r="AL5" s="2" t="inlineStr">
        <is>
          <t>follows R003; followed by R008</t>
        </is>
      </c>
      <c r="AM5" s="2" t="inlineStr">
        <is>
          <t>Mac-Gray</t>
        </is>
      </c>
    </row>
    <row r="6" ht="66" customHeight="1">
      <c r="A6" s="2" t="n">
        <v>5</v>
      </c>
      <c r="B6" s="2" t="inlineStr">
        <is>
          <t>from 05/09/2013 (first observed acting on the mandate)</t>
        </is>
      </c>
      <c r="C6" s="2" t="inlineStr">
        <is>
          <t>Goodwin Procter LLP</t>
        </is>
      </c>
      <c r="D6" s="2" t="inlineStr">
        <is>
          <t>Adviser service observed</t>
        </is>
      </c>
      <c r="E6" s="2" t="n">
        <v>1</v>
      </c>
      <c r="F6" s="2" t="n">
        <v>0</v>
      </c>
      <c r="G6" s="2" t="inlineStr"/>
      <c r="H6" s="2" t="inlineStr">
        <is>
          <t>Mac-Gray’s outside legal counsel; first shown acting on the strategic-alternatives/sale mandate at the May 9, 2013 Board meeting; continued through exclusivity, the merger agreement, the Pamplona commitment letter and signing. Engagement date and terms not disclosed.</t>
        </is>
      </c>
      <c r="I6" s="2" t="inlineStr"/>
      <c r="J6" s="2" t="inlineStr"/>
      <c r="K6" s="2" t="inlineStr">
        <is>
          <t>First-mention date used as the Working date by convention; the filing shows service rather than a dated engagement (no engagement letter or start date is reported). “representatives from BofA Merrill Lynch and Goodwin Procter LLP, outside legal counsel to Mac-Gray, were also in attendance” (source P-005, printed page 27).</t>
        </is>
      </c>
      <c r="L6" s="3" t="inlineStr">
        <is>
          <t>P-005</t>
        </is>
      </c>
      <c r="M6" s="2" t="inlineStr"/>
      <c r="N6" s="2" t="inlineStr"/>
      <c r="O6" s="2" t="inlineStr">
        <is>
          <t>R005</t>
        </is>
      </c>
      <c r="P6" s="2" t="inlineStr">
        <is>
          <t>Yes</t>
        </is>
      </c>
      <c r="Q6" s="2" t="n"/>
      <c r="R6" s="4" t="n">
        <v>41403</v>
      </c>
      <c r="S6" s="4" t="n">
        <v>41403</v>
      </c>
      <c r="T6" s="4" t="n">
        <v>41403</v>
      </c>
      <c r="U6" s="2" t="inlineStr">
        <is>
          <t>Reported day</t>
        </is>
      </c>
      <c r="V6" s="2" t="inlineStr">
        <is>
          <t>Reported</t>
        </is>
      </c>
      <c r="W6" s="2" t="n"/>
      <c r="X6" s="2" t="n"/>
      <c r="Y6" s="2" t="n"/>
      <c r="Z6" s="2" t="n"/>
      <c r="AA6" s="2" t="n"/>
      <c r="AB6" s="2" t="n"/>
      <c r="AC6" s="2" t="n"/>
      <c r="AD6" s="2" t="n"/>
      <c r="AE6" s="2" t="n"/>
      <c r="AF6" s="2" t="n"/>
      <c r="AG6" s="2" t="n"/>
      <c r="AH6" s="2" t="n"/>
      <c r="AI6" s="2" t="n"/>
      <c r="AJ6" s="2" t="n"/>
      <c r="AK6" s="2" t="n">
        <v>27</v>
      </c>
      <c r="AL6" s="2" t="inlineStr"/>
      <c r="AM6" s="2" t="inlineStr">
        <is>
          <t>Mac-Gray</t>
        </is>
      </c>
    </row>
    <row r="7" ht="91.2" customHeight="1">
      <c r="A7" s="2" t="n">
        <v>6</v>
      </c>
      <c r="B7" s="2" t="inlineStr">
        <is>
          <t>05/15/2013 (Transaction Committee decision 05/14/2013)</t>
        </is>
      </c>
      <c r="C7" s="2" t="inlineStr">
        <is>
          <t>BofA Merrill Lynch</t>
        </is>
      </c>
      <c r="D7" s="2" t="inlineStr">
        <is>
          <t>Adviser ended</t>
        </is>
      </c>
      <c r="E7" s="2" t="n">
        <v>1</v>
      </c>
      <c r="F7" s="2" t="n">
        <v>0</v>
      </c>
      <c r="G7" s="2" t="inlineStr"/>
      <c r="H7" s="2" t="inlineStr">
        <is>
          <t>Engagement letter for the 2011-2012 Discussions terminated. The Transaction Committee determined on 05/14/2013 to terminate it because BofA Merrill Lynch was a candidate for the new strategic-alternatives mandate and the CSC sale process had ended; Mac-Gray sent the termination letter on 05/15/2013.</t>
        </is>
      </c>
      <c r="I7" s="2" t="inlineStr"/>
      <c r="J7" s="2" t="inlineStr"/>
      <c r="K7" s="2" t="inlineStr">
        <is>
          <t>Stated dates; termination of the earlier mandate (not an end to the relationship — re-engagement followed, see Adviser engaged 05/31/2013). “the Transaction Committee determined to terminate BofA Merrill Lynch’s engagement letter entered into for purposes of the 2011-2012 Discussions” (source P-010, printed page 29). “On May 15, 2013, Mac-Gray sent a letter to BofA Merrill Lynch terminating their engagement in connection with the 2011-2012 Discussions.” (source P-011, printed page 29).</t>
        </is>
      </c>
      <c r="L7" s="3" t="inlineStr">
        <is>
          <t>P-011; P-010</t>
        </is>
      </c>
      <c r="M7" s="2" t="inlineStr"/>
      <c r="N7" s="2" t="inlineStr"/>
      <c r="O7" s="2" t="inlineStr">
        <is>
          <t>R006</t>
        </is>
      </c>
      <c r="P7" s="2" t="inlineStr">
        <is>
          <t>Yes</t>
        </is>
      </c>
      <c r="Q7" s="2" t="n"/>
      <c r="R7" s="4" t="n">
        <v>41409</v>
      </c>
      <c r="S7" s="4" t="n">
        <v>41409</v>
      </c>
      <c r="T7" s="4" t="n">
        <v>41409</v>
      </c>
      <c r="U7" s="2" t="inlineStr">
        <is>
          <t>Reported day</t>
        </is>
      </c>
      <c r="V7" s="2" t="inlineStr">
        <is>
          <t>Reported</t>
        </is>
      </c>
      <c r="W7" s="2" t="n"/>
      <c r="X7" s="2" t="n"/>
      <c r="Y7" s="2" t="n"/>
      <c r="Z7" s="2" t="n"/>
      <c r="AA7" s="2" t="n"/>
      <c r="AB7" s="2" t="n"/>
      <c r="AC7" s="2" t="n"/>
      <c r="AD7" s="2" t="n"/>
      <c r="AE7" s="2" t="n"/>
      <c r="AF7" s="2" t="n"/>
      <c r="AG7" s="2" t="n"/>
      <c r="AH7" s="2" t="n"/>
      <c r="AI7" s="2" t="n"/>
      <c r="AJ7" s="2" t="n"/>
      <c r="AK7" s="2" t="n">
        <v>29</v>
      </c>
      <c r="AL7" s="2" t="inlineStr">
        <is>
          <t>ends R002; followed by R007</t>
        </is>
      </c>
      <c r="AM7" s="2" t="inlineStr">
        <is>
          <t>Mac-Gray</t>
        </is>
      </c>
    </row>
    <row r="8" ht="103.8" customHeight="1">
      <c r="A8" s="2" t="n">
        <v>7</v>
      </c>
      <c r="B8" s="2" t="inlineStr">
        <is>
          <t>05/31/2013 (Board approval 05/30/2013; selection process from 05/10/2013)</t>
        </is>
      </c>
      <c r="C8" s="2" t="inlineStr">
        <is>
          <t>BofA Merrill Lynch</t>
        </is>
      </c>
      <c r="D8" s="2" t="inlineStr">
        <is>
          <t>Adviser engaged</t>
        </is>
      </c>
      <c r="E8" s="2" t="n">
        <v>1</v>
      </c>
      <c r="F8" s="2" t="n">
        <v>0</v>
      </c>
      <c r="G8" s="2" t="inlineStr"/>
      <c r="H8" s="2" t="inlineStr">
        <is>
          <t>Engaged for the Board’s review of strategic alternatives, including a potential sale process; agreed not to engage as a possible source of new acquisition financing for any potential buyers without Mac-Gray’s prior written consent. The Board approved the engagement on 05/30/2013 after interviews of three banks, and the engagement letter was entered on 05/31/2013.</t>
        </is>
      </c>
      <c r="I8" s="2" t="inlineStr"/>
      <c r="J8" s="2" t="inlineStr"/>
      <c r="K8" s="2" t="inlineStr">
        <is>
          <t>Stated dates; the no-buyer-financing restriction is recorded because it bears on how buyer financing could be arranged.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(source P-017, printed page 30).</t>
        </is>
      </c>
      <c r="L8" s="3" t="inlineStr">
        <is>
          <t>P-017</t>
        </is>
      </c>
      <c r="M8" s="2" t="inlineStr">
        <is>
          <t>Q1</t>
        </is>
      </c>
      <c r="N8" s="2" t="inlineStr"/>
      <c r="O8" s="2" t="inlineStr">
        <is>
          <t>R007</t>
        </is>
      </c>
      <c r="P8" s="2" t="inlineStr">
        <is>
          <t>Yes</t>
        </is>
      </c>
      <c r="Q8" s="2" t="n"/>
      <c r="R8" s="4" t="n">
        <v>41425</v>
      </c>
      <c r="S8" s="4" t="n">
        <v>41425</v>
      </c>
      <c r="T8" s="4" t="n">
        <v>41425</v>
      </c>
      <c r="U8" s="2" t="inlineStr">
        <is>
          <t>Reported day</t>
        </is>
      </c>
      <c r="V8" s="2" t="inlineStr">
        <is>
          <t>Reported</t>
        </is>
      </c>
      <c r="W8" s="2" t="n"/>
      <c r="X8" s="2" t="n"/>
      <c r="Y8" s="2" t="n"/>
      <c r="Z8" s="2" t="n"/>
      <c r="AA8" s="2" t="n"/>
      <c r="AB8" s="2" t="n"/>
      <c r="AC8" s="2" t="n"/>
      <c r="AD8" s="2" t="n"/>
      <c r="AE8" s="2" t="n"/>
      <c r="AF8" s="2" t="n"/>
      <c r="AG8" s="2" t="n"/>
      <c r="AH8" s="2" t="n"/>
      <c r="AI8" s="2" t="n"/>
      <c r="AJ8" s="2" t="n"/>
      <c r="AK8" s="2" t="n">
        <v>30</v>
      </c>
      <c r="AL8" s="2" t="inlineStr">
        <is>
          <t>follows R006</t>
        </is>
      </c>
      <c r="AM8" s="2" t="inlineStr">
        <is>
          <t>Mac-Gray</t>
        </is>
      </c>
    </row>
    <row r="9" ht="166.8" customHeight="1">
      <c r="A9" s="2" t="n">
        <v>8</v>
      </c>
      <c r="B9" s="2" t="inlineStr">
        <is>
          <t>06/21/2013</t>
        </is>
      </c>
      <c r="C9" s="2" t="inlineStr">
        <is>
          <t>Party A</t>
        </is>
      </c>
      <c r="D9" s="2" t="inlineStr">
        <is>
          <t>Bid</t>
        </is>
      </c>
      <c r="E9" s="2" t="n">
        <v>1</v>
      </c>
      <c r="F9" s="2" t="n">
        <v>0</v>
      </c>
      <c r="G9" s="2" t="inlineStr">
        <is>
          <t>Strategic</t>
        </is>
      </c>
      <c r="H9" s="2" t="inlineStr">
        <is>
          <t>Unsolicited pre-NDA proposal to purchase Mac-Gray for $17.00–$19.00 per share in all cash (Party A June 21 proposal); made before any diligence access. Considered by the Special Committee alongside the preliminary indications at the 07/25/2013 meeting. Price range preserved; no retrospective upgrade.</t>
        </is>
      </c>
      <c r="I9" s="2" t="inlineStr">
        <is>
          <t>Informal</t>
        </is>
      </c>
      <c r="J9" s="2" t="inlineStr">
        <is>
          <t>Heavy</t>
        </is>
      </c>
      <c r="K9" s="2" t="inlineStr">
        <is>
          <t>Stated price and whole-company scope. Formality: preliminary unsolicited proposal with no supported formal signal (no returned markups or final-solicitation response) — Informal. Conditions: Heavy by context because the proposal preceded substantive diligence access. DD open: no access yet. Count 1 (Party A’s first bid unit); the proposal was still standing when Round 1 was evaluated, so the round map shows Party A as a round-1 participant although this row sits in round 0. “On June 21, 2013, Party A submitted an unsolicited proposal to the Mac-Gray Board of Directors offering to purchase Mac-Gray for an all-cash purchase price of $17.00 to $19.00 per share” (source P-019, printed page 30). “representatives of BofA Merrill Lynch reviewed the preliminary indications of interest received from Party B, Party C and CSC/Pamplona as well as the Party A June 21 proposal, in each case from a financial point of view” (source P-036, printed page 33).</t>
        </is>
      </c>
      <c r="L9" s="3" t="inlineStr">
        <is>
          <t>P-019; P-036</t>
        </is>
      </c>
      <c r="M9" s="2" t="inlineStr">
        <is>
          <t>Q1, Q6</t>
        </is>
      </c>
      <c r="N9" s="2" t="inlineStr"/>
      <c r="O9" s="2" t="inlineStr">
        <is>
          <t>R008</t>
        </is>
      </c>
      <c r="P9" s="2" t="inlineStr">
        <is>
          <t>Yes</t>
        </is>
      </c>
      <c r="Q9" s="2" t="n">
        <v>1</v>
      </c>
      <c r="R9" s="4" t="n">
        <v>41446</v>
      </c>
      <c r="S9" s="4" t="n">
        <v>41446</v>
      </c>
      <c r="T9" s="4" t="n">
        <v>41446</v>
      </c>
      <c r="U9" s="2" t="inlineStr">
        <is>
          <t>Reported day</t>
        </is>
      </c>
      <c r="V9" s="2" t="inlineStr">
        <is>
          <t>Reported</t>
        </is>
      </c>
      <c r="W9" s="5" t="n">
        <v>17</v>
      </c>
      <c r="X9" s="5" t="n">
        <v>19</v>
      </c>
      <c r="Y9" s="2" t="inlineStr">
        <is>
          <t>Bidder range</t>
        </is>
      </c>
      <c r="Z9" s="2" t="inlineStr">
        <is>
          <t>Stated</t>
        </is>
      </c>
      <c r="AA9" s="2" t="inlineStr">
        <is>
          <t>USD</t>
        </is>
      </c>
      <c r="AB9" s="2" t="inlineStr">
        <is>
          <t>Yes</t>
        </is>
      </c>
      <c r="AC9" s="2" t="n"/>
      <c r="AD9" s="2" t="inlineStr">
        <is>
          <t>Fin: not stated; DD required: not stated; DD open: no; Excl: not stated</t>
        </is>
      </c>
      <c r="AE9" s="2" t="n"/>
      <c r="AF9" s="2" t="n"/>
      <c r="AG9" s="2" t="n"/>
      <c r="AH9" s="2" t="n"/>
      <c r="AI9" s="2" t="n"/>
      <c r="AJ9" s="2" t="n"/>
      <c r="AK9" s="2" t="n">
        <v>30</v>
      </c>
      <c r="AL9" s="2" t="inlineStr">
        <is>
          <t>follows R004; followed by R024; revises R030; standing at round 1 R010</t>
        </is>
      </c>
      <c r="AM9" s="2" t="inlineStr">
        <is>
          <t>Mac-Gray</t>
        </is>
      </c>
    </row>
    <row r="10" ht="166.8" customHeight="1">
      <c r="A10" s="2" t="n">
        <v>9</v>
      </c>
      <c r="B10" s="2" t="inlineStr">
        <is>
          <t>06/24/2013</t>
        </is>
      </c>
      <c r="C10" s="2" t="inlineStr">
        <is>
          <t>Mac-Gray Board of Directors / Special Committee</t>
        </is>
      </c>
      <c r="D10" s="2" t="inlineStr">
        <is>
          <t>Target decision</t>
        </is>
      </c>
      <c r="E10" s="2" t="n">
        <v>1</v>
      </c>
      <c r="F10" s="2" t="n">
        <v>0</v>
      </c>
      <c r="G10" s="2" t="inlineStr"/>
      <c r="H10" s="2" t="inlineStr">
        <is>
          <t>Board excluded CEO Stewart G. MacDonald, Jr. (potential rollover conflict; the Transaction Committee had recommended exclusion on 05/10/2013) and Moab’s Michael Rothenberg (~9% holder; possible Moab rollover) from the evaluation of strategic alternatives and negotiations with third parties, and established the six-member Special Committee (Bullock, chair; Daoust, Hyman, Meagher, Percelay, Robinson), with the Transaction Committee as administrative sub-committee. Mr. Rothenberg was later asked to recuse himself from Board meetings for the duration of the process (07/25/2013). Context: Moab had elected two director nominees (Rothenberg and Hyman) at the 05/30/2013 annual meeting after a proxy contest, reducing the Board to seven; Mr. Rothenberg is a Moab co-founder and its General Partner.</t>
        </is>
      </c>
      <c r="I10" s="2" t="inlineStr"/>
      <c r="J10" s="2" t="inlineStr"/>
      <c r="K10" s="2" t="inlineStr">
        <is>
          <t>Stated day; governance step material to process design and to the Moab/MacDonald rollover treatments in this ledger. “the Board decided, and Mr. MacDonald and Mr. Rothenberg agreed, that it would be appropriate to exclude Mr. MacDonald and Mr. Rothenberg from the Board’s evaluation of strategic alternatives and any negotiations with third parties that might take place” (source P-020, printed page 30). “At the time of this meeting, Moab beneficially owned approximately 9% of Mac-Gray’s outstanding common stock.” (source P-018, printed page 30). “decided that Mr. Rothenberg should be asked to recuse himself from participating in Board meetings for the duration of the sale process” (source P-036, printed page 33). “Mac-Gray and Moab engaged in a proxy contest leading up to the annual meeting and Mr. Rothenberg and Mr. Hyman were elected in place of Mac-Gray’s incumbent nominees” (source P-016, printed page 29).</t>
        </is>
      </c>
      <c r="L10" s="3" t="inlineStr">
        <is>
          <t>P-020; P-018; P-036; P-016</t>
        </is>
      </c>
      <c r="M10" s="2" t="inlineStr">
        <is>
          <t>Q1, Q8</t>
        </is>
      </c>
      <c r="N10" s="2" t="inlineStr"/>
      <c r="O10" s="2" t="inlineStr">
        <is>
          <t>R009</t>
        </is>
      </c>
      <c r="P10" s="2" t="inlineStr">
        <is>
          <t>Yes</t>
        </is>
      </c>
      <c r="Q10" s="2" t="n"/>
      <c r="R10" s="4" t="n">
        <v>41449</v>
      </c>
      <c r="S10" s="4" t="n">
        <v>41449</v>
      </c>
      <c r="T10" s="4" t="n">
        <v>41449</v>
      </c>
      <c r="U10" s="2" t="inlineStr">
        <is>
          <t>Reported day</t>
        </is>
      </c>
      <c r="V10" s="2" t="inlineStr">
        <is>
          <t>Reported</t>
        </is>
      </c>
      <c r="W10" s="2" t="n"/>
      <c r="X10" s="2" t="n"/>
      <c r="Y10" s="2" t="n"/>
      <c r="Z10" s="2" t="n"/>
      <c r="AA10" s="2" t="n"/>
      <c r="AB10" s="2" t="n"/>
      <c r="AC10" s="2" t="n"/>
      <c r="AD10" s="2" t="n"/>
      <c r="AE10" s="2" t="n"/>
      <c r="AF10" s="2" t="n"/>
      <c r="AG10" s="2" t="n"/>
      <c r="AH10" s="2" t="n"/>
      <c r="AI10" s="2" t="n"/>
      <c r="AJ10" s="2" t="n"/>
      <c r="AK10" s="2" t="n">
        <v>30</v>
      </c>
      <c r="AL10" s="2" t="inlineStr">
        <is>
          <t>precedes R010; related R015; related R032; related R047</t>
        </is>
      </c>
      <c r="AM10" s="2" t="inlineStr">
        <is>
          <t>Mac-Gray</t>
        </is>
      </c>
    </row>
    <row r="11" ht="217.2" customHeight="1">
      <c r="A11" s="2" t="n">
        <v>10</v>
      </c>
      <c r="B11" s="2" t="inlineStr">
        <is>
          <t>06/24/2013</t>
        </is>
      </c>
      <c r="C11" s="2" t="inlineStr">
        <is>
          <t>Mac-Gray Special Committee</t>
        </is>
      </c>
      <c r="D11" s="2" t="inlineStr">
        <is>
          <t>Round opened</t>
        </is>
      </c>
      <c r="E11" s="2" t="n">
        <v>1</v>
      </c>
      <c r="F11" s="2" t="n">
        <v>1</v>
      </c>
      <c r="G11" s="2" t="inlineStr"/>
      <c r="H11" s="2" t="inlineStr">
        <is>
          <t>R1 anchor: the 06/24/2013 Special Committee conclusion to consider a sale of Mac-Gray and approach 50 parties (15 strategic, 35 financial), including CSC/Pamplona and Party A; BofA Merrill Lynch outreach followed within days (06/28/2013 update) and informational packages instructed preliminary indications of interest by 07/23/2013. Rejected anchor candidates (all retained as their own rows): R002 (10/23/2012 BofA engagement), R004 (04/08/2013 Party A contact) and R008 (06/21/2013 Party A proposal); the first outreach wave has no single disclosed date. Finality: Not final — no finality announcement; the process continued to staged diligence and revised indications.</t>
        </is>
      </c>
      <c r="I11" s="2" t="inlineStr"/>
      <c r="J11" s="2" t="inlineStr"/>
      <c r="K11" s="2" t="inlineStr">
        <is>
          <t>Round 1 opens on the decision that launched solicitation (outreach as its direct execution beginning within about a week); due date carried on this row as the deadline set with the solicitation, per section 8.3. Participant scope: the 50 approached parties, of which 20 signed confidentiality agreements (see the NDA cohort and individual rows). “the Special Committee concluded that it would be in the best interests of stockholders to consider a potential sale of Mac-Gray” (source P-022, printed page 31). “Guided by the foregoing principles, the Special Committee determined to approach a total of” (source P-023, printed page 31). “50 parties, including CSC and Pamplona, who together we refer to as CSC/Pamplona, and Party A, to solicit potential interest in a transaction with Mac-Gray, 15 of which were potential strategic buyers and 35 of which were potential financial buyers, including private equity firms.” (source P-024, printed page 32).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(source P-025, printed page 32).</t>
        </is>
      </c>
      <c r="L11" s="3" t="inlineStr">
        <is>
          <t>P-022; P-024; P-023; P-025</t>
        </is>
      </c>
      <c r="M11" s="2" t="inlineStr">
        <is>
          <t>Q1, Q2</t>
        </is>
      </c>
      <c r="N11" s="2" t="inlineStr"/>
      <c r="O11" s="2" t="inlineStr">
        <is>
          <t>R010</t>
        </is>
      </c>
      <c r="P11" s="2" t="inlineStr">
        <is>
          <t>Yes</t>
        </is>
      </c>
      <c r="Q11" s="2" t="n"/>
      <c r="R11" s="4" t="n">
        <v>41449</v>
      </c>
      <c r="S11" s="4" t="n">
        <v>41449</v>
      </c>
      <c r="T11" s="4" t="n">
        <v>41449</v>
      </c>
      <c r="U11" s="2" t="inlineStr">
        <is>
          <t>Reported day</t>
        </is>
      </c>
      <c r="V11" s="2" t="inlineStr">
        <is>
          <t>Reported</t>
        </is>
      </c>
      <c r="W11" s="2" t="n"/>
      <c r="X11" s="2" t="n"/>
      <c r="Y11" s="2" t="n"/>
      <c r="Z11" s="2" t="n"/>
      <c r="AA11" s="2" t="n"/>
      <c r="AB11" s="2" t="n"/>
      <c r="AC11" s="2" t="n"/>
      <c r="AD11" s="2" t="n"/>
      <c r="AE11" s="4" t="n">
        <v>41478</v>
      </c>
      <c r="AF11" s="2" t="n"/>
      <c r="AG11" s="2" t="inlineStr">
        <is>
          <t>Not final</t>
        </is>
      </c>
      <c r="AH11" s="2" t="n"/>
      <c r="AI11" s="2" t="n"/>
      <c r="AJ11" s="2" t="n"/>
      <c r="AK11" s="2" t="n">
        <v>31</v>
      </c>
      <c r="AL11" s="2" t="inlineStr">
        <is>
          <t>follows R009; anchor candidate, rejected R008; anchor candidate, rejected R002; anchor candidate, rejected R004; admits population R011</t>
        </is>
      </c>
      <c r="AM11" s="2" t="inlineStr">
        <is>
          <t>Mac-Gray</t>
        </is>
      </c>
    </row>
    <row r="12" ht="179.4" customHeight="1">
      <c r="A12" s="2" t="n">
        <v>11</v>
      </c>
      <c r="B12" s="2" t="inlineStr">
        <is>
          <t>between 06/24/2013 and 08/24/2013 (over the next two months; individual dates not disclosed)</t>
        </is>
      </c>
      <c r="C12" s="2" t="inlineStr">
        <is>
          <t>16 financial confidentiality-agreement signers (residual cohort)</t>
        </is>
      </c>
      <c r="D12" s="2" t="inlineStr">
        <is>
          <t>NDA signed</t>
        </is>
      </c>
      <c r="E12" s="2" t="n">
        <v>1</v>
      </c>
      <c r="F12" s="2" t="n">
        <v>1</v>
      </c>
      <c r="G12" s="2" t="inlineStr">
        <is>
          <t>Financial</t>
        </is>
      </c>
      <c r="H12" s="2" t="inlineStr">
        <is>
          <t>Residual cohort: 20 reported confidentiality and standstill signers less the four individually recorded signers (Party A, Party B, Party C, CSC/Pamplona) = 16 remaining financial signers. Form individually negotiated but not materially varied; standstill with a sunset allowing confidential proposals upon an announced business combination.</t>
        </is>
      </c>
      <c r="I12" s="2" t="inlineStr"/>
      <c r="J12" s="2" t="inlineStr"/>
      <c r="K12" s="2" t="inlineStr">
        <is>
          <t>Reported total and composition (2 strategic, 18 financial) with individual details for four signers; the residual cohort is disjoint by construction. Working date is the first day of the two-month signing window (Assigned: bound); exact dates not disclosed.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(source P-025, printed page 32).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(source P-025, printed page 32).</t>
        </is>
      </c>
      <c r="L12" s="3" t="inlineStr">
        <is>
          <t>P-025</t>
        </is>
      </c>
      <c r="M12" s="2" t="inlineStr">
        <is>
          <t>Q3</t>
        </is>
      </c>
      <c r="N12" s="2" t="inlineStr"/>
      <c r="O12" s="2" t="inlineStr">
        <is>
          <t>R011</t>
        </is>
      </c>
      <c r="P12" s="2" t="inlineStr">
        <is>
          <t>Yes</t>
        </is>
      </c>
      <c r="Q12" s="2" t="n">
        <v>16</v>
      </c>
      <c r="R12" s="4" t="n">
        <v>41449</v>
      </c>
      <c r="S12" s="4" t="n">
        <v>41510</v>
      </c>
      <c r="T12" s="4" t="n">
        <v>41449</v>
      </c>
      <c r="U12" s="2" t="inlineStr">
        <is>
          <t>Approximate window</t>
        </is>
      </c>
      <c r="V12" s="2" t="inlineStr">
        <is>
          <t>Assigned: bound</t>
        </is>
      </c>
      <c r="W12" s="2" t="n"/>
      <c r="X12" s="2" t="n"/>
      <c r="Y12" s="2" t="n"/>
      <c r="Z12" s="2" t="n"/>
      <c r="AA12" s="2" t="n"/>
      <c r="AB12" s="2" t="n"/>
      <c r="AC12" s="2" t="n"/>
      <c r="AD12" s="2" t="n"/>
      <c r="AE12" s="2" t="n"/>
      <c r="AF12" s="2" t="n"/>
      <c r="AG12" s="2" t="n"/>
      <c r="AH12" s="2" t="n"/>
      <c r="AI12" s="2" t="n"/>
      <c r="AJ12" s="2" t="n"/>
      <c r="AK12" s="2" t="n">
        <v>32</v>
      </c>
      <c r="AL12" s="2" t="inlineStr">
        <is>
          <t>admits cohort R010; named signer excluded from residual R013; named signer excluded from residual R014; named signer excluded from residual R016; named signer excluded from residual R024</t>
        </is>
      </c>
      <c r="AM12" s="2" t="inlineStr">
        <is>
          <t>Mac-Gray</t>
        </is>
      </c>
    </row>
    <row r="13" ht="129" customHeight="1">
      <c r="A13" s="2" t="n">
        <v>12</v>
      </c>
      <c r="B13" s="2" t="inlineStr">
        <is>
          <t>by 06/28/2013 (first reported contact; exact date not disclosed)</t>
        </is>
      </c>
      <c r="C13" s="2" t="inlineStr">
        <is>
          <t>CSC/Pamplona</t>
        </is>
      </c>
      <c r="D13" s="2" t="inlineStr">
        <is>
          <t>Contact</t>
        </is>
      </c>
      <c r="E13" s="2" t="n">
        <v>1</v>
      </c>
      <c r="F13" s="2" t="n">
        <v>1</v>
      </c>
      <c r="G13" s="2" t="inlineStr">
        <is>
          <t>Strategic</t>
        </is>
      </c>
      <c r="H13" s="2" t="inlineStr">
        <is>
          <t>BofA Merrill Lynch had spoken with Pamplona, which expressed interest in a transaction including an acquisition of Mac-Gray by its portfolio company, CSC; Pamplona said business and legal due diligence would be minimal given its familiarity with Mac-Gray and the industry.</t>
        </is>
      </c>
      <c r="I13" s="2" t="inlineStr"/>
      <c r="J13" s="2" t="inlineStr"/>
      <c r="K13" s="2" t="inlineStr">
        <is>
          <t>First sale-related contact reported on 06/28/2013; earlier bound not disclosed, so Working date = the bound (Assigned: bound). Direction: target-side outreach. Type Strategic (CSC is an operating laundry-services company; sponsor-owned — acquisition through a sponsor-owned operating company, not a financial role). “BofA Merrill Lynch also reported that they had spoken with representatives of Pamplona, as instructed by the Special Committee, who expressed interest in a transaction, including an acquisition of Mac-Gray by its portfolio company, CSC.” (source P-026, printed page 32). “Pamplona emphasized that business and legal due diligence would be minimal given its familiarity with Mac-Gray and the industry generally.” (source P-026, printed page 32).</t>
        </is>
      </c>
      <c r="L13" s="3" t="inlineStr">
        <is>
          <t>P-026</t>
        </is>
      </c>
      <c r="M13" s="2" t="inlineStr">
        <is>
          <t>Q3</t>
        </is>
      </c>
      <c r="N13" s="2" t="inlineStr"/>
      <c r="O13" s="2" t="inlineStr">
        <is>
          <t>R012</t>
        </is>
      </c>
      <c r="P13" s="2" t="inlineStr">
        <is>
          <t>Yes</t>
        </is>
      </c>
      <c r="Q13" s="2" t="n">
        <v>1</v>
      </c>
      <c r="R13" s="2" t="n"/>
      <c r="S13" s="4" t="n">
        <v>41453</v>
      </c>
      <c r="T13" s="4" t="n">
        <v>41453</v>
      </c>
      <c r="U13" s="2" t="inlineStr">
        <is>
          <t>Relative only</t>
        </is>
      </c>
      <c r="V13" s="2" t="inlineStr">
        <is>
          <t>Assigned: bound</t>
        </is>
      </c>
      <c r="W13" s="2" t="n"/>
      <c r="X13" s="2" t="n"/>
      <c r="Y13" s="2" t="n"/>
      <c r="Z13" s="2" t="n"/>
      <c r="AA13" s="2" t="n"/>
      <c r="AB13" s="2" t="n"/>
      <c r="AC13" s="2" t="n"/>
      <c r="AD13" s="2" t="n"/>
      <c r="AE13" s="2" t="n"/>
      <c r="AF13" s="2" t="n"/>
      <c r="AG13" s="2" t="n"/>
      <c r="AH13" s="2" t="n"/>
      <c r="AI13" s="2" t="n"/>
      <c r="AJ13" s="2" t="n"/>
      <c r="AK13" s="2" t="n">
        <v>32</v>
      </c>
      <c r="AL13" s="2" t="inlineStr">
        <is>
          <t>followed by R016; outreach under round 1 R010</t>
        </is>
      </c>
      <c r="AM13" s="2" t="inlineStr">
        <is>
          <t>Mac-Gray</t>
        </is>
      </c>
    </row>
    <row r="14" ht="66" customHeight="1">
      <c r="A14" s="2" t="n">
        <v>13</v>
      </c>
      <c r="B14" s="2" t="inlineStr">
        <is>
          <t>06/28/2013</t>
        </is>
      </c>
      <c r="C14" s="2" t="inlineStr">
        <is>
          <t>Party B</t>
        </is>
      </c>
      <c r="D14" s="2" t="inlineStr">
        <is>
          <t>NDA signed</t>
        </is>
      </c>
      <c r="E14" s="2" t="n">
        <v>1</v>
      </c>
      <c r="F14" s="2" t="n">
        <v>1</v>
      </c>
      <c r="G14" s="2" t="inlineStr">
        <is>
          <t>Financial</t>
        </is>
      </c>
      <c r="H14" s="2" t="inlineStr">
        <is>
          <t>Confidentiality and standstill agreement executed; informational package furnished for a preliminary indication of interest (requested by 07/23/2013).</t>
        </is>
      </c>
      <c r="I14" s="2" t="inlineStr"/>
      <c r="J14" s="2" t="inlineStr"/>
      <c r="K14" s="2" t="inlineStr">
        <is>
          <t>Stated execution day; entry gate for a financial bidder. “Later on June 28, 2013, Party B, entered into a confidentiality and standstill agreement with Mac-Gray and was provided with an informational package for the purpose of providing Party B with data to formulate a preliminary indication of interest.” (source P-027, printed page 32).</t>
        </is>
      </c>
      <c r="L14" s="3" t="inlineStr">
        <is>
          <t>P-027</t>
        </is>
      </c>
      <c r="M14" s="2" t="inlineStr">
        <is>
          <t>Q3</t>
        </is>
      </c>
      <c r="N14" s="2" t="inlineStr"/>
      <c r="O14" s="2" t="inlineStr">
        <is>
          <t>R013</t>
        </is>
      </c>
      <c r="P14" s="2" t="inlineStr">
        <is>
          <t>Yes</t>
        </is>
      </c>
      <c r="Q14" s="2" t="n">
        <v>1</v>
      </c>
      <c r="R14" s="4" t="n">
        <v>41453</v>
      </c>
      <c r="S14" s="4" t="n">
        <v>41453</v>
      </c>
      <c r="T14" s="4" t="n">
        <v>41453</v>
      </c>
      <c r="U14" s="2" t="inlineStr">
        <is>
          <t>Reported day</t>
        </is>
      </c>
      <c r="V14" s="2" t="inlineStr">
        <is>
          <t>Reported</t>
        </is>
      </c>
      <c r="W14" s="2" t="n"/>
      <c r="X14" s="2" t="n"/>
      <c r="Y14" s="2" t="n"/>
      <c r="Z14" s="2" t="n"/>
      <c r="AA14" s="2" t="n"/>
      <c r="AB14" s="2" t="n"/>
      <c r="AC14" s="2" t="n"/>
      <c r="AD14" s="2" t="n"/>
      <c r="AE14" s="2" t="n"/>
      <c r="AF14" s="2" t="n"/>
      <c r="AG14" s="2" t="n"/>
      <c r="AH14" s="2" t="n"/>
      <c r="AI14" s="2" t="n"/>
      <c r="AJ14" s="2" t="n"/>
      <c r="AK14" s="2" t="n">
        <v>32</v>
      </c>
      <c r="AL14" s="2" t="inlineStr">
        <is>
          <t>counted within/reported separately R011; followed by R020</t>
        </is>
      </c>
      <c r="AM14" s="2" t="inlineStr">
        <is>
          <t>Mac-Gray</t>
        </is>
      </c>
    </row>
    <row r="15" ht="66" customHeight="1">
      <c r="A15" s="2" t="n">
        <v>14</v>
      </c>
      <c r="B15" s="2" t="inlineStr">
        <is>
          <t>06/30/2013</t>
        </is>
      </c>
      <c r="C15" s="2" t="inlineStr">
        <is>
          <t>Party C</t>
        </is>
      </c>
      <c r="D15" s="2" t="inlineStr">
        <is>
          <t>NDA signed</t>
        </is>
      </c>
      <c r="E15" s="2" t="n">
        <v>1</v>
      </c>
      <c r="F15" s="2" t="n">
        <v>1</v>
      </c>
      <c r="G15" s="2" t="inlineStr">
        <is>
          <t>Financial</t>
        </is>
      </c>
      <c r="H15" s="2" t="inlineStr">
        <is>
          <t>Confidentiality and standstill agreement executed; informational package furnished for a preliminary indication of interest (requested by 07/23/2013).</t>
        </is>
      </c>
      <c r="I15" s="2" t="inlineStr"/>
      <c r="J15" s="2" t="inlineStr"/>
      <c r="K15" s="2" t="inlineStr">
        <is>
          <t>Stated execution day; entry gate for a financial bidder. “On June 30, 2013, Party C entered into a confidentiality and standstill agreement with Mac-Gray and was provided with an informational package for the purpose of providing Party C with data to formulate a preliminary indication of interest.” (source P-028, printed page 32).</t>
        </is>
      </c>
      <c r="L15" s="3" t="inlineStr">
        <is>
          <t>P-028</t>
        </is>
      </c>
      <c r="M15" s="2" t="inlineStr">
        <is>
          <t>Q3</t>
        </is>
      </c>
      <c r="N15" s="2" t="inlineStr"/>
      <c r="O15" s="2" t="inlineStr">
        <is>
          <t>R014</t>
        </is>
      </c>
      <c r="P15" s="2" t="inlineStr">
        <is>
          <t>Yes</t>
        </is>
      </c>
      <c r="Q15" s="2" t="n">
        <v>1</v>
      </c>
      <c r="R15" s="4" t="n">
        <v>41455</v>
      </c>
      <c r="S15" s="4" t="n">
        <v>41455</v>
      </c>
      <c r="T15" s="4" t="n">
        <v>41455</v>
      </c>
      <c r="U15" s="2" t="inlineStr">
        <is>
          <t>Reported day</t>
        </is>
      </c>
      <c r="V15" s="2" t="inlineStr">
        <is>
          <t>Reported</t>
        </is>
      </c>
      <c r="W15" s="2" t="n"/>
      <c r="X15" s="2" t="n"/>
      <c r="Y15" s="2" t="n"/>
      <c r="Z15" s="2" t="n"/>
      <c r="AA15" s="2" t="n"/>
      <c r="AB15" s="2" t="n"/>
      <c r="AC15" s="2" t="n"/>
      <c r="AD15" s="2" t="n"/>
      <c r="AE15" s="2" t="n"/>
      <c r="AF15" s="2" t="n"/>
      <c r="AG15" s="2" t="n"/>
      <c r="AH15" s="2" t="n"/>
      <c r="AI15" s="2" t="n"/>
      <c r="AJ15" s="2" t="n"/>
      <c r="AK15" s="2" t="n">
        <v>32</v>
      </c>
      <c r="AL15" s="2" t="inlineStr">
        <is>
          <t>counted within/reported separately R011; followed by R021</t>
        </is>
      </c>
      <c r="AM15" s="2" t="inlineStr">
        <is>
          <t>Mac-Gray</t>
        </is>
      </c>
    </row>
    <row r="16" ht="116.4" customHeight="1">
      <c r="A16" s="2" t="n">
        <v>15</v>
      </c>
      <c r="B16" s="2" t="inlineStr">
        <is>
          <t>07/06/2013</t>
        </is>
      </c>
      <c r="C16" s="2" t="inlineStr">
        <is>
          <t>Moab (shareholder)</t>
        </is>
      </c>
      <c r="D16" s="2" t="inlineStr">
        <is>
          <t>Material process update</t>
        </is>
      </c>
      <c r="E16" s="2" t="n">
        <v>1</v>
      </c>
      <c r="F16" s="2" t="n">
        <v>1</v>
      </c>
      <c r="G16" s="2" t="inlineStr"/>
      <c r="H16" s="2" t="inlineStr">
        <is>
          <t>Special Committee denied Moab’s request to partner exclusively with CSC/Pamplona at this stage, so the potential equity rollover of Moab’s shares could remain available as a source of capital for other bidders; Moab was told the discussions were premature but would be permitted at a later stage of the sale process.</t>
        </is>
      </c>
      <c r="I16" s="2" t="inlineStr"/>
      <c r="J16" s="2" t="inlineStr"/>
      <c r="K16" s="2" t="inlineStr">
        <is>
          <t>Stated day; one permitted/denied row for the Moab rollover relationship (its resolution is recorded separately when the discussions concluded). “the Special Committee decided to deny the exclusivity request at this stage of the process so that the potential equity rollover of Moab’s shares could be available as a source of capital for other potential bidders” (source P-031, printed page 33). “it was premature for Mac-Gray to permit Moab to engage in equity rollover discussions with any party, including CSC/Pamplona, but that such discussions would be permitted at a later stage of the sale process” (source P-031, printed page 33).</t>
        </is>
      </c>
      <c r="L16" s="3" t="inlineStr">
        <is>
          <t>P-031</t>
        </is>
      </c>
      <c r="M16" s="2" t="inlineStr">
        <is>
          <t>Q8</t>
        </is>
      </c>
      <c r="N16" s="2" t="inlineStr"/>
      <c r="O16" s="2" t="inlineStr">
        <is>
          <t>R015</t>
        </is>
      </c>
      <c r="P16" s="2" t="inlineStr">
        <is>
          <t>Yes</t>
        </is>
      </c>
      <c r="Q16" s="2" t="n"/>
      <c r="R16" s="4" t="n">
        <v>41461</v>
      </c>
      <c r="S16" s="4" t="n">
        <v>41461</v>
      </c>
      <c r="T16" s="4" t="n">
        <v>41461</v>
      </c>
      <c r="U16" s="2" t="inlineStr">
        <is>
          <t>Reported day</t>
        </is>
      </c>
      <c r="V16" s="2" t="inlineStr">
        <is>
          <t>Reported</t>
        </is>
      </c>
      <c r="W16" s="2" t="n"/>
      <c r="X16" s="2" t="n"/>
      <c r="Y16" s="2" t="n"/>
      <c r="Z16" s="2" t="n"/>
      <c r="AA16" s="2" t="n"/>
      <c r="AB16" s="2" t="n"/>
      <c r="AC16" s="2" t="n"/>
      <c r="AD16" s="2" t="n"/>
      <c r="AE16" s="2" t="n"/>
      <c r="AF16" s="2" t="n"/>
      <c r="AG16" s="2" t="n"/>
      <c r="AH16" s="2" t="n"/>
      <c r="AI16" s="2" t="n"/>
      <c r="AJ16" s="2" t="n"/>
      <c r="AK16" s="2" t="n">
        <v>33</v>
      </c>
      <c r="AL16" s="2" t="inlineStr">
        <is>
          <t>related R009; resolved later R047</t>
        </is>
      </c>
      <c r="AM16" s="2" t="inlineStr">
        <is>
          <t>Mac-Gray</t>
        </is>
      </c>
    </row>
    <row r="17" ht="66" customHeight="1">
      <c r="A17" s="2" t="n">
        <v>16</v>
      </c>
      <c r="B17" s="2" t="inlineStr">
        <is>
          <t>07/11/2013</t>
        </is>
      </c>
      <c r="C17" s="2" t="inlineStr">
        <is>
          <t>CSC/Pamplona</t>
        </is>
      </c>
      <c r="D17" s="2" t="inlineStr">
        <is>
          <t>NDA signed</t>
        </is>
      </c>
      <c r="E17" s="2" t="n">
        <v>1</v>
      </c>
      <c r="F17" s="2" t="n">
        <v>1</v>
      </c>
      <c r="G17" s="2" t="inlineStr">
        <is>
          <t>Strategic</t>
        </is>
      </c>
      <c r="H17" s="2" t="inlineStr">
        <is>
          <t>Confidentiality and standstill agreement executed; informational package furnished for a preliminary indication of interest (requested by 07/23/2013).</t>
        </is>
      </c>
      <c r="I17" s="2" t="inlineStr"/>
      <c r="J17" s="2" t="inlineStr"/>
      <c r="K17" s="2" t="inlineStr">
        <is>
          <t>Stated execution day; entry gate for the strategic unit. “On July 11, 2013, CSC/Pamplona entered into a confidentiality and standstill agreement with Mac-Gray and were provided with an informational package for the purpose of providing CSC/Pamplona with data to formulate a preliminary indication of interest.” (source P-032, printed page 33).</t>
        </is>
      </c>
      <c r="L17" s="3" t="inlineStr">
        <is>
          <t>P-032</t>
        </is>
      </c>
      <c r="M17" s="2" t="inlineStr">
        <is>
          <t>Q3</t>
        </is>
      </c>
      <c r="N17" s="2" t="inlineStr"/>
      <c r="O17" s="2" t="inlineStr">
        <is>
          <t>R016</t>
        </is>
      </c>
      <c r="P17" s="2" t="inlineStr">
        <is>
          <t>Yes</t>
        </is>
      </c>
      <c r="Q17" s="2" t="n">
        <v>1</v>
      </c>
      <c r="R17" s="4" t="n">
        <v>41466</v>
      </c>
      <c r="S17" s="4" t="n">
        <v>41466</v>
      </c>
      <c r="T17" s="4" t="n">
        <v>41466</v>
      </c>
      <c r="U17" s="2" t="inlineStr">
        <is>
          <t>Reported day</t>
        </is>
      </c>
      <c r="V17" s="2" t="inlineStr">
        <is>
          <t>Reported</t>
        </is>
      </c>
      <c r="W17" s="2" t="n"/>
      <c r="X17" s="2" t="n"/>
      <c r="Y17" s="2" t="n"/>
      <c r="Z17" s="2" t="n"/>
      <c r="AA17" s="2" t="n"/>
      <c r="AB17" s="2" t="n"/>
      <c r="AC17" s="2" t="n"/>
      <c r="AD17" s="2" t="n"/>
      <c r="AE17" s="2" t="n"/>
      <c r="AF17" s="2" t="n"/>
      <c r="AG17" s="2" t="n"/>
      <c r="AH17" s="2" t="n"/>
      <c r="AI17" s="2" t="n"/>
      <c r="AJ17" s="2" t="n"/>
      <c r="AK17" s="2" t="n">
        <v>33</v>
      </c>
      <c r="AL17" s="2" t="inlineStr">
        <is>
          <t>counted within/reported separately R011; followed by R018</t>
        </is>
      </c>
      <c r="AM17" s="2" t="inlineStr">
        <is>
          <t>Mac-Gray</t>
        </is>
      </c>
    </row>
    <row r="18" ht="103.8" customHeight="1">
      <c r="A18" s="2" t="n">
        <v>17</v>
      </c>
      <c r="B18" s="2" t="inlineStr">
        <is>
          <t>07/23/2013 (preliminary IOI due date)</t>
        </is>
      </c>
      <c r="C18" s="2" t="inlineStr">
        <is>
          <t>Mac-Gray (solicitation deadline)</t>
        </is>
      </c>
      <c r="D18" s="2" t="inlineStr">
        <is>
          <t>Deadline</t>
        </is>
      </c>
      <c r="E18" s="2" t="n">
        <v>1</v>
      </c>
      <c r="F18" s="2" t="n">
        <v>1</v>
      </c>
      <c r="G18" s="2" t="inlineStr"/>
      <c r="H18" s="2" t="inlineStr">
        <is>
          <t>Scheduled due date for preliminary indications of interest. CSC/Pamplona submitted on the date; Party B and Party C submitted on 07/24/2013 and were considered at the 07/25/2013 Special Committee meeting — late bids accepted; the date was not revised.</t>
        </is>
      </c>
      <c r="I18" s="2" t="inlineStr"/>
      <c r="J18" s="2" t="inlineStr"/>
      <c r="K18" s="2" t="inlineStr">
        <is>
          <t>Treatment from what followed in the same round: submissions dated after the due date were considered without any revision — Late bids accepted. “which they were instructed to submit by July 23, 2013” (source P-025, printed page 32). “On July 24, 2013, Party B submitted a preliminary indication of interest at an all-cash purchase price of $17.00 to $18.00 per share.” (source P-035, printed page 33). “representatives of BofA Merrill Lynch reviewed the preliminary indications of interest received from Party B, Party C and CSC/Pamplona as well as the Party A June 21 proposal” (source P-036, printed page 33).</t>
        </is>
      </c>
      <c r="L18" s="3" t="inlineStr">
        <is>
          <t>P-025; P-035; P-036</t>
        </is>
      </c>
      <c r="M18" s="2" t="inlineStr">
        <is>
          <t>Q2</t>
        </is>
      </c>
      <c r="N18" s="2" t="inlineStr"/>
      <c r="O18" s="2" t="inlineStr">
        <is>
          <t>R017</t>
        </is>
      </c>
      <c r="P18" s="2" t="inlineStr">
        <is>
          <t>Yes</t>
        </is>
      </c>
      <c r="Q18" s="2" t="n"/>
      <c r="R18" s="4" t="n">
        <v>41478</v>
      </c>
      <c r="S18" s="4" t="n">
        <v>41478</v>
      </c>
      <c r="T18" s="4" t="n">
        <v>41478</v>
      </c>
      <c r="U18" s="2" t="inlineStr">
        <is>
          <t>Reported day</t>
        </is>
      </c>
      <c r="V18" s="2" t="inlineStr">
        <is>
          <t>Reported</t>
        </is>
      </c>
      <c r="W18" s="2" t="n"/>
      <c r="X18" s="2" t="n"/>
      <c r="Y18" s="2" t="n"/>
      <c r="Z18" s="2" t="n"/>
      <c r="AA18" s="2" t="n"/>
      <c r="AB18" s="2" t="n"/>
      <c r="AC18" s="2" t="n"/>
      <c r="AD18" s="2" t="n"/>
      <c r="AE18" s="4" t="n">
        <v>41478</v>
      </c>
      <c r="AF18" s="2" t="inlineStr">
        <is>
          <t>Late bids accepted</t>
        </is>
      </c>
      <c r="AG18" s="2" t="n"/>
      <c r="AH18" s="2" t="n"/>
      <c r="AI18" s="2" t="n"/>
      <c r="AJ18" s="2" t="n"/>
      <c r="AK18" s="2" t="n">
        <v>32</v>
      </c>
      <c r="AL18" s="2" t="inlineStr"/>
      <c r="AM18" s="2" t="inlineStr">
        <is>
          <t>Mac-Gray</t>
        </is>
      </c>
    </row>
    <row r="19" ht="91.2" customHeight="1">
      <c r="A19" s="2" t="n">
        <v>18</v>
      </c>
      <c r="B19" s="2" t="inlineStr">
        <is>
          <t>07/23/2013</t>
        </is>
      </c>
      <c r="C19" s="2" t="inlineStr">
        <is>
          <t>CSC/Pamplona</t>
        </is>
      </c>
      <c r="D19" s="2" t="inlineStr">
        <is>
          <t>Bid</t>
        </is>
      </c>
      <c r="E19" s="2" t="n">
        <v>1</v>
      </c>
      <c r="F19" s="2" t="n">
        <v>1</v>
      </c>
      <c r="G19" s="2" t="inlineStr">
        <is>
          <t>Strategic</t>
        </is>
      </c>
      <c r="H19" s="2" t="inlineStr">
        <is>
          <t>Preliminary indication of interest: all cash at $18.50 per share. Made after only the informational package; no substantive diligence access yet.</t>
        </is>
      </c>
      <c r="I19" s="2" t="inlineStr">
        <is>
          <t>Informal</t>
        </is>
      </c>
      <c r="J19" s="2" t="inlineStr">
        <is>
          <t>Heavy</t>
        </is>
      </c>
      <c r="K19" s="2" t="inlineStr">
        <is>
          <t>Stated price. Formality: preliminary indication before diligence with no supported formal signal — Informal. Conditions: Heavy by context because the indication preceded substantive diligence access (data-room or management access), whatever diligence wording it used; Pamplona’s stated familiarity did not remove that context. “On July 23, 2013, CSC/Pamplona submitted a preliminary indication of interest at an all-cash purchase price of $18.50 per share.” (source P-034, printed page 33).</t>
        </is>
      </c>
      <c r="L19" s="3" t="inlineStr">
        <is>
          <t>P-034</t>
        </is>
      </c>
      <c r="M19" s="2" t="inlineStr">
        <is>
          <t>Q6</t>
        </is>
      </c>
      <c r="N19" s="2" t="inlineStr"/>
      <c r="O19" s="2" t="inlineStr">
        <is>
          <t>R018</t>
        </is>
      </c>
      <c r="P19" s="2" t="inlineStr">
        <is>
          <t>Yes</t>
        </is>
      </c>
      <c r="Q19" s="2" t="n">
        <v>1</v>
      </c>
      <c r="R19" s="4" t="n">
        <v>41478</v>
      </c>
      <c r="S19" s="4" t="n">
        <v>41478</v>
      </c>
      <c r="T19" s="4" t="n">
        <v>41478</v>
      </c>
      <c r="U19" s="2" t="inlineStr">
        <is>
          <t>Reported day</t>
        </is>
      </c>
      <c r="V19" s="2" t="inlineStr">
        <is>
          <t>Reported</t>
        </is>
      </c>
      <c r="W19" s="5" t="n">
        <v>18.5</v>
      </c>
      <c r="X19" s="5" t="n">
        <v>18.5</v>
      </c>
      <c r="Y19" s="2" t="inlineStr">
        <is>
          <t>Point</t>
        </is>
      </c>
      <c r="Z19" s="2" t="inlineStr">
        <is>
          <t>Stated</t>
        </is>
      </c>
      <c r="AA19" s="2" t="inlineStr">
        <is>
          <t>USD</t>
        </is>
      </c>
      <c r="AB19" s="2" t="inlineStr">
        <is>
          <t>Yes</t>
        </is>
      </c>
      <c r="AC19" s="2" t="n">
        <v>18.5</v>
      </c>
      <c r="AD19" s="2" t="inlineStr">
        <is>
          <t>Fin: not stated; DD required: not stated; DD open: no; Excl: not stated</t>
        </is>
      </c>
      <c r="AE19" s="2" t="n"/>
      <c r="AF19" s="2" t="n"/>
      <c r="AG19" s="2" t="n"/>
      <c r="AH19" s="2" t="n"/>
      <c r="AI19" s="2" t="n"/>
      <c r="AJ19" s="2" t="n"/>
      <c r="AK19" s="2" t="n">
        <v>33</v>
      </c>
      <c r="AL19" s="2" t="inlineStr">
        <is>
          <t>follows R016; revises R028</t>
        </is>
      </c>
      <c r="AM19" s="2" t="inlineStr">
        <is>
          <t>Mac-Gray</t>
        </is>
      </c>
    </row>
    <row r="20" ht="141.6" customHeight="1">
      <c r="A20" s="2" t="n">
        <v>19</v>
      </c>
      <c r="B20" s="2" t="inlineStr">
        <is>
          <t>by 07/23/2013</t>
        </is>
      </c>
      <c r="C20" s="2" t="inlineStr">
        <is>
          <t>16 financial confidentiality-agreement signers (residual cohort)</t>
        </is>
      </c>
      <c r="D20" s="2" t="inlineStr">
        <is>
          <t>Did not submit</t>
        </is>
      </c>
      <c r="E20" s="2" t="n">
        <v>1</v>
      </c>
      <c r="F20" s="2" t="n">
        <v>1</v>
      </c>
      <c r="G20" s="2" t="inlineStr">
        <is>
          <t>Financial</t>
        </is>
      </c>
      <c r="H20" s="2" t="inlineStr">
        <is>
          <t>Inferred: residual — 20 confidentiality agreement signers − 4 bidders the filing accounts for at this transition (CSC/Pamplona, Party B and Party C, whose preliminary indications were reviewed on 07/25/2013, and Party A, whose June 21 proposal was reviewed while it negotiated its NDA) = 16 non-submitters. Base assumes the four named continuing bidders are the complete set; if unnamed signers also submitted, this overstates the residual.</t>
        </is>
      </c>
      <c r="I20" s="2" t="inlineStr"/>
      <c r="J20" s="2" t="inlineStr"/>
      <c r="K20" s="2" t="inlineStr">
        <is>
          <t>Inferred: residual with the arithmetic shown; no decision dates, motives, identities or voluntary withdrawals inferred. Working date = the solicitation’s due date (Assigned: deadline). “a total of 20 potential bidders, including two strategic bidders (Party A and CSC/Pamplona) and 18 financial bidders (including Party B and Party C), entered into confidentiality agreements with Mac-Gray” (source P-025, printed page 32). “representatives of BofA Merrill Lynch reviewed the preliminary indications of interest received from Party B, Party C and CSC/Pamplona as well as the Party A June 21 proposal, in each case from a financial point of view” (source P-036, printed page 33). “to reach out to each of the four interested bidders and arrange management meetings” (source P-038, printed page 34).</t>
        </is>
      </c>
      <c r="L20" s="3" t="inlineStr">
        <is>
          <t>P-025; P-036; P-038</t>
        </is>
      </c>
      <c r="M20" s="2" t="inlineStr">
        <is>
          <t>Q3, Q4</t>
        </is>
      </c>
      <c r="N20" s="2" t="inlineStr"/>
      <c r="O20" s="2" t="inlineStr">
        <is>
          <t>R019</t>
        </is>
      </c>
      <c r="P20" s="2" t="inlineStr">
        <is>
          <t>Yes</t>
        </is>
      </c>
      <c r="Q20" s="2" t="n">
        <v>16</v>
      </c>
      <c r="R20" s="2" t="n"/>
      <c r="S20" s="4" t="n">
        <v>41478</v>
      </c>
      <c r="T20" s="4" t="n">
        <v>41478</v>
      </c>
      <c r="U20" s="2" t="inlineStr">
        <is>
          <t>Relative only</t>
        </is>
      </c>
      <c r="V20" s="2" t="inlineStr">
        <is>
          <t>Assigned: deadline</t>
        </is>
      </c>
      <c r="W20" s="2" t="n"/>
      <c r="X20" s="2" t="n"/>
      <c r="Y20" s="2" t="n"/>
      <c r="Z20" s="2" t="n"/>
      <c r="AA20" s="2" t="n"/>
      <c r="AB20" s="2" t="n"/>
      <c r="AC20" s="2" t="n"/>
      <c r="AD20" s="2" t="n"/>
      <c r="AE20" s="2" t="n"/>
      <c r="AF20" s="2" t="n"/>
      <c r="AG20" s="2" t="n"/>
      <c r="AH20" s="2" t="inlineStr">
        <is>
          <t>Unknown</t>
        </is>
      </c>
      <c r="AI20" s="2" t="inlineStr">
        <is>
          <t>Not stated</t>
        </is>
      </c>
      <c r="AJ20" s="2" t="inlineStr">
        <is>
          <t>Inferred: residual</t>
        </is>
      </c>
      <c r="AK20" s="2" t="n">
        <v>32</v>
      </c>
      <c r="AL20" s="2" t="inlineStr">
        <is>
          <t>closes part of cohort R011; accounted at transition R008; accounted at transition R018; accounted at transition R020; accounted at transition R021</t>
        </is>
      </c>
      <c r="AM20" s="2" t="inlineStr">
        <is>
          <t>Mac-Gray</t>
        </is>
      </c>
    </row>
    <row r="21" ht="66" customHeight="1">
      <c r="A21" s="2" t="n">
        <v>20</v>
      </c>
      <c r="B21" s="2" t="inlineStr">
        <is>
          <t>07/24/2013</t>
        </is>
      </c>
      <c r="C21" s="2" t="inlineStr">
        <is>
          <t>Party B</t>
        </is>
      </c>
      <c r="D21" s="2" t="inlineStr">
        <is>
          <t>Bid</t>
        </is>
      </c>
      <c r="E21" s="2" t="n">
        <v>1</v>
      </c>
      <c r="F21" s="2" t="n">
        <v>1</v>
      </c>
      <c r="G21" s="2" t="inlineStr">
        <is>
          <t>Financial</t>
        </is>
      </c>
      <c r="H21" s="2" t="inlineStr">
        <is>
          <t>Preliminary indication of interest: all cash at $17.00–$18.00 per share. Submitted one day after the 07/23/2013 request; considered by the Special Committee on 07/25/2013 (late bids accepted). Made before substantive diligence access.</t>
        </is>
      </c>
      <c r="I21" s="2" t="inlineStr">
        <is>
          <t>Informal</t>
        </is>
      </c>
      <c r="J21" s="2" t="inlineStr">
        <is>
          <t>Heavy</t>
        </is>
      </c>
      <c r="K21" s="2" t="inlineStr">
        <is>
          <t>Stated range and timing. Formality Informal (preliminary indication; no formal signal). Conditions Heavy by context (pre-diligence indication). DD open: no; no firm financing information reported at this stage. “On July 24, 2013, Party B submitted a preliminary indication of interest at an all-cash purchase price of $17.00 to $18.00 per share.” (source P-035, printed page 33).</t>
        </is>
      </c>
      <c r="L21" s="3" t="inlineStr">
        <is>
          <t>P-035; P-036</t>
        </is>
      </c>
      <c r="M21" s="2" t="inlineStr">
        <is>
          <t>Q6</t>
        </is>
      </c>
      <c r="N21" s="2" t="inlineStr"/>
      <c r="O21" s="2" t="inlineStr">
        <is>
          <t>R020</t>
        </is>
      </c>
      <c r="P21" s="2" t="inlineStr">
        <is>
          <t>Yes</t>
        </is>
      </c>
      <c r="Q21" s="2" t="n">
        <v>1</v>
      </c>
      <c r="R21" s="4" t="n">
        <v>41479</v>
      </c>
      <c r="S21" s="4" t="n">
        <v>41479</v>
      </c>
      <c r="T21" s="4" t="n">
        <v>41479</v>
      </c>
      <c r="U21" s="2" t="inlineStr">
        <is>
          <t>Reported day</t>
        </is>
      </c>
      <c r="V21" s="2" t="inlineStr">
        <is>
          <t>Reported</t>
        </is>
      </c>
      <c r="W21" s="5" t="n">
        <v>17</v>
      </c>
      <c r="X21" s="5" t="n">
        <v>18</v>
      </c>
      <c r="Y21" s="2" t="inlineStr">
        <is>
          <t>Bidder range</t>
        </is>
      </c>
      <c r="Z21" s="2" t="inlineStr">
        <is>
          <t>Stated</t>
        </is>
      </c>
      <c r="AA21" s="2" t="inlineStr">
        <is>
          <t>USD</t>
        </is>
      </c>
      <c r="AB21" s="2" t="inlineStr">
        <is>
          <t>Yes</t>
        </is>
      </c>
      <c r="AC21" s="2" t="n"/>
      <c r="AD21" s="2" t="inlineStr">
        <is>
          <t>Fin: not stated; DD required: not stated; DD open: no; Excl: not stated</t>
        </is>
      </c>
      <c r="AE21" s="2" t="n"/>
      <c r="AF21" s="2" t="n"/>
      <c r="AG21" s="2" t="n"/>
      <c r="AH21" s="2" t="n"/>
      <c r="AI21" s="2" t="n"/>
      <c r="AJ21" s="2" t="n"/>
      <c r="AK21" s="2" t="n">
        <v>33</v>
      </c>
      <c r="AL21" s="2" t="inlineStr">
        <is>
          <t>follows R013; revises R029</t>
        </is>
      </c>
      <c r="AM21" s="2" t="inlineStr">
        <is>
          <t>Mac-Gray</t>
        </is>
      </c>
    </row>
    <row r="22" ht="66" customHeight="1">
      <c r="A22" s="2" t="n">
        <v>21</v>
      </c>
      <c r="B22" s="2" t="inlineStr">
        <is>
          <t>07/24/2013</t>
        </is>
      </c>
      <c r="C22" s="2" t="inlineStr">
        <is>
          <t>Party C</t>
        </is>
      </c>
      <c r="D22" s="2" t="inlineStr">
        <is>
          <t>Bid</t>
        </is>
      </c>
      <c r="E22" s="2" t="n">
        <v>1</v>
      </c>
      <c r="F22" s="2" t="n">
        <v>1</v>
      </c>
      <c r="G22" s="2" t="inlineStr">
        <is>
          <t>Financial</t>
        </is>
      </c>
      <c r="H22" s="2" t="inlineStr">
        <is>
          <t>Oral preliminary indication of interest: all cash at $15.00–$17.00 per share, presented by telephone to BofA Merrill Lynch; considered on 07/25/2013 (late bids accepted).</t>
        </is>
      </c>
      <c r="I22" s="2" t="inlineStr">
        <is>
          <t>Informal</t>
        </is>
      </c>
      <c r="J22" s="2" t="inlineStr">
        <is>
          <t>Heavy</t>
        </is>
      </c>
      <c r="K22" s="2" t="inlineStr">
        <is>
          <t>Stated range, oral form and timing. Formality Informal (preliminary indication before diligence). Conditions Heavy by context (pre-diligence indication). “representatives from Party C called BofA Merrill Lynch and presented an oral preliminary indication of interest at an all-cash purchase price of $15.00 to $17.00 per share” (source P-035, printed page 33).</t>
        </is>
      </c>
      <c r="L22" s="3" t="inlineStr">
        <is>
          <t>P-035; P-036</t>
        </is>
      </c>
      <c r="M22" s="2" t="inlineStr">
        <is>
          <t>Q6</t>
        </is>
      </c>
      <c r="N22" s="2" t="inlineStr"/>
      <c r="O22" s="2" t="inlineStr">
        <is>
          <t>R021</t>
        </is>
      </c>
      <c r="P22" s="2" t="inlineStr">
        <is>
          <t>Yes</t>
        </is>
      </c>
      <c r="Q22" s="2" t="n">
        <v>1</v>
      </c>
      <c r="R22" s="4" t="n">
        <v>41479</v>
      </c>
      <c r="S22" s="4" t="n">
        <v>41479</v>
      </c>
      <c r="T22" s="4" t="n">
        <v>41479</v>
      </c>
      <c r="U22" s="2" t="inlineStr">
        <is>
          <t>Reported day</t>
        </is>
      </c>
      <c r="V22" s="2" t="inlineStr">
        <is>
          <t>Reported</t>
        </is>
      </c>
      <c r="W22" s="5" t="n">
        <v>15</v>
      </c>
      <c r="X22" s="5" t="n">
        <v>17</v>
      </c>
      <c r="Y22" s="2" t="inlineStr">
        <is>
          <t>Bidder range</t>
        </is>
      </c>
      <c r="Z22" s="2" t="inlineStr">
        <is>
          <t>Stated</t>
        </is>
      </c>
      <c r="AA22" s="2" t="inlineStr">
        <is>
          <t>USD</t>
        </is>
      </c>
      <c r="AB22" s="2" t="inlineStr">
        <is>
          <t>Yes</t>
        </is>
      </c>
      <c r="AC22" s="2" t="n"/>
      <c r="AD22" s="2" t="inlineStr">
        <is>
          <t>Fin: not stated; DD required: not stated; DD open: no; Excl: not stated</t>
        </is>
      </c>
      <c r="AE22" s="2" t="n"/>
      <c r="AF22" s="2" t="n"/>
      <c r="AG22" s="2" t="n"/>
      <c r="AH22" s="2" t="n"/>
      <c r="AI22" s="2" t="n"/>
      <c r="AJ22" s="2" t="n"/>
      <c r="AK22" s="2" t="n">
        <v>33</v>
      </c>
      <c r="AL22" s="2" t="inlineStr">
        <is>
          <t>follows R014; superseded by written version R022</t>
        </is>
      </c>
      <c r="AM22" s="2" t="inlineStr">
        <is>
          <t>Mac-Gray</t>
        </is>
      </c>
    </row>
    <row r="23" ht="78.59999999999999" customHeight="1">
      <c r="A23" s="2" t="n">
        <v>22</v>
      </c>
      <c r="B23" s="2" t="inlineStr">
        <is>
          <t>07/25/2013</t>
        </is>
      </c>
      <c r="C23" s="2" t="inlineStr">
        <is>
          <t>Party C</t>
        </is>
      </c>
      <c r="D23" s="2" t="inlineStr">
        <is>
          <t>Bid</t>
        </is>
      </c>
      <c r="E23" s="2" t="n">
        <v>1</v>
      </c>
      <c r="F23" s="2" t="n">
        <v>1</v>
      </c>
      <c r="G23" s="2" t="inlineStr">
        <is>
          <t>Financial</t>
        </is>
      </c>
      <c r="H23" s="2" t="inlineStr">
        <is>
          <t>Same preliminary indication put in writing at a narrowed $16.00–$16.50 per share; the written version revises the oral range given the previous day.</t>
        </is>
      </c>
      <c r="I23" s="2" t="inlineStr">
        <is>
          <t>Informal</t>
        </is>
      </c>
      <c r="J23" s="2" t="inlineStr">
        <is>
          <t>Heavy</t>
        </is>
      </c>
      <c r="K23" s="2" t="inlineStr">
        <is>
          <t>Stated range and written form. Count 0 because this is the same bidder unit’s preliminary indication already counted earlier in Round 1 (repeated/revised description); formality and conditions unchanged from the oral indication. “Later on July 25, 2013, Party C submitted a written indication of interest at an all-cash purchase price of $16.00 to $16.50 per share.” (source P-039, printed page 34).</t>
        </is>
      </c>
      <c r="L23" s="3" t="inlineStr">
        <is>
          <t>P-039</t>
        </is>
      </c>
      <c r="M23" s="2" t="inlineStr">
        <is>
          <t>Q6</t>
        </is>
      </c>
      <c r="N23" s="2" t="inlineStr"/>
      <c r="O23" s="2" t="inlineStr">
        <is>
          <t>R022</t>
        </is>
      </c>
      <c r="P23" s="2" t="inlineStr">
        <is>
          <t>Yes</t>
        </is>
      </c>
      <c r="Q23" s="2" t="n">
        <v>0</v>
      </c>
      <c r="R23" s="4" t="n">
        <v>41480</v>
      </c>
      <c r="S23" s="4" t="n">
        <v>41480</v>
      </c>
      <c r="T23" s="4" t="n">
        <v>41480</v>
      </c>
      <c r="U23" s="2" t="inlineStr">
        <is>
          <t>Reported day</t>
        </is>
      </c>
      <c r="V23" s="2" t="inlineStr">
        <is>
          <t>Reported</t>
        </is>
      </c>
      <c r="W23" s="5" t="n">
        <v>16</v>
      </c>
      <c r="X23" s="5" t="n">
        <v>16.5</v>
      </c>
      <c r="Y23" s="2" t="inlineStr">
        <is>
          <t>Bidder range</t>
        </is>
      </c>
      <c r="Z23" s="2" t="inlineStr">
        <is>
          <t>Stated</t>
        </is>
      </c>
      <c r="AA23" s="2" t="inlineStr">
        <is>
          <t>USD</t>
        </is>
      </c>
      <c r="AB23" s="2" t="inlineStr">
        <is>
          <t>Yes</t>
        </is>
      </c>
      <c r="AC23" s="2" t="n"/>
      <c r="AD23" s="2" t="inlineStr">
        <is>
          <t>Fin: not stated; DD required: not stated; DD open: no; Excl: not stated</t>
        </is>
      </c>
      <c r="AE23" s="2" t="n"/>
      <c r="AF23" s="2" t="n"/>
      <c r="AG23" s="2" t="n"/>
      <c r="AH23" s="2" t="n"/>
      <c r="AI23" s="2" t="n"/>
      <c r="AJ23" s="2" t="n"/>
      <c r="AK23" s="2" t="n">
        <v>34</v>
      </c>
      <c r="AL23" s="2" t="inlineStr">
        <is>
          <t>revises (written version of same indication) R021</t>
        </is>
      </c>
      <c r="AM23" s="2" t="inlineStr">
        <is>
          <t>Mac-Gray</t>
        </is>
      </c>
    </row>
    <row r="24" ht="166.8" customHeight="1">
      <c r="A24" s="2" t="n">
        <v>23</v>
      </c>
      <c r="B24" s="2" t="inlineStr">
        <is>
          <t>07/25/2013</t>
        </is>
      </c>
      <c r="C24" s="2" t="inlineStr">
        <is>
          <t>Mac-Gray Special Committee</t>
        </is>
      </c>
      <c r="D24" s="2" t="inlineStr">
        <is>
          <t>Round opened</t>
        </is>
      </c>
      <c r="E24" s="2" t="n">
        <v>1</v>
      </c>
      <c r="F24" s="2" t="n">
        <v>2</v>
      </c>
      <c r="G24" s="2" t="inlineStr"/>
      <c r="H24" s="2" t="inlineStr">
        <is>
          <t>R2 opened: after reviewing the preliminary indications (all lower than expected), the Special Committee selected the four interested bidders for the second stage — management presentations and staged data-site access — and authorized BofA Merrill Lynch to proceed with the staged disclosure and to request revised indications of interest. Party A’s management meeting was conditional on its agreeing a confidentiality agreement. Revised written proposals were requested on 08/27/2013 with a 09/09/2013 due date (see deadline rows). Finality: Not final — no finality announcement; the round continued to a final-indication stage.</t>
        </is>
      </c>
      <c r="I24" s="2" t="inlineStr"/>
      <c r="J24" s="2" t="inlineStr"/>
      <c r="K24" s="2" t="inlineStr">
        <is>
          <t>Round boundary from selection of advancing participants plus a distinct information stage linked to new offers. Uniform access (presentations to all four) is recorded on this row; differentiated access is its own Information access changed row. Mr. Rothenberg’s duration recusal belongs to the exclusion row.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(source P-037, printed page 33). “the Special Committee authorized and instructed BofA Merrill Lynch to proceed with the staged disclosure as discussed at this meeting and to reach out to each of the four interested bidders and arrange management meetings” (source P-038, printed page 34). “and to then request that each of these parties submit a revised indication of interest” (source P-038, printed page 34).</t>
        </is>
      </c>
      <c r="L24" s="3" t="inlineStr">
        <is>
          <t>P-037; P-038</t>
        </is>
      </c>
      <c r="M24" s="2" t="inlineStr">
        <is>
          <t>Q1</t>
        </is>
      </c>
      <c r="N24" s="2" t="inlineStr"/>
      <c r="O24" s="2" t="inlineStr">
        <is>
          <t>R023</t>
        </is>
      </c>
      <c r="P24" s="2" t="inlineStr">
        <is>
          <t>Yes</t>
        </is>
      </c>
      <c r="Q24" s="2" t="n"/>
      <c r="R24" s="4" t="n">
        <v>41480</v>
      </c>
      <c r="S24" s="4" t="n">
        <v>41480</v>
      </c>
      <c r="T24" s="4" t="n">
        <v>41480</v>
      </c>
      <c r="U24" s="2" t="inlineStr">
        <is>
          <t>Reported day</t>
        </is>
      </c>
      <c r="V24" s="2" t="inlineStr">
        <is>
          <t>Reported</t>
        </is>
      </c>
      <c r="W24" s="2" t="n"/>
      <c r="X24" s="2" t="n"/>
      <c r="Y24" s="2" t="n"/>
      <c r="Z24" s="2" t="n"/>
      <c r="AA24" s="2" t="n"/>
      <c r="AB24" s="2" t="n"/>
      <c r="AC24" s="2" t="n"/>
      <c r="AD24" s="2" t="n"/>
      <c r="AE24" s="2" t="n"/>
      <c r="AF24" s="2" t="n"/>
      <c r="AG24" s="2" t="inlineStr">
        <is>
          <t>Not final</t>
        </is>
      </c>
      <c r="AH24" s="2" t="n"/>
      <c r="AI24" s="2" t="n"/>
      <c r="AJ24" s="2" t="n"/>
      <c r="AK24" s="2" t="n">
        <v>33</v>
      </c>
      <c r="AL24" s="2" t="inlineStr">
        <is>
          <t>follows R010; opens staged access R025; requests revised proposals R027</t>
        </is>
      </c>
      <c r="AM24" s="2" t="inlineStr">
        <is>
          <t>Mac-Gray</t>
        </is>
      </c>
    </row>
    <row r="25" ht="116.4" customHeight="1">
      <c r="A25" s="2" t="n">
        <v>24</v>
      </c>
      <c r="B25" s="2" t="inlineStr">
        <is>
          <t>08/05/2013</t>
        </is>
      </c>
      <c r="C25" s="2" t="inlineStr">
        <is>
          <t>Party A</t>
        </is>
      </c>
      <c r="D25" s="2" t="inlineStr">
        <is>
          <t>NDA signed</t>
        </is>
      </c>
      <c r="E25" s="2" t="n">
        <v>1</v>
      </c>
      <c r="F25" s="2" t="n">
        <v>1</v>
      </c>
      <c r="G25" s="2" t="inlineStr">
        <is>
          <t>Strategic</t>
        </is>
      </c>
      <c r="H25" s="2" t="inlineStr">
        <is>
          <t>Confidentiality and standstill agreement executed after negotiations paused over the customer and employee non-solicitation provisions; informational package furnished to enable improvement of the June 21 proposal. Last of the four bidder NDAs.</t>
        </is>
      </c>
      <c r="I25" s="2" t="inlineStr"/>
      <c r="J25" s="2" t="inlineStr"/>
      <c r="K25" s="2" t="inlineStr">
        <is>
          <t>Stated execution day. Source typo retained: Discussions with Party A resumed on July 27, 2103 (read 07/27/2013); the filing places the resumed negotiations between 07/11/2013 and 07/23/2013. “Discussions with Party A resumed on July 27, 2103 and Party A and the Transaction Committee agreed to the terms of the customer and employee non-solicitation provisions.” (source P-040, printed page 34). “On August 5, 2013, Party A entered into a confidentiality and standstill agreement with Mac-Gray and was provided with an informational package for the purpose of providing Party A with data to potentially improve the terms of the Party A June 21 proposal.” (source P-040, printed page 34).</t>
        </is>
      </c>
      <c r="L25" s="3" t="inlineStr">
        <is>
          <t>P-040; P-033</t>
        </is>
      </c>
      <c r="M25" s="2" t="inlineStr">
        <is>
          <t>Q3, Q8</t>
        </is>
      </c>
      <c r="N25" s="2" t="inlineStr"/>
      <c r="O25" s="2" t="inlineStr">
        <is>
          <t>R024</t>
        </is>
      </c>
      <c r="P25" s="2" t="inlineStr">
        <is>
          <t>Yes</t>
        </is>
      </c>
      <c r="Q25" s="2" t="n">
        <v>1</v>
      </c>
      <c r="R25" s="4" t="n">
        <v>41491</v>
      </c>
      <c r="S25" s="4" t="n">
        <v>41491</v>
      </c>
      <c r="T25" s="4" t="n">
        <v>41491</v>
      </c>
      <c r="U25" s="2" t="inlineStr">
        <is>
          <t>Reported day</t>
        </is>
      </c>
      <c r="V25" s="2" t="inlineStr">
        <is>
          <t>Reported</t>
        </is>
      </c>
      <c r="W25" s="2" t="n"/>
      <c r="X25" s="2" t="n"/>
      <c r="Y25" s="2" t="n"/>
      <c r="Z25" s="2" t="n"/>
      <c r="AA25" s="2" t="n"/>
      <c r="AB25" s="2" t="n"/>
      <c r="AC25" s="2" t="n"/>
      <c r="AD25" s="2" t="n"/>
      <c r="AE25" s="2" t="n"/>
      <c r="AF25" s="2" t="n"/>
      <c r="AG25" s="2" t="n"/>
      <c r="AH25" s="2" t="n"/>
      <c r="AI25" s="2" t="n"/>
      <c r="AJ25" s="2" t="n"/>
      <c r="AK25" s="2" t="n">
        <v>34</v>
      </c>
      <c r="AL25" s="2" t="inlineStr">
        <is>
          <t>counted within/reported separately R011; followed by R030</t>
        </is>
      </c>
      <c r="AM25" s="2" t="inlineStr">
        <is>
          <t>Mac-Gray</t>
        </is>
      </c>
    </row>
    <row r="26" ht="129" customHeight="1">
      <c r="A26" s="2" t="n">
        <v>25</v>
      </c>
      <c r="B26" s="2" t="inlineStr">
        <is>
          <t>between 08/06/2013 and 08/27/2013</t>
        </is>
      </c>
      <c r="C26" s="2" t="inlineStr">
        <is>
          <t>Party A and CSC/Pamplona (limited) vs. Party B and Party C (broad)</t>
        </is>
      </c>
      <c r="D26" s="2" t="inlineStr">
        <is>
          <t>Information access changed</t>
        </is>
      </c>
      <c r="E26" s="2" t="n">
        <v>1</v>
      </c>
      <c r="F26" s="2" t="n">
        <v>2</v>
      </c>
      <c r="G26" s="2" t="inlineStr"/>
      <c r="H26" s="2" t="inlineStr">
        <is>
          <t>Tiered access during the August 6–27 diligence: Party B and Party C (financial bidders) were given broad access to the electronic data site while Party A and CSC/Pamplona (strategic bidders) were given somewhat limited access, with customer data including customer locations reserved until later in the process. Management presentations were given to all four (Party B 08/06, Party C 08/08, CSC/Pamplona 08/12, Party A 08/14), and Party A and CSC/Pamplona had synergy discussions with management.</t>
        </is>
      </c>
      <c r="I26" s="2" t="inlineStr"/>
      <c r="J26" s="2" t="inlineStr"/>
      <c r="K26" s="2" t="inlineStr">
        <is>
          <t>Stated interval, recipients, withholding and rationale (staging decided at the 07/25/2013 meeting). Access given alike to all four is recorded on the Round 2 row; this row records the differentiation. Working date = first day of the period (Assigned: bound). “During this time,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25th Special Committee meeting.” (source P-046, printed page 34).</t>
        </is>
      </c>
      <c r="L26" s="3" t="inlineStr">
        <is>
          <t>P-046; P-041; P-042; P-043; P-044</t>
        </is>
      </c>
      <c r="M26" s="2" t="inlineStr">
        <is>
          <t>Q3</t>
        </is>
      </c>
      <c r="N26" s="2" t="inlineStr"/>
      <c r="O26" s="2" t="inlineStr">
        <is>
          <t>R025</t>
        </is>
      </c>
      <c r="P26" s="2" t="inlineStr">
        <is>
          <t>Yes</t>
        </is>
      </c>
      <c r="Q26" s="2" t="n"/>
      <c r="R26" s="4" t="n">
        <v>41492</v>
      </c>
      <c r="S26" s="4" t="n">
        <v>41513</v>
      </c>
      <c r="T26" s="4" t="n">
        <v>41492</v>
      </c>
      <c r="U26" s="2" t="inlineStr">
        <is>
          <t>Reported interval</t>
        </is>
      </c>
      <c r="V26" s="2" t="inlineStr">
        <is>
          <t>Assigned: bound</t>
        </is>
      </c>
      <c r="W26" s="2" t="n"/>
      <c r="X26" s="2" t="n"/>
      <c r="Y26" s="2" t="n"/>
      <c r="Z26" s="2" t="n"/>
      <c r="AA26" s="2" t="n"/>
      <c r="AB26" s="2" t="n"/>
      <c r="AC26" s="2" t="n"/>
      <c r="AD26" s="2" t="n"/>
      <c r="AE26" s="2" t="n"/>
      <c r="AF26" s="2" t="n"/>
      <c r="AG26" s="2" t="n"/>
      <c r="AH26" s="2" t="n"/>
      <c r="AI26" s="2" t="n"/>
      <c r="AJ26" s="2" t="n"/>
      <c r="AK26" s="2" t="n">
        <v>34</v>
      </c>
      <c r="AL26" s="2" t="inlineStr">
        <is>
          <t>implements staged access R023; later full access to winner R046</t>
        </is>
      </c>
      <c r="AM26" s="2" t="inlineStr">
        <is>
          <t>Mac-Gray</t>
        </is>
      </c>
    </row>
    <row r="27" ht="116.4" customHeight="1">
      <c r="A27" s="2" t="n">
        <v>26</v>
      </c>
      <c r="B27" s="2" t="inlineStr">
        <is>
          <t>08/27/2013</t>
        </is>
      </c>
      <c r="C27" s="2" t="inlineStr">
        <is>
          <t>Mac-Gray (via BofA Merrill Lynch)</t>
        </is>
      </c>
      <c r="D27" s="2" t="inlineStr">
        <is>
          <t>Deadline set</t>
        </is>
      </c>
      <c r="E27" s="2" t="n">
        <v>1</v>
      </c>
      <c r="F27" s="2" t="n">
        <v>2</v>
      </c>
      <c r="G27" s="2" t="inlineStr"/>
      <c r="H27" s="2" t="inlineStr">
        <is>
          <t>BofA Merrill Lynch, as instructed (authorization 08/15/2013), sent letters to Party A, Party B, Party C and CSC/Pamplona instructing revised written proposals no later than 09/09/2013 to continue in the process toward in-depth confirmatory diligence; proposals to address valuation, financing sources and structures, regulatory approvals, post-signing covenants and diligence focus areas.</t>
        </is>
      </c>
      <c r="I27" s="2" t="inlineStr"/>
      <c r="J27" s="2" t="inlineStr"/>
      <c r="K27" s="2" t="inlineStr">
        <is>
          <t>Stated communication date; new bid-submission due date for Round 2 (09/09/2013). “sent a letter to each of Party A, Party B, Party C and CSC/Pamplona instructing such bidders to submit revised written proposals no later than September 9, 2013” (source P-047, printed page 35).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(source P-045, printed page 34).</t>
        </is>
      </c>
      <c r="L27" s="3" t="inlineStr">
        <is>
          <t>P-047; P-045</t>
        </is>
      </c>
      <c r="M27" s="2" t="inlineStr">
        <is>
          <t>Q2</t>
        </is>
      </c>
      <c r="N27" s="2" t="inlineStr"/>
      <c r="O27" s="2" t="inlineStr">
        <is>
          <t>R026</t>
        </is>
      </c>
      <c r="P27" s="2" t="inlineStr">
        <is>
          <t>Yes</t>
        </is>
      </c>
      <c r="Q27" s="2" t="n"/>
      <c r="R27" s="4" t="n">
        <v>41513</v>
      </c>
      <c r="S27" s="4" t="n">
        <v>41513</v>
      </c>
      <c r="T27" s="4" t="n">
        <v>41513</v>
      </c>
      <c r="U27" s="2" t="inlineStr">
        <is>
          <t>Reported day</t>
        </is>
      </c>
      <c r="V27" s="2" t="inlineStr">
        <is>
          <t>Reported</t>
        </is>
      </c>
      <c r="W27" s="2" t="n"/>
      <c r="X27" s="2" t="n"/>
      <c r="Y27" s="2" t="n"/>
      <c r="Z27" s="2" t="n"/>
      <c r="AA27" s="2" t="n"/>
      <c r="AB27" s="2" t="n"/>
      <c r="AC27" s="2" t="n"/>
      <c r="AD27" s="2" t="n"/>
      <c r="AE27" s="4" t="n">
        <v>41526</v>
      </c>
      <c r="AF27" s="2" t="n"/>
      <c r="AG27" s="2" t="n"/>
      <c r="AH27" s="2" t="n"/>
      <c r="AI27" s="2" t="n"/>
      <c r="AJ27" s="2" t="n"/>
      <c r="AK27" s="2" t="n">
        <v>35</v>
      </c>
      <c r="AL27" s="2" t="inlineStr">
        <is>
          <t>follows R023; sets R027</t>
        </is>
      </c>
      <c r="AM27" s="2" t="inlineStr">
        <is>
          <t>Mac-Gray</t>
        </is>
      </c>
    </row>
    <row r="28" ht="103.8" customHeight="1">
      <c r="A28" s="2" t="n">
        <v>27</v>
      </c>
      <c r="B28" s="2" t="inlineStr">
        <is>
          <t>09/09/2013 (revised-proposal due date)</t>
        </is>
      </c>
      <c r="C28" s="2" t="inlineStr">
        <is>
          <t>Mac-Gray (solicitation deadline)</t>
        </is>
      </c>
      <c r="D28" s="2" t="inlineStr">
        <is>
          <t>Deadline</t>
        </is>
      </c>
      <c r="E28" s="2" t="n">
        <v>1</v>
      </c>
      <c r="F28" s="2" t="n">
        <v>2</v>
      </c>
      <c r="G28" s="2" t="inlineStr"/>
      <c r="H28" s="2" t="inlineStr">
        <is>
          <t>Scheduled due date for revised written proposals. CSC/Pamplona and Party B submitted on the date; Party A and Party C submitted on 09/10/2013 and were considered at the 09/11/2013 Special Committee meeting — late bids accepted; the date was not revised.</t>
        </is>
      </c>
      <c r="I28" s="2" t="inlineStr"/>
      <c r="J28" s="2" t="inlineStr"/>
      <c r="K28" s="2" t="inlineStr">
        <is>
          <t>Treatment from what followed in the same round: submissions dated after the due date were considered without revision — Late bids accepted. “submit revised written proposals no later than September 9, 2013” (source P-047, printed page 35). “On September 10, 2013, Party A submitted a revised indication of interest with an all-cash purchase price of $18.00 to $19.00 per share” (source P-052, printed page 35). “the Special Committee held a telephonic meeting to review the revised indications of interest submitted by Party A, Party B, Party C and CSC/Pamplona” (source P-054, printed page 35).</t>
        </is>
      </c>
      <c r="L28" s="3" t="inlineStr">
        <is>
          <t>P-047; P-052; P-054</t>
        </is>
      </c>
      <c r="M28" s="2" t="inlineStr">
        <is>
          <t>Q2</t>
        </is>
      </c>
      <c r="N28" s="2" t="inlineStr"/>
      <c r="O28" s="2" t="inlineStr">
        <is>
          <t>R027</t>
        </is>
      </c>
      <c r="P28" s="2" t="inlineStr">
        <is>
          <t>Yes</t>
        </is>
      </c>
      <c r="Q28" s="2" t="n"/>
      <c r="R28" s="4" t="n">
        <v>41526</v>
      </c>
      <c r="S28" s="4" t="n">
        <v>41526</v>
      </c>
      <c r="T28" s="4" t="n">
        <v>41526</v>
      </c>
      <c r="U28" s="2" t="inlineStr">
        <is>
          <t>Reported day</t>
        </is>
      </c>
      <c r="V28" s="2" t="inlineStr">
        <is>
          <t>Reported</t>
        </is>
      </c>
      <c r="W28" s="2" t="n"/>
      <c r="X28" s="2" t="n"/>
      <c r="Y28" s="2" t="n"/>
      <c r="Z28" s="2" t="n"/>
      <c r="AA28" s="2" t="n"/>
      <c r="AB28" s="2" t="n"/>
      <c r="AC28" s="2" t="n"/>
      <c r="AD28" s="2" t="n"/>
      <c r="AE28" s="4" t="n">
        <v>41526</v>
      </c>
      <c r="AF28" s="2" t="inlineStr">
        <is>
          <t>Late bids accepted</t>
        </is>
      </c>
      <c r="AG28" s="2" t="n"/>
      <c r="AH28" s="2" t="n"/>
      <c r="AI28" s="2" t="n"/>
      <c r="AJ28" s="2" t="n"/>
      <c r="AK28" s="2" t="n">
        <v>35</v>
      </c>
      <c r="AL28" s="2" t="inlineStr"/>
      <c r="AM28" s="2" t="inlineStr">
        <is>
          <t>Mac-Gray</t>
        </is>
      </c>
    </row>
    <row r="29" ht="141.6" customHeight="1">
      <c r="A29" s="2" t="n">
        <v>28</v>
      </c>
      <c r="B29" s="2" t="inlineStr">
        <is>
          <t>09/09/2013</t>
        </is>
      </c>
      <c r="C29" s="2" t="inlineStr">
        <is>
          <t>CSC/Pamplona</t>
        </is>
      </c>
      <c r="D29" s="2" t="inlineStr">
        <is>
          <t>Bid</t>
        </is>
      </c>
      <c r="E29" s="2" t="n">
        <v>1</v>
      </c>
      <c r="F29" s="2" t="n">
        <v>2</v>
      </c>
      <c r="G29" s="2" t="inlineStr">
        <is>
          <t>Strategic</t>
        </is>
      </c>
      <c r="H29" s="2" t="inlineStr">
        <is>
          <t>Revised indication of interest: all cash at $19.50 per share. Pamplona committed to provide 100% of the capital required to consummate the transaction; requested two-week exclusive negotiations. No third-party financing needed.</t>
        </is>
      </c>
      <c r="I29" s="2" t="inlineStr">
        <is>
          <t>Informal</t>
        </is>
      </c>
      <c r="J29" s="2" t="inlineStr">
        <is>
          <t>Light</t>
        </is>
      </c>
      <c r="K29" s="2" t="inlineStr">
        <is>
          <t>Stated price and commitment. Formality Informal: a revised indication submitted to continue in the process, not a response to a final solicitation; no markup or other formal signal. Conditions Light: committed financing with no diligence condition attached (the two-week exclusive negotiation is treated as an exclusivity request, not an attached substantive diligence period — flagged in Q6). DD open: yes (continuing diligence).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(source P-051, printed page 35).</t>
        </is>
      </c>
      <c r="L29" s="3" t="inlineStr">
        <is>
          <t>P-051</t>
        </is>
      </c>
      <c r="M29" s="2" t="inlineStr">
        <is>
          <t>Q5, Q6</t>
        </is>
      </c>
      <c r="N29" s="2" t="inlineStr"/>
      <c r="O29" s="2" t="inlineStr">
        <is>
          <t>R028</t>
        </is>
      </c>
      <c r="P29" s="2" t="inlineStr">
        <is>
          <t>Yes</t>
        </is>
      </c>
      <c r="Q29" s="2" t="n">
        <v>1</v>
      </c>
      <c r="R29" s="4" t="n">
        <v>41526</v>
      </c>
      <c r="S29" s="4" t="n">
        <v>41526</v>
      </c>
      <c r="T29" s="4" t="n">
        <v>41526</v>
      </c>
      <c r="U29" s="2" t="inlineStr">
        <is>
          <t>Reported day</t>
        </is>
      </c>
      <c r="V29" s="2" t="inlineStr">
        <is>
          <t>Reported</t>
        </is>
      </c>
      <c r="W29" s="5" t="n">
        <v>19.5</v>
      </c>
      <c r="X29" s="5" t="n">
        <v>19.5</v>
      </c>
      <c r="Y29" s="2" t="inlineStr">
        <is>
          <t>Point</t>
        </is>
      </c>
      <c r="Z29" s="2" t="inlineStr">
        <is>
          <t>Stated</t>
        </is>
      </c>
      <c r="AA29" s="2" t="inlineStr">
        <is>
          <t>USD</t>
        </is>
      </c>
      <c r="AB29" s="2" t="inlineStr">
        <is>
          <t>Yes</t>
        </is>
      </c>
      <c r="AC29" s="2" t="n">
        <v>19.5</v>
      </c>
      <c r="AD29" s="2" t="inlineStr">
        <is>
          <t>Fin: committed; DD required: not stated; DD open: yes; Excl: requested (2 wks)</t>
        </is>
      </c>
      <c r="AE29" s="2" t="n"/>
      <c r="AF29" s="2" t="n"/>
      <c r="AG29" s="2" t="n"/>
      <c r="AH29" s="2" t="n"/>
      <c r="AI29" s="2" t="n"/>
      <c r="AJ29" s="2" t="n"/>
      <c r="AK29" s="2" t="n">
        <v>35</v>
      </c>
      <c r="AL29" s="2" t="inlineStr">
        <is>
          <t>revises R018; revised by R035</t>
        </is>
      </c>
      <c r="AM29" s="2" t="inlineStr">
        <is>
          <t>Mac-Gray</t>
        </is>
      </c>
    </row>
    <row r="30" ht="103.8" customHeight="1">
      <c r="A30" s="2" t="n">
        <v>29</v>
      </c>
      <c r="B30" s="2" t="inlineStr">
        <is>
          <t>09/09/2013</t>
        </is>
      </c>
      <c r="C30" s="2" t="inlineStr">
        <is>
          <t>Party B</t>
        </is>
      </c>
      <c r="D30" s="2" t="inlineStr">
        <is>
          <t>Bid</t>
        </is>
      </c>
      <c r="E30" s="2" t="n">
        <v>1</v>
      </c>
      <c r="F30" s="2" t="n">
        <v>2</v>
      </c>
      <c r="G30" s="2" t="inlineStr">
        <is>
          <t>Financial</t>
        </is>
      </c>
      <c r="H30" s="2" t="inlineStr">
        <is>
          <t>Revised indication of interest: all cash at $18.50 per share; proposed financing from a combination of equity from affiliated funds and third-party debt. No firm financing commitment.</t>
        </is>
      </c>
      <c r="I30" s="2" t="inlineStr">
        <is>
          <t>Informal</t>
        </is>
      </c>
      <c r="J30" s="2" t="inlineStr">
        <is>
          <t>Heavy</t>
        </is>
      </c>
      <c r="K30" s="2" t="inlineStr">
        <is>
          <t>Stated price, financing plan and absence of a firm commitment. Formality Informal (revised indication in the continuing process). Conditions Heavy: reported absence of committed financing; third-party debt dependence later emphasized by the Special Committee.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(source P-051, printed page 35).</t>
        </is>
      </c>
      <c r="L30" s="3" t="inlineStr">
        <is>
          <t>P-051</t>
        </is>
      </c>
      <c r="M30" s="2" t="inlineStr">
        <is>
          <t>Q6</t>
        </is>
      </c>
      <c r="N30" s="2" t="inlineStr"/>
      <c r="O30" s="2" t="inlineStr">
        <is>
          <t>R029</t>
        </is>
      </c>
      <c r="P30" s="2" t="inlineStr">
        <is>
          <t>Yes</t>
        </is>
      </c>
      <c r="Q30" s="2" t="n">
        <v>1</v>
      </c>
      <c r="R30" s="4" t="n">
        <v>41526</v>
      </c>
      <c r="S30" s="4" t="n">
        <v>41526</v>
      </c>
      <c r="T30" s="4" t="n">
        <v>41526</v>
      </c>
      <c r="U30" s="2" t="inlineStr">
        <is>
          <t>Reported day</t>
        </is>
      </c>
      <c r="V30" s="2" t="inlineStr">
        <is>
          <t>Reported</t>
        </is>
      </c>
      <c r="W30" s="5" t="n">
        <v>18.5</v>
      </c>
      <c r="X30" s="5" t="n">
        <v>18.5</v>
      </c>
      <c r="Y30" s="2" t="inlineStr">
        <is>
          <t>Point</t>
        </is>
      </c>
      <c r="Z30" s="2" t="inlineStr">
        <is>
          <t>Stated</t>
        </is>
      </c>
      <c r="AA30" s="2" t="inlineStr">
        <is>
          <t>USD</t>
        </is>
      </c>
      <c r="AB30" s="2" t="inlineStr">
        <is>
          <t>Yes</t>
        </is>
      </c>
      <c r="AC30" s="2" t="n">
        <v>18.5</v>
      </c>
      <c r="AD30" s="2" t="inlineStr">
        <is>
          <t>Fin: not committed; DD required: not stated; DD open: yes; Excl: not stated</t>
        </is>
      </c>
      <c r="AE30" s="2" t="n"/>
      <c r="AF30" s="2" t="n"/>
      <c r="AG30" s="2" t="n"/>
      <c r="AH30" s="2" t="n"/>
      <c r="AI30" s="2" t="n"/>
      <c r="AJ30" s="2" t="n"/>
      <c r="AK30" s="2" t="n">
        <v>35</v>
      </c>
      <c r="AL30" s="2" t="inlineStr">
        <is>
          <t>revises R020; revised by R037</t>
        </is>
      </c>
      <c r="AM30" s="2" t="inlineStr">
        <is>
          <t>Mac-Gray</t>
        </is>
      </c>
    </row>
    <row r="31" ht="103.8" customHeight="1">
      <c r="A31" s="2" t="n">
        <v>30</v>
      </c>
      <c r="B31" s="2" t="inlineStr">
        <is>
          <t>09/10/2013</t>
        </is>
      </c>
      <c r="C31" s="2" t="inlineStr">
        <is>
          <t>Party A</t>
        </is>
      </c>
      <c r="D31" s="2" t="inlineStr">
        <is>
          <t>Bid</t>
        </is>
      </c>
      <c r="E31" s="2" t="n">
        <v>1</v>
      </c>
      <c r="F31" s="2" t="n">
        <v>2</v>
      </c>
      <c r="G31" s="2" t="inlineStr">
        <is>
          <t>Strategic</t>
        </is>
      </c>
      <c r="H31" s="2" t="inlineStr">
        <is>
          <t>Revised indication of interest: all cash at $18.00–$19.00 per share, to be financed from outstanding credit facilities or affiliated equity sources; no firm financing commitment. Submitted one day after the 09/09/2013 due date and considered on 09/11/2013 (late bids accepted).</t>
        </is>
      </c>
      <c r="I31" s="2" t="inlineStr">
        <is>
          <t>Informal</t>
        </is>
      </c>
      <c r="J31" s="2" t="inlineStr">
        <is>
          <t>Heavy</t>
        </is>
      </c>
      <c r="K31" s="2" t="inlineStr">
        <is>
          <t>Stated range and financing sources; reported absence of a firm commitment. Formality Informal (continuing-process revision). Conditions Heavy (no committed financing). DD open: yes. “On September 10, 2013, Party A submitted a revised indication of interest with an all-cash purchase price of $18.00 to $19.00 per share, to be financed by outstanding credit facilities or affiliated equity sources.” (source P-052, printed page 35). “Neither Party A’s nor Party C’s revised indication of interest included a firm financing commitment.” (source P-052, printed page 35).</t>
        </is>
      </c>
      <c r="L31" s="3" t="inlineStr">
        <is>
          <t>P-052; P-054</t>
        </is>
      </c>
      <c r="M31" s="2" t="inlineStr">
        <is>
          <t>Q6</t>
        </is>
      </c>
      <c r="N31" s="2" t="inlineStr"/>
      <c r="O31" s="2" t="inlineStr">
        <is>
          <t>R030</t>
        </is>
      </c>
      <c r="P31" s="2" t="inlineStr">
        <is>
          <t>Yes</t>
        </is>
      </c>
      <c r="Q31" s="2" t="n">
        <v>1</v>
      </c>
      <c r="R31" s="4" t="n">
        <v>41527</v>
      </c>
      <c r="S31" s="4" t="n">
        <v>41527</v>
      </c>
      <c r="T31" s="4" t="n">
        <v>41527</v>
      </c>
      <c r="U31" s="2" t="inlineStr">
        <is>
          <t>Reported day</t>
        </is>
      </c>
      <c r="V31" s="2" t="inlineStr">
        <is>
          <t>Reported</t>
        </is>
      </c>
      <c r="W31" s="5" t="n">
        <v>18</v>
      </c>
      <c r="X31" s="5" t="n">
        <v>19</v>
      </c>
      <c r="Y31" s="2" t="inlineStr">
        <is>
          <t>Bidder range</t>
        </is>
      </c>
      <c r="Z31" s="2" t="inlineStr">
        <is>
          <t>Stated</t>
        </is>
      </c>
      <c r="AA31" s="2" t="inlineStr">
        <is>
          <t>USD</t>
        </is>
      </c>
      <c r="AB31" s="2" t="inlineStr">
        <is>
          <t>Yes</t>
        </is>
      </c>
      <c r="AC31" s="2" t="n"/>
      <c r="AD31" s="2" t="inlineStr">
        <is>
          <t>Fin: not committed; DD required: not stated; DD open: yes; Excl: not stated</t>
        </is>
      </c>
      <c r="AE31" s="2" t="n"/>
      <c r="AF31" s="2" t="n"/>
      <c r="AG31" s="2" t="n"/>
      <c r="AH31" s="2" t="n"/>
      <c r="AI31" s="2" t="n"/>
      <c r="AJ31" s="2" t="n"/>
      <c r="AK31" s="2" t="n">
        <v>35</v>
      </c>
      <c r="AL31" s="2" t="inlineStr">
        <is>
          <t>revises (previous indication retained) R008; reaffirmed later R036</t>
        </is>
      </c>
      <c r="AM31" s="2" t="inlineStr">
        <is>
          <t>Mac-Gray</t>
        </is>
      </c>
    </row>
    <row r="32" ht="66" customHeight="1">
      <c r="A32" s="2" t="n">
        <v>31</v>
      </c>
      <c r="B32" s="2" t="inlineStr">
        <is>
          <t>09/10/2013</t>
        </is>
      </c>
      <c r="C32" s="2" t="inlineStr">
        <is>
          <t>Party C</t>
        </is>
      </c>
      <c r="D32" s="2" t="inlineStr">
        <is>
          <t>Bid</t>
        </is>
      </c>
      <c r="E32" s="2" t="n">
        <v>1</v>
      </c>
      <c r="F32" s="2" t="n">
        <v>2</v>
      </c>
      <c r="G32" s="2" t="inlineStr">
        <is>
          <t>Financial</t>
        </is>
      </c>
      <c r="H32" s="2" t="inlineStr">
        <is>
          <t>Revised oral indication of interest: all cash at $16.00–$17.00 per share, by telephone to BofA Merrill Lynch; no firm financing commitment. Submitted one day after the 09/09/2013 due date and considered on 09/11/2013 (late bids accepted).</t>
        </is>
      </c>
      <c r="I32" s="2" t="inlineStr">
        <is>
          <t>Informal</t>
        </is>
      </c>
      <c r="J32" s="2" t="inlineStr">
        <is>
          <t>Heavy</t>
        </is>
      </c>
      <c r="K32" s="2" t="inlineStr">
        <is>
          <t>Stated range, oral form and timing; reported absence of a firm commitment. Formality Informal; Conditions Heavy (no committed financing). “a representative of Party C indicated that it was submitting a revised oral indication of interest with an all-cash purchase price of $16.00 to $17.00 per share” (source P-052, printed page 35).</t>
        </is>
      </c>
      <c r="L32" s="3" t="inlineStr">
        <is>
          <t>P-052; P-054</t>
        </is>
      </c>
      <c r="M32" s="2" t="inlineStr">
        <is>
          <t>Q6</t>
        </is>
      </c>
      <c r="N32" s="2" t="inlineStr"/>
      <c r="O32" s="2" t="inlineStr">
        <is>
          <t>R031</t>
        </is>
      </c>
      <c r="P32" s="2" t="inlineStr">
        <is>
          <t>Yes</t>
        </is>
      </c>
      <c r="Q32" s="2" t="n">
        <v>1</v>
      </c>
      <c r="R32" s="4" t="n">
        <v>41527</v>
      </c>
      <c r="S32" s="4" t="n">
        <v>41527</v>
      </c>
      <c r="T32" s="4" t="n">
        <v>41527</v>
      </c>
      <c r="U32" s="2" t="inlineStr">
        <is>
          <t>Reported day</t>
        </is>
      </c>
      <c r="V32" s="2" t="inlineStr">
        <is>
          <t>Reported</t>
        </is>
      </c>
      <c r="W32" s="5" t="n">
        <v>16</v>
      </c>
      <c r="X32" s="5" t="n">
        <v>17</v>
      </c>
      <c r="Y32" s="2" t="inlineStr">
        <is>
          <t>Bidder range</t>
        </is>
      </c>
      <c r="Z32" s="2" t="inlineStr">
        <is>
          <t>Stated</t>
        </is>
      </c>
      <c r="AA32" s="2" t="inlineStr">
        <is>
          <t>USD</t>
        </is>
      </c>
      <c r="AB32" s="2" t="inlineStr">
        <is>
          <t>Yes</t>
        </is>
      </c>
      <c r="AC32" s="2" t="n"/>
      <c r="AD32" s="2" t="inlineStr">
        <is>
          <t>Fin: not committed; DD required: not stated; DD open: yes; Excl: not stated</t>
        </is>
      </c>
      <c r="AE32" s="2" t="n"/>
      <c r="AF32" s="2" t="n"/>
      <c r="AG32" s="2" t="n"/>
      <c r="AH32" s="2" t="n"/>
      <c r="AI32" s="2" t="n"/>
      <c r="AJ32" s="2" t="n"/>
      <c r="AK32" s="2" t="n">
        <v>35</v>
      </c>
      <c r="AL32" s="2" t="inlineStr">
        <is>
          <t>revises R022</t>
        </is>
      </c>
      <c r="AM32" s="2" t="inlineStr">
        <is>
          <t>Mac-Gray</t>
        </is>
      </c>
    </row>
    <row r="33" ht="91.2" customHeight="1">
      <c r="A33" s="2" t="n">
        <v>32</v>
      </c>
      <c r="B33" s="2" t="inlineStr">
        <is>
          <t>09/11/2013</t>
        </is>
      </c>
      <c r="C33" s="2" t="inlineStr">
        <is>
          <t>Stewart G. MacDonald, Jr. (CEO)</t>
        </is>
      </c>
      <c r="D33" s="2" t="inlineStr">
        <is>
          <t>Material process update</t>
        </is>
      </c>
      <c r="E33" s="2" t="n">
        <v>1</v>
      </c>
      <c r="F33" s="2" t="n">
        <v>2</v>
      </c>
      <c r="G33" s="2" t="inlineStr"/>
      <c r="H33" s="2" t="inlineStr">
        <is>
          <t>Mr. MacDonald, given a limited overview without bidder identities or prices, decided he was not interested in rolling over any of his Mac-Gray shares in any transaction (resolved; no rollover formed). A detailed briefing followed on 09/12/2013; he supported continuing the process while urging a higher value.</t>
        </is>
      </c>
      <c r="I33" s="2" t="inlineStr"/>
      <c r="J33" s="2" t="inlineStr"/>
      <c r="K33" s="2" t="inlineStr">
        <is>
          <t>Stated day; resolution row for the CEO rollover relationship under the at-most-two-rows convention (the exclusion itself is recorded separately). “During this call, Mr. MacDonald indicated that he had decided that he was not interested in rolling over any of his shares in any transaction.” (source P-053, printed page 35). “Although Mr. MacDonald voiced his general support for continuing with the process, he expressed his view that Mac-Gray should continue to seek a higher value for stockholders.” (source P-056, printed page 36).</t>
        </is>
      </c>
      <c r="L33" s="3" t="inlineStr">
        <is>
          <t>P-053; P-056</t>
        </is>
      </c>
      <c r="M33" s="2" t="inlineStr">
        <is>
          <t>Q8</t>
        </is>
      </c>
      <c r="N33" s="2" t="inlineStr"/>
      <c r="O33" s="2" t="inlineStr">
        <is>
          <t>R032</t>
        </is>
      </c>
      <c r="P33" s="2" t="inlineStr">
        <is>
          <t>Yes</t>
        </is>
      </c>
      <c r="Q33" s="2" t="n"/>
      <c r="R33" s="4" t="n">
        <v>41528</v>
      </c>
      <c r="S33" s="4" t="n">
        <v>41528</v>
      </c>
      <c r="T33" s="4" t="n">
        <v>41528</v>
      </c>
      <c r="U33" s="2" t="inlineStr">
        <is>
          <t>Reported day</t>
        </is>
      </c>
      <c r="V33" s="2" t="inlineStr">
        <is>
          <t>Reported</t>
        </is>
      </c>
      <c r="W33" s="2" t="n"/>
      <c r="X33" s="2" t="n"/>
      <c r="Y33" s="2" t="n"/>
      <c r="Z33" s="2" t="n"/>
      <c r="AA33" s="2" t="n"/>
      <c r="AB33" s="2" t="n"/>
      <c r="AC33" s="2" t="n"/>
      <c r="AD33" s="2" t="n"/>
      <c r="AE33" s="2" t="n"/>
      <c r="AF33" s="2" t="n"/>
      <c r="AG33" s="2" t="n"/>
      <c r="AH33" s="2" t="n"/>
      <c r="AI33" s="2" t="n"/>
      <c r="AJ33" s="2" t="n"/>
      <c r="AK33" s="2" t="n">
        <v>35</v>
      </c>
      <c r="AL33" s="2" t="inlineStr">
        <is>
          <t>related R009; support at $21.25 R039</t>
        </is>
      </c>
      <c r="AM33" s="2" t="inlineStr">
        <is>
          <t>Mac-Gray</t>
        </is>
      </c>
    </row>
    <row r="34" ht="116.4" customHeight="1">
      <c r="A34" s="2" t="n">
        <v>33</v>
      </c>
      <c r="B34" s="2" t="inlineStr">
        <is>
          <t>09/11/2013</t>
        </is>
      </c>
      <c r="C34" s="2" t="inlineStr">
        <is>
          <t>Mac-Gray Special Committee</t>
        </is>
      </c>
      <c r="D34" s="2" t="inlineStr">
        <is>
          <t>Round opened</t>
        </is>
      </c>
      <c r="E34" s="2" t="n">
        <v>1</v>
      </c>
      <c r="F34" s="2" t="n">
        <v>3</v>
      </c>
      <c r="G34" s="2" t="inlineStr"/>
      <c r="H34" s="2" t="inlineStr">
        <is>
          <t>R3 opened: the Special Committee instructed BofA Merrill Lynch to call each of Party A, Party B, Party C and CSC/Pamplona to request final indications of interest by 09/18/2013 and to indicate that Mac-Gray would consider a short period of exclusive negotiations with one bidder depending on price and deal certainty (calls made the same day). Finality: Announced as final — the bidders were told these were final indications of interest.</t>
        </is>
      </c>
      <c r="I34" s="2" t="inlineStr"/>
      <c r="J34" s="2" t="inlineStr"/>
      <c r="K34" s="2" t="inlineStr">
        <is>
          <t>The target’s first request for final/best-and-final offers opens a new round even though the invited bidders are unchanged; the deadline set in the same instruction is carried on this row as the Due date, per section 8.3.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(source P-055, printed page 36).</t>
        </is>
      </c>
      <c r="L34" s="3" t="inlineStr">
        <is>
          <t>P-055; P-054</t>
        </is>
      </c>
      <c r="M34" s="2" t="inlineStr">
        <is>
          <t>Q1, Q2</t>
        </is>
      </c>
      <c r="N34" s="2" t="inlineStr"/>
      <c r="O34" s="2" t="inlineStr">
        <is>
          <t>R033</t>
        </is>
      </c>
      <c r="P34" s="2" t="inlineStr">
        <is>
          <t>Yes</t>
        </is>
      </c>
      <c r="Q34" s="2" t="n"/>
      <c r="R34" s="4" t="n">
        <v>41528</v>
      </c>
      <c r="S34" s="4" t="n">
        <v>41528</v>
      </c>
      <c r="T34" s="4" t="n">
        <v>41528</v>
      </c>
      <c r="U34" s="2" t="inlineStr">
        <is>
          <t>Reported day</t>
        </is>
      </c>
      <c r="V34" s="2" t="inlineStr">
        <is>
          <t>Reported</t>
        </is>
      </c>
      <c r="W34" s="2" t="n"/>
      <c r="X34" s="2" t="n"/>
      <c r="Y34" s="2" t="n"/>
      <c r="Z34" s="2" t="n"/>
      <c r="AA34" s="2" t="n"/>
      <c r="AB34" s="2" t="n"/>
      <c r="AC34" s="2" t="n"/>
      <c r="AD34" s="2" t="n"/>
      <c r="AE34" s="4" t="n">
        <v>41535</v>
      </c>
      <c r="AF34" s="2" t="n"/>
      <c r="AG34" s="2" t="inlineStr">
        <is>
          <t>Announced as final</t>
        </is>
      </c>
      <c r="AH34" s="2" t="n"/>
      <c r="AI34" s="2" t="n"/>
      <c r="AJ34" s="2" t="n"/>
      <c r="AK34" s="2" t="n">
        <v>36</v>
      </c>
      <c r="AL34" s="2" t="inlineStr">
        <is>
          <t>follows R023; sets final due date R034</t>
        </is>
      </c>
      <c r="AM34" s="2" t="inlineStr">
        <is>
          <t>Mac-Gray</t>
        </is>
      </c>
    </row>
    <row r="35" ht="116.4" customHeight="1">
      <c r="A35" s="2" t="n">
        <v>34</v>
      </c>
      <c r="B35" s="2" t="inlineStr">
        <is>
          <t>09/18/2013 (final-indication due date)</t>
        </is>
      </c>
      <c r="C35" s="2" t="inlineStr">
        <is>
          <t>Mac-Gray (solicitation deadline)</t>
        </is>
      </c>
      <c r="D35" s="2" t="inlineStr">
        <is>
          <t>Deadline</t>
        </is>
      </c>
      <c r="E35" s="2" t="n">
        <v>1</v>
      </c>
      <c r="F35" s="2" t="n">
        <v>3</v>
      </c>
      <c r="G35" s="2" t="inlineStr"/>
      <c r="H35" s="2" t="inlineStr">
        <is>
          <t>Scheduled due date for final indications of interest. CSC/Pamplona and Party B submitted and Party A reaffirmed its best-and-final offer on the date; Party C did not submit. The Special Committee moved the next day to select CSC/Pamplona and authorize exclusivity — the date passed on the bids in hand.</t>
        </is>
      </c>
      <c r="I35" s="2" t="inlineStr"/>
      <c r="J35" s="2" t="inlineStr"/>
      <c r="K35" s="2" t="inlineStr">
        <is>
          <t>Treatment from what followed in the same round: no extension and no acceptance of anything submitted after the date; the target took its next step (selection/exclusivity) on the bids in hand — Enforced. “request final indications of interest by September 18, 2013” (source P-055, printed page 36). “On September 18, 2013, CSC/Pamplona submitted a proposal for an all-cash purchase price of $20.75 per share” (source P-058, printed page 36). “authorized the Transaction Committee to inform CSC/Pamplona that the Special Committee would be prepared to move into exclusivity at a price of $21.25 per share” (source P-061, printed page 37).</t>
        </is>
      </c>
      <c r="L35" s="3" t="inlineStr">
        <is>
          <t>P-055; P-058; P-061</t>
        </is>
      </c>
      <c r="M35" s="2" t="inlineStr">
        <is>
          <t>Q2</t>
        </is>
      </c>
      <c r="N35" s="2" t="inlineStr"/>
      <c r="O35" s="2" t="inlineStr">
        <is>
          <t>R034</t>
        </is>
      </c>
      <c r="P35" s="2" t="inlineStr">
        <is>
          <t>Yes</t>
        </is>
      </c>
      <c r="Q35" s="2" t="n"/>
      <c r="R35" s="4" t="n">
        <v>41535</v>
      </c>
      <c r="S35" s="4" t="n">
        <v>41535</v>
      </c>
      <c r="T35" s="4" t="n">
        <v>41535</v>
      </c>
      <c r="U35" s="2" t="inlineStr">
        <is>
          <t>Reported day</t>
        </is>
      </c>
      <c r="V35" s="2" t="inlineStr">
        <is>
          <t>Reported</t>
        </is>
      </c>
      <c r="W35" s="2" t="n"/>
      <c r="X35" s="2" t="n"/>
      <c r="Y35" s="2" t="n"/>
      <c r="Z35" s="2" t="n"/>
      <c r="AA35" s="2" t="n"/>
      <c r="AB35" s="2" t="n"/>
      <c r="AC35" s="2" t="n"/>
      <c r="AD35" s="2" t="n"/>
      <c r="AE35" s="4" t="n">
        <v>41535</v>
      </c>
      <c r="AF35" s="2" t="inlineStr">
        <is>
          <t>Enforced</t>
        </is>
      </c>
      <c r="AG35" s="2" t="n"/>
      <c r="AH35" s="2" t="n"/>
      <c r="AI35" s="2" t="n"/>
      <c r="AJ35" s="2" t="n"/>
      <c r="AK35" s="2" t="n">
        <v>36</v>
      </c>
      <c r="AL35" s="2" t="inlineStr"/>
      <c r="AM35" s="2" t="inlineStr">
        <is>
          <t>Mac-Gray</t>
        </is>
      </c>
    </row>
    <row r="36" ht="129" customHeight="1">
      <c r="A36" s="2" t="n">
        <v>35</v>
      </c>
      <c r="B36" s="2" t="inlineStr">
        <is>
          <t>09/18/2013</t>
        </is>
      </c>
      <c r="C36" s="2" t="inlineStr">
        <is>
          <t>CSC/Pamplona</t>
        </is>
      </c>
      <c r="D36" s="2" t="inlineStr">
        <is>
          <t>Bid</t>
        </is>
      </c>
      <c r="E36" s="2" t="n">
        <v>1</v>
      </c>
      <c r="F36" s="2" t="n">
        <v>3</v>
      </c>
      <c r="G36" s="2" t="inlineStr">
        <is>
          <t>Strategic</t>
        </is>
      </c>
      <c r="H36" s="2" t="inlineStr">
        <is>
          <t>Final indication of interest: all cash at $20.75 per share. Pamplona reiterated its commitment to provide 100% of the capital required; requested two-week exclusive negotiations. Response on the requested final basis.</t>
        </is>
      </c>
      <c r="I36" s="2" t="inlineStr">
        <is>
          <t>Formal</t>
        </is>
      </c>
      <c r="J36" s="2" t="inlineStr">
        <is>
          <t>Light</t>
        </is>
      </c>
      <c r="K36" s="2" t="inlineStr">
        <is>
          <t>Stated price; response on the requested basis to a genuine final solicitation (strong formal signal 2), so Formality Formal although the document remains an indication of interest. Conditions Light: committed financing, no diligence condition attached; the two-week exclusive negotiation is read as exclusivity rather than an attached substantive diligence period (flagged in Q6). DD open: yes.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(source P-058, printed page 36).</t>
        </is>
      </c>
      <c r="L36" s="3" t="inlineStr">
        <is>
          <t>P-058</t>
        </is>
      </c>
      <c r="M36" s="2" t="inlineStr">
        <is>
          <t>Q5, Q6</t>
        </is>
      </c>
      <c r="N36" s="2" t="inlineStr"/>
      <c r="O36" s="2" t="inlineStr">
        <is>
          <t>R035</t>
        </is>
      </c>
      <c r="P36" s="2" t="inlineStr">
        <is>
          <t>Yes</t>
        </is>
      </c>
      <c r="Q36" s="2" t="n">
        <v>1</v>
      </c>
      <c r="R36" s="4" t="n">
        <v>41535</v>
      </c>
      <c r="S36" s="4" t="n">
        <v>41535</v>
      </c>
      <c r="T36" s="4" t="n">
        <v>41535</v>
      </c>
      <c r="U36" s="2" t="inlineStr">
        <is>
          <t>Reported day</t>
        </is>
      </c>
      <c r="V36" s="2" t="inlineStr">
        <is>
          <t>Reported</t>
        </is>
      </c>
      <c r="W36" s="5" t="n">
        <v>20.75</v>
      </c>
      <c r="X36" s="5" t="n">
        <v>20.75</v>
      </c>
      <c r="Y36" s="2" t="inlineStr">
        <is>
          <t>Point</t>
        </is>
      </c>
      <c r="Z36" s="2" t="inlineStr">
        <is>
          <t>Stated</t>
        </is>
      </c>
      <c r="AA36" s="2" t="inlineStr">
        <is>
          <t>USD</t>
        </is>
      </c>
      <c r="AB36" s="2" t="inlineStr">
        <is>
          <t>Yes</t>
        </is>
      </c>
      <c r="AC36" s="2" t="n">
        <v>20.75</v>
      </c>
      <c r="AD36" s="2" t="inlineStr">
        <is>
          <t>Fin: committed; DD required: not stated; DD open: yes; Excl: requested (2 wks)</t>
        </is>
      </c>
      <c r="AE36" s="2" t="n"/>
      <c r="AF36" s="2" t="n"/>
      <c r="AG36" s="2" t="n"/>
      <c r="AH36" s="2" t="n"/>
      <c r="AI36" s="2" t="n"/>
      <c r="AJ36" s="2" t="n"/>
      <c r="AK36" s="2" t="n">
        <v>36</v>
      </c>
      <c r="AL36" s="2" t="inlineStr">
        <is>
          <t>revises R028; revised by R041</t>
        </is>
      </c>
      <c r="AM36" s="2" t="inlineStr">
        <is>
          <t>Mac-Gray</t>
        </is>
      </c>
    </row>
    <row r="37" ht="116.4" customHeight="1">
      <c r="A37" s="2" t="n">
        <v>36</v>
      </c>
      <c r="B37" s="2" t="inlineStr">
        <is>
          <t>09/18/2013</t>
        </is>
      </c>
      <c r="C37" s="2" t="inlineStr">
        <is>
          <t>Party A</t>
        </is>
      </c>
      <c r="D37" s="2" t="inlineStr">
        <is>
          <t>Bid reaffirmed</t>
        </is>
      </c>
      <c r="E37" s="2" t="n">
        <v>1</v>
      </c>
      <c r="F37" s="2" t="n">
        <v>3</v>
      </c>
      <c r="G37" s="2" t="inlineStr">
        <is>
          <t>Strategic</t>
        </is>
      </c>
      <c r="H37" s="2" t="inlineStr">
        <is>
          <t>Reiterated by telephone that its previous $18.00–$19.00 all-cash indication was its best and final offer; no formal resubmission, price carried forward from the 09/10/2013 indication.</t>
        </is>
      </c>
      <c r="I37" s="2" t="inlineStr">
        <is>
          <t>Formal</t>
        </is>
      </c>
      <c r="J37" s="2" t="inlineStr">
        <is>
          <t>Heavy</t>
        </is>
      </c>
      <c r="K37" s="2" t="inlineStr">
        <is>
          <t>Actual bidder confirmation that its existing offer stands, including a supported best-and-final response; price carried forward, visibly not restated. Formality Formal as a response on the requested basis to the final solicitation (signal 2; oral — flagged). Conditions Heavy: the 09/10/2013 reported absence of a firm financing commitment was not superseded at this reaffirmation. DD open: yes. “Also on September 18, 2013, Party A reiterated in a telephone call to a representative of BofA Merrill Lynch that its previous indication of interest with an all-cash purchase price of $18.00 to $19.00 per share was its best and final offer.” (source P-058, printed page 36).</t>
        </is>
      </c>
      <c r="L37" s="3" t="inlineStr">
        <is>
          <t>P-058</t>
        </is>
      </c>
      <c r="M37" s="2" t="inlineStr">
        <is>
          <t>Q5, Q6</t>
        </is>
      </c>
      <c r="N37" s="2" t="inlineStr"/>
      <c r="O37" s="2" t="inlineStr">
        <is>
          <t>R036</t>
        </is>
      </c>
      <c r="P37" s="2" t="inlineStr">
        <is>
          <t>Yes</t>
        </is>
      </c>
      <c r="Q37" s="2" t="n">
        <v>1</v>
      </c>
      <c r="R37" s="4" t="n">
        <v>41535</v>
      </c>
      <c r="S37" s="4" t="n">
        <v>41535</v>
      </c>
      <c r="T37" s="4" t="n">
        <v>41535</v>
      </c>
      <c r="U37" s="2" t="inlineStr">
        <is>
          <t>Reported day</t>
        </is>
      </c>
      <c r="V37" s="2" t="inlineStr">
        <is>
          <t>Reported</t>
        </is>
      </c>
      <c r="W37" s="5" t="n">
        <v>18</v>
      </c>
      <c r="X37" s="5" t="n">
        <v>19</v>
      </c>
      <c r="Y37" s="2" t="inlineStr">
        <is>
          <t>Bidder range</t>
        </is>
      </c>
      <c r="Z37" s="2" t="inlineStr">
        <is>
          <t>Carried forward</t>
        </is>
      </c>
      <c r="AA37" s="2" t="inlineStr">
        <is>
          <t>USD</t>
        </is>
      </c>
      <c r="AB37" s="2" t="inlineStr">
        <is>
          <t>Yes</t>
        </is>
      </c>
      <c r="AC37" s="2" t="n"/>
      <c r="AD37" s="2" t="inlineStr">
        <is>
          <t>Fin: not committed; DD required: not stated; DD open: yes; Excl: not stated</t>
        </is>
      </c>
      <c r="AE37" s="2" t="n"/>
      <c r="AF37" s="2" t="n"/>
      <c r="AG37" s="2" t="n"/>
      <c r="AH37" s="2" t="n"/>
      <c r="AI37" s="2" t="n"/>
      <c r="AJ37" s="2" t="n"/>
      <c r="AK37" s="2" t="n">
        <v>36</v>
      </c>
      <c r="AL37" s="2" t="inlineStr">
        <is>
          <t>reaffirms R030; followed by R043</t>
        </is>
      </c>
      <c r="AM37" s="2" t="inlineStr">
        <is>
          <t>Mac-Gray</t>
        </is>
      </c>
    </row>
    <row r="38" ht="204.6" customHeight="1">
      <c r="A38" s="2" t="n">
        <v>37</v>
      </c>
      <c r="B38" s="2" t="inlineStr">
        <is>
          <t>09/18/2013</t>
        </is>
      </c>
      <c r="C38" s="2" t="inlineStr">
        <is>
          <t>Party B</t>
        </is>
      </c>
      <c r="D38" s="2" t="inlineStr">
        <is>
          <t>Bid</t>
        </is>
      </c>
      <c r="E38" s="2" t="n">
        <v>1</v>
      </c>
      <c r="F38" s="2" t="n">
        <v>3</v>
      </c>
      <c r="G38" s="2" t="inlineStr">
        <is>
          <t>Financial</t>
        </is>
      </c>
      <c r="H38" s="2" t="inlineStr">
        <is>
          <t>Final-round package valued by Party B at $21.50 per share: $19.00 in cash at closing plus options for the remainder representing 10% of the new equity with a strike price equal to Party B’s initial cost basis; options vest on achievement of the base-case management projections (about five years, excluding future acquisitions) and were stated by Party B to be worth $2.50 per share. Not all cash.</t>
        </is>
      </c>
      <c r="I38" s="2" t="inlineStr">
        <is>
          <t>Formal</t>
        </is>
      </c>
      <c r="J38" s="2" t="inlineStr">
        <is>
          <t>Heavy</t>
        </is>
      </c>
      <c r="K38" s="2" t="inlineStr">
        <is>
          <t>Stated package value (bidder’s own valuation; not guaranteed cash) and structure. Formality Formal as a response on the requested basis to the final solicitation (signal 2). Conditions Heavy: third-party debt and no firm financing commitment; the Special Committee later emphasized the contingent, deferred options and performance-measurement risk. Count 1 (first submission in this round; earlier rounds counted separately).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(source P-058, printed page 36). “These options, which we refer to as the Party B options, would vest on the achievement of the base case management projections (i.e., over five years), excluding any future acquisitions.” (source P-058, printed page 36). “Party B’s proposal stated that it valued the Party B options at $2.50 of incremental value per share.” (source P-058, printed page 36).</t>
        </is>
      </c>
      <c r="L38" s="3" t="inlineStr">
        <is>
          <t>P-058</t>
        </is>
      </c>
      <c r="M38" s="2" t="inlineStr">
        <is>
          <t>Q5, Q6, Q7</t>
        </is>
      </c>
      <c r="N38" s="2" t="inlineStr"/>
      <c r="O38" s="2" t="inlineStr">
        <is>
          <t>R037</t>
        </is>
      </c>
      <c r="P38" s="2" t="inlineStr">
        <is>
          <t>Yes</t>
        </is>
      </c>
      <c r="Q38" s="2" t="n">
        <v>1</v>
      </c>
      <c r="R38" s="4" t="n">
        <v>41535</v>
      </c>
      <c r="S38" s="4" t="n">
        <v>41535</v>
      </c>
      <c r="T38" s="4" t="n">
        <v>41535</v>
      </c>
      <c r="U38" s="2" t="inlineStr">
        <is>
          <t>Reported day</t>
        </is>
      </c>
      <c r="V38" s="2" t="inlineStr">
        <is>
          <t>Reported</t>
        </is>
      </c>
      <c r="W38" s="5" t="n">
        <v>21.5</v>
      </c>
      <c r="X38" s="5" t="n">
        <v>21.5</v>
      </c>
      <c r="Y38" s="2" t="inlineStr">
        <is>
          <t>Point</t>
        </is>
      </c>
      <c r="Z38" s="2" t="inlineStr">
        <is>
          <t>Stated</t>
        </is>
      </c>
      <c r="AA38" s="2" t="inlineStr">
        <is>
          <t>USD</t>
        </is>
      </c>
      <c r="AB38" s="2" t="inlineStr">
        <is>
          <t>No</t>
        </is>
      </c>
      <c r="AC38" s="2" t="n">
        <v>19</v>
      </c>
      <c r="AD38" s="2" t="inlineStr">
        <is>
          <t>Fin: not committed; DD required: not stated; DD open: yes; Excl: not stated</t>
        </is>
      </c>
      <c r="AE38" s="2" t="n"/>
      <c r="AF38" s="2" t="n"/>
      <c r="AG38" s="2" t="n"/>
      <c r="AH38" s="2" t="n"/>
      <c r="AI38" s="2" t="n"/>
      <c r="AJ38" s="2" t="n"/>
      <c r="AK38" s="2" t="n">
        <v>36</v>
      </c>
      <c r="AL38" s="2" t="inlineStr">
        <is>
          <t>revises R029</t>
        </is>
      </c>
      <c r="AM38" s="2" t="inlineStr">
        <is>
          <t>Mac-Gray</t>
        </is>
      </c>
    </row>
    <row r="39" ht="91.2" customHeight="1">
      <c r="A39" s="2" t="n">
        <v>38</v>
      </c>
      <c r="B39" s="2" t="inlineStr">
        <is>
          <t>by 09/18/2013</t>
        </is>
      </c>
      <c r="C39" s="2" t="inlineStr">
        <is>
          <t>Party C</t>
        </is>
      </c>
      <c r="D39" s="2" t="inlineStr">
        <is>
          <t>Did not submit</t>
        </is>
      </c>
      <c r="E39" s="2" t="n">
        <v>1</v>
      </c>
      <c r="F39" s="2" t="n">
        <v>3</v>
      </c>
      <c r="G39" s="2" t="inlineStr">
        <is>
          <t>Financial</t>
        </is>
      </c>
      <c r="H39" s="2" t="inlineStr">
        <is>
          <t>Did not submit a revised indication of interest or reiterate its prior $16.00–$17.00 indication at the final due date; no reasons given.</t>
        </is>
      </c>
      <c r="I39" s="2" t="inlineStr"/>
      <c r="J39" s="2" t="inlineStr"/>
      <c r="K39" s="2" t="inlineStr">
        <is>
          <t>Stated non-submission (the filing reports the absence and the lack of reasons); recorded at the solicitation due date under section 8.1 rule 2. No motive or withdrawal inferred; Decided by Unknown and Exit reason Not stated. “Party C did not submit a revised indication of interest or reiterate its prior indication of interest of an all-cash purchase price of $16.00 to $17.00 per share nor did it specify any reasons in connection therewith.” (source P-058, printed page 36).</t>
        </is>
      </c>
      <c r="L39" s="3" t="inlineStr">
        <is>
          <t>P-058</t>
        </is>
      </c>
      <c r="M39" s="2" t="inlineStr">
        <is>
          <t>Q4</t>
        </is>
      </c>
      <c r="N39" s="2" t="inlineStr"/>
      <c r="O39" s="2" t="inlineStr">
        <is>
          <t>R038</t>
        </is>
      </c>
      <c r="P39" s="2" t="inlineStr">
        <is>
          <t>Yes</t>
        </is>
      </c>
      <c r="Q39" s="2" t="n">
        <v>1</v>
      </c>
      <c r="R39" s="2" t="n"/>
      <c r="S39" s="4" t="n">
        <v>41535</v>
      </c>
      <c r="T39" s="4" t="n">
        <v>41535</v>
      </c>
      <c r="U39" s="2" t="inlineStr">
        <is>
          <t>Relative only</t>
        </is>
      </c>
      <c r="V39" s="2" t="inlineStr">
        <is>
          <t>Assigned: deadline</t>
        </is>
      </c>
      <c r="W39" s="2" t="n"/>
      <c r="X39" s="2" t="n"/>
      <c r="Y39" s="2" t="n"/>
      <c r="Z39" s="2" t="n"/>
      <c r="AA39" s="2" t="n"/>
      <c r="AB39" s="2" t="n"/>
      <c r="AC39" s="2" t="n"/>
      <c r="AD39" s="2" t="n"/>
      <c r="AE39" s="2" t="n"/>
      <c r="AF39" s="2" t="n"/>
      <c r="AG39" s="2" t="n"/>
      <c r="AH39" s="2" t="inlineStr">
        <is>
          <t>Unknown</t>
        </is>
      </c>
      <c r="AI39" s="2" t="inlineStr">
        <is>
          <t>Not stated</t>
        </is>
      </c>
      <c r="AJ39" s="2" t="inlineStr">
        <is>
          <t>Stated</t>
        </is>
      </c>
      <c r="AK39" s="2" t="n">
        <v>36</v>
      </c>
      <c r="AL39" s="2" t="inlineStr">
        <is>
          <t>no submission after R031; closed at deadline R034</t>
        </is>
      </c>
      <c r="AM39" s="2" t="inlineStr">
        <is>
          <t>Mac-Gray</t>
        </is>
      </c>
    </row>
    <row r="40" ht="154.2" customHeight="1">
      <c r="A40" s="2" t="n">
        <v>39</v>
      </c>
      <c r="B40" s="2" t="inlineStr">
        <is>
          <t>09/19/2013</t>
        </is>
      </c>
      <c r="C40" s="2" t="inlineStr">
        <is>
          <t>Mac-Gray Special Committee</t>
        </is>
      </c>
      <c r="D40" s="2" t="inlineStr">
        <is>
          <t>Target decision</t>
        </is>
      </c>
      <c r="E40" s="2" t="n">
        <v>1</v>
      </c>
      <c r="F40" s="2" t="n">
        <v>3</v>
      </c>
      <c r="G40" s="2" t="inlineStr"/>
      <c r="H40" s="2" t="inlineStr">
        <is>
          <t>Special Committee concluded CSC/Pamplona’s $20.75 proposal had the potential to deliver the most value with greater certainty (Pamplona funding, no third-party financing) than Party B’s higher-face-value package (contingent, deferred options; performance-measurement risk) and less risk than the others; concluded CSC/Pamplona should be in a position to raise above $20.75 in view of synergies, and authorized the Transaction Committee to inform CSC/Pamplona that Mac-Gray was prepared to move to exclusivity at $21.25 per share. Mr. MacDonald indicated support for $21.25.</t>
        </is>
      </c>
      <c r="I40" s="2" t="inlineStr"/>
      <c r="J40" s="2" t="inlineStr"/>
      <c r="K40" s="2" t="inlineStr">
        <is>
          <t>Stated day; preferred-bidder/price-requirement decision (not a round opening, which is recorded separately). “the Special Committee concluded that the revised indication of interest submitted by CSC/Pamplona had the potential of delivering the most value to stockholders, provided greater certainty and involved less potential risk than the other indications” (source P-061, printed page 37). “the Special Committee also concluded that, primarily in view of potential synergies between Mac-Gray and CSC, CSC/Pamplona should be in a position to increase their offer price above $20.75” (source P-061, printed page 37). “authorized the Transaction Committee to inform CSC/Pamplona that the Special Committee would be prepared to move into exclusivity at a price of $21.25 per share” (source P-061, printed page 37). “at this meeting Mr. MacDonald indicated that he would be supportive of a price of $21.25 per share” (source P-061, printed page 37).</t>
        </is>
      </c>
      <c r="L40" s="3" t="inlineStr">
        <is>
          <t>P-061</t>
        </is>
      </c>
      <c r="M40" s="2" t="inlineStr">
        <is>
          <t>Q1</t>
        </is>
      </c>
      <c r="N40" s="2" t="inlineStr"/>
      <c r="O40" s="2" t="inlineStr">
        <is>
          <t>R039</t>
        </is>
      </c>
      <c r="P40" s="2" t="inlineStr">
        <is>
          <t>Yes</t>
        </is>
      </c>
      <c r="Q40" s="2" t="n"/>
      <c r="R40" s="4" t="n">
        <v>41536</v>
      </c>
      <c r="S40" s="4" t="n">
        <v>41536</v>
      </c>
      <c r="T40" s="4" t="n">
        <v>41536</v>
      </c>
      <c r="U40" s="2" t="inlineStr">
        <is>
          <t>Reported day</t>
        </is>
      </c>
      <c r="V40" s="2" t="inlineStr">
        <is>
          <t>Reported</t>
        </is>
      </c>
      <c r="W40" s="2" t="n"/>
      <c r="X40" s="2" t="n"/>
      <c r="Y40" s="2" t="n"/>
      <c r="Z40" s="2" t="n"/>
      <c r="AA40" s="2" t="n"/>
      <c r="AB40" s="2" t="n"/>
      <c r="AC40" s="2" t="n"/>
      <c r="AD40" s="2" t="n"/>
      <c r="AE40" s="2" t="n"/>
      <c r="AF40" s="2" t="n"/>
      <c r="AG40" s="2" t="n"/>
      <c r="AH40" s="2" t="n"/>
      <c r="AI40" s="2" t="n"/>
      <c r="AJ40" s="2" t="n"/>
      <c r="AK40" s="2" t="n">
        <v>37</v>
      </c>
      <c r="AL40" s="2" t="inlineStr">
        <is>
          <t>follows R034; leads to R040; price requirement R041</t>
        </is>
      </c>
      <c r="AM40" s="2" t="inlineStr">
        <is>
          <t>Mac-Gray</t>
        </is>
      </c>
    </row>
    <row r="41" ht="129" customHeight="1">
      <c r="A41" s="2" t="n">
        <v>40</v>
      </c>
      <c r="B41" s="2" t="inlineStr">
        <is>
          <t>09/21/2013</t>
        </is>
      </c>
      <c r="C41" s="2" t="inlineStr">
        <is>
          <t>Mac-Gray Special Committee; Transaction Committee</t>
        </is>
      </c>
      <c r="D41" s="2" t="inlineStr">
        <is>
          <t>Round opened</t>
        </is>
      </c>
      <c r="E41" s="2" t="n">
        <v>1</v>
      </c>
      <c r="F41" s="2" t="n">
        <v>4</v>
      </c>
      <c r="G41" s="2" t="inlineStr"/>
      <c r="H41" s="2" t="inlineStr">
        <is>
          <t>R4 opened: the target moved to exclusive definitive negotiation with the selected bidder, CSC/Pamplona — the Transaction Committee proposed exclusivity conditioned on a $21.25 price and CSC/Pamplona confirmed the increase as a last-and-best offer conditional on a two-week exclusive negotiation. Finality: Inferred final — no announcement, but the target moved to definitive negotiation with the selected bidder. Alternative boundary dates considered: 09/19/2013 (selection decision) and 09/24/2013 (executed exclusivity).</t>
        </is>
      </c>
      <c r="I41" s="2" t="inlineStr"/>
      <c r="J41" s="2" t="inlineStr"/>
      <c r="K41" s="2" t="inlineStr">
        <is>
          <t>New round because the target moved to definitive negotiation with a selected bidder; the round is bilateral (one live bidder). “the members of the Transaction Committee called the representative of CSC/Pamplona to propose that Mac-Gray was prepared to move forward with CSC/Pamplona on an exclusive basis for two weeks subject to CSC/Pamplona increasing their all-cash purchase price to $21.25 per share” (source P-062, printed page 37).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(source P-062, printed page 37).</t>
        </is>
      </c>
      <c r="L41" s="3" t="inlineStr">
        <is>
          <t>P-062; P-061</t>
        </is>
      </c>
      <c r="M41" s="2" t="inlineStr">
        <is>
          <t>Q1</t>
        </is>
      </c>
      <c r="N41" s="2" t="inlineStr"/>
      <c r="O41" s="2" t="inlineStr">
        <is>
          <t>R040</t>
        </is>
      </c>
      <c r="P41" s="2" t="inlineStr">
        <is>
          <t>Yes</t>
        </is>
      </c>
      <c r="Q41" s="2" t="n"/>
      <c r="R41" s="4" t="n">
        <v>41538</v>
      </c>
      <c r="S41" s="4" t="n">
        <v>41538</v>
      </c>
      <c r="T41" s="4" t="n">
        <v>41538</v>
      </c>
      <c r="U41" s="2" t="inlineStr">
        <is>
          <t>Reported day</t>
        </is>
      </c>
      <c r="V41" s="2" t="inlineStr">
        <is>
          <t>Reported</t>
        </is>
      </c>
      <c r="W41" s="2" t="n"/>
      <c r="X41" s="2" t="n"/>
      <c r="Y41" s="2" t="n"/>
      <c r="Z41" s="2" t="n"/>
      <c r="AA41" s="2" t="n"/>
      <c r="AB41" s="2" t="n"/>
      <c r="AC41" s="2" t="n"/>
      <c r="AD41" s="2" t="n"/>
      <c r="AE41" s="2" t="n"/>
      <c r="AF41" s="2" t="n"/>
      <c r="AG41" s="2" t="inlineStr">
        <is>
          <t>Inferred final</t>
        </is>
      </c>
      <c r="AH41" s="2" t="n"/>
      <c r="AI41" s="2" t="n"/>
      <c r="AJ41" s="2" t="n"/>
      <c r="AK41" s="2" t="n">
        <v>37</v>
      </c>
      <c r="AL41" s="2" t="inlineStr">
        <is>
          <t>follows R039; lead to R042</t>
        </is>
      </c>
      <c r="AM41" s="2" t="inlineStr">
        <is>
          <t>Mac-Gray</t>
        </is>
      </c>
    </row>
    <row r="42" ht="141.6" customHeight="1">
      <c r="A42" s="2" t="n">
        <v>41</v>
      </c>
      <c r="B42" s="2" t="inlineStr">
        <is>
          <t>09/21/2013</t>
        </is>
      </c>
      <c r="C42" s="2" t="inlineStr">
        <is>
          <t>CSC/Pamplona</t>
        </is>
      </c>
      <c r="D42" s="2" t="inlineStr">
        <is>
          <t>Bid</t>
        </is>
      </c>
      <c r="E42" s="2" t="n">
        <v>1</v>
      </c>
      <c r="F42" s="2" t="n">
        <v>4</v>
      </c>
      <c r="G42" s="2" t="inlineStr">
        <is>
          <t>Strategic</t>
        </is>
      </c>
      <c r="H42" s="2" t="inlineStr">
        <is>
          <t>Raised to $21.25 per share in all cash as a last-and-best offer, provided Mac-Gray agree to a two-week period of exclusive negotiations; also requested a customary voting agreement covering Mr. MacDonald’s and his immediate family’s shares. Together with the negotiated exclusivity terms this became the CSC/Pamplona final proposal (no financing contingency; Pamplona funding 100% of the capital needed for closing).</t>
        </is>
      </c>
      <c r="I42" s="2" t="inlineStr">
        <is>
          <t>Formal</t>
        </is>
      </c>
      <c r="J42" s="2" t="inlineStr">
        <is>
          <t>Light</t>
        </is>
      </c>
      <c r="K42" s="2" t="inlineStr">
        <is>
          <t>Stated price and condition; price confirmation while definitive negotiation was beginning. Formality carried forward as Formal from the 09/18/2013 final-round submission (no return to a preliminary basis). Conditions Light: committed financing, no diligence condition attached (two-week exclusive negotiation read as exclusivity; flagged in Q6). “to confirm that CSC/Pamplona were willing to increase their all-cash purchase price to $21.25 per share as a last and best offer, provided that Mac-Gray agree to a two week period of exclusive negotiations” (source P-062, printed page 37). “committing to fund 100% of the capital needed for closing, which, together with the all-cash per share purchase price of $21.25, we refer to as the CSC/Pamplona final proposal” (source P-064, printed page 38).</t>
        </is>
      </c>
      <c r="L42" s="3" t="inlineStr">
        <is>
          <t>P-062; P-064; P-063</t>
        </is>
      </c>
      <c r="M42" s="2" t="inlineStr">
        <is>
          <t>Q5, Q6, Q7</t>
        </is>
      </c>
      <c r="N42" s="2" t="inlineStr"/>
      <c r="O42" s="2" t="inlineStr">
        <is>
          <t>R041</t>
        </is>
      </c>
      <c r="P42" s="2" t="inlineStr">
        <is>
          <t>Yes</t>
        </is>
      </c>
      <c r="Q42" s="2" t="n">
        <v>1</v>
      </c>
      <c r="R42" s="4" t="n">
        <v>41538</v>
      </c>
      <c r="S42" s="4" t="n">
        <v>41538</v>
      </c>
      <c r="T42" s="4" t="n">
        <v>41538</v>
      </c>
      <c r="U42" s="2" t="inlineStr">
        <is>
          <t>Reported day</t>
        </is>
      </c>
      <c r="V42" s="2" t="inlineStr">
        <is>
          <t>Reported</t>
        </is>
      </c>
      <c r="W42" s="5" t="n">
        <v>21.25</v>
      </c>
      <c r="X42" s="5" t="n">
        <v>21.25</v>
      </c>
      <c r="Y42" s="2" t="inlineStr">
        <is>
          <t>Point</t>
        </is>
      </c>
      <c r="Z42" s="2" t="inlineStr">
        <is>
          <t>Stated</t>
        </is>
      </c>
      <c r="AA42" s="2" t="inlineStr">
        <is>
          <t>USD</t>
        </is>
      </c>
      <c r="AB42" s="2" t="inlineStr">
        <is>
          <t>Yes</t>
        </is>
      </c>
      <c r="AC42" s="2" t="n">
        <v>21.25</v>
      </c>
      <c r="AD42" s="2" t="inlineStr">
        <is>
          <t>Fin: committed; DD required: not stated; DD open: yes; Excl: requested (2 wks)</t>
        </is>
      </c>
      <c r="AE42" s="2" t="n"/>
      <c r="AF42" s="2" t="n"/>
      <c r="AG42" s="2" t="n"/>
      <c r="AH42" s="2" t="n"/>
      <c r="AI42" s="2" t="n"/>
      <c r="AJ42" s="2" t="n"/>
      <c r="AK42" s="2" t="n">
        <v>37</v>
      </c>
      <c r="AL42" s="2" t="inlineStr">
        <is>
          <t>revises R035; terms negotiated R042; becomes agreement price R049</t>
        </is>
      </c>
      <c r="AM42" s="2" t="inlineStr">
        <is>
          <t>Mac-Gray</t>
        </is>
      </c>
    </row>
    <row r="43" ht="129" customHeight="1">
      <c r="A43" s="2" t="n">
        <v>42</v>
      </c>
      <c r="B43" s="2" t="inlineStr">
        <is>
          <t>09/24/2013</t>
        </is>
      </c>
      <c r="C43" s="2" t="inlineStr">
        <is>
          <t>CSC; Pamplona; Mac-Gray</t>
        </is>
      </c>
      <c r="D43" s="2" t="inlineStr">
        <is>
          <t>Exclusivity changed</t>
        </is>
      </c>
      <c r="E43" s="2" t="n">
        <v>1</v>
      </c>
      <c r="F43" s="2" t="n">
        <v>4</v>
      </c>
      <c r="G43" s="2" t="inlineStr"/>
      <c r="H43" s="2" t="inlineStr">
        <is>
          <t>Granted/executed: exclusive negotiations until 5 p.m. ET on 10/12/2013 on the CSC/Pamplona final proposal terms negotiated 09/21–09/23 (no financing contingency; Pamplona committing to fund 100% of the capital needed for closing; $15 million CSC reverse termination fee; post-signing covenants); the agreement automatically terminates if CSC or Pamplona adversely change the final proposal terms. Authorized by the Special Committee on 09/23/2013.</t>
        </is>
      </c>
      <c r="I43" s="2" t="inlineStr"/>
      <c r="J43" s="2" t="inlineStr"/>
      <c r="K43" s="2" t="inlineStr">
        <is>
          <t>Actual state: executed 09/24/2013, scheduled expiry 10/12/2013 (later extended). This execution drops rival live bidders (rows below).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(source P-067, printed page 38). “the Special Committee authorized Mac-Gray to enter into an exclusivity agreement providing for exclusive negotiations until 5 p.m. ET on October 12, 2013 on the terms included in the CSC/Pamplona final proposal” (source P-066, printed page 38).</t>
        </is>
      </c>
      <c r="L43" s="3" t="inlineStr">
        <is>
          <t>P-067; P-066; P-063</t>
        </is>
      </c>
      <c r="M43" s="2" t="inlineStr">
        <is>
          <t>Q2</t>
        </is>
      </c>
      <c r="N43" s="2" t="inlineStr"/>
      <c r="O43" s="2" t="inlineStr">
        <is>
          <t>R042</t>
        </is>
      </c>
      <c r="P43" s="2" t="inlineStr">
        <is>
          <t>Yes</t>
        </is>
      </c>
      <c r="Q43" s="2" t="n"/>
      <c r="R43" s="4" t="n">
        <v>41541</v>
      </c>
      <c r="S43" s="4" t="n">
        <v>41541</v>
      </c>
      <c r="T43" s="4" t="n">
        <v>41541</v>
      </c>
      <c r="U43" s="2" t="inlineStr">
        <is>
          <t>Reported day</t>
        </is>
      </c>
      <c r="V43" s="2" t="inlineStr">
        <is>
          <t>Reported</t>
        </is>
      </c>
      <c r="W43" s="2" t="n"/>
      <c r="X43" s="2" t="n"/>
      <c r="Y43" s="2" t="n"/>
      <c r="Z43" s="2" t="n"/>
      <c r="AA43" s="2" t="n"/>
      <c r="AB43" s="2" t="n"/>
      <c r="AC43" s="2" t="n"/>
      <c r="AD43" s="2" t="n"/>
      <c r="AE43" s="2" t="n"/>
      <c r="AF43" s="2" t="n"/>
      <c r="AG43" s="2" t="n"/>
      <c r="AH43" s="2" t="n"/>
      <c r="AI43" s="2" t="n"/>
      <c r="AJ43" s="2" t="n"/>
      <c r="AK43" s="2" t="n">
        <v>38</v>
      </c>
      <c r="AL43" s="2" t="inlineStr">
        <is>
          <t>executed with R041; drops rival R043; drops rival R044; extended by R048</t>
        </is>
      </c>
      <c r="AM43" s="2" t="inlineStr">
        <is>
          <t>Mac-Gray</t>
        </is>
      </c>
    </row>
    <row r="44" ht="116.4" customHeight="1">
      <c r="A44" s="2" t="n">
        <v>43</v>
      </c>
      <c r="B44" s="2" t="inlineStr">
        <is>
          <t>by 09/24/2013</t>
        </is>
      </c>
      <c r="C44" s="2" t="inlineStr">
        <is>
          <t>Party A</t>
        </is>
      </c>
      <c r="D44" s="2" t="inlineStr">
        <is>
          <t>Dropped by target</t>
        </is>
      </c>
      <c r="E44" s="2" t="n">
        <v>1</v>
      </c>
      <c r="F44" s="2" t="n">
        <v>4</v>
      </c>
      <c r="G44" s="2" t="inlineStr">
        <is>
          <t>Strategic</t>
        </is>
      </c>
      <c r="H44" s="2" t="inlineStr">
        <is>
          <t>Inferred: exclusivity — exclusivity executed with CSC/Pamplona on 09/24/2013; Party A was still live with its standing $18.00–$19.00 all-cash best-and-final offer. Displaced from the exclusive final-negotiation stage.</t>
        </is>
      </c>
      <c r="I44" s="2" t="inlineStr"/>
      <c r="J44" s="2" t="inlineStr"/>
      <c r="K44" s="2" t="inlineStr">
        <is>
          <t>Inferred row per section 10.2: a live rival when the target executed exclusivity with another bidder; no notice, reason or voluntary exit is inferred. Working date = execution date (Assigned: decision day). “On September 24, 2013, CSC, Pamplona and Mac-Gray executed the exclusivity agreement providing for exclusive negotiations until 5 p.m. ET on October 12, 2013” (source P-067, printed page 38). “Party A reiterated in a telephone call to a representative of BofA Merrill Lynch that its previous indication of interest with an all-cash purchase price of $18.00 to $19.00 per share was its best and final offer” (source P-058, printed page 36).</t>
        </is>
      </c>
      <c r="L44" s="3" t="inlineStr">
        <is>
          <t>P-067; P-058</t>
        </is>
      </c>
      <c r="M44" s="2" t="inlineStr">
        <is>
          <t>Q4</t>
        </is>
      </c>
      <c r="N44" s="2" t="inlineStr"/>
      <c r="O44" s="2" t="inlineStr">
        <is>
          <t>R043</t>
        </is>
      </c>
      <c r="P44" s="2" t="inlineStr">
        <is>
          <t>Yes</t>
        </is>
      </c>
      <c r="Q44" s="2" t="n">
        <v>1</v>
      </c>
      <c r="R44" s="2" t="n"/>
      <c r="S44" s="4" t="n">
        <v>41541</v>
      </c>
      <c r="T44" s="4" t="n">
        <v>41541</v>
      </c>
      <c r="U44" s="2" t="inlineStr">
        <is>
          <t>Relative only</t>
        </is>
      </c>
      <c r="V44" s="2" t="inlineStr">
        <is>
          <t>Assigned: decision day</t>
        </is>
      </c>
      <c r="W44" s="2" t="n"/>
      <c r="X44" s="2" t="n"/>
      <c r="Y44" s="2" t="n"/>
      <c r="Z44" s="2" t="n"/>
      <c r="AA44" s="2" t="n"/>
      <c r="AB44" s="2" t="n"/>
      <c r="AC44" s="2" t="n"/>
      <c r="AD44" s="2" t="n"/>
      <c r="AE44" s="2" t="n"/>
      <c r="AF44" s="2" t="n"/>
      <c r="AG44" s="2" t="n"/>
      <c r="AH44" s="2" t="inlineStr">
        <is>
          <t>Target</t>
        </is>
      </c>
      <c r="AI44" s="2" t="inlineStr">
        <is>
          <t>Not stated</t>
        </is>
      </c>
      <c r="AJ44" s="2" t="inlineStr">
        <is>
          <t>Inferred: exclusivity</t>
        </is>
      </c>
      <c r="AK44" s="2" t="n">
        <v>38</v>
      </c>
      <c r="AL44" s="2" t="inlineStr">
        <is>
          <t>closes R036; displaces R042</t>
        </is>
      </c>
      <c r="AM44" s="2" t="inlineStr">
        <is>
          <t>Mac-Gray</t>
        </is>
      </c>
    </row>
    <row r="45" ht="91.2" customHeight="1">
      <c r="A45" s="2" t="n">
        <v>44</v>
      </c>
      <c r="B45" s="2" t="inlineStr">
        <is>
          <t>by 09/24/2013</t>
        </is>
      </c>
      <c r="C45" s="2" t="inlineStr">
        <is>
          <t>Party B</t>
        </is>
      </c>
      <c r="D45" s="2" t="inlineStr">
        <is>
          <t>Dropped by target</t>
        </is>
      </c>
      <c r="E45" s="2" t="n">
        <v>1</v>
      </c>
      <c r="F45" s="2" t="n">
        <v>4</v>
      </c>
      <c r="G45" s="2" t="inlineStr">
        <is>
          <t>Financial</t>
        </is>
      </c>
      <c r="H45" s="2" t="inlineStr">
        <is>
          <t>Inferred: exclusivity — exclusivity executed with CSC/Pamplona on 09/24/2013; Party B was still live with its 09/18/2013 package valued by Party B at $21.50 per share. Displaced from the exclusive final-negotiation stage.</t>
        </is>
      </c>
      <c r="I45" s="2" t="inlineStr"/>
      <c r="J45" s="2" t="inlineStr"/>
      <c r="K45" s="2" t="inlineStr">
        <is>
          <t>Inferred row per section 10.2: a live rival when the target executed exclusivity with another bidder; no notice, reason or voluntary exit is inferred. Working date = execution date (Assigned: decision day). “On September 24, 2013, CSC, Pamplona and Mac-Gray executed the exclusivity agreement providing for exclusive negotiations until 5 p.m. ET on October 12, 2013” (source P-067, printed page 38). “Party B also submitted a revised indication of interest with a purchase price that Party B valued at $21.50 per share” (source P-058, printed page 36).</t>
        </is>
      </c>
      <c r="L45" s="3" t="inlineStr">
        <is>
          <t>P-067; P-058</t>
        </is>
      </c>
      <c r="M45" s="2" t="inlineStr">
        <is>
          <t>Q4</t>
        </is>
      </c>
      <c r="N45" s="2" t="inlineStr"/>
      <c r="O45" s="2" t="inlineStr">
        <is>
          <t>R044</t>
        </is>
      </c>
      <c r="P45" s="2" t="inlineStr">
        <is>
          <t>Yes</t>
        </is>
      </c>
      <c r="Q45" s="2" t="n">
        <v>1</v>
      </c>
      <c r="R45" s="2" t="n"/>
      <c r="S45" s="4" t="n">
        <v>41541</v>
      </c>
      <c r="T45" s="4" t="n">
        <v>41541</v>
      </c>
      <c r="U45" s="2" t="inlineStr">
        <is>
          <t>Relative only</t>
        </is>
      </c>
      <c r="V45" s="2" t="inlineStr">
        <is>
          <t>Assigned: decision day</t>
        </is>
      </c>
      <c r="W45" s="2" t="n"/>
      <c r="X45" s="2" t="n"/>
      <c r="Y45" s="2" t="n"/>
      <c r="Z45" s="2" t="n"/>
      <c r="AA45" s="2" t="n"/>
      <c r="AB45" s="2" t="n"/>
      <c r="AC45" s="2" t="n"/>
      <c r="AD45" s="2" t="n"/>
      <c r="AE45" s="2" t="n"/>
      <c r="AF45" s="2" t="n"/>
      <c r="AG45" s="2" t="n"/>
      <c r="AH45" s="2" t="inlineStr">
        <is>
          <t>Target</t>
        </is>
      </c>
      <c r="AI45" s="2" t="inlineStr">
        <is>
          <t>Not stated</t>
        </is>
      </c>
      <c r="AJ45" s="2" t="inlineStr">
        <is>
          <t>Inferred: exclusivity</t>
        </is>
      </c>
      <c r="AK45" s="2" t="n">
        <v>38</v>
      </c>
      <c r="AL45" s="2" t="inlineStr">
        <is>
          <t>closes R037; displaces R042</t>
        </is>
      </c>
      <c r="AM45" s="2" t="inlineStr">
        <is>
          <t>Mac-Gray</t>
        </is>
      </c>
    </row>
    <row r="46" ht="66" customHeight="1">
      <c r="A46" s="2" t="n">
        <v>45</v>
      </c>
      <c r="B46" s="2" t="inlineStr">
        <is>
          <t>from 09/25/2013 (first observed acting; engagement date not disclosed)</t>
        </is>
      </c>
      <c r="C46" s="2" t="inlineStr">
        <is>
          <t>Kirkland &amp; Ellis LLP</t>
        </is>
      </c>
      <c r="D46" s="2" t="inlineStr">
        <is>
          <t>Adviser service observed</t>
        </is>
      </c>
      <c r="E46" s="2" t="n">
        <v>1</v>
      </c>
      <c r="F46" s="2" t="n">
        <v>4</v>
      </c>
      <c r="G46" s="2" t="inlineStr"/>
      <c r="H46" s="2" t="inlineStr">
        <is>
          <t>Outside legal counsel to CSC/Pamplona; first shown acting when it received Mac-Gray’s initial merger agreement draft (09/25/2013); negotiated the merger agreement and the Pamplona commitment letter through signing.</t>
        </is>
      </c>
      <c r="I46" s="2" t="inlineStr"/>
      <c r="J46" s="2" t="inlineStr"/>
      <c r="K46" s="2" t="inlineStr">
        <is>
          <t>First observed service date per section 5.4; client = CSC/Pamplona; no engagement letter date disclosed. “On September 25, 2013, Goodwin Procter delivered to Kirkland &amp; Ellis LLP, outside legal counsel to CSC/Pamplona, whom we refer to as Kirkland, the initial draft of the merger agreement.” (source P-068, printed page 38).</t>
        </is>
      </c>
      <c r="L46" s="3" t="inlineStr">
        <is>
          <t>P-068</t>
        </is>
      </c>
      <c r="M46" s="2" t="inlineStr"/>
      <c r="N46" s="2" t="inlineStr"/>
      <c r="O46" s="2" t="inlineStr">
        <is>
          <t>R045</t>
        </is>
      </c>
      <c r="P46" s="2" t="inlineStr">
        <is>
          <t>Yes</t>
        </is>
      </c>
      <c r="Q46" s="2" t="n"/>
      <c r="R46" s="4" t="n">
        <v>41542</v>
      </c>
      <c r="S46" s="4" t="n">
        <v>41542</v>
      </c>
      <c r="T46" s="4" t="n">
        <v>41542</v>
      </c>
      <c r="U46" s="2" t="inlineStr">
        <is>
          <t>Reported day</t>
        </is>
      </c>
      <c r="V46" s="2" t="inlineStr">
        <is>
          <t>Reported</t>
        </is>
      </c>
      <c r="W46" s="2" t="n"/>
      <c r="X46" s="2" t="n"/>
      <c r="Y46" s="2" t="n"/>
      <c r="Z46" s="2" t="n"/>
      <c r="AA46" s="2" t="n"/>
      <c r="AB46" s="2" t="n"/>
      <c r="AC46" s="2" t="n"/>
      <c r="AD46" s="2" t="n"/>
      <c r="AE46" s="2" t="n"/>
      <c r="AF46" s="2" t="n"/>
      <c r="AG46" s="2" t="n"/>
      <c r="AH46" s="2" t="n"/>
      <c r="AI46" s="2" t="n"/>
      <c r="AJ46" s="2" t="n"/>
      <c r="AK46" s="2" t="n">
        <v>38</v>
      </c>
      <c r="AL46" s="2" t="inlineStr"/>
      <c r="AM46" s="2" t="inlineStr">
        <is>
          <t>Mac-Gray</t>
        </is>
      </c>
    </row>
    <row r="47" ht="78.59999999999999" customHeight="1">
      <c r="A47" s="2" t="n">
        <v>46</v>
      </c>
      <c r="B47" s="2" t="inlineStr">
        <is>
          <t>between 09/25/2013 and 10/07/2013</t>
        </is>
      </c>
      <c r="C47" s="2" t="inlineStr">
        <is>
          <t>CSC/Pamplona</t>
        </is>
      </c>
      <c r="D47" s="2" t="inlineStr">
        <is>
          <t>Information access changed</t>
        </is>
      </c>
      <c r="E47" s="2" t="n">
        <v>1</v>
      </c>
      <c r="F47" s="2" t="n">
        <v>4</v>
      </c>
      <c r="G47" s="2" t="inlineStr"/>
      <c r="H47" s="2" t="inlineStr">
        <is>
          <t>CSC and Pamplona were granted full access to the electronic data site and access to certain members of management during the exclusive negotiations, and conducted confirmatory business and legal due diligence. The customer-data restriction applied to the strategic bidders in the 08/06–08/27 stage is not shown to have continued against the exclusive bidder.</t>
        </is>
      </c>
      <c r="I47" s="2" t="inlineStr"/>
      <c r="J47" s="2" t="inlineStr"/>
      <c r="K47" s="2" t="inlineStr">
        <is>
          <t>Late-stage expanded/catch-up access for the selected bidder; distinct from the earlier tiering. Working date = first day of the period (Assigned: bound). “Also during this time, CSC and Pamplona were granted full access to the electronic data site and access to certain members of management and conducted confirmatory business and legal due diligence on Mac-Gray.” (source P-068, printed page 38).</t>
        </is>
      </c>
      <c r="L47" s="3" t="inlineStr">
        <is>
          <t>P-068</t>
        </is>
      </c>
      <c r="M47" s="2" t="inlineStr">
        <is>
          <t>Q3</t>
        </is>
      </c>
      <c r="N47" s="2" t="inlineStr"/>
      <c r="O47" s="2" t="inlineStr">
        <is>
          <t>R046</t>
        </is>
      </c>
      <c r="P47" s="2" t="inlineStr">
        <is>
          <t>Yes</t>
        </is>
      </c>
      <c r="Q47" s="2" t="n"/>
      <c r="R47" s="4" t="n">
        <v>41542</v>
      </c>
      <c r="S47" s="4" t="n">
        <v>41554</v>
      </c>
      <c r="T47" s="4" t="n">
        <v>41542</v>
      </c>
      <c r="U47" s="2" t="inlineStr">
        <is>
          <t>Reported interval</t>
        </is>
      </c>
      <c r="V47" s="2" t="inlineStr">
        <is>
          <t>Assigned: bound</t>
        </is>
      </c>
      <c r="W47" s="2" t="n"/>
      <c r="X47" s="2" t="n"/>
      <c r="Y47" s="2" t="n"/>
      <c r="Z47" s="2" t="n"/>
      <c r="AA47" s="2" t="n"/>
      <c r="AB47" s="2" t="n"/>
      <c r="AC47" s="2" t="n"/>
      <c r="AD47" s="2" t="n"/>
      <c r="AE47" s="2" t="n"/>
      <c r="AF47" s="2" t="n"/>
      <c r="AG47" s="2" t="n"/>
      <c r="AH47" s="2" t="n"/>
      <c r="AI47" s="2" t="n"/>
      <c r="AJ47" s="2" t="n"/>
      <c r="AK47" s="2" t="n">
        <v>38</v>
      </c>
      <c r="AL47" s="2" t="inlineStr">
        <is>
          <t>expands earlier tiering R025</t>
        </is>
      </c>
      <c r="AM47" s="2" t="inlineStr">
        <is>
          <t>Mac-Gray</t>
        </is>
      </c>
    </row>
    <row r="48" ht="103.8" customHeight="1">
      <c r="A48" s="2" t="n">
        <v>47</v>
      </c>
      <c r="B48" s="2" t="inlineStr">
        <is>
          <t>10/07/2013</t>
        </is>
      </c>
      <c r="C48" s="2" t="inlineStr">
        <is>
          <t>Moab (shareholder)</t>
        </is>
      </c>
      <c r="D48" s="2" t="inlineStr">
        <is>
          <t>Material process update</t>
        </is>
      </c>
      <c r="E48" s="2" t="n">
        <v>1</v>
      </c>
      <c r="F48" s="2" t="n">
        <v>4</v>
      </c>
      <c r="G48" s="2" t="inlineStr"/>
      <c r="H48" s="2" t="inlineStr">
        <is>
          <t>Resolved: after facilitated discussions (from 09/23/2013, when Mr. Rothenberg asked to explore a rollover with CSC/Pamplona), it was determined that Moab would not roll over any Moab shares in the transaction. Moab later entered a voting agreement executed at signing.</t>
        </is>
      </c>
      <c r="I48" s="2" t="inlineStr"/>
      <c r="J48" s="2" t="inlineStr"/>
      <c r="K48" s="2" t="inlineStr">
        <is>
          <t>Stated resolution; the 09/23/2013 facilitation is folded here under the two-row convention for rollover relationships (denial recorded separately). “after discussions between Moab and representatives of Pamplona, it was determined that Moab would not rollover any Moab shares in the transaction” (source P-072, printed page 39). “to provide Moab with the opportunity to resume discussions with CSC/Pamplona regarding a possible equity rollover of Moab’s shares in the transaction if Moab still had an interest in such a rollover” (source P-065, printed page 38).</t>
        </is>
      </c>
      <c r="L48" s="3" t="inlineStr">
        <is>
          <t>P-072; P-065</t>
        </is>
      </c>
      <c r="M48" s="2" t="inlineStr">
        <is>
          <t>Q8</t>
        </is>
      </c>
      <c r="N48" s="2" t="inlineStr"/>
      <c r="O48" s="2" t="inlineStr">
        <is>
          <t>R047</t>
        </is>
      </c>
      <c r="P48" s="2" t="inlineStr">
        <is>
          <t>Yes</t>
        </is>
      </c>
      <c r="Q48" s="2" t="n"/>
      <c r="R48" s="4" t="n">
        <v>41554</v>
      </c>
      <c r="S48" s="4" t="n">
        <v>41554</v>
      </c>
      <c r="T48" s="4" t="n">
        <v>41554</v>
      </c>
      <c r="U48" s="2" t="inlineStr">
        <is>
          <t>Reported day</t>
        </is>
      </c>
      <c r="V48" s="2" t="inlineStr">
        <is>
          <t>Reported</t>
        </is>
      </c>
      <c r="W48" s="2" t="n"/>
      <c r="X48" s="2" t="n"/>
      <c r="Y48" s="2" t="n"/>
      <c r="Z48" s="2" t="n"/>
      <c r="AA48" s="2" t="n"/>
      <c r="AB48" s="2" t="n"/>
      <c r="AC48" s="2" t="n"/>
      <c r="AD48" s="2" t="n"/>
      <c r="AE48" s="2" t="n"/>
      <c r="AF48" s="2" t="n"/>
      <c r="AG48" s="2" t="n"/>
      <c r="AH48" s="2" t="n"/>
      <c r="AI48" s="2" t="n"/>
      <c r="AJ48" s="2" t="n"/>
      <c r="AK48" s="2" t="n">
        <v>39</v>
      </c>
      <c r="AL48" s="2" t="inlineStr">
        <is>
          <t>resolves R015; voting agreement at signing R049</t>
        </is>
      </c>
      <c r="AM48" s="2" t="inlineStr">
        <is>
          <t>Mac-Gray</t>
        </is>
      </c>
    </row>
    <row r="49" ht="91.2" customHeight="1">
      <c r="A49" s="2" t="n">
        <v>48</v>
      </c>
      <c r="B49" s="2" t="inlineStr">
        <is>
          <t>10/12/2013</t>
        </is>
      </c>
      <c r="C49" s="2" t="inlineStr">
        <is>
          <t>CSC; Pamplona; Mac-Gray</t>
        </is>
      </c>
      <c r="D49" s="2" t="inlineStr">
        <is>
          <t>Exclusivity changed</t>
        </is>
      </c>
      <c r="E49" s="2" t="n">
        <v>1</v>
      </c>
      <c r="F49" s="2" t="n">
        <v>4</v>
      </c>
      <c r="G49" s="2" t="inlineStr"/>
      <c r="H49" s="2" t="inlineStr">
        <is>
          <t>Extended to 11:59 p.m. ET on 10/15/2013 by letter agreement executed 10/12/2013. CSC/Pamplona had requested the extension on 10/09/2013 amid open issues; the Special Committee authorized extension on 10/09/2013 and on 10/11/2013 conditioned it on a Mac-Gray termination fee of not more than $11 million, agreed on 10/11/2013 (recorded on the signing row).</t>
        </is>
      </c>
      <c r="I49" s="2" t="inlineStr"/>
      <c r="J49" s="2" t="inlineStr"/>
      <c r="K49" s="2" t="inlineStr">
        <is>
          <t>Actual state: executed 10/12/2013; the earlier scheduled expiry (5 p.m. ET 10/12/2013) was superseded. “On October 12, 2013, CSC, Pamplona and Mac-Gray executed a letter agreement extending exclusivity until 11:59 p.m. ET on October 15, 2013.” (source P-081, printed page 41). “Goodwin Procter then reported that Kirkland had requested on behalf of CSC/Pamplona that the exclusivity agreement, due to expire at 5 p.m. ET on October 12, 2013, be extended to allow for continued negotiations of these open issues.” (source P-077, printed page 40).</t>
        </is>
      </c>
      <c r="L49" s="3" t="inlineStr">
        <is>
          <t>P-081; P-077</t>
        </is>
      </c>
      <c r="M49" s="2" t="inlineStr">
        <is>
          <t>Q2</t>
        </is>
      </c>
      <c r="N49" s="2" t="inlineStr"/>
      <c r="O49" s="2" t="inlineStr">
        <is>
          <t>R048</t>
        </is>
      </c>
      <c r="P49" s="2" t="inlineStr">
        <is>
          <t>Yes</t>
        </is>
      </c>
      <c r="Q49" s="2" t="n"/>
      <c r="R49" s="4" t="n">
        <v>41559</v>
      </c>
      <c r="S49" s="4" t="n">
        <v>41559</v>
      </c>
      <c r="T49" s="4" t="n">
        <v>41559</v>
      </c>
      <c r="U49" s="2" t="inlineStr">
        <is>
          <t>Reported day</t>
        </is>
      </c>
      <c r="V49" s="2" t="inlineStr">
        <is>
          <t>Reported</t>
        </is>
      </c>
      <c r="W49" s="2" t="n"/>
      <c r="X49" s="2" t="n"/>
      <c r="Y49" s="2" t="n"/>
      <c r="Z49" s="2" t="n"/>
      <c r="AA49" s="2" t="n"/>
      <c r="AB49" s="2" t="n"/>
      <c r="AC49" s="2" t="n"/>
      <c r="AD49" s="2" t="n"/>
      <c r="AE49" s="2" t="n"/>
      <c r="AF49" s="2" t="n"/>
      <c r="AG49" s="2" t="n"/>
      <c r="AH49" s="2" t="n"/>
      <c r="AI49" s="2" t="n"/>
      <c r="AJ49" s="2" t="n"/>
      <c r="AK49" s="2" t="n">
        <v>41</v>
      </c>
      <c r="AL49" s="2" t="inlineStr">
        <is>
          <t>extends R042; follows R049</t>
        </is>
      </c>
      <c r="AM49" s="2" t="inlineStr">
        <is>
          <t>Mac-Gray</t>
        </is>
      </c>
    </row>
    <row r="50" ht="179.4" customHeight="1">
      <c r="A50" s="2" t="n">
        <v>49</v>
      </c>
      <c r="B50" s="2" t="inlineStr">
        <is>
          <t>10/14/2013</t>
        </is>
      </c>
      <c r="C50" s="2" t="inlineStr">
        <is>
          <t>Mac-Gray; Spin Holdco Inc. (Parent); CSC Fenway, Inc. (Merger Subsidiary); CSC ServiceWorks Holdings, Inc.; CSC ServiceWorks, Inc.</t>
        </is>
      </c>
      <c r="D50" s="2" t="inlineStr">
        <is>
          <t>Merger agreement signed</t>
        </is>
      </c>
      <c r="E50" s="2" t="n">
        <v>1</v>
      </c>
      <c r="F50" s="2" t="n">
        <v>4</v>
      </c>
      <c r="G50" s="2" t="inlineStr"/>
      <c r="H50" s="2" t="inlineStr">
        <is>
          <t>Executed at $21.25 per share in cash (merger consideration), with no financing condition; the Pamplona commitment letter (up to $594 million; Pamplona damages liability capped at $50 million; Mac-Gray an express third-party beneficiary) was delivered; Mac-Gray termination fee $11 million and CSC reverse termination fee $15 million; End Date 03/31/2014, extendable to 07/31/2014 if antitrust clearance is the only open condition; Mr. MacDonald’s voting agreements (entered 09/27/2013) became effective and the Moab voting agreement was executed; the Special Committee and the Board approved the transaction and BofA Merrill Lynch delivered its fairness opinion the same day. Signing is not an extra submitted bid: price, formality and conditionality cells are left blank.</t>
        </is>
      </c>
      <c r="I50" s="2" t="inlineStr"/>
      <c r="J50" s="2" t="inlineStr"/>
      <c r="K50" s="2" t="inlineStr">
        <is>
          <t>Stated execution day. Agreed consideration and commitment terms are recorded here and in Summary; post-signing competition is separately assessed (none reported as of the filing date). “Later in the day, on October 14, 2013, the merger agreement was executed, the Pamplona commitment letter was delivered, Moab and Parent executed the Moab voting agreement and the Mac-Donald voting agreements became effective.” (source P-086, printed page 41). “The merger agreement does not contain any condition to the obligations of the Buyer Entities or Merger Subsidiary relating to the receipt of financing by the Buyer Entities.” (source X-011, printed page 6). “Mac-Gray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 (source X-013, printed page 10).</t>
        </is>
      </c>
      <c r="L50" s="3" t="inlineStr">
        <is>
          <t>P-086; X-011; X-013; X-030</t>
        </is>
      </c>
      <c r="M50" s="2" t="inlineStr">
        <is>
          <t>Q5</t>
        </is>
      </c>
      <c r="N50" s="2" t="inlineStr"/>
      <c r="O50" s="2" t="inlineStr">
        <is>
          <t>R049</t>
        </is>
      </c>
      <c r="P50" s="2" t="inlineStr">
        <is>
          <t>Yes</t>
        </is>
      </c>
      <c r="Q50" s="2" t="n"/>
      <c r="R50" s="4" t="n">
        <v>41561</v>
      </c>
      <c r="S50" s="4" t="n">
        <v>41561</v>
      </c>
      <c r="T50" s="4" t="n">
        <v>41561</v>
      </c>
      <c r="U50" s="2" t="inlineStr">
        <is>
          <t>Reported day</t>
        </is>
      </c>
      <c r="V50" s="2" t="inlineStr">
        <is>
          <t>Reported</t>
        </is>
      </c>
      <c r="W50" s="2" t="n"/>
      <c r="X50" s="2" t="n"/>
      <c r="Y50" s="2" t="n"/>
      <c r="Z50" s="2" t="n"/>
      <c r="AA50" s="2" t="n"/>
      <c r="AB50" s="2" t="n"/>
      <c r="AC50" s="2" t="n"/>
      <c r="AD50" s="2" t="n"/>
      <c r="AE50" s="2" t="n"/>
      <c r="AF50" s="2" t="n"/>
      <c r="AG50" s="2" t="n"/>
      <c r="AH50" s="2" t="n"/>
      <c r="AI50" s="2" t="n"/>
      <c r="AJ50" s="2" t="n"/>
      <c r="AK50" s="2" t="n">
        <v>41</v>
      </c>
      <c r="AL50" s="2" t="inlineStr">
        <is>
          <t>agreed price R041; follows R048; announced next day R050</t>
        </is>
      </c>
      <c r="AM50" s="2" t="inlineStr">
        <is>
          <t>Mac-Gray</t>
        </is>
      </c>
    </row>
    <row r="51" ht="103.8" customHeight="1">
      <c r="A51" s="2" t="n">
        <v>50</v>
      </c>
      <c r="B51" s="2" t="inlineStr">
        <is>
          <t>10/15/2013</t>
        </is>
      </c>
      <c r="C51" s="2" t="inlineStr">
        <is>
          <t>Mac-Gray; CSC ServiceWorks, Inc.</t>
        </is>
      </c>
      <c r="D51" s="2" t="inlineStr">
        <is>
          <t>Merger announced</t>
        </is>
      </c>
      <c r="E51" s="2" t="n">
        <v>1</v>
      </c>
      <c r="F51" s="2" t="inlineStr">
        <is>
          <t>post</t>
        </is>
      </c>
      <c r="G51" s="2" t="inlineStr"/>
      <c r="H51" s="2" t="inlineStr">
        <is>
          <t>Mac-Gray and CSC jointly announced the execution of the merger agreement before U.S. stock markets opened. No competing proposal and no post-signing solicitation period (no go-shop; the agreement provides only a fiduciary out for unsolicited superior proposals) is reported as of the 12/04/2013 proxy statement; the HSR waiting period expired 11/27/2013; the special meeting is set for 01/08/2014 and closing is expected in January 2014. No closing is observed at the filing date.</t>
        </is>
      </c>
      <c r="I51" s="2" t="inlineStr"/>
      <c r="J51" s="2" t="inlineStr"/>
      <c r="K51" s="2" t="inlineStr">
        <is>
          <t>Stated day and medium. Post-signing phase: keep last; no go-shop or competing-proposal rows are required on this record. “On October 15, 2013, before the U.S. stock markets opened, Mac-Gray and CSC jointly announced the execution of the merger agreement.” (source P-087, printed page 41). “We currently expect the merger to be completed in January 2014.” (source X-016, printed page 12). “While early termination was not granted, the waiting period expired on November 27, 2013.” (source X-015, printed page 11).</t>
        </is>
      </c>
      <c r="L51" s="3" t="inlineStr">
        <is>
          <t>P-087; X-016; X-015</t>
        </is>
      </c>
      <c r="M51" s="2" t="inlineStr"/>
      <c r="N51" s="2" t="inlineStr"/>
      <c r="O51" s="2" t="inlineStr">
        <is>
          <t>R050</t>
        </is>
      </c>
      <c r="P51" s="2" t="inlineStr">
        <is>
          <t>Yes</t>
        </is>
      </c>
      <c r="Q51" s="2" t="n"/>
      <c r="R51" s="4" t="n">
        <v>41562</v>
      </c>
      <c r="S51" s="4" t="n">
        <v>41562</v>
      </c>
      <c r="T51" s="4" t="n">
        <v>41562</v>
      </c>
      <c r="U51" s="2" t="inlineStr">
        <is>
          <t>Reported day</t>
        </is>
      </c>
      <c r="V51" s="2" t="inlineStr">
        <is>
          <t>Reported</t>
        </is>
      </c>
      <c r="W51" s="2" t="n"/>
      <c r="X51" s="2" t="n"/>
      <c r="Y51" s="2" t="n"/>
      <c r="Z51" s="2" t="n"/>
      <c r="AA51" s="2" t="n"/>
      <c r="AB51" s="2" t="n"/>
      <c r="AC51" s="2" t="n"/>
      <c r="AD51" s="2" t="n"/>
      <c r="AE51" s="2" t="n"/>
      <c r="AF51" s="2" t="n"/>
      <c r="AG51" s="2" t="n"/>
      <c r="AH51" s="2" t="n"/>
      <c r="AI51" s="2" t="n"/>
      <c r="AJ51" s="2" t="n"/>
      <c r="AK51" s="2" t="n">
        <v>41</v>
      </c>
      <c r="AL51" s="2" t="inlineStr">
        <is>
          <t>announces R049</t>
        </is>
      </c>
      <c r="AM51" s="2" t="inlineStr">
        <is>
          <t>Mac-Gray</t>
        </is>
      </c>
    </row>
  </sheetData>
  <autoFilter ref="A1:AM51"/>
  <dataValidations count="15">
    <dataValidation sqref="D2:D600" showDropDown="0" showInputMessage="0" showErrorMessage="0" allowBlank="1" errorTitle="Controlled value" error="Use a value from the Lists sheet." type="list">
      <formula1>Lists!$A$2:$A$41</formula1>
    </dataValidation>
    <dataValidation sqref="G2:G600" showDropDown="0" showInputMessage="0" showErrorMessage="0" allowBlank="1" errorTitle="Controlled value" error="Use a value from the Lists sheet." type="list">
      <formula1>Lists!$B$2:$B$5</formula1>
    </dataValidation>
    <dataValidation sqref="I2:I600" showDropDown="0" showInputMessage="0" showErrorMessage="0" allowBlank="1" errorTitle="Controlled value" error="Use a value from the Lists sheet." type="list">
      <formula1>Lists!$C$2:$C$5</formula1>
    </dataValidation>
    <dataValidation sqref="J2:J600" showDropDown="0" showInputMessage="0" showErrorMessage="0" allowBlank="1" errorTitle="Controlled value" error="Use a value from the Lists sheet." type="list">
      <formula1>Lists!$D$2:$D$6</formula1>
    </dataValidation>
    <dataValidation sqref="P2:P600" showDropDown="0" showInputMessage="0" showErrorMessage="0" allowBlank="1" errorTitle="Controlled value" error="Use a value from the Lists sheet." type="list">
      <formula1>Lists!$E$2:$E$3</formula1>
    </dataValidation>
    <dataValidation sqref="U2:U600" showDropDown="0" showInputMessage="0" showErrorMessage="0" allowBlank="1" errorTitle="Controlled value" error="Use a value from the Lists sheet." type="list">
      <formula1>Lists!$F$2:$F$7</formula1>
    </dataValidation>
    <dataValidation sqref="V2:V600" showDropDown="0" showInputMessage="0" showErrorMessage="0" allowBlank="1" errorTitle="Controlled value" error="Use a value from the Lists sheet." type="list">
      <formula1>Lists!$G$2:$G$8</formula1>
    </dataValidation>
    <dataValidation sqref="Y2:Y600" showDropDown="0" showInputMessage="0" showErrorMessage="0" allowBlank="1" errorTitle="Controlled value" error="Use a value from the Lists sheet." type="list">
      <formula1>Lists!$H$2:$H$6</formula1>
    </dataValidation>
    <dataValidation sqref="Z2:Z600" showDropDown="0" showInputMessage="0" showErrorMessage="0" allowBlank="1" errorTitle="Controlled value" error="Use a value from the Lists sheet." type="list">
      <formula1>Lists!$I$2:$I$4</formula1>
    </dataValidation>
    <dataValidation sqref="AB2:AB600" showDropDown="0" showInputMessage="0" showErrorMessage="0" allowBlank="1" errorTitle="Controlled value" error="Use a value from the Lists sheet." type="list">
      <formula1>Lists!$J$2:$J$4</formula1>
    </dataValidation>
    <dataValidation sqref="AF2:AF600" showDropDown="0" showInputMessage="0" showErrorMessage="0" allowBlank="1" errorTitle="Controlled value" error="Use a value from the Lists sheet." type="list">
      <formula1>Lists!$K$2:$K$8</formula1>
    </dataValidation>
    <dataValidation sqref="AG2:AG600" showDropDown="0" showInputMessage="0" showErrorMessage="0" allowBlank="1" errorTitle="Controlled value" error="Use a value from the Lists sheet." type="list">
      <formula1>Lists!$L$2:$L$4</formula1>
    </dataValidation>
    <dataValidation sqref="AH2:AH600" showDropDown="0" showInputMessage="0" showErrorMessage="0" allowBlank="1" errorTitle="Controlled value" error="Use a value from the Lists sheet." type="list">
      <formula1>Lists!$M$2:$M$5</formula1>
    </dataValidation>
    <dataValidation sqref="AI2:AI600" showDropDown="0" showInputMessage="0" showErrorMessage="0" allowBlank="1" errorTitle="Controlled value" error="Use a value from the Lists sheet." type="list">
      <formula1>Lists!$N$2:$N$10</formula1>
    </dataValidation>
    <dataValidation sqref="AJ2:AJ600" showDropDown="0" showInputMessage="0" showErrorMessage="0" allowBlank="1" errorTitle="Controlled value" error="Use a value from the Lists sheet." type="list">
      <formula1>Lists!$O$2:$O$6</formula1>
    </dataValidation>
  </dataValidations>
  <hyperlinks>
    <hyperlink ref="L2" location="'Source text'!A3"/>
    <hyperlink ref="L3" location="'Source text'!A3"/>
    <hyperlink ref="L4" location="'Source text'!A4"/>
    <hyperlink ref="L5" location="'Source text'!A5"/>
    <hyperlink ref="L6" location="'Source text'!A6"/>
    <hyperlink ref="L7" location="'Source text'!A12"/>
    <hyperlink ref="L8" location="'Source text'!A18"/>
    <hyperlink ref="L9" location="'Source text'!A20"/>
    <hyperlink ref="L10" location="'Source text'!A21"/>
    <hyperlink ref="L11" location="'Source text'!A23"/>
    <hyperlink ref="L12" location="'Source text'!A26"/>
    <hyperlink ref="L13" location="'Source text'!A27"/>
    <hyperlink ref="L14" location="'Source text'!A28"/>
    <hyperlink ref="L15" location="'Source text'!A29"/>
    <hyperlink ref="L16" location="'Source text'!A32"/>
    <hyperlink ref="L17" location="'Source text'!A33"/>
    <hyperlink ref="L18" location="'Source text'!A26"/>
    <hyperlink ref="L19" location="'Source text'!A35"/>
    <hyperlink ref="L20" location="'Source text'!A26"/>
    <hyperlink ref="L21" location="'Source text'!A36"/>
    <hyperlink ref="L22" location="'Source text'!A36"/>
    <hyperlink ref="L23" location="'Source text'!A40"/>
    <hyperlink ref="L24" location="'Source text'!A38"/>
    <hyperlink ref="L25" location="'Source text'!A41"/>
    <hyperlink ref="L26" location="'Source text'!A47"/>
    <hyperlink ref="L27" location="'Source text'!A48"/>
    <hyperlink ref="L28" location="'Source text'!A48"/>
    <hyperlink ref="L29" location="'Source text'!A52"/>
    <hyperlink ref="L30" location="'Source text'!A52"/>
    <hyperlink ref="L31" location="'Source text'!A53"/>
    <hyperlink ref="L32" location="'Source text'!A53"/>
    <hyperlink ref="L33" location="'Source text'!A54"/>
    <hyperlink ref="L34" location="'Source text'!A56"/>
    <hyperlink ref="L35" location="'Source text'!A56"/>
    <hyperlink ref="L36" location="'Source text'!A59"/>
    <hyperlink ref="L37" location="'Source text'!A59"/>
    <hyperlink ref="L38" location="'Source text'!A59"/>
    <hyperlink ref="L39" location="'Source text'!A59"/>
    <hyperlink ref="L40" location="'Source text'!A62"/>
    <hyperlink ref="L41" location="'Source text'!A63"/>
    <hyperlink ref="L42" location="'Source text'!A63"/>
    <hyperlink ref="L43" location="'Source text'!A68"/>
    <hyperlink ref="L44" location="'Source text'!A68"/>
    <hyperlink ref="L45" location="'Source text'!A68"/>
    <hyperlink ref="L46" location="'Source text'!A69"/>
    <hyperlink ref="L47" location="'Source text'!A69"/>
    <hyperlink ref="L48" location="'Source text'!A73"/>
    <hyperlink ref="L49" location="'Source text'!A82"/>
    <hyperlink ref="L50" location="'Source text'!A87"/>
    <hyperlink ref="L51" location="'Source text'!A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30" customWidth="1" min="1" max="1"/>
    <col width="100" customWidth="1" min="2" max="2"/>
    <col width="44" customWidth="1" min="3" max="3"/>
    <col width="22" customWidth="1" min="4" max="4"/>
    <col width="22" customWidth="1" min="5" max="5"/>
    <col width="44" customWidth="1" min="6" max="6"/>
    <col width="26" customWidth="1" min="7" max="7"/>
  </cols>
  <sheetData>
    <row r="1" ht="28.2" customHeight="1">
      <c r="A1" s="6" t="inlineStr">
        <is>
          <t>Mac-Gray Corporation — sale process ledger — Summary</t>
        </is>
      </c>
    </row>
    <row r="2"/>
    <row r="3" ht="53.4" customHeight="1">
      <c r="A3" s="7" t="inlineStr">
        <is>
          <t>Status and coverage</t>
        </is>
      </c>
      <c r="B3" s="2" t="inlineStr">
        <is>
          <t>AI first pass; not human-approved. Instruction revision: Revision of 19 September 2026 — short form. Supplied-source coverage: the single DEFM14A proxy statement for Mac-Gray Corporation, dated 12/04/2013 (file mac-gray_2013-12-04_DEFM14A.htm); complete background (printed pages 27–41) and every other passage cited are reproduced in the Source text sheet.</t>
        </is>
      </c>
    </row>
    <row r="4" ht="15.6" customHeight="1">
      <c r="A4" s="8" t="inlineStr">
        <is>
          <t>1. Commercial account</t>
        </is>
      </c>
    </row>
    <row r="5" ht="154.2" customHeight="1">
      <c r="A5" s="7" t="inlineStr">
        <is>
          <t>Commercial account</t>
        </is>
      </c>
      <c r="B5" s="2" t="inlineStr">
        <is>
          <t>Mac-Gray’s Board maintained an ongoing strategic review; after CSC’s May 2013 sale to Pamplona, the Board authorized exploration (04/05/2013), Mac-Gray’s banker approached Party A (04/08/2013), and Party A submitted an unsolicited $17.00–$19.00 all-cash proposal (06/21/2013). On 06/24/2013 the Board formed a six-member Special Committee, excluded CEO MacDonald and Moab’s Rothenberg for rollover conflicts, and launched a solicitation of 50 parties; 20 signed confidentiality agreements (2 strategic, 18 financial) and four bidders — Party A, Party B, Party C and CSC/Pamplona — advanced through staged diligence and revised indications. CSC/Pamplona led the price upward ($18.50 → $19.50 → $20.75 → $21.25 all cash); Party B’s final package was nominally higher at $21.50 but largely contingent options; Party A stood at $18.00–$19.00 best-and-final and Party C dropped out at the final due date. Mac-Gray granted CSC/Pamplona exclusivity on 09/24/2013 and, after resolving the termination-fee dispute, extended it on 10/12/2013 and signed at $21.25 per share in cash on 10/14/2013, announced 10/15/2013; the proxy reports no closing by 12/04/2013 (special meeting 01/08/2014, closing expected January 2014).</t>
        </is>
      </c>
    </row>
    <row r="6" ht="28.2" customHeight="1">
      <c r="A6" s="7" t="inlineStr">
        <is>
          <t>Observed outcome</t>
        </is>
      </c>
      <c r="B6" s="2" t="inlineStr">
        <is>
          <t>Signed 10/14/2013 with CSC/Pamplona; announced 10/15/2013; no closing observed at the filing date; no post-signing competing proposal or go-shop reported.</t>
        </is>
      </c>
    </row>
    <row r="7" ht="15.6" customHeight="1">
      <c r="A7" s="8" t="inlineStr">
        <is>
          <t>2. Deal facts</t>
        </is>
      </c>
    </row>
    <row r="8" ht="15.6" customHeight="1">
      <c r="A8" s="8" t="inlineStr">
        <is>
          <t>Item</t>
        </is>
      </c>
      <c r="B8" s="8" t="inlineStr">
        <is>
          <t>Fact</t>
        </is>
      </c>
      <c r="C8" s="8" t="inlineStr">
        <is>
          <t>Source</t>
        </is>
      </c>
    </row>
    <row r="9" ht="28.2" customHeight="1">
      <c r="A9" s="2" t="inlineStr">
        <is>
          <t>Target</t>
        </is>
      </c>
      <c r="B9" s="2" t="inlineStr">
        <is>
          <t>Mac-Gray Corporation (Delaware; Waltham, Massachusetts; NYSE-listed; founded 1927; second largest U.S. laundry facilities management contractor; laundry rooms in 44 states and the District of Columbia)</t>
        </is>
      </c>
      <c r="C9" s="2" t="inlineStr">
        <is>
          <t>X-004</t>
        </is>
      </c>
    </row>
    <row r="10" ht="40.8" customHeight="1">
      <c r="A10" s="2" t="inlineStr">
        <is>
          <t>Focal acquirer / type</t>
        </is>
      </c>
      <c r="B10" s="2" t="inlineStr">
        <is>
          <t>Spin Holdco Inc. (Parent), wholly-owned subsidiary of CSC ServiceWorks, Inc. (CSC), a wholly-owned subsidiary of CSC ServiceWorks Holdings, Inc.; backed by Pamplona Capital Partners III, L.P. Type: Strategic (operating-company acquisition role through a sponsor-owned operating company)</t>
        </is>
      </c>
      <c r="C10" s="2" t="inlineStr">
        <is>
          <t>X-001, X-002, X-003, X-005</t>
        </is>
      </c>
    </row>
    <row r="11" ht="28.2" customHeight="1">
      <c r="A11" s="2" t="inlineStr">
        <is>
          <t>Structure</t>
        </is>
      </c>
      <c r="B11" s="2" t="inlineStr">
        <is>
          <t>CSC Fenway, Inc. (Merger Subsidiary) merges into Mac-Gray; Mac-Gray survives as a wholly-owned subsidiary of Parent</t>
        </is>
      </c>
      <c r="C11" s="2" t="inlineStr">
        <is>
          <t>X-042, X-003</t>
        </is>
      </c>
    </row>
    <row r="12" ht="15.6" customHeight="1">
      <c r="A12" s="2" t="inlineStr">
        <is>
          <t>Agreed consideration</t>
        </is>
      </c>
      <c r="B12" s="2" t="inlineStr">
        <is>
          <t>$21.25 per share in cash, without interest, less withholding; all-cash; equity awards cashed out</t>
        </is>
      </c>
      <c r="C12" s="2" t="inlineStr">
        <is>
          <t>X-006, X-031</t>
        </is>
      </c>
    </row>
    <row r="13" ht="40.8" customHeight="1">
      <c r="A13" s="2" t="inlineStr">
        <is>
          <t>Implied equity value (labelled calculation, not a filing figure)</t>
        </is>
      </c>
      <c r="B13" s="2" t="inlineStr">
        <is>
          <t>14,758,306 shares × $21.25 = $313,614,002.50 (≈ $313.6M). Inputs: shares outstanding as of the 11/27/2013 record date and the merger consideration. Simple product; ignores equity awards, dilution, net debt and other adjustments (not disclosed)</t>
        </is>
      </c>
      <c r="C13" s="2" t="inlineStr">
        <is>
          <t>X-009, X-006</t>
        </is>
      </c>
    </row>
    <row r="14" ht="28.2" customHeight="1">
      <c r="A14" s="2" t="inlineStr">
        <is>
          <t>Signing / announcement / closing</t>
        </is>
      </c>
      <c r="B14" s="2" t="inlineStr">
        <is>
          <t>Signed 10/14/2013; jointly announced 10/15/2013 before market open; closing not observed at 12/04/2013 (expected January 2014; special meeting 01/08/2014)</t>
        </is>
      </c>
      <c r="C14" s="2" t="inlineStr">
        <is>
          <t>X-006, X-016</t>
        </is>
      </c>
    </row>
    <row r="15" ht="40.8" customHeight="1">
      <c r="A15" s="2" t="inlineStr">
        <is>
          <t>Commitment / termination terms</t>
        </is>
      </c>
      <c r="B15" s="2" t="inlineStr">
        <is>
          <t>Pamplona commitment letter up to $594M; no financing condition; Pamplona damages liability capped at $50M (Buyer Entities unlimited); Mac-Gray termination fee $11M; Parent termination fee $15M; End Date 03/31/2014 (extendable to 07/31/2014 for antitrust)</t>
        </is>
      </c>
      <c r="C15" s="2" t="inlineStr">
        <is>
          <t>X-011, X-012, X-013, X-030, X-033</t>
        </is>
      </c>
    </row>
    <row r="16" ht="28.2" customHeight="1">
      <c r="A16" s="2" t="inlineStr">
        <is>
          <t>Market benchmarks</t>
        </is>
      </c>
      <c r="B16" s="2" t="inlineStr">
        <is>
          <t>10/11/2013 close $14.72 (last trading day before approval); 52-week high (period ending 10/11/2013) $15.61; premiums ~44%/~36%; 11/27/2013 close $21.30</t>
        </is>
      </c>
      <c r="C16" s="2" t="inlineStr">
        <is>
          <t>X-007, X-008, X-010</t>
        </is>
      </c>
    </row>
    <row r="17" ht="40.8" customHeight="1">
      <c r="A17" s="2" t="inlineStr">
        <is>
          <t>Voting agreements</t>
        </is>
      </c>
      <c r="B17" s="2" t="inlineStr">
        <is>
          <t>Stockholders with voting agreements (≈ 15% of shares as of the record date) agreed to vote for adoption; agreements terminate if the merger agreement terminates. MacDonald family agreements entered 09/27/2013; Moab agreement executed 10/14/2013</t>
        </is>
      </c>
      <c r="C17" s="2" t="inlineStr">
        <is>
          <t>X-014, X-040, P-069, P-086</t>
        </is>
      </c>
    </row>
    <row r="18" ht="28.2" customHeight="1">
      <c r="A18" s="2" t="inlineStr">
        <is>
          <t>Filing</t>
        </is>
      </c>
      <c r="B18" s="2" t="inlineStr">
        <is>
          <t>DEFM14A, Mac-Gray Corporation, dated 12/04/2013 (source file raw_filing/mac-gray_2013-12-04_DEFM14A.htm); background at pages 27–41; BofA Merrill Lynch fairness opinion at page 45 and Annex B</t>
        </is>
      </c>
      <c r="C18" s="2" t="inlineStr">
        <is>
          <t>Cover; X-001</t>
        </is>
      </c>
    </row>
    <row r="19" ht="15.6" customHeight="1">
      <c r="A19" s="8" t="inlineStr">
        <is>
          <t>3. Process and round map</t>
        </is>
      </c>
    </row>
    <row r="20" ht="53.4" customHeight="1">
      <c r="A20" s="7" t="inlineStr">
        <is>
          <t>Processes</t>
        </is>
      </c>
      <c r="B20" s="2" t="inlineStr">
        <is>
          <t>One sale process (Process 1, a sale of Mac-Gray). The 2011-2012 Discussions were a reverse-direction exploration (Mac-Gray as potential acquirer of CSC) and are kept only as context (R001–R002). No process termination or restart is recorded; the process ends in signing with post-signing activity unobserved at the filing date.</t>
        </is>
      </c>
    </row>
    <row r="21" ht="66" customHeight="1">
      <c r="A21" s="7" t="inlineStr">
        <is>
          <t>Initiation assessment</t>
        </is>
      </c>
      <c r="B21" s="2" t="inlineStr">
        <is>
          <t>Mixed (target-led review with a bidder accelerant): the Board’s ongoing strategic review and 04/05/2013 authorization, the 04/08/2013 approach to Party A and Party A’s unsolicited 06/21/2013 proposal immediately preceded the 06/24/2013 sale decision and outreach. Moab’s proxy contest (two nominees elected 05/30/2013) explains the Moab rollover/exclusion thread; the filing does not report sale advocacy by Moab.</t>
        </is>
      </c>
    </row>
    <row r="22" ht="40.8" customHeight="1">
      <c r="A22" s="7" t="inlineStr">
        <is>
          <t>Round 0</t>
        </is>
      </c>
      <c r="B22" s="2" t="inlineStr">
        <is>
          <t>Pre-opening: 2011-2012 context (R001–R002); 04/05/2013 authorization (R003); 04/08/2013 Party A contact (R004); adviser history (R005–R007); 06/21/2013 Party A proposal (R008), still standing when Round 1 was evaluated.</t>
        </is>
      </c>
    </row>
    <row r="23" ht="15.6" customHeight="1">
      <c r="A23" s="8" t="inlineStr">
        <is>
          <t>Round</t>
        </is>
      </c>
      <c r="B23" s="8" t="inlineStr">
        <is>
          <t>Opened</t>
        </is>
      </c>
      <c r="C23" s="8" t="inlineStr">
        <is>
          <t>Objective / participant scope</t>
        </is>
      </c>
      <c r="D23" s="8" t="inlineStr">
        <is>
          <t>Finality</t>
        </is>
      </c>
      <c r="E23" s="8" t="inlineStr">
        <is>
          <t>Deadline &amp; treatment</t>
        </is>
      </c>
      <c r="F23" s="8" t="inlineStr">
        <is>
          <t>Round-bidder tally</t>
        </is>
      </c>
      <c r="G23" s="8" t="inlineStr">
        <is>
          <t>Ending</t>
        </is>
      </c>
    </row>
    <row r="24" ht="28.2" customHeight="1">
      <c r="A24" s="2" t="inlineStr">
        <is>
          <t>0</t>
        </is>
      </c>
      <c r="B24" s="2" t="inlineStr">
        <is>
          <t>pre-opening</t>
        </is>
      </c>
      <c r="C24" s="2" t="inlineStr">
        <is>
          <t>Context, initiation, first contact, unsolicited Party A proposal</t>
        </is>
      </c>
      <c r="D24" s="2" t="inlineStr">
        <is>
          <t>—</t>
        </is>
      </c>
      <c r="E24" s="2" t="inlineStr">
        <is>
          <t>—</t>
        </is>
      </c>
      <c r="F24" s="2" t="inlineStr">
        <is>
          <t>1 bid (Party A)</t>
        </is>
      </c>
      <c r="G24" s="2" t="inlineStr">
        <is>
          <t>Leads to Round 1</t>
        </is>
      </c>
    </row>
    <row r="25" ht="53.4" customHeight="1">
      <c r="A25" s="2" t="inlineStr">
        <is>
          <t>1</t>
        </is>
      </c>
      <c r="B25" s="2" t="inlineStr">
        <is>
          <t>06/24/2013 (R010)</t>
        </is>
      </c>
      <c r="C25" s="2" t="inlineStr">
        <is>
          <t>Broad solicitation: 50 parties approached (15 strategic / 35 financial); 20 confidentiality signers; informational packages and preliminary IOIs</t>
        </is>
      </c>
      <c r="D25" s="2" t="inlineStr">
        <is>
          <t>Not final</t>
        </is>
      </c>
      <c r="E25" s="2" t="inlineStr">
        <is>
          <t>Due 07/23/2013; Late bids accepted</t>
        </is>
      </c>
      <c r="F25" s="2" t="inlineStr">
        <is>
          <t>4 accounted: 3 submissions (CSC/Pamplona, Party B, Party C) + Party A’s standing proposal</t>
        </is>
      </c>
      <c r="G25" s="2" t="inlineStr">
        <is>
          <t>16 residual non-submitters (R019); four advance</t>
        </is>
      </c>
    </row>
    <row r="26" ht="40.8" customHeight="1">
      <c r="A26" s="2" t="inlineStr">
        <is>
          <t>2</t>
        </is>
      </c>
      <c r="B26" s="2" t="inlineStr">
        <is>
          <t>07/25/2013 (R023)</t>
        </is>
      </c>
      <c r="C26" s="2" t="inlineStr">
        <is>
          <t>Staged disclosure: management presentations and tiered data access; revised written proposals to continue</t>
        </is>
      </c>
      <c r="D26" s="2" t="inlineStr">
        <is>
          <t>Not final</t>
        </is>
      </c>
      <c r="E26" s="2" t="inlineStr">
        <is>
          <t>Due 09/09/2013; Late bids accepted</t>
        </is>
      </c>
      <c r="F26" s="2" t="inlineStr">
        <is>
          <t>4 submissions (CSC/Pamplona, Party B on 09/09; Party A, Party C on 09/10)</t>
        </is>
      </c>
      <c r="G26" s="2" t="inlineStr">
        <is>
          <t>All four advance to final round</t>
        </is>
      </c>
    </row>
    <row r="27" ht="40.8" customHeight="1">
      <c r="A27" s="2" t="inlineStr">
        <is>
          <t>3</t>
        </is>
      </c>
      <c r="B27" s="2" t="inlineStr">
        <is>
          <t>09/11/2013 (R033)</t>
        </is>
      </c>
      <c r="C27" s="2" t="inlineStr">
        <is>
          <t>Final indications of interest; possible short exclusive negotiation</t>
        </is>
      </c>
      <c r="D27" s="2" t="inlineStr">
        <is>
          <t>Announced as final</t>
        </is>
      </c>
      <c r="E27" s="2" t="inlineStr">
        <is>
          <t>Due 09/18/2013; Enforced</t>
        </is>
      </c>
      <c r="F27" s="2" t="inlineStr">
        <is>
          <t>3: 2 submissions (CSC/Pamplona $20.75; Party B $21.50-value) + Party A reaffirmation; Party C Did not submit</t>
        </is>
      </c>
      <c r="G27" s="2" t="inlineStr">
        <is>
          <t>Selection and $21.25 exclusivity authorization (R039)</t>
        </is>
      </c>
    </row>
    <row r="28" ht="53.4" customHeight="1">
      <c r="A28" s="2" t="inlineStr">
        <is>
          <t>4</t>
        </is>
      </c>
      <c r="B28" s="2" t="inlineStr">
        <is>
          <t>09/21/2013 (R040)</t>
        </is>
      </c>
      <c r="C28" s="2" t="inlineStr">
        <is>
          <t>Exclusive definitive negotiation with the selected bidder (CSC/Pamplona)</t>
        </is>
      </c>
      <c r="D28" s="2" t="inlineStr">
        <is>
          <t>Inferred final</t>
        </is>
      </c>
      <c r="E28" s="2" t="inlineStr">
        <is>
          <t>No bid deadline; exclusivity expiry 10/12/2013 extended to 10/15/2013</t>
        </is>
      </c>
      <c r="F28" s="2" t="inlineStr">
        <is>
          <t>1 bid ($21.25)</t>
        </is>
      </c>
      <c r="G28" s="2" t="inlineStr">
        <is>
          <t>Signed 10/14/2013 (R048)</t>
        </is>
      </c>
    </row>
    <row r="29" ht="28.2" customHeight="1">
      <c r="A29" s="2" t="inlineStr">
        <is>
          <t>post</t>
        </is>
      </c>
      <c r="B29" s="2" t="inlineStr">
        <is>
          <t>10/15/2013 (R049)</t>
        </is>
      </c>
      <c r="C29" s="2" t="inlineStr">
        <is>
          <t>Post-signing competition and closing</t>
        </is>
      </c>
      <c r="D29" s="2" t="inlineStr">
        <is>
          <t>—</t>
        </is>
      </c>
      <c r="E29" s="2" t="inlineStr">
        <is>
          <t>—</t>
        </is>
      </c>
      <c r="F29" s="2" t="inlineStr">
        <is>
          <t>0 competing proposals; no go-shop</t>
        </is>
      </c>
      <c r="G29" s="2" t="inlineStr">
        <is>
          <t>No closing observed at 12/04/2013</t>
        </is>
      </c>
    </row>
    <row r="30" ht="66" customHeight="1">
      <c r="A30" s="7" t="inlineStr">
        <is>
          <t>Rejected boundaries</t>
        </is>
      </c>
      <c r="B30" s="2" t="inlineStr">
        <is>
          <t>Round-1 anchor alternatives retained as rows: 10/23/2012 engagement (R002), 04/08/2013 contact (R004), 06/21/2013 proposal (R008); the first outreach wave has no single disclosed date. Round-2 alternative: 08/27/2013 letter (kept as Deadline set, R026) rejected in favor of the 07/25/2013 selection/staging decision. Round-4 alternatives: 09/19/2013 selection decision (R039) and 09/24/2013 executed exclusivity (R042) rejected in favor of the 09/21/2013 mutually agreed move to exclusive negotiation (R040).</t>
        </is>
      </c>
    </row>
    <row r="31" ht="15.6" customHeight="1">
      <c r="A31" s="8" t="inlineStr">
        <is>
          <t>4. Participants and advisers</t>
        </is>
      </c>
    </row>
    <row r="32" ht="40.8" customHeight="1">
      <c r="A32" s="8" t="inlineStr">
        <is>
          <t>Name</t>
        </is>
      </c>
      <c r="B32" s="8" t="inlineStr">
        <is>
          <t>Type / role</t>
        </is>
      </c>
      <c r="C32" s="8" t="inlineStr">
        <is>
          <t>First observed</t>
        </is>
      </c>
      <c r="D32" s="8" t="inlineStr">
        <is>
          <t>Observed activity and closing outcome (basis)</t>
        </is>
      </c>
    </row>
    <row r="33" ht="103.8" customHeight="1">
      <c r="A33" s="2" t="inlineStr">
        <is>
          <t>Party A</t>
        </is>
      </c>
      <c r="B33" s="2" t="inlineStr">
        <is>
          <t>Strategic (laundry-industry operator)</t>
        </is>
      </c>
      <c r="C33" s="2" t="inlineStr">
        <is>
          <t>04/08/2013 contact (R004)</t>
        </is>
      </c>
      <c r="D33" s="2" t="inlineStr">
        <is>
          <t>Bid 06/21 $17–19 (R008); NDA 08/05 (R024); revised $18–19 09/10 (R030); best-and-final 09/18 (R036); Dropped by target 09/24 — Inferred: exclusivity (R043)</t>
        </is>
      </c>
    </row>
    <row r="34" ht="91.2" customHeight="1">
      <c r="A34" s="2" t="inlineStr">
        <is>
          <t>Party B</t>
        </is>
      </c>
      <c r="B34" s="2" t="inlineStr">
        <is>
          <t>Financial</t>
        </is>
      </c>
      <c r="C34" s="2" t="inlineStr">
        <is>
          <t>NDA 06/28 (R013)</t>
        </is>
      </c>
      <c r="D34" s="2" t="inlineStr">
        <is>
          <t>Bids 07/24 $17–18 (R020), 09/09 $18.50 (R029), 09/18 $21.50-valued package (R037); Dropped by target 09/24 — Inferred: exclusivity (R044)</t>
        </is>
      </c>
    </row>
    <row r="35" ht="78.59999999999999" customHeight="1">
      <c r="A35" s="2" t="inlineStr">
        <is>
          <t>Party C</t>
        </is>
      </c>
      <c r="B35" s="2" t="inlineStr">
        <is>
          <t>Financial</t>
        </is>
      </c>
      <c r="C35" s="2" t="inlineStr">
        <is>
          <t>NDA 06/30 (R014)</t>
        </is>
      </c>
      <c r="D35" s="2" t="inlineStr">
        <is>
          <t>Bids 07/24 $15–17 oral (R021), 07/25 $16–16.50 written (R022), 09/10 $16–17 (R031); Did not submit 09/18 — Stated (R038)</t>
        </is>
      </c>
    </row>
    <row r="36" ht="103.8" customHeight="1">
      <c r="A36" s="2" t="inlineStr">
        <is>
          <t>CSC/Pamplona (CSC ServiceWorks, Inc. / Pamplona Capital Partners III, L.P.)</t>
        </is>
      </c>
      <c r="B36" s="2" t="inlineStr">
        <is>
          <t>Strategic (CSC is an operating company owned by the Pamplona fund; one bidder unit)</t>
        </is>
      </c>
      <c r="C36" s="2" t="inlineStr">
        <is>
          <t>Contact by 06/28 (R012); NDA 07/11 (R016)</t>
        </is>
      </c>
      <c r="D36" s="2" t="inlineStr">
        <is>
          <t>Bids $18.50 (07/23, R018), $19.50 (09/09, R028), $20.75 (09/18, R035), $21.25 (09/21, R041); exclusivity 09/24 (R042); winner — signed 10/14 (R048); no exit row (winner)</t>
        </is>
      </c>
    </row>
    <row r="37" ht="53.4" customHeight="1">
      <c r="A37" s="2" t="inlineStr">
        <is>
          <t>16 financial NDA signers (residual cohort)</t>
        </is>
      </c>
      <c r="B37" s="2" t="inlineStr">
        <is>
          <t>Financial cohort</t>
        </is>
      </c>
      <c r="C37" s="2" t="inlineStr">
        <is>
          <t>NDA window 06/24–08/24 (R011)</t>
        </is>
      </c>
      <c r="D37" s="2" t="inlineStr">
        <is>
          <t>No preliminary indication reported; Did not submit 07/23 — Inferred: residual (R019)</t>
        </is>
      </c>
    </row>
    <row r="38" ht="91.2" customHeight="1">
      <c r="A38" s="2" t="inlineStr">
        <is>
          <t>Moab (Moab Partners, L.P. and affiliates)</t>
        </is>
      </c>
      <c r="B38" s="2" t="inlineStr">
        <is>
          <t>Shareholder (~9% at 06/12/2013; not a bidder)</t>
        </is>
      </c>
      <c r="C38" s="2" t="inlineStr">
        <is>
          <t>Rollover interest; June 24 exclusion (R009)</t>
        </is>
      </c>
      <c r="D38" s="2" t="inlineStr">
        <is>
          <t>Exclusivity request denied 07/06 (R015); discussions facilitated 09/23; resolved no rollover 10/07 (R047); voting agreement executed at signing (R048)</t>
        </is>
      </c>
    </row>
    <row r="39" ht="78.59999999999999" customHeight="1">
      <c r="A39" s="2" t="inlineStr">
        <is>
          <t>Stewart G. MacDonald, Jr.</t>
        </is>
      </c>
      <c r="B39" s="2" t="inlineStr">
        <is>
          <t>CEO and significant stockholder (not a bidder)</t>
        </is>
      </c>
      <c r="C39" s="2" t="inlineStr">
        <is>
          <t>Excluded from evaluation 06/24 (R009)</t>
        </is>
      </c>
      <c r="D39" s="2" t="inlineStr">
        <is>
          <t>Declined rollover 09/11 (R032); supported $21.25; voting agreements entered 09/27/2013, effective at signing (R048)</t>
        </is>
      </c>
    </row>
    <row r="40" ht="15.6" customHeight="1">
      <c r="A40" s="8" t="inlineStr">
        <is>
          <t>Adviser</t>
        </is>
      </c>
      <c r="B40" s="8" t="inlineStr">
        <is>
          <t>Client and role</t>
        </is>
      </c>
      <c r="C40" s="8" t="inlineStr">
        <is>
          <t>Dates and notes</t>
        </is>
      </c>
    </row>
    <row r="41" ht="103.8" customHeight="1">
      <c r="A41" s="2" t="inlineStr">
        <is>
          <t>BofA Merrill Lynch (Merrill Lynch, Pierce, Fenner &amp; Smith Incorporated)</t>
        </is>
      </c>
      <c r="B41" s="2" t="inlineStr">
        <is>
          <t>Mac-Gray; financial advisor</t>
        </is>
      </c>
      <c r="C41" s="2" t="inlineStr">
        <is>
          <t>Engaged 10/23/2012 for the 2011-2012 Discussions (R002); mandate terminated 05/15/2013 (R006); re-engaged 05/31/2013 for the strategic-alternatives review (R007); fairness opinion 10/14/2013; fee ~$8.1M ($0.75M on opinion delivery; balance contingent on completion); barred from buyer-side acquisition financing without consent</t>
        </is>
      </c>
    </row>
    <row r="42" ht="53.4" customHeight="1">
      <c r="A42" s="2" t="inlineStr">
        <is>
          <t>Goodwin Procter LLP</t>
        </is>
      </c>
      <c r="B42" s="2" t="inlineStr">
        <is>
          <t>Mac-Gray; outside legal counsel</t>
        </is>
      </c>
      <c r="C42" s="2" t="inlineStr">
        <is>
          <t>First observed on the mandate 05/09/2013 (R005); negotiated exclusivity, the merger agreement and the Pamplona commitment letter; advised on fiduciary duties</t>
        </is>
      </c>
    </row>
    <row r="43" ht="40.8" customHeight="1">
      <c r="A43" s="2" t="inlineStr">
        <is>
          <t>Kirkland &amp; Ellis LLP</t>
        </is>
      </c>
      <c r="B43" s="2" t="inlineStr">
        <is>
          <t>CSC/Pamplona; outside legal counsel</t>
        </is>
      </c>
      <c r="C43" s="2" t="inlineStr">
        <is>
          <t>First observed 09/25/2013 receiving the initial merger agreement draft (R045); negotiated the merger agreement and commitment letter</t>
        </is>
      </c>
    </row>
    <row r="44" ht="78.59999999999999" customHeight="1">
      <c r="A44" s="7" t="inlineStr">
        <is>
          <t>Aliases and relationships</t>
        </is>
      </c>
      <c r="B44" s="2" t="inlineStr">
        <is>
          <t>Pamplona = Pamplona Capital Partners III, L.P. (the sponsor fund; CSC’s owner). Buyer chain: CSC ServiceWorks Holdings, Inc. → CSC ServiceWorks, Inc. → Spin Holdco Inc. (Parent) → CSC Fenway, Inc. (Merger Subsidiary); CSC/Pamplona bids as one unit. Party A, Party B and Party C are the filing’s anonymous names; no individual identities are inferred. Public/private and country attributes: Mac-Gray (US/Delaware, NYSE-listed); CSC group (US/Delaware; workforce across US, Canada and Europe); Pamplona (sponsor fund).</t>
        </is>
      </c>
    </row>
    <row r="45" ht="15.6" customHeight="1">
      <c r="A45" s="8" t="inlineStr">
        <is>
          <t>5. Counts and auction screen</t>
        </is>
      </c>
    </row>
    <row r="46" ht="66" customHeight="1">
      <c r="A46" s="7" t="inlineStr">
        <is>
          <t>Method</t>
        </is>
      </c>
      <c r="B46" s="2" t="inlineStr">
        <is>
          <t>Ledger-derived figures use SUMIFS over Count (column Q) filtered by What happened (D), Process (E), Round (F) and Include (P), excluding Include = No. Count is a scoped tally contribution, not a population balance; a sum of populated Count cells is not a complete total where rows remain blank. The initial Party A Bid carries first-round contact evidence and is included in the Round 1 tally explicitly (formula adds Round 0 bids).</t>
        </is>
      </c>
    </row>
    <row r="47" ht="15.6" customHeight="1">
      <c r="A47" s="8" t="inlineStr">
        <is>
          <t>Metric</t>
        </is>
      </c>
      <c r="B47" s="8" t="inlineStr">
        <is>
          <t>Ledger-derived value (formula)</t>
        </is>
      </c>
      <c r="C47" s="8" t="inlineStr">
        <is>
          <t>Filing assertion (source)</t>
        </is>
      </c>
      <c r="D47" s="8" t="inlineStr">
        <is>
          <t>Reconciliation / notes</t>
        </is>
      </c>
    </row>
    <row r="48" ht="141.6" customHeight="1">
      <c r="A48" s="2" t="inlineStr">
        <is>
          <t>Confidentiality agreements (Process 1)</t>
        </is>
      </c>
      <c r="B48" s="2">
        <f>SUMIFS('Deal ledger'!$Q:$Q,'Deal ledger'!$D:$D,"NDA signed",'Deal ledger'!$P:$P,"Yes")</f>
        <v/>
      </c>
      <c r="C48" s="2" t="inlineStr">
        <is>
          <t>20 potential bidders entered confidentiality agreements: 2 strategic (Party A, CSC/Pamplona) + 18 financial incl. Party B, Party C (P-025)</t>
        </is>
      </c>
      <c r="D48" s="2" t="inlineStr">
        <is>
          <t>4 individually recorded signers + 16 residual financial signers = 20. The residual is a partition of the stated total, not independent validation; population overlap between named and unnamed signers is assumed disjoint per section 5.2.</t>
        </is>
      </c>
    </row>
    <row r="49" ht="129" customHeight="1">
      <c r="A49" s="2" t="inlineStr">
        <is>
          <t>First contacts</t>
        </is>
      </c>
      <c r="B49" s="2">
        <f>SUMIFS('Deal ledger'!$Q:$Q,'Deal ledger'!$D:$D,"Contact",'Deal ledger'!$P:$P,"Yes")+SUMIFS('Deal ledger'!$Q:$Q,'Deal ledger'!$D:$D,"Target interest",'Deal ledger'!$P:$P,"Yes")</f>
        <v/>
      </c>
      <c r="C49" s="2" t="inlineStr">
        <is>
          <t>BofA Merrill Lynch contacted the parties identified at the June 24 meeting; a total of 50 parties were identified (P-023/P-024); contacts with Party A and Pamplona reported 06/28/2013 (P-004, P-026)</t>
        </is>
      </c>
      <c r="D49" s="2" t="inlineStr">
        <is>
          <t>2 individually recorded first contacts (Party A 04/08/2013; CSC/Pamplona by 06/28/2013). The other 48 approaches are reported only at aggregate level, so this total covers named contacts only — incomplete by design.</t>
        </is>
      </c>
    </row>
    <row r="50" ht="91.2" customHeight="1">
      <c r="A50" s="2" t="inlineStr">
        <is>
          <t>Parties approached</t>
        </is>
      </c>
      <c r="B50" s="2" t="inlineStr">
        <is>
          <t>(no ledger sum — 50 is not a Count row)</t>
        </is>
      </c>
      <c r="C50" s="2" t="inlineStr">
        <is>
          <t>50 parties: 15 strategic, 35 financial (P-023/P-024)</t>
        </is>
      </c>
      <c r="D50" s="2" t="inlineStr">
        <is>
          <t>30 approached parties did not sign agreements and never entered; the filing reports no individual outcomes for them, and none are invented.</t>
        </is>
      </c>
    </row>
    <row r="51" ht="103.8" customHeight="1">
      <c r="A51" s="2" t="inlineStr">
        <is>
          <t>Round 1 bidders</t>
        </is>
      </c>
      <c r="B51" s="2">
        <f>SUMIFS('Deal ledger'!$Q:$Q,'Deal ledger'!$D:$D,"Bid",'Deal ledger'!$F:$F,1,'Deal ledger'!$P:$P,"Yes")+SUMIFS('Deal ledger'!$Q:$Q,'Deal ledger'!$D:$D,"Bid",'Deal ledger'!$F:$F,0,'Deal ledger'!$P:$P,"Yes")</f>
        <v/>
      </c>
      <c r="C51" s="2" t="inlineStr">
        <is>
          <t>Four bidders considered (three preliminary indications plus the Party A June 21 proposal) (P-036); four interested bidders advanced (P-038)</t>
        </is>
      </c>
      <c r="D51" s="2" t="inlineStr">
        <is>
          <t>4 = 3 Round-1 submissions + Party A’s standing Round-0 proposal (R008). The formula includes Round 0 explicitly; a blanket sum over Round 1 Bid rows would show 3.</t>
        </is>
      </c>
    </row>
    <row r="52" ht="78.59999999999999" customHeight="1">
      <c r="A52" s="2" t="inlineStr">
        <is>
          <t>Round 2 bidders</t>
        </is>
      </c>
      <c r="B52" s="2">
        <f>SUMIFS('Deal ledger'!$Q:$Q,'Deal ledger'!$D:$D,"Bid",'Deal ledger'!$F:$F,2,'Deal ledger'!$P:$P,"Yes")</f>
        <v/>
      </c>
      <c r="C52" s="2" t="inlineStr">
        <is>
          <t>Revised indications reviewed 09/11/2013 (P-052, P-054)</t>
        </is>
      </c>
      <c r="D52" s="2" t="inlineStr">
        <is>
          <t>4 submissions (CSC/Pamplona, Party B on 09/09; Party A, Party C on 09/10); stage-specific units, not unique bidders.</t>
        </is>
      </c>
    </row>
    <row r="53" ht="78.59999999999999" customHeight="1">
      <c r="A53" s="2" t="inlineStr">
        <is>
          <t>Round 3 bidders</t>
        </is>
      </c>
      <c r="B53" s="2">
        <f>SUMIFS('Deal ledger'!$Q:$Q,'Deal ledger'!$D:$D,"Bid",'Deal ledger'!$F:$F,3,'Deal ledger'!$P:$P,"Yes")+SUMIFS('Deal ledger'!$Q:$Q,'Deal ledger'!$D:$D,"Bid reaffirmed",'Deal ledger'!$F:$F,3,'Deal ledger'!$P:$P,"Yes")</f>
        <v/>
      </c>
      <c r="C53" s="2" t="inlineStr">
        <is>
          <t>Final indications 09/18/2013 (P-058)</t>
        </is>
      </c>
      <c r="D53" s="2" t="inlineStr">
        <is>
          <t>3 = 2 submissions (CSC/Pamplona, Party B) + 1 reaffirmation (Party A); Party C counted as a non-submission separately.</t>
        </is>
      </c>
    </row>
    <row r="54" ht="40.8" customHeight="1">
      <c r="A54" s="2" t="inlineStr">
        <is>
          <t>Round 4 bids</t>
        </is>
      </c>
      <c r="B54" s="2">
        <f>SUMIFS('Deal ledger'!$Q:$Q,'Deal ledger'!$D:$D,"Bid",'Deal ledger'!$F:$F,4,'Deal ledger'!$P:$P,"Yes")</f>
        <v/>
      </c>
      <c r="C54" s="2" t="inlineStr">
        <is>
          <t>$21.25 last-and-best confirmation 09/21/2013 (P-062)</t>
        </is>
      </c>
      <c r="D54" s="2" t="inlineStr">
        <is>
          <t>1 bid in the bilateral definitive-negotiation round.</t>
        </is>
      </c>
    </row>
    <row r="55" ht="53.4" customHeight="1">
      <c r="A55" s="2" t="inlineStr">
        <is>
          <t>Non-submissions</t>
        </is>
      </c>
      <c r="B55" s="2">
        <f>SUMIFS('Deal ledger'!$Q:$Q,'Deal ledger'!$D:$D,"Did not submit",'Deal ledger'!$P:$P,"Yes")</f>
        <v/>
      </c>
      <c r="C55" s="2" t="inlineStr">
        <is>
          <t>Party C absent at the final due date (P-058); the continuing set was the four named bidders (P-036, P-038)</t>
        </is>
      </c>
      <c r="D55" s="2" t="inlineStr">
        <is>
          <t>17 affected units = Party C (stated, 1) + 16 residual signers (inferred residual, 16).</t>
        </is>
      </c>
    </row>
    <row r="56" ht="78.59999999999999" customHeight="1">
      <c r="A56" s="2" t="inlineStr">
        <is>
          <t>Exclusivity drops</t>
        </is>
      </c>
      <c r="B56" s="2">
        <f>SUMIFS('Deal ledger'!$Q:$Q,'Deal ledger'!$D:$D,"Dropped by target",'Deal ledger'!$P:$P,"Yes")</f>
        <v/>
      </c>
      <c r="C56" s="2" t="inlineStr">
        <is>
          <t>Exclusivity executed with CSC/Pamplona 09/24/2013 (P-067)</t>
        </is>
      </c>
      <c r="D56" s="2" t="inlineStr">
        <is>
          <t>2 affected units (Party A and Party B), both Inferred: exclusivity; no notice, reason or voluntary exit inferred.</t>
        </is>
      </c>
    </row>
    <row r="57" ht="204.6" customHeight="1">
      <c r="A57" s="2" t="inlineStr">
        <is>
          <t>Auction screen</t>
        </is>
      </c>
      <c r="B57" s="2" t="inlineStr">
        <is>
          <t>Met</t>
        </is>
      </c>
      <c r="C57" s="2" t="inlineStr">
        <is>
          <t>—</t>
        </is>
      </c>
      <c r="D57" s="2" t="inlineStr">
        <is>
          <t>More than one independent prospective acquiring bidder unit executed bidder-target confidentiality agreements (20 signers; at least Party A and CSC/Pamplona as separate strategic units, plus 18 financial). Excluded: no lender-only, adviser or rollover-holder agreements reported; no agreements expressly reused from an earlier attempt reported.</t>
        </is>
      </c>
    </row>
    <row r="58" ht="53.4" customHeight="1">
      <c r="A58" s="7" t="inlineStr">
        <is>
          <t>Per-stage balance (Process 1)</t>
        </is>
      </c>
      <c r="B58" s="2" t="inlineStr">
        <is>
          <t>Participants stock = entrants − stated exits − inferred exits + re-entries. R1: 20 − 16 (residual non-submitters) = 4. R2: 4 − 0 = 4. R3: 4 − 1 (Party C) = 3. R4: 3 − 2 (exclusivity drops) = 1 = winner. At signing only the winner remains; no go-shop; no post-signing entrants. Exit events: 19 total — 1 stated (Party C), 18 inferred (16 residual + 2 exclusivity drops); inferred share is visible, not forced.</t>
        </is>
      </c>
    </row>
    <row r="59" ht="15.6" customHeight="1">
      <c r="A59" s="8" t="inlineStr">
        <is>
          <t>6. Comparability and inputs</t>
        </is>
      </c>
    </row>
    <row r="60" ht="40.8" customHeight="1">
      <c r="A60" s="7" t="inlineStr">
        <is>
          <t>Other-scope proposals</t>
        </is>
      </c>
      <c r="B60" s="2" t="inlineStr">
        <is>
          <t>None observed: every recorded proposal concerned the whole company’s equity. No segment, asset, minority-stake or unresolved-scope bids were recorded, so no Other-scope bid rows exist and no non-comparability adjustment is applied.</t>
        </is>
      </c>
    </row>
    <row r="61" ht="66" customHeight="1">
      <c r="A61" s="7" t="inlineStr">
        <is>
          <t>Consideration structure</t>
        </is>
      </c>
      <c r="B61" s="2" t="inlineStr">
        <is>
          <t>All proposals were all-cash except Party B’s 09/18/2013 package: $19.00 cash at closing plus options for the remainder (10% of the new equity; strike price equal to Party B’s initial cost basis; vesting on the base-case management projections over about five years, excluding future acquisitions; bidder-stated option value $2.50 per share). Price cells carry the bidder-stated $21.50 with All cash = No and Cash at closing $19.00; no CVR or earnout is present. Currency USD throughout.</t>
        </is>
      </c>
    </row>
    <row r="62" ht="53.4" customHeight="1">
      <c r="A62" s="7" t="inlineStr">
        <is>
          <t>Projections and benchmarks</t>
        </is>
      </c>
      <c r="B62" s="2" t="inlineStr">
        <is>
          <t>Management projections prepared June 2013 for 2013–2018 (Without Acquisitions and With Acquisitions cases); used in BofA Merrill Lynch’s analyses and as the Party B options’ vesting benchmark, with extensive cautionary language. Market benchmarks: 10/11/2013 close $14.72; 52-week high $15.61 (period ending 10/11/2013); 11/27/2013 close $21.30.</t>
        </is>
      </c>
    </row>
    <row r="63" ht="40.8" customHeight="1">
      <c r="A63" s="7" t="inlineStr">
        <is>
          <t>Stated inputs</t>
        </is>
      </c>
      <c r="B63" s="2" t="inlineStr">
        <is>
          <t>Shares outstanding 14,758,306 as of the 11/27/2013 record date; merger consideration $21.25; Pamplona commitment up to $594M; damages cap $50M; HSR filed 10/29/2013 and waiting period expired 11/27/2013. Net debt: not disclosed.</t>
        </is>
      </c>
    </row>
    <row r="64" ht="40.8" customHeight="1">
      <c r="A64" s="7" t="inlineStr">
        <is>
          <t>Labelled conversion</t>
        </is>
      </c>
      <c r="B64" s="2" t="inlineStr">
        <is>
          <t>Implied equity value ≈ $313.6M = 14,758,306 × $21.25 (simple product of stated inputs; not a filing figure; ignores equity awards, dilution, net debt and any other adjustments, none of which are disclosed in the supplied filing).</t>
        </is>
      </c>
    </row>
    <row r="65" ht="91.2" customHeight="1">
      <c r="A65" s="7" t="inlineStr">
        <is>
          <t>Glossary</t>
        </is>
      </c>
      <c r="B65" s="2" t="inlineStr">
        <is>
          <t>NDA = confidentiality agreement. IOI = indication of interest. LOI = letter of intent. Due diligence = investigation of the target. Exclusivity = a period in which the target negotiates only with one bidder. Reverse termination fee = fee payable by the buyer to the target on specified terminations ($15M here). Go-shop = agreement-provided post-signing solicitation period (none here; only a fiduciary out for unsolicited superior proposals). CVR = contingent value right (none here). Equity value = value of the shares; enterprise value = the business before debt/cash adjustments (not used for the bid prices).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72" customWidth="1" min="3" max="3"/>
    <col width="72" customWidth="1" min="4" max="4"/>
    <col width="30" customWidth="1" min="5" max="5"/>
    <col width="40" customWidth="1" min="6" max="6"/>
    <col width="10" customWidth="1" min="7" max="7"/>
    <col width="26" customWidth="1" min="8" max="8"/>
  </cols>
  <sheetData>
    <row r="1">
      <c r="A1" s="9" t="inlineStr">
        <is>
          <t>Q</t>
        </is>
      </c>
      <c r="B1" s="9" t="inlineStr">
        <is>
          <t>Review topic</t>
        </is>
      </c>
      <c r="C1" s="9" t="inlineStr">
        <is>
          <t>Recommended answer</t>
        </is>
      </c>
      <c r="D1" s="9" t="inlineStr">
        <is>
          <t>Why and source</t>
        </is>
      </c>
      <c r="E1" s="9" t="inlineStr">
        <is>
          <t>Affected rows/fields</t>
        </is>
      </c>
      <c r="F1" s="9" t="inlineStr">
        <is>
          <t>Consequence of changing it</t>
        </is>
      </c>
      <c r="G1" s="9" t="inlineStr">
        <is>
          <t>Status</t>
        </is>
      </c>
      <c r="H1" s="9" t="inlineStr">
        <is>
          <t>Reviewer note</t>
        </is>
      </c>
    </row>
    <row r="2" ht="103.8" customHeight="1">
      <c r="A2" s="2" t="inlineStr">
        <is>
          <t>Q1</t>
        </is>
      </c>
      <c r="B2" s="2" t="inlineStr">
        <is>
          <t>Process segmentation and round map</t>
        </is>
      </c>
      <c r="C2" s="2" t="inlineStr">
        <is>
          <t>Accept one process (Process 1) and the four-round map. R1 anchor = 06/24/2013 sale decision (rejected candidates: 10/23/2012 engagement R002, 04/08/2013 contact R004, 06/21/2013 proposal R008; first outreach wave undated). R2 = 07/25/2013 selection/staging (reject 08/27/2013 letter R026 as the boundary). R3 = 09/11/2013 final-indication request (Announced as final). R4 = 09/21/2013 move to exclusive negotiation (Inferred final; alternatives 09/19 R039 and 09/24 R042). Treat the 2011-2012 Discussions as reverse-direction context, not a prior sale attempt.</t>
        </is>
      </c>
      <c r="D2" s="2" t="inlineStr">
        <is>
          <t>R1 anchor and 50-party outreach: P-022, P-023, P-024; R2: P-037, P-038; R3: P-055; R4: P-061, P-062; context P-002. Working dates and finality as recorded on rows R001, R010, R023, R033, R040.</t>
        </is>
      </c>
      <c r="E2" s="2" t="inlineStr">
        <is>
          <t>R001, R002, R004, R007, R008, R010, R023, R033, R040 (Process, Round, Round finality, Due date)</t>
        </is>
      </c>
      <c r="F2" s="2" t="inlineStr">
        <is>
          <t>Renumbers rounds and moves bid/outcome rows and tallies; Summary round map changes. No facts change.</t>
        </is>
      </c>
      <c r="G2" s="2" t="inlineStr">
        <is>
          <t>Pending</t>
        </is>
      </c>
      <c r="H2" s="2" t="inlineStr"/>
    </row>
    <row r="3" ht="91.2" customHeight="1">
      <c r="A3" s="2" t="inlineStr">
        <is>
          <t>Q2</t>
        </is>
      </c>
      <c r="B3" s="2" t="inlineStr">
        <is>
          <t>Deadlines and their treatment</t>
        </is>
      </c>
      <c r="C3" s="2" t="inlineStr">
        <is>
          <t>Accept: 07/23/2013 (preliminary IOIs) = Late bids accepted (Party B and Party C submitted 07/24 and were reviewed 07/25); 09/09/2013 (revised written proposals) = Late bids accepted (Party A and Party C submitted 09/10 and were reviewed 09/11); 09/18/2013 (final indications) = Enforced (selection/exclusivity authorized the next day on the bids in hand). Exclusivity expiries (10/12/2013; extended to 10/15/2013) are recorded in Terms, not as Deadline rows.</t>
        </is>
      </c>
      <c r="D3" s="2" t="inlineStr">
        <is>
          <t>Due dates: P-025; late submissions and review: P-035, P-036, P-052, P-054; final due date and next step: P-055, P-058, P-061; exclusivity extension: P-077, P-081.</t>
        </is>
      </c>
      <c r="E3" s="2" t="inlineStr">
        <is>
          <t>R017, R026, R027, R034, R042, R048 (Deadline treatment, Due date)</t>
        </is>
      </c>
      <c r="F3" s="2" t="inlineStr">
        <is>
          <t>Treatment labels only; no price or participation changes. If the 09/18 round were read as unclear, Enforced would fall back to Unclear.</t>
        </is>
      </c>
      <c r="G3" s="2" t="inlineStr">
        <is>
          <t>Pending</t>
        </is>
      </c>
      <c r="H3" s="2" t="inlineStr"/>
    </row>
    <row r="4" ht="91.2" customHeight="1">
      <c r="A4" s="2" t="inlineStr">
        <is>
          <t>Q3</t>
        </is>
      </c>
      <c r="B4" s="2" t="inlineStr">
        <is>
          <t>NDA population, residual cohorts and the auction screen</t>
        </is>
      </c>
      <c r="C4" s="2" t="inlineStr">
        <is>
          <t>Accept the representation: 20 confidentiality signers = 4 individually recorded (Party A, Party B, Party C, CSC/Pamplona) + 16 residual financial signers; 16 residual non-submitters at 07/23/2013. Base caveat: the filing elsewhere refers to "other potential bidders" and does not date every signing, so if unnamed signers submitted indications the residual would shrink; flag on review but keep as the filing’s stated-base inference. Auction screen: met.</t>
        </is>
      </c>
      <c r="D4" s="2" t="inlineStr">
        <is>
          <t>20 signers and composition P-025; four bidders P-036, P-038; "other potential bidders" (Reasons) X-018.</t>
        </is>
      </c>
      <c r="E4" s="2" t="inlineStr">
        <is>
          <t>R011, R019, R012–R016, R018–R021, R025, R046 (Count, Type, Outcome basis)</t>
        </is>
      </c>
      <c r="F4" s="2" t="inlineStr">
        <is>
          <t>Changes residual counts and the non-submitter cohort; screening conclusion (met) is unchanged on any reading with at least two independent signers.</t>
        </is>
      </c>
      <c r="G4" s="2" t="inlineStr">
        <is>
          <t>Pending</t>
        </is>
      </c>
      <c r="H4" s="2" t="inlineStr"/>
    </row>
    <row r="5" ht="78.59999999999999" customHeight="1">
      <c r="A5" s="2" t="inlineStr">
        <is>
          <t>Q4</t>
        </is>
      </c>
      <c r="B5" s="2" t="inlineStr">
        <is>
          <t>Inferred participation outcomes (closing rows)</t>
        </is>
      </c>
      <c r="C5" s="2" t="inlineStr">
        <is>
          <t>Accept: Party A and Party B Dropped by target on 09/24/2013 (Inferred: exclusivity; Decided by Target; Exit reason Not stated; no notice inferred) and the 16 residual signers Did not submit at 07/23/2013 (Inferred: residual; arithmetic shown on the row). Party C’s 09/18/2013 non-submission is stated (no reasons → Decided by Unknown; Exit reason Not stated). Inferred rows state only that the participant was out by that transition.</t>
        </is>
      </c>
      <c r="D5" s="2" t="inlineStr">
        <is>
          <t>Exclusivity execution P-067; live rival bids P-058; base and accounting P-025, P-036, P-038.</t>
        </is>
      </c>
      <c r="E5" s="2" t="inlineStr">
        <is>
          <t>R019, R038, R043, R044 (Outcome basis, Decided by, Exit reason, Count)</t>
        </is>
      </c>
      <c r="F5" s="2" t="inlineStr">
        <is>
          <t>If a named exit for an anonymous signer were later established, it would be an identity mapping only — no counts move; if Party C’s silence were read as withdrawal, relabel Withdrew (agency still unknown).</t>
        </is>
      </c>
      <c r="G5" s="2" t="inlineStr">
        <is>
          <t>Pending</t>
        </is>
      </c>
      <c r="H5" s="2" t="inlineStr"/>
    </row>
    <row r="6" ht="91.2" customHeight="1">
      <c r="A6" s="2" t="inlineStr">
        <is>
          <t>Q5</t>
        </is>
      </c>
      <c r="B6" s="2" t="inlineStr">
        <is>
          <t>Formality of final-round indications</t>
        </is>
      </c>
      <c r="C6" s="2" t="inlineStr">
        <is>
          <t>Accept Formal for the 09/18/2013 final-round rows (CSC/Pamplona R035, Party B R037, Party A reaffirmation R036) as responses on the requested basis to a genuine final solicitation; earlier indications remain Informal; no returned markups or full agreements by any bidder; the winner therefore reaches signing with a Formal row and no late-reconfirmation row is needed. Borderline: the documents remain indications of interest (Party A’s oral) — flagged.</t>
        </is>
      </c>
      <c r="D6" s="2" t="inlineStr">
        <is>
          <t>Final request and responses P-055, P-058; winner reaches agreement P-061, P-062, P-066, P-067.</t>
        </is>
      </c>
      <c r="E6" s="2" t="inlineStr">
        <is>
          <t>R028–R031 (Informal), R035–R037 (Formal), R041 (carried Formal), R008, R018–R021 (Informal)</t>
        </is>
      </c>
      <c r="F6" s="2" t="inlineStr">
        <is>
          <t>If all stay Informal, the winner has no Formal row and the deal reads as an informal-only process; bidding counts and prices do not change.</t>
        </is>
      </c>
      <c r="G6" s="2" t="inlineStr">
        <is>
          <t>Pending</t>
        </is>
      </c>
      <c r="H6" s="2" t="inlineStr"/>
    </row>
    <row r="7" ht="116.4" customHeight="1">
      <c r="A7" s="2" t="inlineStr">
        <is>
          <t>Q6</t>
        </is>
      </c>
      <c r="B7" s="2" t="inlineStr">
        <is>
          <t>Conditions levels (diligence-period and financing readings)</t>
        </is>
      </c>
      <c r="C7" s="2" t="inlineStr">
        <is>
          <t>Accept: CSC/Pamplona 09/09, 09/18 and 09/21 rows = Light (committed financing; the two-week exclusive negotiation is treated as an exclusivity request, not an attached substantive diligence period); Party A and Party B rows = Heavy (reported absence of a firm financing commitment; Party B’s third-party debt and contingent options); the July pre-diligence indications (Party A, Party B, Party C, CSC/Pamplona) = Heavy by context; no Conditions level None is used. Every level is reassessed per bid, not carried forward blindly (CSC/Pamplona moved Heavy at 07/23 → Light once capital was committed).</t>
        </is>
      </c>
      <c r="D7" s="2" t="inlineStr">
        <is>
          <t>Financing statements P-051, P-052; exclusivity requests P-051, P-058, P-062; certainty assessment P-061; pre-diligence context P-034, P-035; diligence period P-046, P-068.</t>
        </is>
      </c>
      <c r="E7" s="2" t="inlineStr">
        <is>
          <t>R008, R018–R021, R028–R031, R035–R037, R041 (Conditions level, Conditions detail)</t>
        </is>
      </c>
      <c r="F7" s="2" t="inlineStr">
        <is>
          <t>Reading the two-week exclusivity as an attached diligence period would move CSC/Pamplona’s last rows to Heavy and change the buyer-commitment profile presented in Summary.</t>
        </is>
      </c>
      <c r="G7" s="2" t="inlineStr">
        <is>
          <t>Pending</t>
        </is>
      </c>
      <c r="H7" s="2" t="inlineStr"/>
    </row>
    <row r="8" ht="91.2" customHeight="1">
      <c r="A8" s="2" t="inlineStr">
        <is>
          <t>Q7</t>
        </is>
      </c>
      <c r="B8" s="2" t="inlineStr">
        <is>
          <t>Prices, package values and consideration comparability</t>
        </is>
      </c>
      <c r="C8" s="2" t="inlineStr">
        <is>
          <t>Accept: Party B’s 09/18/2013 row carries the bidder-stated package value $21.50 in the price cells with Price origin Stated, All cash = No, Cash at closing $19.00, and the $2.50 option value and five-year vesting in Terms; alternative would be to populate only $19.00 and leave the package in Terms. Ranges stay ranges (no midpoints); Party A’s 09/18/2013 reaffirmation is Carried forward; USD throughout; no bound-only, other-scope, share-exchange or CVR consideration in this deal.</t>
        </is>
      </c>
      <c r="D8" s="2" t="inlineStr">
        <is>
          <t>Party B package P-058; ranges P-019, P-035, P-039, P-052; $21.25 P-062, P-064; comparability X-006, X-011.</t>
        </is>
      </c>
      <c r="E8" s="2" t="inlineStr">
        <is>
          <t>R037, R035, R036, R028–R031, R018–R021, R008 (Price low/high, Price kind, Price origin, All cash, Cash at closing)</t>
        </is>
      </c>
      <c r="F8" s="2" t="inlineStr">
        <is>
          <t>Changes how Party B’s nominal $21.50 package compares with CSC/Pamplona’s $21.25 cash; no ranking change is asserted by the ledger.</t>
        </is>
      </c>
      <c r="G8" s="2" t="inlineStr">
        <is>
          <t>Pending</t>
        </is>
      </c>
      <c r="H8" s="2" t="inlineStr"/>
    </row>
    <row r="9" ht="116.4" customHeight="1">
      <c r="A9" s="2" t="inlineStr">
        <is>
          <t>Q8</t>
        </is>
      </c>
      <c r="B9" s="2" t="inlineStr">
        <is>
          <t>Dates, ordering and rollover conventions</t>
        </is>
      </c>
      <c r="C9" s="2" t="inlineStr">
        <is>
          <t>Accept the stated conventions: 2011-2012 window midpoint 01/15/2012 (R001); residual NDA cohort Working date 06/24/2013 (Assigned: bound, R011); "by" rows (R012, R019, R038, R043, R044) use Date to = bound with Assigned methods and When "by …"; the "July 27, 2103" source typo reads 07/27/2013 (R024 reason); Moab rollover uses two rows (denial R015; resolution R047, folding the 09/23/2013 facilitation); MacDonald rollover resolution R032; same-day row order within rounds (e.g., 06/24, 07/25, 09/11, 09/18, 09/21, 09/24) is a deterministic display convention, including that Party C’s non-submission (R038) is displayed after the same-day submissions.</t>
        </is>
      </c>
      <c r="D9" s="2" t="inlineStr">
        <is>
          <t>Window text P-002; NDA window P-025; contact bound P-026; drops P-067; non-submissions P-058; typo P-040; rollover P-031, P-053, P-065, P-072.</t>
        </is>
      </c>
      <c r="E9" s="2" t="inlineStr">
        <is>
          <t>R001, R012, R019, R032, R038, R043, R044, R047 (Date from/to, Working date, Date basis, Date method)</t>
        </is>
      </c>
      <c r="F9" s="2" t="inlineStr">
        <is>
          <t>Re-sorts or re-bounds individual rows; no facts, prices or counts change.</t>
        </is>
      </c>
      <c r="G9" s="2" t="inlineStr">
        <is>
          <t>Pending</t>
        </is>
      </c>
      <c r="H9" s="2" t="inlineStr"/>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7" customWidth="1" min="3" max="3"/>
    <col width="150" customWidth="1" min="4" max="4"/>
  </cols>
  <sheetData>
    <row r="1">
      <c r="A1" s="9" t="inlineStr">
        <is>
          <t>Paragraph</t>
        </is>
      </c>
      <c r="B1" s="9" t="inlineStr">
        <is>
          <t>Section</t>
        </is>
      </c>
      <c r="C1" s="9" t="inlineStr">
        <is>
          <t>Page</t>
        </is>
      </c>
      <c r="D1" s="9" t="inlineStr">
        <is>
          <t>Text</t>
        </is>
      </c>
    </row>
    <row r="2" ht="53.4" customHeight="1">
      <c r="A2" s="2" t="inlineStr">
        <is>
          <t>P-001</t>
        </is>
      </c>
      <c r="B2" s="2" t="inlineStr">
        <is>
          <t>Background of the Merger</t>
        </is>
      </c>
      <c r="C2" s="2" t="n">
        <v>27</v>
      </c>
      <c r="D2" s="2" t="inlineStr">
        <is>
          <t>The Mac-Gray Board of Directors, whom we sometimes to refer to as the Board, and Mac-Gray's management have continually engaged in a review of Mac-Gray's business plans and other strategic alternatives as part of their ongoing activities. This process has included evaluating prospects and options pertaining to Mac-Gray's business, the markets in which it competes, organic initiatives, and possible strategic transactions, such as mergers, acquisitions and dispositions, in each case with a view towards enhancing value for Mac-Gray's stockholders.</t>
        </is>
      </c>
    </row>
    <row r="3" ht="66" customHeight="1">
      <c r="A3" s="2" t="inlineStr">
        <is>
          <t>P-002</t>
        </is>
      </c>
      <c r="B3" s="2" t="inlineStr">
        <is>
          <t>Background of the Merger</t>
        </is>
      </c>
      <c r="C3" s="2" t="n">
        <v>27</v>
      </c>
      <c r="D3" s="2" t="inlineStr">
        <is>
          <t>Certain potential strategic transactions have been discussed from time to time between Mac-Gray and CSC and other participants in the laundry facilities management industry, including discussions between Mac-Gray and CSC in the winter of 2011 and into 2012 regarding the possible acquisition of CSC by Mac-Gray.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t>
        </is>
      </c>
    </row>
    <row r="4" ht="66" customHeight="1">
      <c r="A4" s="2" t="inlineStr">
        <is>
          <t>P-003</t>
        </is>
      </c>
      <c r="B4" s="2" t="inlineStr">
        <is>
          <t>Background of the Merger</t>
        </is>
      </c>
      <c r="C4" s="2" t="n">
        <v>27</v>
      </c>
      <c r="D4" s="2" t="inlineStr">
        <is>
          <t>As part of its ongoing review of strategic alternatives,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The Board also determined to further consider Mac-Gray's strategic alternatives at its meeting scheduled for May 9, 2013.</t>
        </is>
      </c>
    </row>
    <row r="5" ht="40.8" customHeight="1">
      <c r="A5" s="2" t="inlineStr">
        <is>
          <t>P-004</t>
        </is>
      </c>
      <c r="B5" s="2" t="inlineStr">
        <is>
          <t>Background of the Merger</t>
        </is>
      </c>
      <c r="C5" s="2" t="n">
        <v>27</v>
      </c>
      <c r="D5" s="2" t="inlineStr">
        <is>
          <t>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t>
        </is>
      </c>
    </row>
    <row r="6" ht="192" customHeight="1">
      <c r="A6" s="2" t="inlineStr">
        <is>
          <t>P-005</t>
        </is>
      </c>
      <c r="B6" s="2" t="inlineStr">
        <is>
          <t>Background of the Merger</t>
        </is>
      </c>
      <c r="C6" s="2" t="n">
        <v>27</v>
      </c>
      <c r="D6" s="2" t="inlineStr">
        <is>
          <t>On May 9, 2013, the Mac-Gray Board of Directors held a regularly scheduled in-person meeting. By invitation of the Board, Stewart G. MacDonald, Jr., our chief executive officer, Michael J. Shea, our executive vice president and chief financial officer, Neil MacLellan and Phil Emma, executive vice presidents at Mac-Gray, Linda Serafini, our vice president, general counsel and secretary, and representatives from BofA Merrill Lynch and Goodwin Procter LLP, outside legal counsel to Mac-Gray, were also in attendance for all or portions of the meeting. At this meeting, BofA Merrill Lynch discussed CSC's sale process and the acquisition environment generally and provided an overview of strategic alternatives for Mac-Gray, including the continued pursuit of Mac-Gray's existing business plan, a significant stock repurchase program, acquisition opportunities and the possibility of a sale process. With respect to a potential sale process, BofA Merrill Lynch discussed the then-current merger and acquisition environment and Mac-Gray's potential attractiveness as an acquisition target, including a general overview of potential valuation parameters. BofA Merrill Lynch also reported on its conversation with the representative of Party A, who had expressed interest in pursuing a possible business combination with Mac-Gray. Management and BofA Merrill Lynch also reviewed with the Board potential opportunities if Mac-Gray were to remain independent,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In considering these alternatives, the Board considered the risks associated with executing and achieving Mac-Gray's short and long-term business and financial objectives, including Mac-Gray's ability to identify, acquire and successfully integrate laundry facilities management businesses, establish new and/or renew existing laundry facility management leases and penetrate markets historically dominated by smaller local and regional</t>
        </is>
      </c>
    </row>
    <row r="7" ht="28.2" customHeight="1">
      <c r="A7" s="2" t="inlineStr">
        <is>
          <t>P-006</t>
        </is>
      </c>
      <c r="B7" s="2" t="inlineStr">
        <is>
          <t>Background of the Merger</t>
        </is>
      </c>
      <c r="C7" s="2" t="n">
        <v>28</v>
      </c>
      <c r="D7" s="2" t="inlineStr">
        <is>
          <t>operators, the impact of general economic and market trends on Mac-Gray's sales and the general risks of market conditions that could reduce Mac-Gray's stock price.</t>
        </is>
      </c>
    </row>
    <row r="8" ht="103.8" customHeight="1">
      <c r="A8" s="2" t="inlineStr">
        <is>
          <t>P-007</t>
        </is>
      </c>
      <c r="B8" s="2" t="inlineStr">
        <is>
          <t>Background of the Merger</t>
        </is>
      </c>
      <c r="C8" s="2" t="n">
        <v>28</v>
      </c>
      <c r="D8" s="2" t="inlineStr">
        <is>
          <t>After a review of these opportunities and risks, the Board engaged in a general discussion concerning whether it might be advisable to approach and discuss a potential sale transaction with third parties at this time as a means by which to deliver value to the stockholders of Mac-Gray. The Board discussed the potential risks and benefits of commencing a process in which parties would be invited to review confidential information and submit indications of interest with respect to a potential business combination involving Mac-Gray. In particular, the Board discussed the potential disruptions to Mac-Gray's business, the risk of leaks that might arise from approaching potential acquirors within the industry and the impact on Mac-Gray's business that could result from any such leaks, including the potential loss of customers, suppliers and employees resulting from uncertainty over the future of Mac-Gray. The Board also discussed the potential need to disclose during such process sensitive, proprietary and confidential information to competitors and potential competitors.</t>
        </is>
      </c>
    </row>
    <row r="9" ht="179.4" customHeight="1">
      <c r="A9" s="2" t="inlineStr">
        <is>
          <t>P-008</t>
        </is>
      </c>
      <c r="B9" s="2" t="inlineStr">
        <is>
          <t>Background of the Merger</t>
        </is>
      </c>
      <c r="C9" s="2" t="n">
        <v>28</v>
      </c>
      <c r="D9" s="2" t="inlineStr">
        <is>
          <t>After BofA Merrill Lynch and management left the meeting, a representative of Goodwin Procter provided an overview of the Board's fiduciary duties and the Board discussed engaging a financial advisor to assist the Board in considering strategic alternatives, including a sale process. To assist in the administration of the strategic alternatives review, the Board formed a transaction committee at this meeting, which we refer to as the Transaction Committee, and appointed Thomas Bullock and Paul Daoust, both independent directors, to serve as its members. Mr. Daoust was appointed because of his knowledge of and experience with mergers and acquisitions, including as president, chief executive officer and board member of Salary.com when it was sold in 2010. Mr. Bullock was appointed because of his knowledge of Mac-Gray and our business, given his tenure on the Board (since November 2000) and his chairmanship role. Further, both Mr. Daoust and Mr. Bullock indicated that they would be able to commit sufficient time to undertake the responsibilities associated with membership on the Transaction Committee. The Transaction Committee was charged with recommending to the Board the selection and engagement of a financial advisor to assist the Board in seeking and considering strategic alternatives, including but not limited to a merger, consolidation, business combination, recapitalization, restructuring, going-private or other strategic transaction or alternative that might be available to Mac-Gray in lieu of pursuing any of the foregoing. The Board also delegated to the Transaction Committee authority to take any administrative actions in connection with the Board's exploration of strategic alternatives. The Board concluded that it would discuss the review of strategic alternatives, including engaging in a potential sale process, at its next meeting so that the Board would have additional time to consider the risks and benefits of the various alternatives discussed.</t>
        </is>
      </c>
    </row>
    <row r="10" ht="129" customHeight="1">
      <c r="A10" s="2" t="inlineStr">
        <is>
          <t>P-009</t>
        </is>
      </c>
      <c r="B10" s="2" t="inlineStr">
        <is>
          <t>Background of the Merger</t>
        </is>
      </c>
      <c r="C10" s="2" t="n">
        <v>28</v>
      </c>
      <c r="D10" s="2" t="inlineStr">
        <is>
          <t>On May 10, 2013, the Transaction Committee and representatives of Goodwin Procter held a meeting by telephone conference call. The Transaction Committee discussed the process for hiring a financial advisor for a review of strategic alternatives and determined to invite three nationally recognized investment banks to submit proposals. The members of the Transaction Committee also discussed what role, if any, members of Mac-Gray management should have in connection with the Board's consideration of strategic alternatives. In this regard, the Transaction Committee considered the fact that, in view of the significant stock ownership of Mr. MacDonald and his family, coupled with the possibility that the strategic alternatives process might result in third parties who would be interested in partnering with Mr. MacDonald (either through continued employment and/or contribution of some or all of his existing equity, a so-called equity "rollover"), Mr. MacDonald could have interests that would not be aligned with other Mac-Gray stockholders. As such, the Transaction Committee determined to recommend to the Board at an upcoming meeting that, as a general matter, Mr. MacDonald should not be permitted to participate in the Board's evaluation of strategic alternatives or any negotiations with any interested parties in a sale process. The Transaction Committee noted, however, that Mr. MacDonald would be invited to provide perspectives to the Board on Mac-Gray's operations and business on an as-requested basis.</t>
        </is>
      </c>
    </row>
    <row r="11" ht="53.4" customHeight="1">
      <c r="A11" s="2" t="inlineStr">
        <is>
          <t>P-010</t>
        </is>
      </c>
      <c r="B11" s="2" t="inlineStr">
        <is>
          <t>Background of the Merger</t>
        </is>
      </c>
      <c r="C11" s="2" t="n">
        <v>29</v>
      </c>
      <c r="D11" s="2" t="inlineStr">
        <is>
          <t>On May 14, 2013, the Transaction Committee and representatives of Goodwin Procter held a meeting by telephone conference call. The Transaction Committee discussed further the process for hiring a financial advisor for a review of strategic alternatives. Given that BofA Merrill Lynch was one of the investment banks to be invited to submit a proposal and that the CSC sale process had ended, the Transaction Committee determined to terminate BofA Merrill Lynch's engagement letter entered into for purposes of the 2011-2012 Discussions.</t>
        </is>
      </c>
    </row>
    <row r="12" ht="15.6" customHeight="1">
      <c r="A12" s="2" t="inlineStr">
        <is>
          <t>P-011</t>
        </is>
      </c>
      <c r="B12" s="2" t="inlineStr">
        <is>
          <t>Background of the Merger</t>
        </is>
      </c>
      <c r="C12" s="2" t="n">
        <v>29</v>
      </c>
      <c r="D12" s="2" t="inlineStr">
        <is>
          <t>On May 15, 2013, Mac-Gray sent a letter to BofA Merrill Lynch terminating their engagement in connection with the 2011-2012 Discussions.</t>
        </is>
      </c>
    </row>
    <row r="13" ht="78.59999999999999" customHeight="1">
      <c r="A13" s="2" t="inlineStr">
        <is>
          <t>P-012</t>
        </is>
      </c>
      <c r="B13" s="2" t="inlineStr">
        <is>
          <t>Background of the Merger</t>
        </is>
      </c>
      <c r="C13" s="2" t="n">
        <v>29</v>
      </c>
      <c r="D13" s="2" t="inlineStr">
        <is>
          <t>On May 22, 2013, the Mac-Gray Board of Directors held a regularly scheduled in-person meeting. By invitation of the Board, Mr. MacDonald, Mr. Shea, Mr. MacLellan, Mr. Emma, Ms. Serafini and representatives of Goodwin Procter were also present for all or portions of the meeting. At the request of the Board, at this meeting Mr. MacDonald provided an overview of Mac-Gray's acquisition strategy and recent acquisitions within the industry, and Mr. MacLellan reviewed Mac-Gray's recently completed acquisitions with the Board. Also at this meeting, in addition to routine and administrative matters and the approval of Mac-Gray's quarterly common stock dividend, the Board appointed Mr. Daoust as chairman of the Transaction Committee during an executive session that excluded all members of management.</t>
        </is>
      </c>
    </row>
    <row r="14" ht="28.2" customHeight="1">
      <c r="A14" s="2" t="inlineStr">
        <is>
          <t>P-013</t>
        </is>
      </c>
      <c r="B14" s="2" t="inlineStr">
        <is>
          <t>Background of the Merger</t>
        </is>
      </c>
      <c r="C14" s="2" t="n">
        <v>29</v>
      </c>
      <c r="D14" s="2" t="inlineStr">
        <is>
          <t>Later on May 22, 2013, representatives from BofA Merrill Lynch presented to the members of the Transaction Committee for purposes of a potential engagement in connection with the Board's current review of strategic alternatives and the possibility of undertaking a sale process.</t>
        </is>
      </c>
    </row>
    <row r="15" ht="28.2" customHeight="1">
      <c r="A15" s="2" t="inlineStr">
        <is>
          <t>P-014</t>
        </is>
      </c>
      <c r="B15" s="2" t="inlineStr">
        <is>
          <t>Background of the Merger</t>
        </is>
      </c>
      <c r="C15" s="2" t="n">
        <v>29</v>
      </c>
      <c r="D15" s="2" t="inlineStr">
        <is>
          <t>On May 29, 2013, each of the other two financial advisor candidates presented to the members of the Transaction Committee for purposes of a potential engagement in connection with the Board's current review of strategic alternatives and the possibility of undertaking a sale process.</t>
        </is>
      </c>
    </row>
    <row r="16" ht="129" customHeight="1">
      <c r="A16" s="2" t="inlineStr">
        <is>
          <t>P-015</t>
        </is>
      </c>
      <c r="B16" s="2" t="inlineStr">
        <is>
          <t>Background of the Merger</t>
        </is>
      </c>
      <c r="C16" s="2" t="n">
        <v>29</v>
      </c>
      <c r="D16" s="2" t="inlineStr">
        <is>
          <t>On May 30, 2013, the Board held an in-person meeting. By invitation of the Board, Mr. MacDonald, Mr. Shea, Ms. Serafini and representatives of Goodwin Procter were also present for all or portions of the meeting. During the meeting, the members of the Transaction Committee presented their assessment of the relative capabilities, strengths, and possible weaknesses of the three financial advisor candidates. Mr. Shea also provided his perspective of each financial advisor candidate's capabilities, strengths, and possible weaknesses. The Transaction Committee recommended to the Board that Mac-Gray engage BofA Merrill Lynch as Mac-Gray's financial advisor for the Board's exploration of strategic alternatives, including a potential sale process. The Transaction Committee's endorsement of BofA Merrill Lynch was based on, among other things, BofA Merrill Lynch's knowledge of Mac-Gray, the industry generally, the current environment for mergers and acquisitions and potential strategic acquirors, as well as BofA Merrill Lynch's proposed process and strategy for maximizing value to Mac-Gray's stockholders should the Board determine that a sale of the company would be in the best interests of stockholders. Representatives of Goodwin Procter reviewed with the Board the terms of proposed BofA Merrill Lynch engagement. Based on the recommendation of the Transaction Committee, the Board unanimously approved the engagement of BofA Merrill Lynch on the terms discussed at this meeting.</t>
        </is>
      </c>
    </row>
    <row r="17" ht="78.59999999999999" customHeight="1">
      <c r="A17" s="2" t="inlineStr">
        <is>
          <t>P-016</t>
        </is>
      </c>
      <c r="B17" s="2" t="inlineStr">
        <is>
          <t>Background of the Merger</t>
        </is>
      </c>
      <c r="C17" s="2" t="n">
        <v>29</v>
      </c>
      <c r="D17" s="2" t="inlineStr">
        <is>
          <t>Later on May 30, 2013, Mac-Gray held its annual stockholder meeting at which, among other actions,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Mr. Rothenberg is a co-founder and the General Partner of Moab and Mr. Hyman is president and chief executive officer of TestAmerica, Inc., the nation's largest provider of environmental testing services, a role he has held since 2011.</t>
        </is>
      </c>
    </row>
    <row r="18" ht="40.8" customHeight="1">
      <c r="A18" s="2" t="inlineStr">
        <is>
          <t>P-017</t>
        </is>
      </c>
      <c r="B18" s="2" t="inlineStr">
        <is>
          <t>Background of the Merger</t>
        </is>
      </c>
      <c r="C18" s="2" t="n">
        <v>30</v>
      </c>
      <c r="D18" s="2" t="inlineStr">
        <is>
          <t>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t>
        </is>
      </c>
    </row>
    <row r="19" ht="78.59999999999999" customHeight="1">
      <c r="A19" s="2" t="inlineStr">
        <is>
          <t>P-018</t>
        </is>
      </c>
      <c r="B19" s="2" t="inlineStr">
        <is>
          <t>Background of the Merger</t>
        </is>
      </c>
      <c r="C19" s="2" t="n">
        <v>30</v>
      </c>
      <c r="D19" s="2" t="inlineStr">
        <is>
          <t>On June 12, 2013, Mr. Rothenberg and Mr. Hyman met individually with Mr. Bullock, Mr. Daoust, Ms. Serafini and representatives from Goodwin Procter as part of their orientation as new members of the Board. Each was provided with an overview of the status of the Board's review of strategic alternatives and a potential sale process. At the meeting with Mr. Rothenberg, the participants discussed that,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t>
        </is>
      </c>
    </row>
    <row r="20" ht="28.2" customHeight="1">
      <c r="A20" s="2" t="inlineStr">
        <is>
          <t>P-019</t>
        </is>
      </c>
      <c r="B20" s="2" t="inlineStr">
        <is>
          <t>Background of the Merger</t>
        </is>
      </c>
      <c r="C20" s="2" t="n">
        <v>30</v>
      </c>
      <c r="D20" s="2" t="inlineStr">
        <is>
          <t>On June 21, 2013, Party A submitted an unsolicited proposal to the Mac-Gray Board of Directors offering to purchase Mac-Gray for an all-cash purchase price of $17.00 to $19.00 per share, which we refer to as the Party A June 21 proposal.</t>
        </is>
      </c>
    </row>
    <row r="21" ht="255" customHeight="1">
      <c r="A21" s="2" t="inlineStr">
        <is>
          <t>P-020</t>
        </is>
      </c>
      <c r="B21" s="2" t="inlineStr">
        <is>
          <t>Background of the Merger</t>
        </is>
      </c>
      <c r="C21" s="2" t="n">
        <v>30</v>
      </c>
      <c r="D21" s="2" t="inlineStr">
        <is>
          <t>On June 24, 2013, the Mac-Gray Board of Directors held a regularly scheduled meeting. By invitation of the Board, certain members of management, including Mr. MacDonald, Mr. Shea, Mr. MacLellan, Mr. Emma, Ms. Serafini and Sheff Halsey, our chief marketing officer and an executive vice president, and representatives from Goodwin Procter were also present for some or all of the meeting. During this meeting, representatives of Goodwin Procter reviewed for the Board its fiduciary duties in the context of considering strategic alternatives that might be available to Mac-Gray, including a potential sale of the company. The Board also discussed, with input from the members of the Transaction Committee, whether it would be appropriate for each of Mr. MacDonald and Mr. Rothenberg to be excluded from the Board's consideration of strategic alternatives in view of the possibility that Mr. MacDonald and/or Moab could be asked to partner with a potential acquiror given their respective equity stakes in Mac-Gray. Following this discussion, the Board decided, and Mr. MacDonald and Mr. Rothenberg agreed, that it would be appropriate to exclude Mr. MacDonald and Mr. Rothenberg from the Board's evaluation of strategic alternatives and any negotiations with third parties that might take place. Mr. MacDonald excused himself after such discussion. In furtherance of the conclusion to exclude Mr. MacDonald and Mr. Rothenberg from the Board's evaluation of strategic alternatives,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and to recommend to the Board the advisability of any such strategic alternative. In connection with this delegation of authority, the Special Committee was further authorized to (a) consider and evaluate all proposals that might be received by Mac-Gray in connection with a possible sale or other significant business transaction, through any form of transaction, including, without limitation, merger, stock purchase, asset purchase, recapitalization, reorganization, going-private transaction, consolidation, amalgamation or other transaction, (b) participate in and direct the negotiation of the material terms and conditions of any such transaction, (c) consider any alternatives to any such transaction, including without limitation, Mac-Gray's continuing to operate as an independent company and (d) recommend to the Board the advisability of entering into a definitive agreement with respect to any such transaction. Mr. Bullock was appointed chairman of the Special Committee. It was also determined that the Transaction Committee would function as a sub-committee of the Special Committee for the purpose of taking any administrative actions to discharge the duties and responsibilities of the Special Committee.</t>
        </is>
      </c>
    </row>
    <row r="22" ht="141.6" customHeight="1">
      <c r="A22" s="2" t="inlineStr">
        <is>
          <t>P-021</t>
        </is>
      </c>
      <c r="B22" s="2" t="inlineStr">
        <is>
          <t>Background of the Merger</t>
        </is>
      </c>
      <c r="C22" s="2" t="n">
        <v>31</v>
      </c>
      <c r="D22" s="2" t="inlineStr">
        <is>
          <t>Mr. Rothenberg was then excused and the Board meeting proceeded as a meeting of the Special Committee. By invitation of the Special Committee, Mr. Shea and Mr. Emma and representatives of BofA Merrill Lynch and Goodwin Procter were present for all or portions of the meeting. Mr. Shea and Mr. Emma presented Mac-Gray's five-year strategic business plan and projections, including the with acquisitions case and the without acquisitions case (see "—Projected Financial Information" below), which we refer to as the Projections. Following the management presentation, representatives of BofA Merrill Lynch discussed potential strategic alternatives and the structure and timing of a potential sale process. The Special Committee reviewed Mac-Gray's short and long-term business strategies and discussed the five-year strategic business plan,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discussed the risks involved if Mac-Gray did not execute on its strategic business plan, including the difficulties with increasing the Company's stock price without a significant or transformative transaction, such as a major acquisition or restructuring.</t>
        </is>
      </c>
    </row>
    <row r="23" ht="179.4" customHeight="1">
      <c r="A23" s="2" t="inlineStr">
        <is>
          <t>P-022</t>
        </is>
      </c>
      <c r="B23" s="2" t="inlineStr">
        <is>
          <t>Background of the Merger</t>
        </is>
      </c>
      <c r="C23" s="2" t="n">
        <v>31</v>
      </c>
      <c r="D23" s="2" t="inlineStr">
        <is>
          <t>The Special Committee, in follow up to the considerations introduced at the May 9th Board meeting, then further considered whether it might be advisable to approach and discuss a potential sale transaction with third parties, including Party A, at this time. The Special Committee discussed the potential risks and benefits of commencing a process in which parties would be invited to review confidential information and submit indications of interest with respect to a potential business combination involving Mac-Gray, focusing again on the potential disruptions to Mac-Gray's business, the risk of leaks that might arise from approaching potential acquirors within the industry and the resulting impact on Mac-Gray's business and the need to disclose during such process sensitive, proprietary and confidential information to competitors and potential competitors. The members of the Special Committee also discussed with BofA Merrill Lynch the likelihood that strategic parties, including CSC and Party A, should be able to pay a higher price for Mac-Gray because of the benefit of synergies, and noted their collective belief that Party A would likely increase the Party A June 21 proposal in light of such synergies if Party A were given the opportunity to conduct business and legal due diligence on a potential acquisition of Mac-Gray. The Special Committee then discussed the other strategic alternatives, including a significant share repurchase program and an extraordinary dividend, and determined that these options were not likely to maximize value for Mac-Gray's stockholders as compared to execution of Mac-Gray's strategic business plan or undertaking a sale of the company. In light of the factors discussed at this meeting, the Special Committee concluded that it would be in the best interests of stockholders to consider a potential sale of Mac-Gray and to review this alternative as compared to Mac-Gray's continuing as a stand-alone company and the risks and opportunities associated with execution of Mac-Gray's strategic business plan.</t>
        </is>
      </c>
    </row>
    <row r="24" ht="116.4" customHeight="1">
      <c r="A24" s="2" t="inlineStr">
        <is>
          <t>P-023</t>
        </is>
      </c>
      <c r="B24" s="2" t="inlineStr">
        <is>
          <t>Background of the Merger</t>
        </is>
      </c>
      <c r="C24" s="2" t="n">
        <v>31</v>
      </c>
      <c r="D24" s="2" t="inlineStr">
        <is>
          <t>The Special Committee, with the assistance of BofA Merrill Lynch and management, also discussed the general and specific universe of potential acquirors who might be contacted, including those parties the Special Committee believed had the strongest potential to have an interest in engaging in a strategic transaction with Mac-Gray. In its evaluation of potential likely acquirors, the Special Committee considered such parties' financial strength, their experience in acquiring companies in Mac-Gray's industry, such parties' perceived potential interest in Mac-Gray and potential synergies based on such parties' businesses and legal considerations. The Special Committee and BofA Merrill Lynch also discussed that although potential strategic buyers should be able to pay a higher purchase price because of synergies, it was important to solicit interest from financial buyers, including private equity firms, to maximize the competitive dynamics in the sale process. This perspective was based on the fact that many financial buyers had engaged in transactions with companies in industries similar to Mac-Gray and could be in a position to recognize value competitive with potential strategic buyers. Guided by the foregoing principles, the Special Committee determined to approach a total of</t>
        </is>
      </c>
    </row>
    <row r="25" ht="28.2" customHeight="1">
      <c r="A25" s="2" t="inlineStr">
        <is>
          <t>P-024</t>
        </is>
      </c>
      <c r="B25" s="2" t="inlineStr">
        <is>
          <t>Background of the Merger</t>
        </is>
      </c>
      <c r="C25" s="2" t="n">
        <v>32</v>
      </c>
      <c r="D25" s="2" t="inlineStr">
        <is>
          <t>50 parties, including CSC and Pamplona, who together we refer to as CSC/Pamplona, and Party A, to solicit potential interest in a transaction with Mac-Gray, 15 of which were potential strategic buyers and 35 of which were potential financial buyers, including private equity firms.</t>
        </is>
      </c>
    </row>
    <row r="26" ht="154.2" customHeight="1">
      <c r="A26" s="2" t="inlineStr">
        <is>
          <t>P-025</t>
        </is>
      </c>
      <c r="B26" s="2" t="inlineStr">
        <is>
          <t>Background of the Merger</t>
        </is>
      </c>
      <c r="C26" s="2" t="n">
        <v>32</v>
      </c>
      <c r="D26" s="2" t="inlineStr">
        <is>
          <t>During the next several weeks, in accordance with the directives of the Special Committee, BofA Merrill Lynch contacted the strategic and financial parties identified at the June 24th Special Committee meeting.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and, in some instances upon announcement of a change in control.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t>
        </is>
      </c>
    </row>
    <row r="27" ht="91.2" customHeight="1">
      <c r="A27" s="2" t="inlineStr">
        <is>
          <t>P-026</t>
        </is>
      </c>
      <c r="B27" s="2" t="inlineStr">
        <is>
          <t>Background of the Merger</t>
        </is>
      </c>
      <c r="C27" s="2" t="n">
        <v>32</v>
      </c>
      <c r="D27" s="2" t="inlineStr">
        <is>
          <t>On June 28, 2013, the members of the Transaction Committee participated in a telephone conference call with representatives of BofA Merrill Lynch and Goodwin Procter. BofA Merrill Lynch summarized the contacts they had had with certain of the potential bidders. In particular, BofA Merrill Lynch reported that they had spoken with representatives of Party A, as instructed by the Special Committee, who had expressed the view that there would be considerable synergies if Party A were to acquire Mac-Gray and that Party A would be speaking with certain financing sources with respect to funding such a transaction. BofA Merrill Lynch also reported that they had spoken with representatives of Pamplona, as instructed by the Special Committee, who expressed interest in a transaction, including an acquisition of Mac-Gray by its portfolio company, CSC. Pamplona emphasized that business and legal due diligence would be minimal given its familiarity with Mac-Gray and the industry generally.</t>
        </is>
      </c>
    </row>
    <row r="28" ht="28.2" customHeight="1">
      <c r="A28" s="2" t="inlineStr">
        <is>
          <t>P-027</t>
        </is>
      </c>
      <c r="B28" s="2" t="inlineStr">
        <is>
          <t>Background of the Merger</t>
        </is>
      </c>
      <c r="C28" s="2" t="n">
        <v>32</v>
      </c>
      <c r="D28" s="2" t="inlineStr">
        <is>
          <t>Later on June 28, 2013, Party B, entered into a confidentiality and standstill agreement with Mac-Gray and was provided with an informational package for the purpose of providing Party B with data to formulate a preliminary indication of interest.</t>
        </is>
      </c>
    </row>
    <row r="29" ht="28.2" customHeight="1">
      <c r="A29" s="2" t="inlineStr">
        <is>
          <t>P-028</t>
        </is>
      </c>
      <c r="B29" s="2" t="inlineStr">
        <is>
          <t>Background of the Merger</t>
        </is>
      </c>
      <c r="C29" s="2" t="n">
        <v>32</v>
      </c>
      <c r="D29" s="2" t="inlineStr">
        <is>
          <t>On June 30, 2013, Party C entered into a confidentiality and standstill agreement with Mac-Gray and was provided with an informational package for the purpose of providing Party C with data to formulate a preliminary indication of interest.</t>
        </is>
      </c>
    </row>
    <row r="30" ht="53.4" customHeight="1">
      <c r="A30" s="2" t="inlineStr">
        <is>
          <t>P-029</t>
        </is>
      </c>
      <c r="B30" s="2" t="inlineStr">
        <is>
          <t>Background of the Merger</t>
        </is>
      </c>
      <c r="C30" s="2" t="n">
        <v>32</v>
      </c>
      <c r="D30" s="2" t="inlineStr">
        <is>
          <t>On July 3, 2013, Mr. Rothenberg called a representative of Goodwin Procter to indicate that he had spoken with representatives of Pamplona about Moab's desire to maintain the flexibility to consider a possible equity rollover if Pamplona were to participate in a business combination with Mac-Gray.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t>
        </is>
      </c>
    </row>
    <row r="31" ht="40.8" customHeight="1">
      <c r="A31" s="2" t="inlineStr">
        <is>
          <t>P-030</t>
        </is>
      </c>
      <c r="B31" s="2" t="inlineStr">
        <is>
          <t>Background of the Merger</t>
        </is>
      </c>
      <c r="C31" s="2" t="n">
        <v>32</v>
      </c>
      <c r="D31" s="2" t="inlineStr">
        <is>
          <t>On July 6, 2013, the Special Committee held a telephonic meeting for the purpose of receiving an update on the ongoing sale process. By invitation of the Special Committee, representatives from BofA Merrill Lynch and Goodwin Procter were also present throughout the meeting. The Special Committee discussed whether Moab should be permitted to partner exclusively with CSC/Pamplona. Because the</t>
        </is>
      </c>
    </row>
    <row r="32" ht="66" customHeight="1">
      <c r="A32" s="2" t="inlineStr">
        <is>
          <t>P-031</t>
        </is>
      </c>
      <c r="B32" s="2" t="inlineStr">
        <is>
          <t>Background of the Merger</t>
        </is>
      </c>
      <c r="C32" s="2" t="n">
        <v>33</v>
      </c>
      <c r="D32" s="2" t="inlineStr">
        <is>
          <t>objective of the sale process was to maximize value for Mac-Gray's stockholders,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t>
        </is>
      </c>
    </row>
    <row r="33" ht="28.2" customHeight="1">
      <c r="A33" s="2" t="inlineStr">
        <is>
          <t>P-032</t>
        </is>
      </c>
      <c r="B33" s="2" t="inlineStr">
        <is>
          <t>Background of the Merger</t>
        </is>
      </c>
      <c r="C33" s="2" t="n">
        <v>33</v>
      </c>
      <c r="D33" s="2" t="inlineStr">
        <is>
          <t>On July 11, 2013, CSC/Pamplona entered into a confidentiality and standstill agreement with Mac-Gray and were provided with an informational package for the purpose of providing CSC/Pamplona with data to formulate a preliminary indication of interest.</t>
        </is>
      </c>
    </row>
    <row r="34" ht="40.8" customHeight="1">
      <c r="A34" s="2" t="inlineStr">
        <is>
          <t>P-033</t>
        </is>
      </c>
      <c r="B34" s="2" t="inlineStr">
        <is>
          <t>Background of the Merger</t>
        </is>
      </c>
      <c r="C34" s="2" t="n">
        <v>33</v>
      </c>
      <c r="D34" s="2" t="inlineStr">
        <is>
          <t>Between July 11, 2013 and July 23, 2013, Party B, Party C and CSC/Pamplona engaged in a preliminary review of Mac-Gray and the potential acquisition opportunity. Also during this time, outside counsel to Party A and representatives of Goodwin Procter negotiated the terms of a confidentiality and standstill agreement, but did not come to agreement on the terms of the customer and employee non-solicitation provisions.</t>
        </is>
      </c>
    </row>
    <row r="35" ht="15.6" customHeight="1">
      <c r="A35" s="2" t="inlineStr">
        <is>
          <t>P-034</t>
        </is>
      </c>
      <c r="B35" s="2" t="inlineStr">
        <is>
          <t>Background of the Merger</t>
        </is>
      </c>
      <c r="C35" s="2" t="n">
        <v>33</v>
      </c>
      <c r="D35" s="2" t="inlineStr">
        <is>
          <t>On July 23, 2013, CSC/Pamplona submitted a preliminary indication of interest at an all-cash purchase price of $18.50 per share.</t>
        </is>
      </c>
    </row>
    <row r="36" ht="40.8" customHeight="1">
      <c r="A36" s="2" t="inlineStr">
        <is>
          <t>P-035</t>
        </is>
      </c>
      <c r="B36" s="2" t="inlineStr">
        <is>
          <t>Background of the Merger</t>
        </is>
      </c>
      <c r="C36" s="2" t="n">
        <v>33</v>
      </c>
      <c r="D36" s="2" t="inlineStr">
        <is>
          <t>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t>
        </is>
      </c>
    </row>
    <row r="37" ht="129" customHeight="1">
      <c r="A37" s="2" t="inlineStr">
        <is>
          <t>P-036</t>
        </is>
      </c>
      <c r="B37" s="2" t="inlineStr">
        <is>
          <t>Background of the Merger</t>
        </is>
      </c>
      <c r="C37" s="2" t="n">
        <v>33</v>
      </c>
      <c r="D37" s="2" t="inlineStr">
        <is>
          <t>On July 25, 2013, the Board held a regularly scheduled in-person meeting. By invitation of the Board, Mr. Shea and representatives from BofA Merrill Lynch and Goodwin Procter were also present for all or portions of this meeting. Prior to the start of the meeting, because the Board expected to discuss matters related to the sale process, and in light of Moab's continuing interest in a potential equity rollover in any sale transaction, Mr. Rothenberg recused himself from the meeting and the meeting proceeded as a meeting of the Special Committee. At this meeting, representatives of BofA Merrill Lynch reviewed the preliminary indications of interest received from Party B, Party C and CSC/Pamplona as well as the Party A June 21 proposal, in each case from a financial point of view. The Board reviewed management's five-year strategic business plan and Projections. During this meeting, representatives of Goodwin Procter reviewed for the Special Committee its fiduciary duties in the context of considering a potential sale.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so he would not be privy to confidential information about Mac-Gray and our business.</t>
        </is>
      </c>
    </row>
    <row r="38" ht="103.8" customHeight="1">
      <c r="A38" s="2" t="inlineStr">
        <is>
          <t>P-037</t>
        </is>
      </c>
      <c r="B38" s="2" t="inlineStr">
        <is>
          <t>Background of the Merger</t>
        </is>
      </c>
      <c r="C38" s="2" t="n">
        <v>33</v>
      </c>
      <c r="D38" s="2" t="inlineStr">
        <is>
          <t>The Special Committee discussed that the preliminary indications of interest were lower than expected and suggested that additional due diligence, including with regard to the potential synergies, should result in improved offers by the strategic parties. The Special Committee then discussed the highly competitive nature of Mac-Gray's industry and expressed concern over permitting access to and the potential misuse of sensitive and competitive information, including customer terms and locations, especially by strategic bidders. Accordingly,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Based on this discussion, BofA Merrill Lynch discussed with the Special Committee a proposed process for the second stage of the on-going sale process. As part of this review, BofA Merrill Lynch recommended that management meetings be arranged between members of Mac-Gray management (other than Mr. MacDonald) and each of Party A (if Party A</t>
        </is>
      </c>
    </row>
    <row r="39" ht="66" customHeight="1">
      <c r="A39" s="2" t="inlineStr">
        <is>
          <t>P-038</t>
        </is>
      </c>
      <c r="B39" s="2" t="inlineStr">
        <is>
          <t>Background of the Merger</t>
        </is>
      </c>
      <c r="C39" s="2" t="n">
        <v>34</v>
      </c>
      <c r="D39" s="2" t="inlineStr">
        <is>
          <t>agreed to enter into a confidentiality agreement), Party B, Party C and CSC/Pamplona to provide these parties with access to high level information concerning Mac-Gray's technology, pipeline, management team, regional operations, contracts, operations and growth initiatives, and in the case of CSC/Pamplona and Party A, synergies, and to then request that each of these parties submit a revised indication of interest. After discussion and in an effort to drive offers with increased value, the Special Committee authorized and instructed BofA Merrill Lynch to proceed with the staged disclosure as discussed at this meeting and to reach out to each of the four interested bidders and arrange management meetings.</t>
        </is>
      </c>
    </row>
    <row r="40" ht="15.6" customHeight="1">
      <c r="A40" s="2" t="inlineStr">
        <is>
          <t>P-039</t>
        </is>
      </c>
      <c r="B40" s="2" t="inlineStr">
        <is>
          <t>Background of the Merger</t>
        </is>
      </c>
      <c r="C40" s="2" t="n">
        <v>34</v>
      </c>
      <c r="D40" s="2" t="inlineStr">
        <is>
          <t>Later on July 25, 2013, Party C submitted a written indication of interest at an all-cash purchase price of $16.00 to $16.50 per share.</t>
        </is>
      </c>
    </row>
    <row r="41" ht="40.8" customHeight="1">
      <c r="A41" s="2" t="inlineStr">
        <is>
          <t>P-040</t>
        </is>
      </c>
      <c r="B41" s="2" t="inlineStr">
        <is>
          <t>Background of the Merger</t>
        </is>
      </c>
      <c r="C41" s="2" t="n">
        <v>34</v>
      </c>
      <c r="D41" s="2" t="inlineStr">
        <is>
          <t>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t>
        </is>
      </c>
    </row>
    <row r="42" ht="28.2" customHeight="1">
      <c r="A42" s="2" t="inlineStr">
        <is>
          <t>P-041</t>
        </is>
      </c>
      <c r="B42" s="2" t="inlineStr">
        <is>
          <t>Background of the Merger</t>
        </is>
      </c>
      <c r="C42" s="2" t="n">
        <v>34</v>
      </c>
      <c r="D42" s="2" t="inlineStr">
        <is>
          <t>On August 6, 2013, representatives of Party B attended a management presentation at the Boston office of Goodwin Procter with members of Mac-Gray management, representatives of BofA Merrill Lynch and a member of the Transaction Committee.</t>
        </is>
      </c>
    </row>
    <row r="43" ht="28.2" customHeight="1">
      <c r="A43" s="2" t="inlineStr">
        <is>
          <t>P-042</t>
        </is>
      </c>
      <c r="B43" s="2" t="inlineStr">
        <is>
          <t>Background of the Merger</t>
        </is>
      </c>
      <c r="C43" s="2" t="n">
        <v>34</v>
      </c>
      <c r="D43" s="2" t="inlineStr">
        <is>
          <t>On August 8, 2013, representatives of Party C attended a management presentation at the Boston office of Goodwin Procter with members of Mac-Gray management, representatives of BofA Merrill Lynch and a member of the Transaction Committee.</t>
        </is>
      </c>
    </row>
    <row r="44" ht="28.2" customHeight="1">
      <c r="A44" s="2" t="inlineStr">
        <is>
          <t>P-043</t>
        </is>
      </c>
      <c r="B44" s="2" t="inlineStr">
        <is>
          <t>Background of the Merger</t>
        </is>
      </c>
      <c r="C44" s="2" t="n">
        <v>34</v>
      </c>
      <c r="D44" s="2" t="inlineStr">
        <is>
          <t>On August 12, 2013, representatives of CSC and Pamplona attended a management presentation at the Boston office of Goodwin Procter with members of Mac-Gray management, representatives of BofA Merrill Lynch and the two members of the Transaction Committee.</t>
        </is>
      </c>
    </row>
    <row r="45" ht="28.2" customHeight="1">
      <c r="A45" s="2" t="inlineStr">
        <is>
          <t>P-044</t>
        </is>
      </c>
      <c r="B45" s="2" t="inlineStr">
        <is>
          <t>Background of the Merger</t>
        </is>
      </c>
      <c r="C45" s="2" t="n">
        <v>34</v>
      </c>
      <c r="D45" s="2" t="inlineStr">
        <is>
          <t>On August 14, 2013, representatives of Party A attended a management presentation at the Boston office of Goodwin Procter with members of Mac-Gray management, representatives of BofA Merrill Lynch and the two members of the Transaction Committee.</t>
        </is>
      </c>
    </row>
    <row r="46" ht="91.2" customHeight="1">
      <c r="A46" s="2" t="inlineStr">
        <is>
          <t>P-045</t>
        </is>
      </c>
      <c r="B46" s="2" t="inlineStr">
        <is>
          <t>Background of the Merger</t>
        </is>
      </c>
      <c r="C46" s="2" t="n">
        <v>34</v>
      </c>
      <c r="D46" s="2" t="inlineStr">
        <is>
          <t>On August 15, 2013, the Special Committee held a telephonic meeting for the purpose of reviewing the on-going strategic alternatives process. By invitation of the Special Committee, representatives from BofA Merrill Lynch and Goodwin Procter were also in attendance. BofA Merrill Lynch updated the Special Committee as to the current status of the strategic alternatives process, including the due diligence process and the management presentations with Party A, Party B, Party C and CSC/Pamplona. After discussion and as discussed at the July 25th Special Committee meeting,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t>
        </is>
      </c>
    </row>
    <row r="47" ht="66" customHeight="1">
      <c r="A47" s="2" t="inlineStr">
        <is>
          <t>P-046</t>
        </is>
      </c>
      <c r="B47" s="2" t="inlineStr">
        <is>
          <t>Background of the Merger</t>
        </is>
      </c>
      <c r="C47" s="2" t="n">
        <v>34</v>
      </c>
      <c r="D47" s="2" t="inlineStr">
        <is>
          <t>Between August 6, 2013 and August 27, 2013, the four bidders conducted business and legal due diligence. During this time,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25th Special Committee meeting. During this time, both Party A and CSC/Pamplona participated in discussions with members of Mac-Gray management around synergies.</t>
        </is>
      </c>
    </row>
    <row r="48" ht="53.4" customHeight="1">
      <c r="A48" s="2" t="inlineStr">
        <is>
          <t>P-047</t>
        </is>
      </c>
      <c r="B48" s="2" t="inlineStr">
        <is>
          <t>Background of the Merger</t>
        </is>
      </c>
      <c r="C48" s="2" t="n">
        <v>35</v>
      </c>
      <c r="D48" s="2" t="inlineStr">
        <is>
          <t>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The letter requested that the revised proposals address, among other things, valuation, sources and structures of financing, regulatory approvals and other post-signing covenants and focus areas for due diligence.</t>
        </is>
      </c>
    </row>
    <row r="49" ht="28.2" customHeight="1">
      <c r="A49" s="2" t="inlineStr">
        <is>
          <t>P-048</t>
        </is>
      </c>
      <c r="B49" s="2" t="inlineStr">
        <is>
          <t>Background of the Merger</t>
        </is>
      </c>
      <c r="C49" s="2" t="n">
        <v>35</v>
      </c>
      <c r="D49" s="2" t="inlineStr">
        <is>
          <t>Also on August 27, 2013, members of Mac-Gray management, representatives from BofA Merrill Lynch and representatives of Party B participated in a telephone conference call for Party B to conduct follow-up and confirmatory due diligence.</t>
        </is>
      </c>
    </row>
    <row r="50" ht="28.2" customHeight="1">
      <c r="A50" s="2" t="inlineStr">
        <is>
          <t>P-049</t>
        </is>
      </c>
      <c r="B50" s="2" t="inlineStr">
        <is>
          <t>Background of the Merger</t>
        </is>
      </c>
      <c r="C50" s="2" t="n">
        <v>35</v>
      </c>
      <c r="D50" s="2" t="inlineStr">
        <is>
          <t>On August 29, 2013, members of Mac-Gray management, representatives from BofA Merrill Lynch and representatives of Party C participated in an in-person session for Party C to conduct follow-up and confirmatory due diligence.</t>
        </is>
      </c>
    </row>
    <row r="51" ht="28.2" customHeight="1">
      <c r="A51" s="2" t="inlineStr">
        <is>
          <t>P-050</t>
        </is>
      </c>
      <c r="B51" s="2" t="inlineStr">
        <is>
          <t>Background of the Merger</t>
        </is>
      </c>
      <c r="C51" s="2" t="n">
        <v>35</v>
      </c>
      <c r="D51" s="2" t="inlineStr">
        <is>
          <t>On September 3, 2013, members of Mac-Gray management, representatives from BofA Merrill Lynch and representatives of Party A participated in a telephone conference call for Party A to conduct follow-up and confirmatory due diligence.</t>
        </is>
      </c>
    </row>
    <row r="52" ht="66" customHeight="1">
      <c r="A52" s="2" t="inlineStr">
        <is>
          <t>P-051</t>
        </is>
      </c>
      <c r="B52" s="2" t="inlineStr">
        <is>
          <t>Background of the Merger</t>
        </is>
      </c>
      <c r="C52" s="2" t="n">
        <v>35</v>
      </c>
      <c r="D52" s="2" t="inlineStr">
        <is>
          <t>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t>
        </is>
      </c>
    </row>
    <row r="53" ht="53.4" customHeight="1">
      <c r="A53" s="2" t="inlineStr">
        <is>
          <t>P-052</t>
        </is>
      </c>
      <c r="B53" s="2" t="inlineStr">
        <is>
          <t>Background of the Merger</t>
        </is>
      </c>
      <c r="C53" s="2" t="n">
        <v>35</v>
      </c>
      <c r="D53" s="2" t="inlineStr">
        <is>
          <t>On September 10, 2013, Party A submitted a revised indication of interest with an all-cash purchase price of $18.00 to $19.00 per share, to be financed by outstanding credit facilities or affiliated equity sources. Also on September 10, 2013,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t>
        </is>
      </c>
    </row>
    <row r="54" ht="66" customHeight="1">
      <c r="A54" s="2" t="inlineStr">
        <is>
          <t>P-053</t>
        </is>
      </c>
      <c r="B54" s="2" t="inlineStr">
        <is>
          <t>Background of the Merger</t>
        </is>
      </c>
      <c r="C54" s="2" t="n">
        <v>35</v>
      </c>
      <c r="D54" s="2" t="inlineStr">
        <is>
          <t>On September 11, 2013, members of the Transaction Committee, in a telephone call, without identifying Party A, Party B, Party C or CSC/Pamplona and without indicating any proposed purchase prices,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t>
        </is>
      </c>
    </row>
    <row r="55" ht="103.8" customHeight="1">
      <c r="A55" s="2" t="inlineStr">
        <is>
          <t>P-054</t>
        </is>
      </c>
      <c r="B55" s="2" t="inlineStr">
        <is>
          <t>Background of the Merger</t>
        </is>
      </c>
      <c r="C55" s="2" t="n">
        <v>35</v>
      </c>
      <c r="D55" s="2" t="inlineStr">
        <is>
          <t>Later on September 11, 2013, the Special Committee held a telephonic meeting to review the revised indications of interest submitted by Party A, Party B, Party C and CSC/Pamplona. By invitation of the Special Committee, Mr. Shea and Mr. Emma, as well as representatives from BofA Merrill Lynch and Goodwin Procter, were present for all or portions of the meeting. BofA Merrill Lynch reviewed with the Special Committee the current status of the revised indications of interest. The Special Committee also reviewed and discussed the Projections, including the risks and opportunities relating to Mac-Gray's ability to execute its strategic plan as an independent, stand-alone company. The Special Committee also considered the Projections in light of the revised indications of interest. BofA Merrill Lynch then indicated that, based on conversations with Party A, Party B, Party C and CSC/Pamplona, it was unlikely that any of these parties would move forward in the process without the express support of Mr. MacDonald. The Transaction Committee reported that Mr. MacDonald had</t>
        </is>
      </c>
    </row>
    <row r="56" ht="116.4" customHeight="1">
      <c r="A56" s="2" t="inlineStr">
        <is>
          <t>P-055</t>
        </is>
      </c>
      <c r="B56" s="2" t="inlineStr">
        <is>
          <t>Background of the Merger</t>
        </is>
      </c>
      <c r="C56" s="2" t="n">
        <v>36</v>
      </c>
      <c r="D56" s="2" t="inlineStr">
        <is>
          <t>decided that he was not interested in rolling over any of his shares in a transaction and recommended that Mr. MacDonald be fully briefed of the process to date. The Special Committee agreed, noting that Mr. MacDonald's perspective on the purchase price of a sale transaction was critical to the Special Committee's evaluation, as any potential acquiror would be unlikely to proceed without knowing that Mr. MacDonald would support the transaction. Based on the amount of due diligence conducted by Party A, Party B, Party C and CSC/Pamplona, and discussions with such parties to date, and in an effort to maximize value for Mac-Gray's stockholders,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As authorized and instructed by the Special Committee, representatives of BofA Merrill Lynch called each of Party A, Party B, Party C and CSC/Pamplona on September 11, 2013 with such instructions.</t>
        </is>
      </c>
    </row>
    <row r="57" ht="53.4" customHeight="1">
      <c r="A57" s="2" t="inlineStr">
        <is>
          <t>P-056</t>
        </is>
      </c>
      <c r="B57" s="2" t="inlineStr">
        <is>
          <t>Background of the Merger</t>
        </is>
      </c>
      <c r="C57" s="2" t="n">
        <v>36</v>
      </c>
      <c r="D57" s="2" t="inlineStr">
        <is>
          <t>On September 12, 2013, at the instruction of the Transaction Committee,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t>
        </is>
      </c>
    </row>
    <row r="58" ht="15.6" customHeight="1">
      <c r="A58" s="2" t="inlineStr">
        <is>
          <t>P-057</t>
        </is>
      </c>
      <c r="B58" s="2" t="inlineStr">
        <is>
          <t>Background of the Merger</t>
        </is>
      </c>
      <c r="C58" s="2" t="n">
        <v>36</v>
      </c>
      <c r="D58" s="2" t="inlineStr">
        <is>
          <t>Between September 11, 2013 and September 18, 2013, Party A, Party B, Party C and CSC/Pamplona continued to conduct business and legal due diligence.</t>
        </is>
      </c>
    </row>
    <row r="59" ht="129" customHeight="1">
      <c r="A59" s="2" t="inlineStr">
        <is>
          <t>P-058</t>
        </is>
      </c>
      <c r="B59" s="2" t="inlineStr">
        <is>
          <t>Background of the Merger</t>
        </is>
      </c>
      <c r="C59" s="2" t="n">
        <v>36</v>
      </c>
      <c r="D59" s="2" t="inlineStr">
        <is>
          <t>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Also on September 18, 2013, Party A reiterated in a telephone call to a representative of BofA Merrill Lynch that its previous indication of interest with an all-cash purchase price of $18.00 to $19.00 per share was its best and final offer.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(i.e., over five years), excluding any future acquisitions. Party B's proposal stated that it valued the Party B options at $2.50 of incremental value per share. Party C did not submit a revised indication of interest or reiterate its prior indication of interest of an all-cash purchase price of $16.00 to $17.00 per share nor did it specify any reasons in connection therewith.</t>
        </is>
      </c>
    </row>
    <row r="60" ht="116.4" customHeight="1">
      <c r="A60" s="2" t="inlineStr">
        <is>
          <t>P-059</t>
        </is>
      </c>
      <c r="B60" s="2" t="inlineStr">
        <is>
          <t>Background of the Merger</t>
        </is>
      </c>
      <c r="C60" s="2" t="n">
        <v>36</v>
      </c>
      <c r="D60" s="2" t="inlineStr">
        <is>
          <t>On September 19, 2013, the Special Committee held an in-person meeting. By invitation of the Special Committee, Mr. MacDonald and Mr. Shea, as well as representatives from BofA Merrill Lynch and Goodwin Procter, were also present for all or portions of the meeting. At this meeting, BofA Merrill Lynch updated the Special Committee as to the current status of the revised indications of interest submitted by Party A, Party B and CSC/Pamplona and reported that Party C did not submit a revised indication of interest or reiterate its prior indication of interest. BofA Merrill Lynch also reported to the Special Committee on Mr. MacDonald's general support for continuing with the process and his view that Mac-Gray should continue to seek a higher value for stockholders. Mr. Shea again reviewed the Projections with the Special Committee and BofA Merrill Lynch. The Special Committee again discussed the Projections, including the risks relating to Mac-Gray's ability to execute its strategic plan as an independent, stand-alone company (including Mac-Gray's ability to identify, acquire and successfully integrate laundry facilities management businesses, establish new and/or renew existing laundry facility management leases and penetrate markets historically dominated by smaller</t>
        </is>
      </c>
    </row>
    <row r="61" ht="154.2" customHeight="1">
      <c r="A61" s="2" t="inlineStr">
        <is>
          <t>P-060</t>
        </is>
      </c>
      <c r="B61" s="2" t="inlineStr">
        <is>
          <t>Background of the Merger</t>
        </is>
      </c>
      <c r="C61" s="2" t="n">
        <v>37</v>
      </c>
      <c r="D61" s="2" t="inlineStr">
        <is>
          <t>local and regional operators, the impact of general economic and market trends on Mac-Gray's sales and the general risks of market conditions that could reduce Mac-Gray's stock price). The Special Committee also again discussed the potential opportunities if Mac-Gray were able to execute its strategic plan as an independent, stand-alone company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The Special Committee also discussed the risks involved if Mac-Gray did not execute on its strategic business plan, including the difficulties with increasing the Company's stock price without a significant or transformative transaction, such as a major acquisition or restructuring. The Special Committee then considered the Projections in light of the revised indications of interest. Representatives from Goodwin Procter again reviewed the Special Committee's fiduciary duties in the context of a sale of the company. The Special Committee then discussed each of the three revised proposals, including their advantages and disadvantages. The Special Committee discussed the risks and complexities of the Party B options, including their contingent and deferred nature and the uncertainties associated with how Mac-Gray's performance would be measured, especially in light of the fact that current Mac-Gray management would not be in control of the surviving corporation to monitor or drive the growth necessary to trigger payment under the Party B options.</t>
        </is>
      </c>
    </row>
    <row r="62" ht="141.6" customHeight="1">
      <c r="A62" s="2" t="inlineStr">
        <is>
          <t>P-061</t>
        </is>
      </c>
      <c r="B62" s="2" t="inlineStr">
        <is>
          <t>Background of the Merger</t>
        </is>
      </c>
      <c r="C62" s="2" t="n">
        <v>37</v>
      </c>
      <c r="D62" s="2" t="inlineStr">
        <is>
          <t>The representatives from BofA Merrill Lynch were then excused from the meeting and the Special Committee continued its discussion. The Special Committee noted that the indication of interest submitted by Party B, including the Party B options, was on its face higher than the CSC/Pamplona proposal but further discussed the risks and complexities involved with measuring and achieving the performance required to vest the Party B options. The Special Committee also noted that Party B would likely be financing the transaction with a combination of equity from affiliated funds and third party debt capital, which would involve more risk than the Pamplona-funded CSC/Pamplona proposal, which did not require any third party financing. Following a discussion,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and authorized the Transaction Committee and Goodwin Procter to negotiate the terms of such exclusivity based on guidance provided by the Special Committee. In addition, at this meeting Mr. MacDonald indicated that he would be supportive of a price of $21.25 per share.</t>
        </is>
      </c>
    </row>
    <row r="63" ht="78.59999999999999" customHeight="1">
      <c r="A63" s="2" t="inlineStr">
        <is>
          <t>P-062</t>
        </is>
      </c>
      <c r="B63" s="2" t="inlineStr">
        <is>
          <t>Background of the Merger</t>
        </is>
      </c>
      <c r="C63" s="2" t="n">
        <v>37</v>
      </c>
      <c r="D63" s="2" t="inlineStr">
        <is>
          <t>On September 21, 2013,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which we refer to as the MacDonald voting agreements.</t>
        </is>
      </c>
    </row>
    <row r="64" ht="53.4" customHeight="1">
      <c r="A64" s="2" t="inlineStr">
        <is>
          <t>P-063</t>
        </is>
      </c>
      <c r="B64" s="2" t="inlineStr">
        <is>
          <t>Background of the Merger</t>
        </is>
      </c>
      <c r="C64" s="2" t="n">
        <v>37</v>
      </c>
      <c r="D64" s="2" t="inlineStr">
        <is>
          <t>Between September 21, 2013 and September 23, 2013, the parties negotiated the terms of the exclusivity agreement, including an expiration date of October 12, 2013,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t>
        </is>
      </c>
    </row>
    <row r="65" ht="40.8" customHeight="1">
      <c r="A65" s="2" t="inlineStr">
        <is>
          <t>P-064</t>
        </is>
      </c>
      <c r="B65" s="2" t="inlineStr">
        <is>
          <t>Background of the Merger</t>
        </is>
      </c>
      <c r="C65" s="2" t="n">
        <v>38</v>
      </c>
      <c r="D65" s="2" t="inlineStr">
        <is>
          <t>committing to fund 100% of the capital needed for closing, which, together with the all-cash per share purchase price of $21.25, we refer to as the CSC/Pamplona final proposal. The parties also agreed that the exclusivity agreement would automatically terminate if CSC or Pamplona adversely changed any of the terms of the CSC/Pamplona final proposal.</t>
        </is>
      </c>
    </row>
    <row r="66" ht="66" customHeight="1">
      <c r="A66" s="2" t="inlineStr">
        <is>
          <t>P-065</t>
        </is>
      </c>
      <c r="B66" s="2" t="inlineStr">
        <is>
          <t>Background of the Merger</t>
        </is>
      </c>
      <c r="C66" s="2" t="n">
        <v>38</v>
      </c>
      <c r="D66" s="2" t="inlineStr">
        <is>
          <t>On September 23, 2013, representatives from Goodwin Procter participated in a telephone conference call with Mr. Rothenberg and his counsel to inform Mr. Rothenberg, on a limited basis, of the status of the Special Committee's review of strategic alternatives and the negotiations between Mac-Gray and CSC and Pamplona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and it was agreed that representatives of BofA Merrill Lynch would arrange and facilitate such a discussion.</t>
        </is>
      </c>
    </row>
    <row r="67" ht="91.2" customHeight="1">
      <c r="A67" s="2" t="inlineStr">
        <is>
          <t>P-066</t>
        </is>
      </c>
      <c r="B67" s="2" t="inlineStr">
        <is>
          <t>Background of the Merger</t>
        </is>
      </c>
      <c r="C67" s="2" t="n">
        <v>38</v>
      </c>
      <c r="D67" s="2" t="inlineStr">
        <is>
          <t>Later on September 23, 2013, the Special Committee held a telephonic meeting, the purpose of which was to receive an update on the negotiations from the Transaction Committee and Goodwin Procter regarding the CSC/Pamplona final proposal and request for exclusivity. Representatives from Goodwin Procter reviewed the terms of the CSC/Pamplona final proposal with the Special Committee, including the $21.25 per share cash consideration, the $15 million CSC reverse termination fee, certain post-signing covenants, the fact that there would be no financing contingency and that Pamplona was committing to fund 100% of the capital needed for closing. After discussion,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based on guidance provided by the Special Committee at this meeting.</t>
        </is>
      </c>
    </row>
    <row r="68" ht="28.2" customHeight="1">
      <c r="A68" s="2" t="inlineStr">
        <is>
          <t>P-067</t>
        </is>
      </c>
      <c r="B68" s="2" t="inlineStr">
        <is>
          <t>Background of the Merger</t>
        </is>
      </c>
      <c r="C68" s="2" t="n">
        <v>38</v>
      </c>
      <c r="D68" s="2" t="inlineStr">
        <is>
          <t>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t>
        </is>
      </c>
    </row>
    <row r="69" ht="166.8" customHeight="1">
      <c r="A69" s="2" t="inlineStr">
        <is>
          <t>P-068</t>
        </is>
      </c>
      <c r="B69" s="2" t="inlineStr">
        <is>
          <t>Background of the Merger</t>
        </is>
      </c>
      <c r="C69" s="2" t="n">
        <v>38</v>
      </c>
      <c r="D69" s="2" t="inlineStr">
        <is>
          <t>On September 25, 2013, Goodwin Procter delivered to Kirkland &amp; Ellis LLP, outside legal counsel to CSC/Pamplona, whom we refer to as Kirkland, the initial draft of the merger agreement. Between September 25, 2013 and October 7, 2013, the Transaction Committee and representatives from CSC/Pamplona, Goodwin Procter and Kirkland negotiated the terms of the merger agreement (including our ability to respond to unsolicited inquiries following the announcement of the transaction and our right to terminate the merger agreement to accept a superior proposal) and the Pamplona commitment letter. The parties discussed various open points in the merger agreement and the Pamplona commitment letter, including the proposal by Mac-Gray that both Pamplona and CSC be responsible in the event CSC failed to consummate the merger, including liability for any and all damages resulting from a breach of the merger agreement, certain post-signing covenants and the parties' termination rights, including the amount of the termination fee payable by Mac-Gray to CSC under certain circumstances (which we refer to as the Mac-Gray termination fee), which Mac-Gray proposed should approximate 2.5% of the total equity value of the transaction. Also during this time, CSC and Pamplona were granted full access to the electronic data site and access to certain members of management and conducted confirmatory business and legal due diligence on Mac-Gray. Mr. Rothenberg engaged in various discussions with representatives of Pamplona during this time to discuss a possible rollover of Moab shares. As a result of such discussions, it was determined that Moab would not rollover any Moab shares in the transaction. Following such determination, BofA Merrill Lynch and the Transaction Committee provided Mr. Rothenberg with the details regarding the Special Committee's review of strategic alternatives and the negotiations between Mac-Gray and CSC/Pamplona.</t>
        </is>
      </c>
    </row>
    <row r="70" ht="40.8" customHeight="1">
      <c r="A70" s="2" t="inlineStr">
        <is>
          <t>P-069</t>
        </is>
      </c>
      <c r="B70" s="2" t="inlineStr">
        <is>
          <t>Background of the Merger</t>
        </is>
      </c>
      <c r="C70" s="2" t="n">
        <v>39</v>
      </c>
      <c r="D70" s="2" t="inlineStr">
        <is>
          <t>Between September 24, 2013 and September 27, 2013, Kirkland and outside counsel to Mr. MacDonald negotiated the terms of the MacDonald voting agreements, which were entered into by Mr. MacDonald, his wife and one of his trusts on September 27, 2013, and which became effective upon entry into the merger agreement.</t>
        </is>
      </c>
    </row>
    <row r="71" ht="53.4" customHeight="1">
      <c r="A71" s="2" t="inlineStr">
        <is>
          <t>P-070</t>
        </is>
      </c>
      <c r="B71" s="2" t="inlineStr">
        <is>
          <t>Background of the Merger</t>
        </is>
      </c>
      <c r="C71" s="2" t="n">
        <v>39</v>
      </c>
      <c r="D71" s="2" t="inlineStr">
        <is>
          <t>On October 1, 2013, representatives of Mac-Gray management, along with representatives from BofA Merrill Lynch and representatives from CSC/Pamplona attended a meeting at the Boston offices of Goodwin Procter for purposes of conducting confirmatory business due diligence. Representatives of Mac-Gray, Goodwin Procter, BofA Merrill Lynch and representatives of CSC/Pamplona and Kirkland participated in various telephone conference calls over the subsequent days to finalize business and legal due diligence.</t>
        </is>
      </c>
    </row>
    <row r="72" ht="40.8" customHeight="1">
      <c r="A72" s="2" t="inlineStr">
        <is>
          <t>P-071</t>
        </is>
      </c>
      <c r="B72" s="2" t="inlineStr">
        <is>
          <t>Background of the Merger</t>
        </is>
      </c>
      <c r="C72" s="2" t="n">
        <v>39</v>
      </c>
      <c r="D72" s="2" t="inlineStr">
        <is>
          <t>On October 5, 2013,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t>
        </is>
      </c>
    </row>
    <row r="73" ht="129" customHeight="1">
      <c r="A73" s="2" t="inlineStr">
        <is>
          <t>P-072</t>
        </is>
      </c>
      <c r="B73" s="2" t="inlineStr">
        <is>
          <t>Background of the Merger</t>
        </is>
      </c>
      <c r="C73" s="2" t="n">
        <v>39</v>
      </c>
      <c r="D73" s="2" t="inlineStr">
        <is>
          <t>On October 7, 2013, the Special Committee held a telephonic meeting, the purpose of which was to receive an update on the transaction negotiations from the Transaction Committee and Goodwin Procter. By invitation of the Special Committee, Mr. MacDonald was also present for a portion of the meeting. Mr. Daoust reported to the Special Committee that, after discussions between Moab and representatives of Pamplona, it was determined that Moab would not rollover any Moab shares in the transaction. Mr. Daoust also provided the Special Committee with an overview of the open business points and the progress the parties had made since the September 23rd Special Committee meeting. Representatives from Goodwin Procter then reported on the progress that had been made in diligence and summarized the open issues in the merger agreement and the Pamplona commitment letter, including to what extent Pamplona would be responsible in the event CSC failed to consummate the merger, including CSC's and Pamplona's liability for damages resulting from a breach of the merger agreement, certain post-signing covenants and the parties' termination rights, including the amounts of the Mac-Gray termination fee and the CSC reverse termination fee. The Special Committee authorized the Transaction Committee and Goodwin Procter to continue negotiations with CSC/Pamplona, and, among other things, provided guidance with respect to the open transaction issues discussed at the meeting.</t>
        </is>
      </c>
    </row>
    <row r="74" ht="40.8" customHeight="1">
      <c r="A74" s="2" t="inlineStr">
        <is>
          <t>P-073</t>
        </is>
      </c>
      <c r="B74" s="2" t="inlineStr">
        <is>
          <t>Background of the Merger</t>
        </is>
      </c>
      <c r="C74" s="2" t="n">
        <v>39</v>
      </c>
      <c r="D74" s="2" t="inlineStr">
        <is>
          <t>Also on October 7, 2013, Kirkland delivered to Goodwin Procter a revised draft of the merger agreement which, among other things, proposed a $15 million Mac-Gray termination fee, which represented approximately 4.4% of the total equity value of the transaction, and certain positions on the scope of various post-signing covenants.</t>
        </is>
      </c>
    </row>
    <row r="75" ht="103.8" customHeight="1">
      <c r="A75" s="2" t="inlineStr">
        <is>
          <t>P-074</t>
        </is>
      </c>
      <c r="B75" s="2" t="inlineStr">
        <is>
          <t>Background of the Merger</t>
        </is>
      </c>
      <c r="C75" s="2" t="n">
        <v>39</v>
      </c>
      <c r="D75" s="2" t="inlineStr">
        <is>
          <t>On October 8, 2013, representatives from Goodwin Procter and Kirkland participated in a telephone conference call to discuss the open points in the merger agreement and the Pamplona commitment letter, including to what extent Pamplona would also have liability in the event CSC failed to consummate the merger, which Kirkland proposed, at the direction of CSC/Pamplona, be capped at $50 million. Kirkland and Goodwin Procter also discussed CSC's and Pamplona's liability for damages resulting from a breach of the merger agreement, certain post-signing covenants and the parties' termination rights, including the amounts of the Mac-Gray termination fee and the CSC reverse termination fee. The parties also discussed potential compromises on the post-signing covenants. Goodwin Procter and Kirkland agreed to communicate these positions to their respective clients. Later that day, after various discussions among representatives from CSC/Pamplona, Kirkland, Goodwin Procter and the members of the Transaction Committee, and on behalf of the Special Committee, Goodwin Procter sent an e-mail to the representatives of Kirkland that proposed to accept the</t>
        </is>
      </c>
    </row>
    <row r="76" ht="28.2" customHeight="1">
      <c r="A76" s="2" t="inlineStr">
        <is>
          <t>P-075</t>
        </is>
      </c>
      <c r="B76" s="2" t="inlineStr">
        <is>
          <t>Background of the Merger</t>
        </is>
      </c>
      <c r="C76" s="2" t="n">
        <v>40</v>
      </c>
      <c r="D76" s="2" t="inlineStr">
        <is>
          <t>$50 million liability cap proposed by Pamplona and proposed a $10.5 million Mac-Gray termination fee, which represented approximately 3.0% of the total equity value of the transaction.</t>
        </is>
      </c>
    </row>
    <row r="77" ht="53.4" customHeight="1">
      <c r="A77" s="2" t="inlineStr">
        <is>
          <t>P-076</t>
        </is>
      </c>
      <c r="B77" s="2" t="inlineStr">
        <is>
          <t>Background of the Merger</t>
        </is>
      </c>
      <c r="C77" s="2" t="n">
        <v>40</v>
      </c>
      <c r="D77" s="2" t="inlineStr">
        <is>
          <t>On October 9, 2013, in follow up to the October 8, 2013 negotiations and proposals made by Goodwin Procter, the members of the Transaction Committee participated in a telephone conference call with a representative from CSC/Pamplona to discuss the open issues in the merger agreement, including certain post-signing covenants and the parties' termination rights, including the amounts of the Mac-Gray termination fee and the CSC reverse termination fee, but did not reach agreement on these issues.</t>
        </is>
      </c>
    </row>
    <row r="78" ht="129" customHeight="1">
      <c r="A78" s="2" t="inlineStr">
        <is>
          <t>P-077</t>
        </is>
      </c>
      <c r="B78" s="2" t="inlineStr">
        <is>
          <t>Background of the Merger</t>
        </is>
      </c>
      <c r="C78" s="2" t="n">
        <v>40</v>
      </c>
      <c r="D78" s="2" t="inlineStr">
        <is>
          <t>Later on October 9, 2013, the Special Committee held a telephonic meeting, the purpose of which was to receive an update on the transaction negotiations from the Transaction Committee and Goodwin Procter. By invitation of the Special Committee, Mr. MacDonald was also present at this meeting. The Transaction Committee reported to the Special Committee on the negotiations that had taken place since the meeting of the Special Committee held on October 7, 2013. The Transaction Committee reported that the parties had come to an agreement that Pamplona's liability for certain damages would be limited to $50 million, but that certain post-signing covenants and the amounts of the termination fees remained open issues. The Special Committee discussed various alternatives that could be proposed to CSC/Pamplona on the open issues. Goodwin Procter then reported that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The Special Committee also determined to reconvene for an update telephone conference call on October 11, 2013.</t>
        </is>
      </c>
    </row>
    <row r="79" ht="192" customHeight="1">
      <c r="A79" s="2" t="inlineStr">
        <is>
          <t>P-078</t>
        </is>
      </c>
      <c r="B79" s="2" t="inlineStr">
        <is>
          <t>Background of the Merger</t>
        </is>
      </c>
      <c r="C79" s="2" t="n">
        <v>40</v>
      </c>
      <c r="D79" s="2" t="inlineStr">
        <is>
          <t>On October 10, 2013, the members of the Transaction Committee and the representative of CSC/Pamplona engaged in various discussions regarding the open issues, including certain post-signing covenants and the amounts of the termination fees. While the parties reached a compromise on the post-signing covenants, no agreement was reached on the amount of the Mac-Gray termination fee. On October 11, 2013, the Special Committee held a telephonic meeting to discuss the proposed terms of the transaction and the status of discussions with CSC/Pamplona. By invitation of the Special Committee, Mr. Rothenberg and representatives of Goodwin Procter were also present. The members of the Transaction Committee reviewed with the Special Committee the negotiations that had taken place with representatives from CSC/Pamplona since the October 9th Special Committee meeting. The Transaction Committee reported that CSC/Pamplona, on the one hand, and the Transaction Committee (as authorized by the Special Committee at the October 9th meeting), on the other hand, had come to an agreement on certain post-signing covenants but that the parties had not reached agreement on the amount of the Mac-Gray termination fee. The Special Committee also discussed the fact that the exclusivity agreement would be expiring at 5 p.m. ET on October 12, 2013 and that CSC/Pamplona had requested an extension of exclusivity until the end of the day on October 15, 2013. After discussions, the Special Committee determined that the members of the Transaction Committee and representatives of Goodwin Procter should communicate to the representative of CSC/Pamplona and representatives at Kirkland, respectively, that the Special Committee continued to object to the $15 million Mac-Gray termination fee proposed by CSC/Pamplona and would not be willing to extend exclusivity unless a lower amount were agreed to. The Special Committee confirmed that the Transaction Committee and representatives of Mac-Gray were authorized to extend the exclusivity agreement until 11:59 p.m. on ET on October 15, 2013 if CSC/Pamplona would agree to a Mac-Gray termination fee of not more than $11 million, which represented approximately 3.2% of the total equity value of the transaction.</t>
        </is>
      </c>
    </row>
    <row r="80" ht="28.2" customHeight="1">
      <c r="A80" s="2" t="inlineStr">
        <is>
          <t>P-079</t>
        </is>
      </c>
      <c r="B80" s="2" t="inlineStr">
        <is>
          <t>Background of the Merger</t>
        </is>
      </c>
      <c r="C80" s="2" t="n">
        <v>40</v>
      </c>
      <c r="D80" s="2" t="inlineStr">
        <is>
          <t>Later on October 11, 2013, the two members of the Transaction Committee telephoned CSC/Pamplona and communicated the Special Committee's position. Shortly following that conversation, the representative of CSC/Pamplona telephoned Mr. Daoust and agreed to the $11 million Mac-Gray</t>
        </is>
      </c>
    </row>
    <row r="81" ht="15.6" customHeight="1">
      <c r="A81" s="2" t="inlineStr">
        <is>
          <t>P-080</t>
        </is>
      </c>
      <c r="B81" s="2" t="inlineStr">
        <is>
          <t>Background of the Merger</t>
        </is>
      </c>
      <c r="C81" s="2" t="n">
        <v>41</v>
      </c>
      <c r="D81" s="2" t="inlineStr">
        <is>
          <t>termination fee. Following such agreement, Goodwin Procter delivered Kirkland revised drafts of the merger agreement and the Pamplona commitment letter.</t>
        </is>
      </c>
    </row>
    <row r="82" ht="15.6" customHeight="1">
      <c r="A82" s="2" t="inlineStr">
        <is>
          <t>P-081</t>
        </is>
      </c>
      <c r="B82" s="2" t="inlineStr">
        <is>
          <t>Background of the Merger</t>
        </is>
      </c>
      <c r="C82" s="2" t="n">
        <v>41</v>
      </c>
      <c r="D82" s="2" t="inlineStr">
        <is>
          <t>On October 12, 2013, CSC, Pamplona and Mac-Gray executed a letter agreement extending exclusivity until 11:59 p.m. ET on October 15, 2013.</t>
        </is>
      </c>
    </row>
    <row r="83" ht="28.2" customHeight="1">
      <c r="A83" s="2" t="inlineStr">
        <is>
          <t>P-082</t>
        </is>
      </c>
      <c r="B83" s="2" t="inlineStr">
        <is>
          <t>Background of the Merger</t>
        </is>
      </c>
      <c r="C83" s="2" t="n">
        <v>41</v>
      </c>
      <c r="D83" s="2" t="inlineStr">
        <is>
          <t>Between October 12, 2013 and October 14, 2013, Kirkland and Goodwin Procter finalized the remaining unresolved issues in the merger agreement and the Pamplona commitment letter.</t>
        </is>
      </c>
    </row>
    <row r="84" ht="15.6" customHeight="1">
      <c r="A84" s="2" t="inlineStr">
        <is>
          <t>P-083</t>
        </is>
      </c>
      <c r="B84" s="2" t="inlineStr">
        <is>
          <t>Background of the Merger</t>
        </is>
      </c>
      <c r="C84" s="2" t="n">
        <v>41</v>
      </c>
      <c r="D84" s="2" t="inlineStr">
        <is>
          <t>Between October 8, 2013 and October 14, 2013, Kirkland and counsel for Moab negotiated the terms of a voting agreement for Moab.</t>
        </is>
      </c>
    </row>
    <row r="85" ht="179.4" customHeight="1">
      <c r="A85" s="2" t="inlineStr">
        <is>
          <t>P-084</t>
        </is>
      </c>
      <c r="B85" s="2" t="inlineStr">
        <is>
          <t>Background of the Merger</t>
        </is>
      </c>
      <c r="C85" s="2" t="n">
        <v>41</v>
      </c>
      <c r="D85" s="2" t="inlineStr">
        <is>
          <t>On October 14, 2013, the Special Committee held a meeting via teleconference to discuss the final terms of the transaction and the proposed definitive merger agreement and related documents. By invitation of the Special Committee, Mr. Rothenberg and representatives of BofA Merrill Lynch and Goodwin Procter were also present for all or portions of the meeting. The members of the Transaction Committee reported to the Special Committee on the negotiations that had taken place since the meeting of the Special Committee held on October 11, 2013, and in particular that the Transaction Committee and CSC had come to an agreement on the remaining open business points, including the post-signing covenants and the termination fees. Goodwin Procter again reviewed with the Special Committee its fiduciary duties and provided a summary of the terms of the proposed merger agreement and the Pamplona capital commitment letter, copies of which were provided to the directors prior to the meeting. Also at this meeting, BofA Merrill Lynch reviewed with the Special Committee its financial analysis of the consideration and delivered to the Special Committee an oral opinion, which was confirmed by delivery of a written opinion dated, October 14, 2013, to the effect that, as of that date and based on and subject to the assumptions and limitations described in its opinion, the consideration to be received by holders of Mac-Gray common stock was fair, from a financial point of view, to such holders. Following these presentations, the Special Committee went into an executive session that excluded BofA Merrill Lynch and, after discussion, the Special Committee unanimously determined to recommend to the Board that the merger agreement and the merger were advisable and in the best interests of Mac-Gray's stockholders and that the Board approve the merger on the terms and subject to the conditions set forth in the merger agreement, adopt the merger agreement and recommend that the Mac-Gray stockholders adopt and approve the merger agreement. The Special Committee meeting then adjourned.</t>
        </is>
      </c>
    </row>
    <row r="86" ht="78.59999999999999" customHeight="1">
      <c r="A86" s="2" t="inlineStr">
        <is>
          <t>P-085</t>
        </is>
      </c>
      <c r="B86" s="2" t="inlineStr">
        <is>
          <t>Background of the Merger</t>
        </is>
      </c>
      <c r="C86" s="2" t="n">
        <v>41</v>
      </c>
      <c r="D86" s="2" t="inlineStr">
        <is>
          <t>Following the adjournment of the Special Committee meeting, a meeting of the Mac-Gray Board of Directors convened. All members of the Board participated. Representatives from Goodwin Procter led a discussion on the terms of the merger agreement and advised the Board regarding the likely timing for execution of a definitive agreement and public announcement of the transaction and a projected closing timetable should the Board approve the merger. After discussion,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t>
        </is>
      </c>
    </row>
    <row r="87" ht="28.2" customHeight="1">
      <c r="A87" s="2" t="inlineStr">
        <is>
          <t>P-086</t>
        </is>
      </c>
      <c r="B87" s="2" t="inlineStr">
        <is>
          <t>Background of the Merger</t>
        </is>
      </c>
      <c r="C87" s="2" t="n">
        <v>41</v>
      </c>
      <c r="D87" s="2" t="inlineStr">
        <is>
          <t>Later in the day, on October 14, 2013, the merger agreement was executed, the Pamplona commitment letter was delivered, Moab and Parent executed the Moab voting agreement and the Mac-Donald voting agreements became effective.</t>
        </is>
      </c>
    </row>
    <row r="88" ht="15.6" customHeight="1">
      <c r="A88" s="2" t="inlineStr">
        <is>
          <t>P-087</t>
        </is>
      </c>
      <c r="B88" s="2" t="inlineStr">
        <is>
          <t>Background of the Merger</t>
        </is>
      </c>
      <c r="C88" s="2" t="n">
        <v>41</v>
      </c>
      <c r="D88" s="2" t="inlineStr">
        <is>
          <t>On October 15, 2013, before the U.S. stock markets opened, Mac-Gray and CSC jointly announced the execution of the merger agreement.</t>
        </is>
      </c>
    </row>
    <row r="89" ht="66" customHeight="1">
      <c r="A89" s="2" t="inlineStr">
        <is>
          <t>X-001</t>
        </is>
      </c>
      <c r="B89" s="2" t="inlineStr">
        <is>
          <t>Summary Term Sheet — defined terms</t>
        </is>
      </c>
      <c r="C89" s="2" t="n">
        <v>2</v>
      </c>
      <c r="D89" s="2" t="inlineStr">
        <is>
          <t>In this proxy statement, the terms "we," "us," "our company," and "Mac-Gray" refer to Mac-Gray Corporation, the term "Parent" refers to Spin Holdco Inc., the term "Merger Subsidiary" refers to CSC Fenway, Inc., the term "Holdings" refers to CSC ServiceWorks Holdings, Inc., the term "CSC" refers to CSC ServiceWorks, Inc. the term "Buyer Entity" refers to any of Parent, Holdings or CSC, as applicable, the term Pamplona refers to Pamplona Capital Partners III, L.P. and the term "merger agreement" refers to the Agreement and Plan of Merger, dated as of October 14, 2013, by and among Mac-Gray, Parent, Merger Subsidiary, Holdings and CSC, as it may be amended from time to time.</t>
        </is>
      </c>
    </row>
    <row r="90" ht="15.6" customHeight="1">
      <c r="A90" s="2" t="inlineStr">
        <is>
          <t>X-002</t>
        </is>
      </c>
      <c r="B90" s="2" t="inlineStr">
        <is>
          <t>The Merger — The Companies (Spin Holdco Inc.)</t>
        </is>
      </c>
      <c r="C90" s="2" t="n">
        <v>3</v>
      </c>
      <c r="D90" s="2" t="inlineStr">
        <is>
          <t>Spin Holdco Inc. is a Delaware corporation and a wholly-owned subsidiary of CSC.</t>
        </is>
      </c>
    </row>
    <row r="91" ht="15.6" customHeight="1">
      <c r="A91" s="2" t="inlineStr">
        <is>
          <t>X-003</t>
        </is>
      </c>
      <c r="B91" s="2" t="inlineStr">
        <is>
          <t>The Merger — The Companies (CSC Fenway, Inc.)</t>
        </is>
      </c>
      <c r="C91" s="2" t="n">
        <v>3</v>
      </c>
      <c r="D91" s="2" t="inlineStr">
        <is>
          <t>CSC Fenway, Inc. is a Delaware corporation and a wholly-owned subsidiary of Parent.</t>
        </is>
      </c>
    </row>
    <row r="92" ht="53.4" customHeight="1">
      <c r="A92" s="2" t="inlineStr">
        <is>
          <t>X-004</t>
        </is>
      </c>
      <c r="B92" s="2" t="inlineStr">
        <is>
          <t>The Merger — The Companies (Mac-Gray)</t>
        </is>
      </c>
      <c r="C92" s="2" t="n">
        <v>26</v>
      </c>
      <c r="D92" s="2" t="inlineStr">
        <is>
          <t>Mac-Gray Corporation is the second largest laundry facilities management contractor in the United States. Through our portfolio of card- and coin-operated laundry equipment located in laundry facilities across the country, we provide laundry convenience to residents of multi-unit housing such as apartment buildings, condominiums, colleges and university residence halls, public housing complexes, and hotels and motels. Based on our ongoing survey of colleges and universities, we believe that we are the largest provider of such services to the college and university market in the United States.</t>
        </is>
      </c>
    </row>
    <row r="93" ht="53.4" customHeight="1">
      <c r="A93" s="2" t="inlineStr">
        <is>
          <t>X-005</t>
        </is>
      </c>
      <c r="B93" s="2" t="inlineStr">
        <is>
          <t>The Merger — The Companies (CSC)</t>
        </is>
      </c>
      <c r="C93" s="2" t="n">
        <v>26</v>
      </c>
      <c r="D93" s="2" t="inlineStr">
        <is>
          <t>CSC ServiceWorks, Inc., with over one million machines in service, is the leading provider of multi-family housing and commercial laundry solutions as well as the industry leader in air vending services at convenience stores and gas stations. CSC's family of businesses includes: Coinmach Corp., ASI Campus Laundry Solutions, SDI Laundry Solutions, Sparkle Solutions Corp., Appliance Warehouse of America, AIR-serv, AirValet and Super Laundry. CSC has a workforce of over 2,250 dedicated professionals throughout the United States, Canada and Europe.</t>
        </is>
      </c>
    </row>
    <row r="94" ht="53.4" customHeight="1">
      <c r="A94" s="2" t="inlineStr">
        <is>
          <t>X-006</t>
        </is>
      </c>
      <c r="B94" s="2" t="inlineStr">
        <is>
          <t>Summary Term Sheet — merger consideration</t>
        </is>
      </c>
      <c r="C94" s="2" t="n">
        <v>5</v>
      </c>
      <c r="D94" s="2" t="inlineStr">
        <is>
          <t>If the merger is completed, at the effective time of the merger, each outstanding share of Mac-Gray common stock (other than shares held in treasury or held by the Buyer Entities or Merger Subsidiary (or their subsidiaries) or shares as to which dissenters' rights have been perfected and not withdrawn or lost) will be automatically converted into the right to receive $21.25 in cash, without interest and less applicable withholding taxes. We refer to this amount in this proxy statement as the merger consideration.</t>
        </is>
      </c>
    </row>
    <row r="95" ht="15.6" customHeight="1">
      <c r="A95" s="2" t="inlineStr">
        <is>
          <t>X-007</t>
        </is>
      </c>
      <c r="B95" s="2" t="inlineStr">
        <is>
          <t>Summary Term Sheet — premium (52-week high)</t>
        </is>
      </c>
      <c r="C95" s="2" t="n">
        <v>5</v>
      </c>
      <c r="D95" s="2" t="inlineStr">
        <is>
          <t>an approximately 36% premium over the high of $15.61 per share for the 52-week period ending October 11, 2013; and</t>
        </is>
      </c>
    </row>
    <row r="96" ht="28.2" customHeight="1">
      <c r="A96" s="2" t="inlineStr">
        <is>
          <t>X-008</t>
        </is>
      </c>
      <c r="B96" s="2" t="inlineStr">
        <is>
          <t>Summary Term Sheet — premium (Oct 11, 2013 close)</t>
        </is>
      </c>
      <c r="C96" s="2" t="n">
        <v>5</v>
      </c>
      <c r="D96" s="2" t="inlineStr">
        <is>
          <t>an approximately 44% premium to the $14.72 closing price of our common stock on October 11, 2013 (the last trading day prior to the date our Board of Directors approved the merger agreement).</t>
        </is>
      </c>
    </row>
    <row r="97" ht="66" customHeight="1">
      <c r="A97" s="2" t="inlineStr">
        <is>
          <t>X-009</t>
        </is>
      </c>
      <c r="B97" s="2" t="inlineStr">
        <is>
          <t>Summary Term Sheet — record date and shares outstanding</t>
        </is>
      </c>
      <c r="C97" s="2" t="n">
        <v>3</v>
      </c>
      <c r="D97" s="2" t="inlineStr">
        <is>
          <t>Record Date and Quorum. You are entitled to vote at the special meeting if you owned shares of Mac-Gray common stock at the close of business on November 27, 2013, the record date for the special meeting. You will have one vote for each share of Mac-Gray common stock that you owned on the record date. As of November 27, 2013, there were 14,758,306 shares of Mac-Gray common stock issued and outstanding and entitled to vote. A majority of Mac-Gray common stock issued, outstanding and entitled to vote at the special meeting, present in person or represented by proxy, constitutes a quorum for the purpose of the special meeting.</t>
        </is>
      </c>
    </row>
    <row r="98" ht="28.2" customHeight="1">
      <c r="A98" s="2" t="inlineStr">
        <is>
          <t>X-010</t>
        </is>
      </c>
      <c r="B98" s="2" t="inlineStr">
        <is>
          <t>Summary Term Sheet — closing price November 27, 2013</t>
        </is>
      </c>
      <c r="C98" s="2" t="n">
        <v>5</v>
      </c>
      <c r="D98" s="2" t="inlineStr">
        <is>
          <t>The closing sale price of a share of Mac-Gray common stock on the New York Stock Exchange on November 27, 2013 was $21.30. You are encouraged to obtain current market quotations for Mac-Gray common stock in connection with voting your shares.</t>
        </is>
      </c>
    </row>
    <row r="99" ht="53.4" customHeight="1">
      <c r="A99" s="2" t="inlineStr">
        <is>
          <t>X-011</t>
        </is>
      </c>
      <c r="B99" s="2" t="inlineStr">
        <is>
          <t>Summary Term Sheet — financing of the merger</t>
        </is>
      </c>
      <c r="C99" s="2" t="n">
        <v>6</v>
      </c>
      <c r="D99" s="2" t="inlineStr">
        <is>
          <t>The merger agreement does not contain any condition to the obligations of the Buyer Entities or Merger Subsidiary relating to the receipt of financing by the Buyer Entities.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t>
        </is>
      </c>
    </row>
    <row r="100" ht="78.59999999999999" customHeight="1">
      <c r="A100" s="2" t="inlineStr">
        <is>
          <t>X-012</t>
        </is>
      </c>
      <c r="B100" s="2" t="inlineStr">
        <is>
          <t>Summary Term Sheet — Pamplona damages cap</t>
        </is>
      </c>
      <c r="C100" s="2" t="n">
        <v>6</v>
      </c>
      <c r="D100" s="2" t="inlineStr">
        <is>
          <t>The Pamplona commitment amount will be used by the Buyer Entities to fund the merger consideration at closing (including as a result of a final non-appealable judgment of specific performance) and any other payments to be made by the Buyer Entities or Mac-Gray at closing, and all associated costs and expenses of the merger for which the Buyer Entities are responsible. In addition, Pamplona and the Buyer Entities will be jointly and severally liable for any amounts that may be owed by the Buyer Entities with respect to any breach of the merger agreement, including the Parent Termination Fee or any payment of monetary damages awarded to Mac-Gray, provided that Pamplona's liability for such damages will not exceed $50 million (provided further, that the liability of Buyer Entities for such damages shall be unlimited). Mac-Gray is an express third party beneficiary of the Pamplona commitment letter.</t>
        </is>
      </c>
    </row>
    <row r="101" ht="40.8" customHeight="1">
      <c r="A101" s="2" t="inlineStr">
        <is>
          <t>X-013</t>
        </is>
      </c>
      <c r="B101" s="2" t="inlineStr">
        <is>
          <t>Summary Term Sheet — termination fees</t>
        </is>
      </c>
      <c r="C101" s="2" t="n">
        <v>10</v>
      </c>
      <c r="D101" s="2" t="inlineStr">
        <is>
          <t>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t>
        </is>
      </c>
    </row>
    <row r="102" ht="28.2" customHeight="1">
      <c r="A102" s="2" t="inlineStr">
        <is>
          <t>X-014</t>
        </is>
      </c>
      <c r="B102" s="2" t="inlineStr">
        <is>
          <t>Summary Term Sheet — voting agreements percentage</t>
        </is>
      </c>
      <c r="C102" s="2" t="n">
        <v>11</v>
      </c>
      <c r="D102" s="2" t="inlineStr">
        <is>
          <t>As of November 27, 2013, the record date for the special meeting, the stockholders of Mac-Gray that entered into the voting agreements collectively owned approximately 15% of the Mac-Gray common stock entitled to vote at the special meeting.</t>
        </is>
      </c>
    </row>
    <row r="103" ht="78.59999999999999" customHeight="1">
      <c r="A103" s="2" t="inlineStr">
        <is>
          <t>X-015</t>
        </is>
      </c>
      <c r="B103" s="2" t="inlineStr">
        <is>
          <t>Summary Term Sheet — regulatory matters (HSR)</t>
        </is>
      </c>
      <c r="C103" s="2" t="n">
        <v>11</v>
      </c>
      <c r="D103" s="2" t="inlineStr">
        <is>
          <t>Under the provisions of the HSR Act, the merger may not be completed until notification and report forms have been filed with the Antitrust Division of the United States Department of Justice, which we refer to as the Antitrust Division, and the Federal Trade Commission, which we refer to as the FTC, by Mac-Gray and Parent, and the applicable waiting period has expired or been terminated. In addition, the expiration or termination of the applicable waiting period under the HSR Act is a condition to each of Parent's and Mac-Gray's obligation to consummate the merger. Parent and Mac-Gray each filed their notification and report forms with the Antitrust Division and the FTC under the HSR Act on October 29, 2013, and, in accordance with the merger agreement, each requested "early termination" of the waiting period. While early termination was not granted, the waiting period expired on November 27, 2013.</t>
        </is>
      </c>
    </row>
    <row r="104" ht="53.4" customHeight="1">
      <c r="A104" s="2" t="inlineStr">
        <is>
          <t>X-016</t>
        </is>
      </c>
      <c r="B104" s="2" t="inlineStr">
        <is>
          <t>Summary Term Sheet — expected closing</t>
        </is>
      </c>
      <c r="C104" s="2" t="n">
        <v>12</v>
      </c>
      <c r="D104" s="2" t="inlineStr">
        <is>
          <t>We currently expect the merger to be completed in January 2014. However, we cannot predict the exact timing of the consummation of the merger or whether the merger will be consummated. In order to consummate the merger, Mac-Gray stockholders must adopt the merger agreement at the special meeting and the other closing conditions under the merger agreement, including receipt of certain regulatory approvals, must be satisfied or, to the extent legally permitted, waived.</t>
        </is>
      </c>
    </row>
    <row r="105" ht="40.8" customHeight="1">
      <c r="A105" s="2" t="inlineStr">
        <is>
          <t>X-017</t>
        </is>
      </c>
      <c r="B105" s="2" t="inlineStr">
        <is>
          <t>Reasons for the Merger — Pamplona commitment letter</t>
        </is>
      </c>
      <c r="C105" s="2" t="n">
        <v>43</v>
      </c>
      <c r="D105" s="2" t="inlineStr">
        <is>
          <t>the Pamplona commitment letter, pursuant to which Pamplona has committed to fund up to $594 million to the Buyer Entities to fund the payment of the merger consideration and other amounts payable pursuant to the merger agreement or to satisfy any damages (up to $50 million) awarded to Mac-Gray in certain circumstances involving litigation brought pursuant to the merger agreement;</t>
        </is>
      </c>
    </row>
    <row r="106" ht="28.2" customHeight="1">
      <c r="A106" s="2" t="inlineStr">
        <is>
          <t>X-018</t>
        </is>
      </c>
      <c r="B106" s="2" t="inlineStr">
        <is>
          <t>Reasons for the Merger — process/parties engaged</t>
        </is>
      </c>
      <c r="C106" s="2" t="n">
        <v>43</v>
      </c>
      <c r="D106" s="2" t="inlineStr">
        <is>
          <t>the process through which Mac-Gray, with the assistance of BofA Merrill Lynch, at the instruction of the Special Committee, engaged in or sought to engage in discussions with other companies believed to be the most likely candidates to pursue a business combination with or acquisition of Mac-Gray;</t>
        </is>
      </c>
    </row>
    <row r="107" ht="40.8" customHeight="1">
      <c r="A107" s="2" t="inlineStr">
        <is>
          <t>X-019</t>
        </is>
      </c>
      <c r="B107" s="2" t="inlineStr">
        <is>
          <t>Reasons for the Merger — highest price obtainable</t>
        </is>
      </c>
      <c r="C107" s="2" t="n">
        <v>43</v>
      </c>
      <c r="D107" s="2" t="inlineStr">
        <is>
          <t>the belief of the Special Committee and the Mac-Gray Board of Directors that, after extensive negotiations with CSC/Pamplona and their representatives, we have obtained the highest price per share that CSC/Pamplona are willing to pay and the highest price obtainable on the date of signing of the merger agreement;</t>
        </is>
      </c>
    </row>
    <row r="108" ht="66" customHeight="1">
      <c r="A108" s="2" t="inlineStr">
        <is>
          <t>X-020</t>
        </is>
      </c>
      <c r="B108" s="2" t="inlineStr">
        <is>
          <t>Opinion of Mac-Gray’s Financial Advisor — BofA fee</t>
        </is>
      </c>
      <c r="C108" s="2" t="n">
        <v>51</v>
      </c>
      <c r="D108" s="2" t="inlineStr">
        <is>
          <t>Mac-Gray has agreed to pay BofA Merrill Lynch for its services in connection with the merger an aggregate fee currently estimated to be approximately $8.1 million, $0.75 million of which was payable upon delivery of its opinion and the balance of which is contingent upon the completion of the merger. Mac-Gray also has agreed to reimburse BofA Merrill Lynch for its expenses incurred in connection with BofA Merrill Lynch's engagement and to indemnify BofA Merrill Lynch, any controlling person of BofA Merrill Lynch and each of their respective directors, officers, employees, agents and affiliates against specified liabilities, including liabilities under the federal securities laws.</t>
        </is>
      </c>
    </row>
    <row r="109" ht="78.59999999999999" customHeight="1">
      <c r="A109" s="2" t="inlineStr">
        <is>
          <t>X-021</t>
        </is>
      </c>
      <c r="B109" s="2" t="inlineStr">
        <is>
          <t>Projected Financial Information — prepared June 2013</t>
        </is>
      </c>
      <c r="C109" s="2" t="n">
        <v>53</v>
      </c>
      <c r="D109" s="2" t="inlineStr">
        <is>
          <t>The Projections were prepared in June 2013 in the context of the business, economic, regulatory, market and financial conditions that existed at that time, and have not been updated to reflect revised prospects for our business, changes in general business, economic, regulatory, market and financial conditions, or any other transaction or event that has occurred or that may occur and that was not anticipated at the time the projections were prepared. The Projections are not necessarily indicative of future performance, which may be significantly more favorable or less favorable than as set forth below. The Projections cover multiple years, and such information by its nature becomes less reliable with each successive year. They should not be utilized as public guidance and will not be provided in the ordinary course of our business in the future.</t>
        </is>
      </c>
    </row>
    <row r="110" ht="15.6" customHeight="1">
      <c r="A110" s="2" t="inlineStr">
        <is>
          <t>X-022</t>
        </is>
      </c>
      <c r="B110" s="2" t="inlineStr">
        <is>
          <t>Projected Financial Information — Without Acquisitions: revenue</t>
        </is>
      </c>
      <c r="C110" s="2" t="n">
        <v>53</v>
      </c>
      <c r="D110" s="2" t="inlineStr">
        <is>
          <t>Total Revenue $ 333 $ 348 $ 364 $ 382 $ 401 $ 423</t>
        </is>
      </c>
    </row>
    <row r="111" ht="15.6" customHeight="1">
      <c r="A111" s="2" t="inlineStr">
        <is>
          <t>X-023</t>
        </is>
      </c>
      <c r="B111" s="2" t="inlineStr">
        <is>
          <t>Projected Financial Information — Without Acquisitions: EBITDA</t>
        </is>
      </c>
      <c r="C111" s="2" t="n">
        <v>53</v>
      </c>
      <c r="D111" s="2" t="inlineStr">
        <is>
          <t>EBITDA(1) $ 71 $ 79 $ 85 $ 92 $ 99 $ 107</t>
        </is>
      </c>
    </row>
    <row r="112" ht="15.6" customHeight="1">
      <c r="A112" s="2" t="inlineStr">
        <is>
          <t>X-024</t>
        </is>
      </c>
      <c r="B112" s="2" t="inlineStr">
        <is>
          <t>Projected Financial Information — Without Acquisitions: EPS</t>
        </is>
      </c>
      <c r="C112" s="2" t="n">
        <v>53</v>
      </c>
      <c r="D112" s="2" t="inlineStr">
        <is>
          <t>GAAP Earnings per share(2) $ 0.80 $ 1.20 $ 1.41 $ 1.57 $ 1.78 $ 2.02</t>
        </is>
      </c>
    </row>
    <row r="113" ht="15.6" customHeight="1">
      <c r="A113" s="2" t="inlineStr">
        <is>
          <t>X-025</t>
        </is>
      </c>
      <c r="B113" s="2" t="inlineStr">
        <is>
          <t>Projected Financial Information — Without Acquisitions: capex</t>
        </is>
      </c>
      <c r="C113" s="2" t="n">
        <v>53</v>
      </c>
      <c r="D113" s="2" t="inlineStr">
        <is>
          <t>Capital Expenditures(3) $ 42 $ 43 $ 45 $ 44 $ 46 $ 50</t>
        </is>
      </c>
    </row>
    <row r="114" ht="15.6" customHeight="1">
      <c r="A114" s="2" t="inlineStr">
        <is>
          <t>X-026</t>
        </is>
      </c>
      <c r="B114" s="2" t="inlineStr">
        <is>
          <t>Projected Financial Information — With Acquisitions: revenue</t>
        </is>
      </c>
      <c r="C114" s="2" t="n">
        <v>54</v>
      </c>
      <c r="D114" s="2" t="inlineStr">
        <is>
          <t>Total Revenue $ 344 $ 381 $ 413 $ 440 $ 470 $ 501</t>
        </is>
      </c>
    </row>
    <row r="115" ht="15.6" customHeight="1">
      <c r="A115" s="2" t="inlineStr">
        <is>
          <t>X-027</t>
        </is>
      </c>
      <c r="B115" s="2" t="inlineStr">
        <is>
          <t>Projected Financial Information — With Acquisitions: EBITDA</t>
        </is>
      </c>
      <c r="C115" s="2" t="n">
        <v>54</v>
      </c>
      <c r="D115" s="2" t="inlineStr">
        <is>
          <t>EBITDA(1) $ 75 $ 87 $ 99 $ 109 $ 122 $ 134</t>
        </is>
      </c>
    </row>
    <row r="116" ht="15.6" customHeight="1">
      <c r="A116" s="2" t="inlineStr">
        <is>
          <t>X-028</t>
        </is>
      </c>
      <c r="B116" s="2" t="inlineStr">
        <is>
          <t>Projected Financial Information — With Acquisitions: EPS</t>
        </is>
      </c>
      <c r="C116" s="2" t="n">
        <v>54</v>
      </c>
      <c r="D116" s="2" t="inlineStr">
        <is>
          <t>GAAP Earnings per share(2) $ 0.90 $ 1.29 $ 1.62 $ 1.84 $ 2.25 $ 2.59</t>
        </is>
      </c>
    </row>
    <row r="117" ht="15.6" customHeight="1">
      <c r="A117" s="2" t="inlineStr">
        <is>
          <t>X-029</t>
        </is>
      </c>
      <c r="B117" s="2" t="inlineStr">
        <is>
          <t>Projected Financial Information — With Acquisitions: capex</t>
        </is>
      </c>
      <c r="C117" s="2" t="n">
        <v>54</v>
      </c>
      <c r="D117" s="2" t="inlineStr">
        <is>
          <t>Capital Expenditures(3) $ 59 $ 85 $ 73 $ 60 $ 62 $ 66</t>
        </is>
      </c>
    </row>
    <row r="118" ht="28.2" customHeight="1">
      <c r="A118" s="2" t="inlineStr">
        <is>
          <t>X-030</t>
        </is>
      </c>
      <c r="B118" s="2" t="inlineStr">
        <is>
          <t>Financing of the Merger — commitment amount</t>
        </is>
      </c>
      <c r="C118" s="2" t="n">
        <v>59</v>
      </c>
      <c r="D118" s="2" t="inlineStr">
        <is>
          <t>for purposes of funding the merger consideration an aggregate of $594 million of capital (the Pamplona commitment amount), which is committed pursuant to the Pamplona commitment letter delivered to the Buyer Entities by Pamplona Capital Partners III, L.P. dated as of October 14, 2013.</t>
        </is>
      </c>
    </row>
    <row r="119" ht="28.2" customHeight="1">
      <c r="A119" s="2" t="inlineStr">
        <is>
          <t>X-031</t>
        </is>
      </c>
      <c r="B119" s="2" t="inlineStr">
        <is>
          <t>The Merger Agreement — consideration</t>
        </is>
      </c>
      <c r="C119" s="2" t="n">
        <v>60</v>
      </c>
      <c r="D119" s="2" t="inlineStr">
        <is>
          <t>Immediately prior to the effective time of the merger, each share of Mac-Gray common stock outstanding immediately prior to the effective time of the merger will be canceled and converted into the right to receive $21.25 in cash, without interest, other than:</t>
        </is>
      </c>
    </row>
    <row r="120" ht="179.4" customHeight="1">
      <c r="A120" s="2" t="inlineStr">
        <is>
          <t>X-032</t>
        </is>
      </c>
      <c r="B120" s="2" t="inlineStr">
        <is>
          <t>Merger agreement — Section 5.08 Available Funds</t>
        </is>
      </c>
      <c r="C120" s="2" t="inlineStr">
        <is>
          <t>A-30</t>
        </is>
      </c>
      <c r="D120" s="2" t="inlineStr">
        <is>
          <t>Section 5.08 Available Funds. Parent will have available at Closing all funds necessary for the payment of the Aggregate Merger Consideration, and sufficient funds for the satisfaction of all of Parent's and Merger Sub's obligations at Closing under this Agreement, including any amounts required to repay or refinance Company Indebtedness and other amounts required to be paid in connection with the consummation of the transactions contemplated by this Agreement (including all related fees and expenses). Parent has delivered to the Company a true, correct and complete copy, as of the date of this Agreement, of an executed commitment letter (the "Capital Commitment Letter") from Pamplona Capital Partners III, L.P. ("Sponsor") to invest, subject to the terms and conditions therein, capital in the aggregate amount set forth therein (the "Capital Financing") in Holdings. The Capital Commitment Letter has not been amended or modified, nor does Parent have a present intention to amend or modify the Capital Commitment Letter, and the obligations and commitments contained in such letter have not been withdrawn or rescinded in any respect. Parent or Merger Sub has fully paid any and all commitment fees or other fees in connection with the Capital Commitment Letter that are due on or prior to the date hereof. The Capital Commitment Letter is in full force and effect. As of the date of this Agreement, no event has occurred which, with or without notice, lapse of time or both, would or would reasonably be expected to constitute a default or breach on the part of Parent, Merger Sub or Sponsor under the Capital Commitment Letter. There are no conditions or other contingencies relating to the funding of the full amount of the Capital Financing other than as expressly set forth in the Capital Commitment Letter. There are no side letters or other agreements, arrangements or understandings (including fee letters) to which Parent or any of its Affiliates is a party related to the funding or investing, as applicable, of the full amount of the Capital Financing other than as expressly set forth in the Capital Commitment Letter.</t>
        </is>
      </c>
    </row>
    <row r="121" ht="78.59999999999999" customHeight="1">
      <c r="A121" s="2" t="inlineStr">
        <is>
          <t>X-033</t>
        </is>
      </c>
      <c r="B121" s="2" t="inlineStr">
        <is>
          <t>Merger agreement — Section 8.01(b) End Date</t>
        </is>
      </c>
      <c r="C121" s="2" t="inlineStr">
        <is>
          <t>A-50</t>
        </is>
      </c>
      <c r="D121" s="2" t="inlineStr">
        <is>
          <t>(b) by either Parent or the Company if the Closing Date has not occurred on or before March 31, 2014 (the "End Date") (notwithstanding any approval of this Agreement by the stockholders of the Company); provided, however, that in the event the condition set forth in Section 7.01(c) shall not have been satisfied on or prior to the End Date, but all other conditions set forth in Article 7 shall have been satisfied, or are capable of being satisfied (or have been waived by the party or parties then entitled to give such waiver) on or prior to the End Date, then the End Date shall be extended without further action by the parties to July 31, 2014; provided, further, that a party shall not be permitted to terminate this Agreement pursuant to this Section 8.01(b) if such party (including, if Parent is the terminating party, CSC, Holdings or Merger Sub) has breached in any material respects its obligations</t>
        </is>
      </c>
    </row>
    <row r="122" ht="166.8" customHeight="1">
      <c r="A122" s="2" t="inlineStr">
        <is>
          <t>X-034</t>
        </is>
      </c>
      <c r="B122" s="2" t="inlineStr">
        <is>
          <t>Summary Term Sheet — non-solicitation / fiduciary out</t>
        </is>
      </c>
      <c r="C122" s="2" t="n">
        <v>8</v>
      </c>
      <c r="D122" s="2" t="inlineStr">
        <is>
          <t>Notwithstanding the restrictions described above, prior to the adoption of the merger agreement by Mac-Gray stockholders, if Mac-Gray receives an unsolicited bona fide acquisition proposal in writing from a third party after the date of the merger agreement that did not, directly or indirectly, result from or arise out of a breach of the non-solicitation provisions of the merger agreement, and that the Mac-Gray Board of Directors (acting upon the recommendation of the Special Committee) determines in good faith, after consultation with its outside legal counsel and financial advisor, constitutes or would be reasonably likely to lead to a superior proposal (as defined in the section entitled The Merger Agreement—Non-Solicitation; Competing Acquisition Proposals) and that the failure to act would be reasonably likely to be inconsistent with the directors' fiduciary duties under applicable laws, then Mac-Gray may furnish to such third party non-public information relating to Mac-Gray pursuant to a confidentiality agreement meeting certain requirements as set forth in the merger agreement and afford such third party access to the businesses, properties, assets and personnel of Mac-Gray or any of its subsidiaries and enter into, maintain and participate in discussions or negotiations with such third party or otherwise cooperate with or assist or participate in, or facilitate, any such discussions or negotiations; provided Mac-Gray will promptly provide to Parent any material non-public information concerning Mac-Gray or its subsidiaries or access provided to such third party which was not previously provided to Parent. In addition, Mac-Gray will not provide to such third party commercially sensitive information except in a manner consistent with past practices and subject to any limitations placed on Parent and its representatives.</t>
        </is>
      </c>
    </row>
    <row r="123" ht="141.6" customHeight="1">
      <c r="A123" s="2" t="inlineStr">
        <is>
          <t>X-035</t>
        </is>
      </c>
      <c r="B123" s="2" t="inlineStr">
        <is>
          <t>Merger agreement — Section 6.02(b) unsolicited proposals</t>
        </is>
      </c>
      <c r="C123" s="2" t="n">
        <v>69</v>
      </c>
      <c r="D123" s="2" t="inlineStr">
        <is>
          <t>Notwithstanding the restrictions described above, if, prior to the adoption of the merger agreement by Mac-Gray stockholders, Mac-Gray receives an unsolicited bona fide acquisition proposal in writing from a third party that did not result from or arise out of a breach of the non-solicitation provisions of the merger agreement, that the Mac-Gray Board of Directors (acting upon the recommendation of the Special Committee) determines in good faith, after consultation with its outside legal counsel and financial advisor, constitutes, or would be reasonably likely to lead to a superior proposal (as defined in "Mac-Gray Board Recommendation") and the Mac-Gray Board of Directors determines in good faith, after consultation with its outside legal counsel and financial advisor that the failure to take such action would be reasonably likely to be inconsistent with the directors' fiduciary duties under applicable laws, then Mac-Gray may (1) furnish to such third party non-public information with respect to Mac-Gray and its subsidiaries to the third party and afford such third party access to the business, properties, assets and personnel of Mac-Gray and its subsidiaries and (2) enter into, maintain and participate in discussions or negotiations with such third party regarding such acquisition proposal or otherwise cooperate with or assist or participate in, or facilitate, any such discussions or negotiations, but in each case under the preceding clauses (1) and (2), Mac-Gray (x) will not, and will not permit its subsidiaries</t>
        </is>
      </c>
    </row>
    <row r="124" ht="78.59999999999999" customHeight="1">
      <c r="A124" s="2" t="inlineStr">
        <is>
          <t>X-036</t>
        </is>
      </c>
      <c r="B124" s="2" t="inlineStr">
        <is>
          <t>The Merger Agreement — termination fee circumstances</t>
        </is>
      </c>
      <c r="C124" s="2" t="n">
        <v>79</v>
      </c>
      <c r="D124" s="2" t="inlineStr">
        <is>
          <t>prior to the adoption of the merger agreement by Mac-Gray stockholders, the Mac-Gray Board of Directors has effected an adverse recommendation change in respect of a superior proposal, Mac-Gray has complied in all respects (other than immaterial noncompliance) with the non-solicitation provisions in the merger agreement and substantially concurrently with such termination, Mac-Gray enters into an alternative acquisition agreement with respect to such superior proposal; provided that the right of Mac-Gray to terminate the merger agreement pursuant to this provision is conditioned on and subject to the prior or concurrent payment by Mac-Gray to Parent of the Mac-Gray termination fee as described below, which we refer to as an adverse recommendation change termination; or</t>
        </is>
      </c>
    </row>
    <row r="125" ht="91.2" customHeight="1">
      <c r="A125" s="2" t="inlineStr">
        <is>
          <t>X-037</t>
        </is>
      </c>
      <c r="B125" s="2" t="inlineStr">
        <is>
          <t>The Merger Agreement — Mac-Gray termination fee payment</t>
        </is>
      </c>
      <c r="C125" s="2" t="n">
        <v>80</v>
      </c>
      <c r="D125" s="2" t="inlineStr">
        <is>
          <t>then Mac-Gray will pay to Parent the $11 million Mac-Gray termination fee, (1) within two business days after termination of the merger agreement if the merger agreement was terminated by Parent following the Mac-Gray Board of Directors effecting an adverse recommendation change, (2) concurrently with, and as a condition to, the termination of the merger agreement if the merger agreement was terminated by Mac-Gray following the Mac-Gray Board of Directors effecting an adverse recommendation change or (3) on the date that is the first to occur of Mac-Gray consummating an acquisition proposal or Mac-Gray entering into any letter of intent, agreement in principle, acquisition agreement or other similar contract or arrangement related to an acquisition proposal, in each case which is a binding and enforceable obligation of Mac-Gray to effect such acquisition proposal, if the merger agreement was terminated pursuant to the third bullet point described above.</t>
        </is>
      </c>
    </row>
    <row r="126" ht="28.2" customHeight="1">
      <c r="A126" s="2" t="inlineStr">
        <is>
          <t>X-038</t>
        </is>
      </c>
      <c r="B126" s="2" t="inlineStr">
        <is>
          <t>The Merger Agreement — Parent termination fee payment</t>
        </is>
      </c>
      <c r="C126" s="2" t="n">
        <v>81</v>
      </c>
      <c r="D126" s="2" t="inlineStr">
        <is>
          <t>then Parent will pay Mac-Gray the $15 million Parent termination fee, by wire transfer of same-day funds on the first business day following such termination.</t>
        </is>
      </c>
    </row>
    <row r="127" ht="103.8" customHeight="1">
      <c r="A127" s="2" t="inlineStr">
        <is>
          <t>X-039</t>
        </is>
      </c>
      <c r="B127" s="2" t="inlineStr">
        <is>
          <t>The Voting Agreements — summary</t>
        </is>
      </c>
      <c r="C127" s="2" t="n">
        <v>82</v>
      </c>
      <c r="D127" s="2" t="inlineStr">
        <is>
          <t>The persons signing voting agreements have agreed that they will be bound by non-solicitation restrictions that are substantially similar to the non-solicitation provisions of the merger agreement described above under "The Merger Agreement—Non-Solicitation; Competing Acquisition Proposals." These persons further agreed to certain restrictions on the transfer of their Mac-Gray shares and, subject to applicable law, not to make certain public communications regarding the merger agreement and the transactions contemplated thereby without the prior written consent of Parent and Mac-Gray. These persons further agreed to waive and not exercise any rights of appraisal or rights to dissent from the merger to which they may be entitled under Delaware law, and not commence or participate in, and take all actions necessary to opt out of any class in any class action with respect to, any claim, derivative or otherwise, against Mac-Gray, Parent or Merger Subsidiary challenging the validity of, or seeking to enjoin the operation of, any provision of the voting agreement or alleging a breach of any fiduciary duty of any person in connection with the negotiation and entry into the merger agreement.</t>
        </is>
      </c>
    </row>
    <row r="128" ht="66" customHeight="1">
      <c r="A128" s="2" t="inlineStr">
        <is>
          <t>X-040</t>
        </is>
      </c>
      <c r="B128" s="2" t="inlineStr">
        <is>
          <t>Merger agreement — definition of Voting Agreements</t>
        </is>
      </c>
      <c r="C128" s="2" t="inlineStr">
        <is>
          <t>A-7</t>
        </is>
      </c>
      <c r="D128" s="2" t="inlineStr">
        <is>
          <t>"Voting Agreements" means collectively, (i) that certain voting agreement by and between Parent and Stewart MacDonald, Jr., dated as of September 27, 2013, (ii) that certain voting agreement by and between Parent and Cynthia Doggett, dated as of September 27, 2013, (iii) that certain voting agreement by and between Parent and The Stewart G. MacDonald, Jr. 2011 Trust, dated as of September 27, 2013 and (iv) that certain voting agreement by and between Parent, on the one hand, and Moab Capital Partners, LLC, a Delaware limited liability company, and Moab Partners, LP, a Delaware limited partnership, on the other hand, dated as of the date hereof.</t>
        </is>
      </c>
    </row>
    <row r="129" ht="141.6" customHeight="1">
      <c r="A129" s="2" t="inlineStr">
        <is>
          <t>X-041</t>
        </is>
      </c>
      <c r="B129" s="2" t="inlineStr">
        <is>
          <t>Annex B — fairness opinion (opening)</t>
        </is>
      </c>
      <c r="C129" s="2" t="inlineStr">
        <is>
          <t>B-1</t>
        </is>
      </c>
      <c r="D129" s="2" t="inlineStr">
        <is>
          <t>We understand that Mac-Gray Corporation, a Delaware corporation ("MGC"), proposes to enter into an Agreement and Plan of Merger (the "Agreement") among MGC, CSC ServiceWorks Holdings, Inc., a Delaware corporation ("Holdings"), CSC ServiceWorks, Inc., a Delaware corporation and wholly-owned subsidiary of Holdings ("CSC"), Spin Holdco Inc., a Delaware corporation and wholly-owned subsidiary of CSC ("Parent" and, together with Holdings and CSC, the "Buyer Entities") and CSC Fenway, Inc., a Delaware corporation and a wholly owned subsidiary of Parent ("Merger Sub"), pursuant to which, among other things, Merger Sub will merge with and into MGC (the "Merger") and each share of the common stock, par value $0.01 per share, of MGC ("MGC Common Stock") issued and outstanding immediately prior to the Effective Time (as defined in the Agreement), other than shares held by a holder who has not voted in favor of adoption of the Agreement or consented thereto in writing, who is entitled to appraisal and who has properly exercised appraisal rights for such shares in accordance with Section 262 of the General Corporation Law of the State of Delaware and shares of MGC Common Stock owned by MGC, any Buyer Entity or Merger Sub or any wholly owned subsidiary of any Buyer Entity or Merger Sub immediately prior to the Effective Time, will be automatically cancelled and converted into the right to receive $21.25 in cash without interest (the "Consideration"). The terms and conditions of the Merger are more fully set forth in the Agreement.</t>
        </is>
      </c>
    </row>
    <row r="130" ht="40.8" customHeight="1">
      <c r="A130" s="2" t="inlineStr">
        <is>
          <t>X-042</t>
        </is>
      </c>
      <c r="B130" s="2" t="inlineStr">
        <is>
          <t>Summary Term Sheet — the merger structure</t>
        </is>
      </c>
      <c r="C130" s="2" t="n">
        <v>5</v>
      </c>
      <c r="D130" s="2" t="inlineStr">
        <is>
          <t>The Agreement and Plan of Merger, dated as of October 14, 2013, which we refer to as the merger agreement, by and among Mac-Gray, the Buyer Entities and Merger Subsidiary provides that Merger Subsidiary will merge with and into Mac-Gray, which we refer to as the merger. Mac-Gray will be the surviving corporation, which we refer to as the surviving corporation, in the merger and will continue as a wholly-owned subsidiary of Parent.</t>
        </is>
      </c>
    </row>
    <row r="131">
      <c r="A131" s="2" t="inlineStr">
        <is>
          <t>Note</t>
        </is>
      </c>
      <c r="B131" s="2" t="inlineStr">
        <is>
          <t>Source text declaration</t>
        </is>
      </c>
      <c r="C131" s="2" t="n"/>
      <c r="D131" s="2" t="inlineStr">
        <is>
          <t>Source text decoded from the filed HTML with layout-only decoding and whitespace normalization; no wording, punctuation, numbers or qualifications changed. Printed page numbers follow the filing pagination (component markers). Paragraph IDs were assigned by the extracting session: P-001 onward for the complete background in source order; X-001 onward for every other passage used. Quotations in the ledger are recoverable from the cited rows.</t>
        </is>
      </c>
    </row>
  </sheetData>
  <autoFilter ref="A1:D1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c r="A1" s="10" t="inlineStr">
        <is>
          <t>What happened</t>
        </is>
      </c>
      <c r="B1" s="10" t="inlineStr">
        <is>
          <t>Type</t>
        </is>
      </c>
      <c r="C1" s="10" t="inlineStr">
        <is>
          <t>Formality</t>
        </is>
      </c>
      <c r="D1" s="10" t="inlineStr">
        <is>
          <t>Conditions level</t>
        </is>
      </c>
      <c r="E1" s="10" t="inlineStr">
        <is>
          <t>Include</t>
        </is>
      </c>
      <c r="F1" s="10" t="inlineStr">
        <is>
          <t>Date basis</t>
        </is>
      </c>
      <c r="G1" s="10" t="inlineStr">
        <is>
          <t>Date method</t>
        </is>
      </c>
      <c r="H1" s="10" t="inlineStr">
        <is>
          <t>Price kind</t>
        </is>
      </c>
      <c r="I1" s="10" t="inlineStr">
        <is>
          <t>Price origin</t>
        </is>
      </c>
      <c r="J1" s="10" t="inlineStr">
        <is>
          <t>All cash</t>
        </is>
      </c>
      <c r="K1" s="10" t="inlineStr">
        <is>
          <t>Deadline treatment</t>
        </is>
      </c>
      <c r="L1" s="10" t="inlineStr">
        <is>
          <t>Round finality</t>
        </is>
      </c>
      <c r="M1" s="10" t="inlineStr">
        <is>
          <t>Decided by</t>
        </is>
      </c>
      <c r="N1" s="10" t="inlineStr">
        <is>
          <t>Exit reason</t>
        </is>
      </c>
      <c r="O1" s="10"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Extended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Late bids accepted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Enforced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K8" t="inlineStr">
        <is>
          <t>Extended; Late bids accepted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2026-09-19T13:38:10Z</dcterms:created>
  <dcterms:modified xmlns:dcterms="http://purl.org/dc/terms/" xmlns:xsi="http://www.w3.org/2001/XMLSchema-instance" xsi:type="dcterms:W3CDTF">2026-09-19T13:38:10Z</dcterms:modified>
</cp:coreProperties>
</file>