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AI original" sheetId="5" state="hidden" r:id="rId5"/>
    <sheet xmlns:r="http://schemas.openxmlformats.org/officeDocument/2006/relationships" name="Lists" sheetId="6" state="hidden" r:id="rId6"/>
  </sheets>
  <definedNames>
    <definedName name="_xlnm._FilterDatabase" localSheetId="0" hidden="1">'Deal ledger'!$A$2:$AM$48</definedName>
    <definedName name="_xlnm._FilterDatabase" localSheetId="3" hidden="1">'Source text'!$A$1:$D$110</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11">
    <font>
      <name val="Calibri"/>
      <family val="2"/>
      <color theme="1"/>
      <sz val="11"/>
      <scheme val="minor"/>
    </font>
    <font>
      <b val="1"/>
      <color rgb="00FFFFFF"/>
      <sz val="11"/>
    </font>
    <font>
      <b val="1"/>
      <color rgb="00FFFFFF"/>
      <sz val="10"/>
    </font>
    <font>
      <b val="1"/>
      <color rgb="001F3864"/>
      <sz val="10"/>
    </font>
    <font>
      <b val="1"/>
      <color rgb="001F3864"/>
      <sz val="9"/>
    </font>
    <font>
      <i val="1"/>
      <sz val="9"/>
    </font>
    <font>
      <color rgb="000563C1"/>
      <sz val="10"/>
      <u val="single"/>
    </font>
    <font>
      <b val="1"/>
    </font>
    <font>
      <b val="1"/>
      <color rgb="00C00000"/>
    </font>
    <font>
      <b val="1"/>
      <sz val="10"/>
    </font>
    <font>
      <b val="1"/>
      <sz val="11"/>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xf>
    <xf numFmtId="0" fontId="3" fillId="3" borderId="0" applyAlignment="1" pivotButton="0" quotePrefix="0" xfId="0">
      <alignment horizontal="center" vertical="center"/>
    </xf>
    <xf numFmtId="0" fontId="2" fillId="2" borderId="1" applyAlignment="1" pivotButton="0" quotePrefix="0" xfId="0">
      <alignment horizontal="center" vertical="center" wrapText="1"/>
    </xf>
    <xf numFmtId="0" fontId="4" fillId="3" borderId="0"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165" fontId="0" fillId="0" borderId="0" applyAlignment="1" pivotButton="0" quotePrefix="0" xfId="0">
      <alignment horizontal="center" vertical="top"/>
    </xf>
    <xf numFmtId="0" fontId="0" fillId="0" borderId="0" applyAlignment="1" pivotButton="0" quotePrefix="0" xfId="0">
      <alignment horizontal="center" vertical="top"/>
    </xf>
    <xf numFmtId="0" fontId="9" fillId="0" borderId="0" applyAlignment="1" pivotButton="0" quotePrefix="0" xfId="0">
      <alignment vertical="top" wrapText="1"/>
    </xf>
    <xf numFmtId="0" fontId="9" fillId="0" borderId="0" pivotButton="0" quotePrefix="0" xfId="0"/>
    <xf numFmtId="0" fontId="5" fillId="0" borderId="0" applyAlignment="1" pivotButton="0" quotePrefix="0" xfId="0">
      <alignment vertical="top" wrapText="1"/>
    </xf>
    <xf numFmtId="0" fontId="2" fillId="2" borderId="0" applyAlignment="1" pivotButton="0" quotePrefix="0" xfId="0">
      <alignment horizontal="center" vertical="center" wrapText="1"/>
    </xf>
    <xf numFmtId="0" fontId="10" fillId="0" borderId="0" pivotButton="0" quotePrefix="0" xfId="0"/>
    <xf numFmtId="0" fontId="2" fillId="2" borderId="0" pivotButton="0" quotePrefix="0" xfId="0"/>
    <xf numFmtId="0" fontId="5" fillId="0" borderId="0" pivotButton="0" quotePrefix="0" xfId="0"/>
    <xf numFmtId="0" fontId="5" fillId="0" borderId="0" applyAlignment="1" pivotButton="0" quotePrefix="0" xfId="0">
      <alignment wrapText="1"/>
    </xf>
    <xf numFmtId="0" fontId="0" fillId="0" borderId="0" applyAlignment="1" pivotButton="0" quotePrefix="0" xfId="0">
      <alignment vertical="top"/>
    </xf>
    <xf numFmtId="0" fontId="8" fillId="0" borderId="0" pivotButton="0" quotePrefix="0" xfId="0"/>
    <xf numFmtId="0" fontId="7" fillId="0" borderId="0" pivotButton="0" quotePrefix="0" xfId="0"/>
  </cellXfs>
  <cellStyles count="1">
    <cellStyle name="Normal" xfId="0" builtinId="0" hidden="0"/>
  </cellStyles>
  <dxfs count="1">
    <dxf>
      <font>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ource text'!A6" TargetMode="External" Id="rId1"/><Relationship Type="http://schemas.openxmlformats.org/officeDocument/2006/relationships/hyperlink" Target="#'Source text'!A7" TargetMode="External" Id="rId2"/><Relationship Type="http://schemas.openxmlformats.org/officeDocument/2006/relationships/hyperlink" Target="#'Source text'!A11" TargetMode="External" Id="rId3"/><Relationship Type="http://schemas.openxmlformats.org/officeDocument/2006/relationships/hyperlink" Target="#'Source text'!A19" TargetMode="External" Id="rId4"/><Relationship Type="http://schemas.openxmlformats.org/officeDocument/2006/relationships/hyperlink" Target="#'Source text'!A20" TargetMode="External" Id="rId5"/><Relationship Type="http://schemas.openxmlformats.org/officeDocument/2006/relationships/hyperlink" Target="#'Source text'!A22" TargetMode="External" Id="rId6"/><Relationship Type="http://schemas.openxmlformats.org/officeDocument/2006/relationships/hyperlink" Target="#'Source text'!A23" TargetMode="External" Id="rId7"/><Relationship Type="http://schemas.openxmlformats.org/officeDocument/2006/relationships/hyperlink" Target="#'Source text'!A110" TargetMode="External" Id="rId8"/><Relationship Type="http://schemas.openxmlformats.org/officeDocument/2006/relationships/hyperlink" Target="#'Source text'!A28" TargetMode="External" Id="rId9"/><Relationship Type="http://schemas.openxmlformats.org/officeDocument/2006/relationships/hyperlink" Target="#'Source text'!A28" TargetMode="External" Id="rId10"/><Relationship Type="http://schemas.openxmlformats.org/officeDocument/2006/relationships/hyperlink" Target="#'Source text'!A30" TargetMode="External" Id="rId11"/><Relationship Type="http://schemas.openxmlformats.org/officeDocument/2006/relationships/hyperlink" Target="#'Source text'!A31" TargetMode="External" Id="rId12"/><Relationship Type="http://schemas.openxmlformats.org/officeDocument/2006/relationships/hyperlink" Target="#'Source text'!A34" TargetMode="External" Id="rId13"/><Relationship Type="http://schemas.openxmlformats.org/officeDocument/2006/relationships/hyperlink" Target="#'Source text'!A35" TargetMode="External" Id="rId14"/><Relationship Type="http://schemas.openxmlformats.org/officeDocument/2006/relationships/hyperlink" Target="#'Source text'!A28" TargetMode="External" Id="rId15"/><Relationship Type="http://schemas.openxmlformats.org/officeDocument/2006/relationships/hyperlink" Target="#'Source text'!A37" TargetMode="External" Id="rId16"/><Relationship Type="http://schemas.openxmlformats.org/officeDocument/2006/relationships/hyperlink" Target="#'Source text'!A37" TargetMode="External" Id="rId17"/><Relationship Type="http://schemas.openxmlformats.org/officeDocument/2006/relationships/hyperlink" Target="#'Source text'!A28" TargetMode="External" Id="rId18"/><Relationship Type="http://schemas.openxmlformats.org/officeDocument/2006/relationships/hyperlink" Target="#'Source text'!A38" TargetMode="External" Id="rId19"/><Relationship Type="http://schemas.openxmlformats.org/officeDocument/2006/relationships/hyperlink" Target="#'Source text'!A38" TargetMode="External" Id="rId20"/><Relationship Type="http://schemas.openxmlformats.org/officeDocument/2006/relationships/hyperlink" Target="#'Source text'!A42" TargetMode="External" Id="rId21"/><Relationship Type="http://schemas.openxmlformats.org/officeDocument/2006/relationships/hyperlink" Target="#'Source text'!A40" TargetMode="External" Id="rId22"/><Relationship Type="http://schemas.openxmlformats.org/officeDocument/2006/relationships/hyperlink" Target="#'Source text'!A43" TargetMode="External" Id="rId23"/><Relationship Type="http://schemas.openxmlformats.org/officeDocument/2006/relationships/hyperlink" Target="#'Source text'!A49" TargetMode="External" Id="rId24"/><Relationship Type="http://schemas.openxmlformats.org/officeDocument/2006/relationships/hyperlink" Target="#'Source text'!A50" TargetMode="External" Id="rId25"/><Relationship Type="http://schemas.openxmlformats.org/officeDocument/2006/relationships/hyperlink" Target="#'Source text'!A55" TargetMode="External" Id="rId26"/><Relationship Type="http://schemas.openxmlformats.org/officeDocument/2006/relationships/hyperlink" Target="#'Source text'!A54" TargetMode="External" Id="rId27"/><Relationship Type="http://schemas.openxmlformats.org/officeDocument/2006/relationships/hyperlink" Target="#'Source text'!A54" TargetMode="External" Id="rId28"/><Relationship Type="http://schemas.openxmlformats.org/officeDocument/2006/relationships/hyperlink" Target="#'Source text'!A55" TargetMode="External" Id="rId29"/><Relationship Type="http://schemas.openxmlformats.org/officeDocument/2006/relationships/hyperlink" Target="#'Source text'!A55" TargetMode="External" Id="rId30"/><Relationship Type="http://schemas.openxmlformats.org/officeDocument/2006/relationships/hyperlink" Target="#'Source text'!A58" TargetMode="External" Id="rId31"/><Relationship Type="http://schemas.openxmlformats.org/officeDocument/2006/relationships/hyperlink" Target="#'Source text'!A57" TargetMode="External" Id="rId32"/><Relationship Type="http://schemas.openxmlformats.org/officeDocument/2006/relationships/hyperlink" Target="#'Source text'!A61" TargetMode="External" Id="rId33"/><Relationship Type="http://schemas.openxmlformats.org/officeDocument/2006/relationships/hyperlink" Target="#'Source text'!A61" TargetMode="External" Id="rId34"/><Relationship Type="http://schemas.openxmlformats.org/officeDocument/2006/relationships/hyperlink" Target="#'Source text'!A61" TargetMode="External" Id="rId35"/><Relationship Type="http://schemas.openxmlformats.org/officeDocument/2006/relationships/hyperlink" Target="#'Source text'!A61" TargetMode="External" Id="rId36"/><Relationship Type="http://schemas.openxmlformats.org/officeDocument/2006/relationships/hyperlink" Target="#'Source text'!A61" TargetMode="External" Id="rId37"/><Relationship Type="http://schemas.openxmlformats.org/officeDocument/2006/relationships/hyperlink" Target="#'Source text'!A64" TargetMode="External" Id="rId38"/><Relationship Type="http://schemas.openxmlformats.org/officeDocument/2006/relationships/hyperlink" Target="#'Source text'!A65" TargetMode="External" Id="rId39"/><Relationship Type="http://schemas.openxmlformats.org/officeDocument/2006/relationships/hyperlink" Target="#'Source text'!A70" TargetMode="External" Id="rId40"/><Relationship Type="http://schemas.openxmlformats.org/officeDocument/2006/relationships/hyperlink" Target="#'Source text'!A70" TargetMode="External" Id="rId41"/><Relationship Type="http://schemas.openxmlformats.org/officeDocument/2006/relationships/hyperlink" Target="#'Source text'!A70" TargetMode="External" Id="rId42"/><Relationship Type="http://schemas.openxmlformats.org/officeDocument/2006/relationships/hyperlink" Target="#'Source text'!A75" TargetMode="External" Id="rId43"/><Relationship Type="http://schemas.openxmlformats.org/officeDocument/2006/relationships/hyperlink" Target="#'Source text'!A84" TargetMode="External" Id="rId44"/><Relationship Type="http://schemas.openxmlformats.org/officeDocument/2006/relationships/hyperlink" Target="#'Source text'!A89" TargetMode="External" Id="rId45"/><Relationship Type="http://schemas.openxmlformats.org/officeDocument/2006/relationships/hyperlink" Target="#'Source text'!A90" TargetMode="External" Id="rId46"/></Relationships>
</file>

<file path=xl/worksheets/sheet1.xml><?xml version="1.0" encoding="utf-8"?>
<worksheet xmlns="http://schemas.openxmlformats.org/spreadsheetml/2006/main">
  <sheetPr>
    <outlinePr summaryBelow="1" summaryRight="1"/>
    <pageSetUpPr/>
  </sheetPr>
  <dimension ref="A1:AM48"/>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2" customWidth="1" min="3" max="3"/>
    <col width="20" customWidth="1" min="4" max="4"/>
    <col width="8" customWidth="1" min="5" max="5"/>
    <col width="8" customWidth="1" min="6" max="6"/>
    <col width="11" customWidth="1" min="7" max="7"/>
    <col width="52" customWidth="1" min="8" max="8"/>
    <col width="12" customWidth="1" min="9" max="9"/>
    <col width="13" customWidth="1" min="10" max="10"/>
    <col width="60" customWidth="1" min="11" max="11"/>
    <col width="18" customWidth="1" min="12" max="12"/>
    <col width="9" customWidth="1" min="13" max="13"/>
    <col width="22" customWidth="1" min="14" max="14"/>
    <col hidden="1" outlineLevel="1" width="9" customWidth="1" min="15" max="15"/>
    <col hidden="1" outlineLevel="1" width="8" customWidth="1" min="16" max="16"/>
    <col hidden="1" outlineLevel="1" width="7" customWidth="1" min="17" max="17"/>
    <col hidden="1" outlineLevel="1" width="11" customWidth="1" min="18" max="18"/>
    <col hidden="1" outlineLevel="1" width="11" customWidth="1" min="19" max="19"/>
    <col hidden="1" outlineLevel="1" width="12" customWidth="1" min="20" max="20"/>
    <col hidden="1" outlineLevel="1" width="14" customWidth="1" min="21" max="21"/>
    <col hidden="1" outlineLevel="1" width="17" customWidth="1" min="22" max="22"/>
    <col hidden="1" outlineLevel="1" width="10" customWidth="1" min="23" max="23"/>
    <col hidden="1" outlineLevel="1" width="10" customWidth="1" min="24" max="24"/>
    <col hidden="1" outlineLevel="1" width="12" customWidth="1" min="25" max="25"/>
    <col hidden="1" outlineLevel="1" width="12" customWidth="1" min="26" max="26"/>
    <col hidden="1" outlineLevel="1" width="9" customWidth="1" min="27" max="27"/>
    <col hidden="1" outlineLevel="1" width="9" customWidth="1" min="28" max="28"/>
    <col hidden="1" outlineLevel="1" width="12" customWidth="1" min="29" max="29"/>
    <col hidden="1" outlineLevel="1" width="46" customWidth="1" min="30" max="30"/>
    <col hidden="1" outlineLevel="1" width="11" customWidth="1" min="31" max="31"/>
    <col hidden="1" outlineLevel="1" width="20" customWidth="1" min="32" max="32"/>
    <col hidden="1" outlineLevel="1" width="14" customWidth="1" min="33" max="33"/>
    <col hidden="1" outlineLevel="1" width="11" customWidth="1" min="34" max="34"/>
    <col hidden="1" outlineLevel="1" width="22" customWidth="1" min="35" max="35"/>
    <col hidden="1" outlineLevel="1" width="17" customWidth="1" min="36" max="36"/>
    <col hidden="1" outlineLevel="1" width="7" customWidth="1" min="37" max="37"/>
    <col hidden="1" outlineLevel="1" width="24" customWidth="1" min="38" max="38"/>
    <col hidden="1" outlineLevel="1" width="22" customWidth="1" min="39" max="39"/>
  </cols>
  <sheetData>
    <row r="1">
      <c r="A1" s="1" t="inlineStr">
        <is>
          <t>Deal ledger — Mac-Gray (TUC–CSC/Pamplona, 2013) · chronological working record (AI first pass; instruction rev. 19 Sep 2026). Collapsed expandable fields in groups O–AM to the right: Row id, Include, Count, dates, price, cash, Conditions detail, deadlines, outcome and source metadata. One row per materially distinct event; see Summary for the commercial account and round map.</t>
        </is>
      </c>
      <c r="O1" s="2" t="inlineStr">
        <is>
          <t>Row control</t>
        </is>
      </c>
      <c r="Q1" s="2" t="inlineStr">
        <is>
          <t>Count</t>
        </is>
      </c>
      <c r="R1" s="2" t="inlineStr">
        <is>
          <t>Dates</t>
        </is>
      </c>
      <c r="W1" s="2" t="inlineStr">
        <is>
          <t>Price</t>
        </is>
      </c>
      <c r="AB1" s="2" t="inlineStr">
        <is>
          <t>Cash</t>
        </is>
      </c>
      <c r="AD1" s="2" t="inlineStr">
        <is>
          <t>Conditions</t>
        </is>
      </c>
      <c r="AE1" s="2" t="inlineStr">
        <is>
          <t>Deadlines</t>
        </is>
      </c>
      <c r="AH1" s="2" t="inlineStr">
        <is>
          <t>Participation outcome</t>
        </is>
      </c>
      <c r="AK1" s="2" t="inlineStr">
        <is>
          <t>Source</t>
        </is>
      </c>
    </row>
    <row r="2">
      <c r="A2" s="3" t="inlineStr">
        <is>
          <t>#</t>
        </is>
      </c>
      <c r="B2" s="3" t="inlineStr">
        <is>
          <t>When</t>
        </is>
      </c>
      <c r="C2" s="3" t="inlineStr">
        <is>
          <t>Who</t>
        </is>
      </c>
      <c r="D2" s="3" t="inlineStr">
        <is>
          <t>What happened</t>
        </is>
      </c>
      <c r="E2" s="3" t="inlineStr">
        <is>
          <t>Process</t>
        </is>
      </c>
      <c r="F2" s="3" t="inlineStr">
        <is>
          <t>Round</t>
        </is>
      </c>
      <c r="G2" s="3" t="inlineStr">
        <is>
          <t>Type</t>
        </is>
      </c>
      <c r="H2" s="3" t="inlineStr">
        <is>
          <t>Terms or outcome</t>
        </is>
      </c>
      <c r="I2" s="3" t="inlineStr">
        <is>
          <t>Formality</t>
        </is>
      </c>
      <c r="J2" s="3" t="inlineStr">
        <is>
          <t>Conditions level</t>
        </is>
      </c>
      <c r="K2" s="3" t="inlineStr">
        <is>
          <t>Why and evidence</t>
        </is>
      </c>
      <c r="L2" s="3" t="inlineStr">
        <is>
          <t>Source</t>
        </is>
      </c>
      <c r="M2" s="3" t="inlineStr">
        <is>
          <t>Review</t>
        </is>
      </c>
      <c r="N2" s="3" t="inlineStr">
        <is>
          <t>Reviewer note</t>
        </is>
      </c>
      <c r="O2" s="4" t="inlineStr">
        <is>
          <t>Row id</t>
        </is>
      </c>
      <c r="P2" s="4" t="inlineStr">
        <is>
          <t>Include</t>
        </is>
      </c>
      <c r="Q2" s="4" t="inlineStr">
        <is>
          <t>Count</t>
        </is>
      </c>
      <c r="R2" s="4" t="inlineStr">
        <is>
          <t>Date from</t>
        </is>
      </c>
      <c r="S2" s="4" t="inlineStr">
        <is>
          <t>Date to</t>
        </is>
      </c>
      <c r="T2" s="4" t="inlineStr">
        <is>
          <t>Working date</t>
        </is>
      </c>
      <c r="U2" s="4" t="inlineStr">
        <is>
          <t>Date basis</t>
        </is>
      </c>
      <c r="V2" s="4" t="inlineStr">
        <is>
          <t>Date method</t>
        </is>
      </c>
      <c r="W2" s="4" t="inlineStr">
        <is>
          <t>Price low</t>
        </is>
      </c>
      <c r="X2" s="4" t="inlineStr">
        <is>
          <t>Price high</t>
        </is>
      </c>
      <c r="Y2" s="4" t="inlineStr">
        <is>
          <t>Price kind</t>
        </is>
      </c>
      <c r="Z2" s="4" t="inlineStr">
        <is>
          <t>Price origin</t>
        </is>
      </c>
      <c r="AA2" s="4" t="inlineStr">
        <is>
          <t>Currency</t>
        </is>
      </c>
      <c r="AB2" s="4" t="inlineStr">
        <is>
          <t>All cash</t>
        </is>
      </c>
      <c r="AC2" s="4" t="inlineStr">
        <is>
          <t>Cash at closing</t>
        </is>
      </c>
      <c r="AD2" s="4" t="inlineStr">
        <is>
          <t>Conditions detail</t>
        </is>
      </c>
      <c r="AE2" s="4" t="inlineStr">
        <is>
          <t>Due date</t>
        </is>
      </c>
      <c r="AF2" s="4" t="inlineStr">
        <is>
          <t>Deadline treatment</t>
        </is>
      </c>
      <c r="AG2" s="4" t="inlineStr">
        <is>
          <t>Round finality</t>
        </is>
      </c>
      <c r="AH2" s="4" t="inlineStr">
        <is>
          <t>Decided by</t>
        </is>
      </c>
      <c r="AI2" s="4" t="inlineStr">
        <is>
          <t>Exit reason</t>
        </is>
      </c>
      <c r="AJ2" s="4" t="inlineStr">
        <is>
          <t>Outcome basis</t>
        </is>
      </c>
      <c r="AK2" s="4" t="inlineStr">
        <is>
          <t>Page</t>
        </is>
      </c>
      <c r="AL2" s="4" t="inlineStr">
        <is>
          <t>Related rows</t>
        </is>
      </c>
      <c r="AM2" s="4" t="inlineStr">
        <is>
          <t>Deal</t>
        </is>
      </c>
    </row>
    <row r="3">
      <c r="A3" s="5" t="n">
        <v>1</v>
      </c>
      <c r="B3" s="6" t="inlineStr">
        <is>
          <t>04/05/2013</t>
        </is>
      </c>
      <c r="C3" s="6" t="inlineStr">
        <is>
          <t>Mac-Gray (Board)</t>
        </is>
      </c>
      <c r="D3" s="6" t="inlineStr">
        <is>
          <t>Target sale decision</t>
        </is>
      </c>
      <c r="E3" s="5" t="n">
        <v>1</v>
      </c>
      <c r="F3" s="5" t="inlineStr">
        <is>
          <t>0</t>
        </is>
      </c>
      <c r="G3" s="6" t="n"/>
      <c r="H3" s="6" t="inlineStr">
        <is>
          <t>Board meeting: discussed the sale of CSC to Pamplona and industry M&amp;A dynamics; authorized management to work with BofA Merrill Lynch to explore transactional opportunities, including with Party A in the laundry facilities management industry; determined to reconsider strategic alternatives at the 05/09/2013 meeting. Exploratory authorization, not a launch of solicitation.</t>
        </is>
      </c>
      <c r="I3" s="5" t="n"/>
      <c r="J3" s="5" t="n"/>
      <c r="K3" s="6" t="inlineStr">
        <is>
          <t>Stated: "at an in-person meeting of the Board on April 5, 2013, the Board discussed the sale of CSC to Pamplona as well as industry-wide merger and acquisition activity and dynamics, and authorized Mac-Gray management to work with BofA Merrill Lynch to explore transactional opportunities that might be available to Mac-Gray, including opportunities with another strategic party, whom we refer to as Party A, in the laundry facilities management industry." (p.27)</t>
        </is>
      </c>
      <c r="L3" s="7" t="inlineStr">
        <is>
          <t>P-0482</t>
        </is>
      </c>
      <c r="M3" s="5" t="inlineStr">
        <is>
          <t>Q1</t>
        </is>
      </c>
      <c r="N3" s="6" t="n"/>
      <c r="O3" s="5" t="inlineStr">
        <is>
          <t>R001</t>
        </is>
      </c>
      <c r="P3" s="5" t="inlineStr">
        <is>
          <t>Yes</t>
        </is>
      </c>
      <c r="Q3" s="5" t="n"/>
      <c r="R3" s="8" t="n">
        <v>41369</v>
      </c>
      <c r="S3" s="8" t="n">
        <v>41369</v>
      </c>
      <c r="T3" s="8" t="n">
        <v>41369</v>
      </c>
      <c r="U3" s="5" t="inlineStr">
        <is>
          <t>Reported day</t>
        </is>
      </c>
      <c r="V3" s="5" t="inlineStr">
        <is>
          <t>Reported</t>
        </is>
      </c>
      <c r="W3" s="6" t="n"/>
      <c r="X3" s="6" t="n"/>
      <c r="Y3" s="5" t="n"/>
      <c r="Z3" s="5" t="n"/>
      <c r="AA3" s="5" t="n"/>
      <c r="AB3" s="5" t="n"/>
      <c r="AC3" s="6" t="n"/>
      <c r="AD3" s="6" t="n"/>
      <c r="AE3" s="9" t="n"/>
      <c r="AF3" s="5" t="n"/>
      <c r="AG3" s="5" t="n"/>
      <c r="AH3" s="5" t="n"/>
      <c r="AI3" s="6" t="n"/>
      <c r="AJ3" s="5" t="n"/>
      <c r="AK3" s="5" t="n">
        <v>27</v>
      </c>
      <c r="AL3" s="6" t="n"/>
      <c r="AM3" s="6" t="inlineStr">
        <is>
          <t>Mac-Gray</t>
        </is>
      </c>
    </row>
    <row r="4">
      <c r="A4" s="5" t="n">
        <v>2</v>
      </c>
      <c r="B4" s="6" t="inlineStr">
        <is>
          <t>04/08/2013</t>
        </is>
      </c>
      <c r="C4" s="6" t="inlineStr">
        <is>
          <t>Party A</t>
        </is>
      </c>
      <c r="D4" s="6" t="inlineStr">
        <is>
          <t>Contact</t>
        </is>
      </c>
      <c r="E4" s="5" t="n">
        <v>1</v>
      </c>
      <c r="F4" s="5" t="inlineStr">
        <is>
          <t>0</t>
        </is>
      </c>
      <c r="G4" s="6" t="inlineStr">
        <is>
          <t>Strategic</t>
        </is>
      </c>
      <c r="H4" s="6" t="inlineStr">
        <is>
          <t>BofA Merrill Lynch, instructed by the Board, telephoned Party A to discuss generally a possible business combination; Party A indicated it might consider a combination with Mac-Gray. First sale-related contact with Party A in this process; direction: target-side.</t>
        </is>
      </c>
      <c r="I4" s="5" t="n"/>
      <c r="J4" s="5" t="n"/>
      <c r="K4" s="6" t="inlineStr">
        <is>
          <t>Stated: "On April 8, 2013, representatives of BofA Merrill Lynch, as instructed by the Board, telephoned a representative of Party A to discuss generally a possible business combination between Party A and Mac-Gray. During this call, the representative of Party A indicated that Party A might consider a business combination with Mac-Gray." (p.27)</t>
        </is>
      </c>
      <c r="L4" s="7" t="inlineStr">
        <is>
          <t>P-0483</t>
        </is>
      </c>
      <c r="M4" s="5" t="inlineStr">
        <is>
          <t>Q3</t>
        </is>
      </c>
      <c r="N4" s="6" t="n"/>
      <c r="O4" s="5" t="inlineStr">
        <is>
          <t>R002</t>
        </is>
      </c>
      <c r="P4" s="5" t="inlineStr">
        <is>
          <t>Yes</t>
        </is>
      </c>
      <c r="Q4" s="5" t="n">
        <v>1</v>
      </c>
      <c r="R4" s="8" t="n">
        <v>41372</v>
      </c>
      <c r="S4" s="8" t="n">
        <v>41372</v>
      </c>
      <c r="T4" s="8" t="n">
        <v>41372</v>
      </c>
      <c r="U4" s="5" t="inlineStr">
        <is>
          <t>Reported day</t>
        </is>
      </c>
      <c r="V4" s="5" t="inlineStr">
        <is>
          <t>Reported</t>
        </is>
      </c>
      <c r="W4" s="6" t="n"/>
      <c r="X4" s="6" t="n"/>
      <c r="Y4" s="5" t="n"/>
      <c r="Z4" s="5" t="n"/>
      <c r="AA4" s="5" t="n"/>
      <c r="AB4" s="5" t="n"/>
      <c r="AC4" s="6" t="n"/>
      <c r="AD4" s="6" t="n"/>
      <c r="AE4" s="9" t="n"/>
      <c r="AF4" s="5" t="n"/>
      <c r="AG4" s="5" t="n"/>
      <c r="AH4" s="5" t="n"/>
      <c r="AI4" s="6" t="n"/>
      <c r="AJ4" s="5" t="n"/>
      <c r="AK4" s="5" t="n">
        <v>27</v>
      </c>
      <c r="AL4" s="6" t="n"/>
      <c r="AM4" s="6" t="inlineStr">
        <is>
          <t>Mac-Gray</t>
        </is>
      </c>
    </row>
    <row r="5">
      <c r="A5" s="5" t="n">
        <v>3</v>
      </c>
      <c r="B5" s="6" t="inlineStr">
        <is>
          <t>05/09/2013</t>
        </is>
      </c>
      <c r="C5" s="6" t="inlineStr">
        <is>
          <t>Mac-Gray (Board)</t>
        </is>
      </c>
      <c r="D5" s="6" t="inlineStr">
        <is>
          <t>Target decision</t>
        </is>
      </c>
      <c r="E5" s="5" t="n">
        <v>1</v>
      </c>
      <c r="F5" s="5" t="inlineStr">
        <is>
          <t>0</t>
        </is>
      </c>
      <c r="G5" s="6" t="n"/>
      <c r="H5" s="6" t="inlineStr">
        <is>
          <t>Board reviewed strategic alternatives, including a sale process, its risks (business disruption, leaks, disclosure to competitors) and independence alternatives; formed a Transaction Committee (Thomas Bullock and Paul Daoust, independent directors) charged with recommending the selection and engagement of a financial advisor; deferred the review decision to the next meeting.</t>
        </is>
      </c>
      <c r="I5" s="5" t="n"/>
      <c r="J5" s="5" t="n"/>
      <c r="K5" s="6" t="inlineStr">
        <is>
          <t>Stated: "To assist in the administration of the strategic alternatives review, the Board formed a transaction committee at this meeting, which we refer to as the Transaction Committee, and appointed Thomas Bullock and Paul Daoust, both independent directors, to serve as its members." (p.28)</t>
        </is>
      </c>
      <c r="L5" s="7" t="inlineStr">
        <is>
          <t>P-0484; P-0488</t>
        </is>
      </c>
      <c r="M5" s="5" t="inlineStr">
        <is>
          <t>Q1</t>
        </is>
      </c>
      <c r="N5" s="6" t="n"/>
      <c r="O5" s="5" t="inlineStr">
        <is>
          <t>R003</t>
        </is>
      </c>
      <c r="P5" s="5" t="inlineStr">
        <is>
          <t>Yes</t>
        </is>
      </c>
      <c r="Q5" s="5" t="n"/>
      <c r="R5" s="8" t="n">
        <v>41403</v>
      </c>
      <c r="S5" s="8" t="n">
        <v>41403</v>
      </c>
      <c r="T5" s="8" t="n">
        <v>41403</v>
      </c>
      <c r="U5" s="5" t="inlineStr">
        <is>
          <t>Reported day</t>
        </is>
      </c>
      <c r="V5" s="5" t="inlineStr">
        <is>
          <t>Reported</t>
        </is>
      </c>
      <c r="W5" s="6" t="n"/>
      <c r="X5" s="6" t="n"/>
      <c r="Y5" s="5" t="n"/>
      <c r="Z5" s="5" t="n"/>
      <c r="AA5" s="5" t="n"/>
      <c r="AB5" s="5" t="n"/>
      <c r="AC5" s="6" t="n"/>
      <c r="AD5" s="6" t="n"/>
      <c r="AE5" s="9" t="n"/>
      <c r="AF5" s="5" t="n"/>
      <c r="AG5" s="5" t="n"/>
      <c r="AH5" s="5" t="n"/>
      <c r="AI5" s="6" t="n"/>
      <c r="AJ5" s="5" t="n"/>
      <c r="AK5" s="5" t="n">
        <v>28</v>
      </c>
      <c r="AL5" s="6" t="n"/>
      <c r="AM5" s="6" t="inlineStr">
        <is>
          <t>Mac-Gray</t>
        </is>
      </c>
    </row>
    <row r="6">
      <c r="A6" s="5" t="n">
        <v>4</v>
      </c>
      <c r="B6" s="6" t="inlineStr">
        <is>
          <t>05/30/2013</t>
        </is>
      </c>
      <c r="C6" s="6" t="inlineStr">
        <is>
          <t>Moab Partners, L.P. / Mac-Gray (annual meeting)</t>
        </is>
      </c>
      <c r="D6" s="6" t="inlineStr">
        <is>
          <t>Activist involvement</t>
        </is>
      </c>
      <c r="E6" s="5" t="n">
        <v>1</v>
      </c>
      <c r="F6" s="5" t="inlineStr">
        <is>
          <t>0</t>
        </is>
      </c>
      <c r="G6" s="6" t="n"/>
      <c r="H6" s="6" t="inlineStr">
        <is>
          <t>After a proxy contest, Mac-Gray stockholders elected Moab nominees Michael M. Rothenberg (Moab co-founder and General Partner) and James E. Hyman in place of two incumbent directors; the Board was reduced to seven; Moab beneficially owned approximately 9% of the common stock at the 06/12/2013 orientation. The new directors were briefed on the strategic review; Rothenberg was to be excluded where Moab rollover interests could arise.</t>
        </is>
      </c>
      <c r="I6" s="5" t="n"/>
      <c r="J6" s="5" t="n"/>
      <c r="K6" s="6" t="inlineStr">
        <is>
          <t>Stated: "Mac-Gray and Moab engaged in a proxy contest leading up to the annual meeting and Mr. Rothenberg and Mr. Hyman were elected in place of Mac-Gray’s incumbent nominees, David W. Bryan and Mary Ann Tocio. Edward McCauley’s term expired at the annual meeting, at which time the size of the Board was reduced to seven." (p.29)</t>
        </is>
      </c>
      <c r="L6" s="7" t="inlineStr">
        <is>
          <t>P-0497; P-0500</t>
        </is>
      </c>
      <c r="M6" s="5" t="inlineStr">
        <is>
          <t>Q8</t>
        </is>
      </c>
      <c r="N6" s="6" t="n"/>
      <c r="O6" s="5" t="inlineStr">
        <is>
          <t>R004</t>
        </is>
      </c>
      <c r="P6" s="5" t="inlineStr">
        <is>
          <t>Yes</t>
        </is>
      </c>
      <c r="Q6" s="5" t="n"/>
      <c r="R6" s="8" t="n">
        <v>41424</v>
      </c>
      <c r="S6" s="8" t="n">
        <v>41424</v>
      </c>
      <c r="T6" s="8" t="n">
        <v>41424</v>
      </c>
      <c r="U6" s="5" t="inlineStr">
        <is>
          <t>Reported day</t>
        </is>
      </c>
      <c r="V6" s="5" t="inlineStr">
        <is>
          <t>Reported</t>
        </is>
      </c>
      <c r="W6" s="6" t="n"/>
      <c r="X6" s="6" t="n"/>
      <c r="Y6" s="5" t="n"/>
      <c r="Z6" s="5" t="n"/>
      <c r="AA6" s="5" t="n"/>
      <c r="AB6" s="5" t="n"/>
      <c r="AC6" s="6" t="n"/>
      <c r="AD6" s="6" t="n"/>
      <c r="AE6" s="9" t="n"/>
      <c r="AF6" s="5" t="n"/>
      <c r="AG6" s="5" t="n"/>
      <c r="AH6" s="5" t="n"/>
      <c r="AI6" s="6" t="n"/>
      <c r="AJ6" s="5" t="n"/>
      <c r="AK6" s="5" t="n">
        <v>29</v>
      </c>
      <c r="AL6" s="6" t="n"/>
      <c r="AM6" s="6" t="inlineStr">
        <is>
          <t>Mac-Gray</t>
        </is>
      </c>
    </row>
    <row r="7">
      <c r="A7" s="5" t="n">
        <v>5</v>
      </c>
      <c r="B7" s="6" t="inlineStr">
        <is>
          <t>05/31/2013</t>
        </is>
      </c>
      <c r="C7" s="6" t="inlineStr">
        <is>
          <t>Mac-Gray / BofA Merrill Lynch</t>
        </is>
      </c>
      <c r="D7" s="6" t="inlineStr">
        <is>
          <t>Adviser engaged</t>
        </is>
      </c>
      <c r="E7" s="5" t="n">
        <v>1</v>
      </c>
      <c r="F7" s="5" t="inlineStr">
        <is>
          <t>0</t>
        </is>
      </c>
      <c r="G7" s="6" t="n"/>
      <c r="H7" s="6" t="inlineStr">
        <is>
          <t>Board approved (05/30/2013) and Mac-Gray entered an engagement letter (05/31/2013) with BofA Merrill Lynch as financial advisor for the strategic-alternatives review, including a potential sale; BofA agreed not to act as a source of new acquisition financing for buyers without Mac-Gray’s written consent. Mandate history: BofA was engaged 10/23/2012 for the 2011-2012 Discussions (a possible Mac-Gray acquisition of CSC); the Transaction Committee determined on 05/14/2013 to terminate that engagement letter and Mac-Gray sent the termination letter 05/15/2013; BofA then presented as an adviser candidate on 05/22/2013 and was selected over two other banks.</t>
        </is>
      </c>
      <c r="I7" s="5" t="n"/>
      <c r="J7" s="5" t="n"/>
      <c r="K7" s="6" t="inlineStr">
        <is>
          <t>Stated: "On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 (p.30) Mandate history at pp.27, 28, 29.</t>
        </is>
      </c>
      <c r="L7" s="7" t="inlineStr">
        <is>
          <t>P-0499; P-0481</t>
        </is>
      </c>
      <c r="M7" s="5" t="inlineStr">
        <is>
          <t>Q8</t>
        </is>
      </c>
      <c r="N7" s="6" t="n"/>
      <c r="O7" s="5" t="inlineStr">
        <is>
          <t>R005</t>
        </is>
      </c>
      <c r="P7" s="5" t="inlineStr">
        <is>
          <t>Yes</t>
        </is>
      </c>
      <c r="Q7" s="5" t="n"/>
      <c r="R7" s="8" t="n">
        <v>41425</v>
      </c>
      <c r="S7" s="8" t="n">
        <v>41425</v>
      </c>
      <c r="T7" s="8" t="n">
        <v>41425</v>
      </c>
      <c r="U7" s="5" t="inlineStr">
        <is>
          <t>Reported day</t>
        </is>
      </c>
      <c r="V7" s="5" t="inlineStr">
        <is>
          <t>Reported</t>
        </is>
      </c>
      <c r="W7" s="6" t="n"/>
      <c r="X7" s="6" t="n"/>
      <c r="Y7" s="5" t="n"/>
      <c r="Z7" s="5" t="n"/>
      <c r="AA7" s="5" t="n"/>
      <c r="AB7" s="5" t="n"/>
      <c r="AC7" s="6" t="n"/>
      <c r="AD7" s="6" t="n"/>
      <c r="AE7" s="9" t="n"/>
      <c r="AF7" s="5" t="n"/>
      <c r="AG7" s="5" t="n"/>
      <c r="AH7" s="5" t="n"/>
      <c r="AI7" s="6" t="n"/>
      <c r="AJ7" s="5" t="n"/>
      <c r="AK7" s="5" t="n">
        <v>30</v>
      </c>
      <c r="AL7" s="6" t="n"/>
      <c r="AM7" s="6" t="inlineStr">
        <is>
          <t>Mac-Gray</t>
        </is>
      </c>
    </row>
    <row r="8">
      <c r="A8" s="5" t="n">
        <v>6</v>
      </c>
      <c r="B8" s="6" t="inlineStr">
        <is>
          <t>06/21/2013</t>
        </is>
      </c>
      <c r="C8" s="6" t="inlineStr">
        <is>
          <t>Party A</t>
        </is>
      </c>
      <c r="D8" s="6" t="inlineStr">
        <is>
          <t>Bid</t>
        </is>
      </c>
      <c r="E8" s="5" t="n">
        <v>1</v>
      </c>
      <c r="F8" s="5" t="inlineStr">
        <is>
          <t>0</t>
        </is>
      </c>
      <c r="G8" s="6" t="inlineStr">
        <is>
          <t>Strategic</t>
        </is>
      </c>
      <c r="H8" s="6" t="inlineStr">
        <is>
          <t>Unsolicited proposal to the Board to purchase Mac-Gray for an all-cash price of $17.00 to $19.00 per share. No stated financing, diligence or other conditions; Party A had no confidentiality agreement or diligence access at this date. Standing when round 1 was evaluated on 07/25/2013 (see R2 opened, R022).</t>
        </is>
      </c>
      <c r="I8" s="5" t="inlineStr">
        <is>
          <t>Informal</t>
        </is>
      </c>
      <c r="J8" s="5" t="inlineStr">
        <is>
          <t>Heavy</t>
        </is>
      </c>
      <c r="K8" s="6" t="inlineStr">
        <is>
          <t>Stated: "On June 21, 2013, Party A submitted an unsolicited proposal to the Mac-Gray Board of Directors offering to purchase Mac-Gray for an all-cash purchase price of $17.00 to $19.00 per share, which we refer to as the Party A June 21 proposal." (p.30) Formality: Informal — unsolicited preliminary proposal, no transaction-document markup. Conditions: Heavy by context — made before any confidentiality agreement or substantive diligence access.</t>
        </is>
      </c>
      <c r="L8" s="7" t="inlineStr">
        <is>
          <t>P-0501</t>
        </is>
      </c>
      <c r="M8" s="5" t="inlineStr">
        <is>
          <t>Q5; Q6</t>
        </is>
      </c>
      <c r="N8" s="6" t="n"/>
      <c r="O8" s="5" t="inlineStr">
        <is>
          <t>R006</t>
        </is>
      </c>
      <c r="P8" s="5" t="inlineStr">
        <is>
          <t>Yes</t>
        </is>
      </c>
      <c r="Q8" s="5" t="n">
        <v>1</v>
      </c>
      <c r="R8" s="8" t="n">
        <v>41446</v>
      </c>
      <c r="S8" s="8" t="n">
        <v>41446</v>
      </c>
      <c r="T8" s="8" t="n">
        <v>41446</v>
      </c>
      <c r="U8" s="5" t="inlineStr">
        <is>
          <t>Reported day</t>
        </is>
      </c>
      <c r="V8" s="5" t="inlineStr">
        <is>
          <t>Reported</t>
        </is>
      </c>
      <c r="W8" s="6" t="n">
        <v>17</v>
      </c>
      <c r="X8" s="6" t="n">
        <v>19</v>
      </c>
      <c r="Y8" s="5" t="inlineStr">
        <is>
          <t>Bidder range</t>
        </is>
      </c>
      <c r="Z8" s="5" t="inlineStr">
        <is>
          <t>Stated</t>
        </is>
      </c>
      <c r="AA8" s="5" t="inlineStr">
        <is>
          <t>USD</t>
        </is>
      </c>
      <c r="AB8" s="5" t="inlineStr">
        <is>
          <t>Yes</t>
        </is>
      </c>
      <c r="AC8" s="6" t="n"/>
      <c r="AD8" s="6" t="inlineStr">
        <is>
          <t>Fin: not stated; DD required: not stated; DD open: no; Excl: not stated</t>
        </is>
      </c>
      <c r="AE8" s="9" t="n"/>
      <c r="AF8" s="5" t="n"/>
      <c r="AG8" s="5" t="n"/>
      <c r="AH8" s="5" t="n"/>
      <c r="AI8" s="6" t="n"/>
      <c r="AJ8" s="5" t="n"/>
      <c r="AK8" s="5" t="n">
        <v>30</v>
      </c>
      <c r="AL8" s="6" t="n"/>
      <c r="AM8" s="6" t="inlineStr">
        <is>
          <t>Mac-Gray</t>
        </is>
      </c>
    </row>
    <row r="9">
      <c r="A9" s="5" t="n">
        <v>7</v>
      </c>
      <c r="B9" s="6" t="inlineStr">
        <is>
          <t>06/24/2013</t>
        </is>
      </c>
      <c r="C9" s="6" t="inlineStr">
        <is>
          <t>Mac-Gray (Board)</t>
        </is>
      </c>
      <c r="D9" s="6" t="inlineStr">
        <is>
          <t>Target decision</t>
        </is>
      </c>
      <c r="E9" s="5" t="n">
        <v>1</v>
      </c>
      <c r="F9" s="5" t="inlineStr">
        <is>
          <t>1</t>
        </is>
      </c>
      <c r="G9" s="6" t="n"/>
      <c r="H9" s="6" t="inlineStr">
        <is>
          <t>Board established the Special Committee of six independent and disinterested directors (Bullock (Chair), Daoust, Hyman, Meagher, Percelay, Robinson) to explore strategic alternatives and recommend to the Board; Mr. MacDonald (CEO, significant stockholder) and Mr. Rothenberg (Moab) were excluded from the evaluation and negotiations because of potential rollover interests; the Transaction Committee functioned as the Special Committee’s administrative sub-committee.</t>
        </is>
      </c>
      <c r="I9" s="5" t="n"/>
      <c r="J9" s="5" t="n"/>
      <c r="K9" s="6" t="inlineStr">
        <is>
          <t>Stated: "the Board then established the Special Committee, comprised of the six independent and disinterested members of the Board (namely, Mr. Bullock, Mr. Daoust, Mr. Hyman, William F. Meagher, Bruce A. Percelay and Alastair G. Robinson), to, among other things, explore strategic alternatives to enhance value to Mac-Gray’s stockholders" (p.30) and the Board "decided, and Mr. MacDonald and Mr. Rothenberg agreed, that it would be appropriate to exclude Mr. MacDonald and Mr. Rothenberg from the Board’s evaluation of strategic alternatives" (p.30).</t>
        </is>
      </c>
      <c r="L9" s="7" t="inlineStr">
        <is>
          <t>P-0502</t>
        </is>
      </c>
      <c r="M9" s="5" t="inlineStr">
        <is>
          <t>Q1</t>
        </is>
      </c>
      <c r="N9" s="6" t="n"/>
      <c r="O9" s="5" t="inlineStr">
        <is>
          <t>R007</t>
        </is>
      </c>
      <c r="P9" s="5" t="inlineStr">
        <is>
          <t>Yes</t>
        </is>
      </c>
      <c r="Q9" s="5" t="n"/>
      <c r="R9" s="8" t="n">
        <v>41449</v>
      </c>
      <c r="S9" s="8" t="n">
        <v>41449</v>
      </c>
      <c r="T9" s="8" t="n">
        <v>41449</v>
      </c>
      <c r="U9" s="5" t="inlineStr">
        <is>
          <t>Reported day</t>
        </is>
      </c>
      <c r="V9" s="5" t="inlineStr">
        <is>
          <t>Reported</t>
        </is>
      </c>
      <c r="W9" s="6" t="n"/>
      <c r="X9" s="6" t="n"/>
      <c r="Y9" s="5" t="n"/>
      <c r="Z9" s="5" t="n"/>
      <c r="AA9" s="5" t="n"/>
      <c r="AB9" s="5" t="n"/>
      <c r="AC9" s="6" t="n"/>
      <c r="AD9" s="6" t="n"/>
      <c r="AE9" s="9" t="n"/>
      <c r="AF9" s="5" t="n"/>
      <c r="AG9" s="5" t="n"/>
      <c r="AH9" s="5" t="n"/>
      <c r="AI9" s="6" t="n"/>
      <c r="AJ9" s="5" t="n"/>
      <c r="AK9" s="5" t="n">
        <v>30</v>
      </c>
      <c r="AL9" s="6" t="n"/>
      <c r="AM9" s="6" t="inlineStr">
        <is>
          <t>Mac-Gray</t>
        </is>
      </c>
    </row>
    <row r="10">
      <c r="A10" s="5" t="n">
        <v>8</v>
      </c>
      <c r="B10" s="6" t="inlineStr">
        <is>
          <t>06/24/2013</t>
        </is>
      </c>
      <c r="C10" s="6" t="inlineStr">
        <is>
          <t>Mac-Gray (Special Committee) / BofA Merrill Lynch</t>
        </is>
      </c>
      <c r="D10" s="6" t="inlineStr">
        <is>
          <t>Round opened</t>
        </is>
      </c>
      <c r="E10" s="5" t="n">
        <v>1</v>
      </c>
      <c r="F10" s="5" t="inlineStr">
        <is>
          <t>1</t>
        </is>
      </c>
      <c r="G10" s="6" t="n"/>
      <c r="H10" s="6" t="inlineStr">
        <is>
          <t>R1 anchor: 06/24/2013 Special Committee determination to approach 50 parties, including CSC/Pamplona and Party A (the decision that launched outreach; contacts reported underway by the 06/28/2013 Transaction Committee call, within about a week) (R009). Other candidate: the 04/05/2013 Board authorization (R001) — rejected as an exploratory mandate rather than the launch of the solicitation. Objective: solicit preliminary indications of interest. Population: 50 parties (15 strategic, 35 financial). Deadline: preliminary IOIs by 07/23/2013 (R015). Finality: Not final — preliminary, non-binding indications.</t>
        </is>
      </c>
      <c r="I10" s="5" t="n"/>
      <c r="J10" s="5" t="n"/>
      <c r="K10" s="6" t="inlineStr">
        <is>
          <t>Stated: the Special Committee "determined to approach a total of " "50 parties, including CSC and Pamplona, who together we refer to as CSC/Pamplona, and Party A, to solicit potential interest in a transaction with Mac-Gray, 15 of which were potential strategic buyers and 35 of which were potential financial buyers" (p.32); "BofA Merrill Lynch summarized the contacts they had had with certain of the potential bidders" on 06/28/2013 (p.32).</t>
        </is>
      </c>
      <c r="L10" s="7" t="inlineStr">
        <is>
          <t>P-0506; X-020; P-0510</t>
        </is>
      </c>
      <c r="M10" s="5" t="inlineStr">
        <is>
          <t>Q1</t>
        </is>
      </c>
      <c r="N10" s="6" t="n"/>
      <c r="O10" s="5" t="inlineStr">
        <is>
          <t>R008</t>
        </is>
      </c>
      <c r="P10" s="5" t="inlineStr">
        <is>
          <t>Yes</t>
        </is>
      </c>
      <c r="Q10" s="5" t="n"/>
      <c r="R10" s="8" t="n">
        <v>41449</v>
      </c>
      <c r="S10" s="8" t="n">
        <v>41449</v>
      </c>
      <c r="T10" s="8" t="n">
        <v>41449</v>
      </c>
      <c r="U10" s="5" t="inlineStr">
        <is>
          <t>Reported day</t>
        </is>
      </c>
      <c r="V10" s="5" t="inlineStr">
        <is>
          <t>Assigned: decision day</t>
        </is>
      </c>
      <c r="W10" s="6" t="n"/>
      <c r="X10" s="6" t="n"/>
      <c r="Y10" s="5" t="n"/>
      <c r="Z10" s="5" t="n"/>
      <c r="AA10" s="5" t="n"/>
      <c r="AB10" s="5" t="n"/>
      <c r="AC10" s="6" t="n"/>
      <c r="AD10" s="6" t="n"/>
      <c r="AE10" s="9" t="n"/>
      <c r="AF10" s="5" t="n"/>
      <c r="AG10" s="5" t="inlineStr">
        <is>
          <t>Not final</t>
        </is>
      </c>
      <c r="AH10" s="5" t="n"/>
      <c r="AI10" s="6" t="n"/>
      <c r="AJ10" s="5" t="n"/>
      <c r="AK10" s="5" t="n">
        <v>32</v>
      </c>
      <c r="AL10" s="6" t="n"/>
      <c r="AM10" s="6" t="inlineStr">
        <is>
          <t>Mac-Gray</t>
        </is>
      </c>
    </row>
    <row r="11">
      <c r="A11" s="5" t="n">
        <v>9</v>
      </c>
      <c r="B11" s="6" t="inlineStr">
        <is>
          <t>late June–August 2013</t>
        </is>
      </c>
      <c r="C11" s="6" t="inlineStr">
        <is>
          <t>BofA Merrill Lynch / 50 potential buyers (15 strategic; 35 financial)</t>
        </is>
      </c>
      <c r="D11" s="6" t="inlineStr">
        <is>
          <t>Contact</t>
        </is>
      </c>
      <c r="E11" s="5" t="n">
        <v>1</v>
      </c>
      <c r="F11" s="5" t="inlineStr">
        <is>
          <t>1</t>
        </is>
      </c>
      <c r="G11" s="6" t="n"/>
      <c r="H11" s="6" t="inlineStr">
        <is>
          <t>First solicitation wave: BofA Merrill Lynch, at the Special Committee’s direction, contacted the 50 identified strategic and financial parties (including CSC/Pamplona and Party A) over the following weeks. Direction: target-side. Later individual contacts (Party A 04/08/2013, R002) are separate events; Party A is also within the 50.</t>
        </is>
      </c>
      <c r="I11" s="5" t="n"/>
      <c r="J11" s="5" t="n"/>
      <c r="K11" s="6" t="inlineStr">
        <is>
          <t>Stated: "During the next several weeks, in accordance with the directives of the Special Committee, BofA Merrill Lynch contacted the strategic and financial parties identified at the June 24th Special Committee meeting." (p.32) Working date is the first supported bound of the contact period (the 06/24/2013 decision).</t>
        </is>
      </c>
      <c r="L11" s="7" t="inlineStr">
        <is>
          <t>P-0506; P-0509</t>
        </is>
      </c>
      <c r="M11" s="5" t="inlineStr">
        <is>
          <t>Q3</t>
        </is>
      </c>
      <c r="N11" s="6" t="n"/>
      <c r="O11" s="5" t="inlineStr">
        <is>
          <t>R009</t>
        </is>
      </c>
      <c r="P11" s="5" t="inlineStr">
        <is>
          <t>Yes</t>
        </is>
      </c>
      <c r="Q11" s="5" t="n">
        <v>50</v>
      </c>
      <c r="R11" s="8" t="n">
        <v>41449</v>
      </c>
      <c r="S11" s="9" t="n"/>
      <c r="T11" s="8" t="n">
        <v>41449</v>
      </c>
      <c r="U11" s="5" t="inlineStr">
        <is>
          <t>Relative only</t>
        </is>
      </c>
      <c r="V11" s="5" t="inlineStr">
        <is>
          <t>Assigned: bound</t>
        </is>
      </c>
      <c r="W11" s="6" t="n"/>
      <c r="X11" s="6" t="n"/>
      <c r="Y11" s="5" t="n"/>
      <c r="Z11" s="5" t="n"/>
      <c r="AA11" s="5" t="n"/>
      <c r="AB11" s="5" t="n"/>
      <c r="AC11" s="6" t="n"/>
      <c r="AD11" s="6" t="n"/>
      <c r="AE11" s="9" t="n"/>
      <c r="AF11" s="5" t="n"/>
      <c r="AG11" s="5" t="n"/>
      <c r="AH11" s="5" t="n"/>
      <c r="AI11" s="6" t="n"/>
      <c r="AJ11" s="5" t="n"/>
      <c r="AK11" s="5" t="n">
        <v>32</v>
      </c>
      <c r="AL11" s="6" t="n"/>
      <c r="AM11" s="6" t="inlineStr">
        <is>
          <t>Mac-Gray</t>
        </is>
      </c>
    </row>
    <row r="12">
      <c r="A12" s="5" t="n">
        <v>10</v>
      </c>
      <c r="B12" s="6" t="inlineStr">
        <is>
          <t>late June–August 2013; dates not disclosed</t>
        </is>
      </c>
      <c r="C12" s="6" t="inlineStr">
        <is>
          <t>16 financial NDA signers (residual cohort)</t>
        </is>
      </c>
      <c r="D12" s="6" t="inlineStr">
        <is>
          <t>NDA signed</t>
        </is>
      </c>
      <c r="E12" s="5" t="n">
        <v>1</v>
      </c>
      <c r="F12" s="5" t="inlineStr">
        <is>
          <t>1</t>
        </is>
      </c>
      <c r="G12" s="6" t="inlineStr">
        <is>
          <t>Financial</t>
        </is>
      </c>
      <c r="H12" s="6" t="inlineStr">
        <is>
          <t>Residual financial signer cohort: 18 financial bidders signed confidentiality and standstill agreements (with customary standstill and sunset provisions); Party B and Party C are individually recorded, leaving these 16. No individual signature dates are disclosed; all received the informational package.</t>
        </is>
      </c>
      <c r="I12" s="5" t="n"/>
      <c r="J12" s="5" t="n"/>
      <c r="K12" s="6" t="inlineStr">
        <is>
          <t>Stated: "a total of 20 potential bidders, including two strategic bidders (Party A and CSC/Pamplona) and 18 financial bidders (including Party B and Party C), entered into confidentiality agreements with Mac-Gray" (p.32). Calculated disjoint residual: 18 financial signers − Party B − Party C = 16. Working date is the first supported bound of the signing period.</t>
        </is>
      </c>
      <c r="L12" s="7" t="inlineStr">
        <is>
          <t>P-0509</t>
        </is>
      </c>
      <c r="M12" s="5" t="inlineStr">
        <is>
          <t>Q3</t>
        </is>
      </c>
      <c r="N12" s="6" t="n"/>
      <c r="O12" s="5" t="inlineStr">
        <is>
          <t>R010</t>
        </is>
      </c>
      <c r="P12" s="5" t="inlineStr">
        <is>
          <t>Yes</t>
        </is>
      </c>
      <c r="Q12" s="5" t="n">
        <v>16</v>
      </c>
      <c r="R12" s="8" t="n">
        <v>41449</v>
      </c>
      <c r="S12" s="9" t="n"/>
      <c r="T12" s="8" t="n">
        <v>41449</v>
      </c>
      <c r="U12" s="5" t="inlineStr">
        <is>
          <t>Relative only</t>
        </is>
      </c>
      <c r="V12" s="5" t="inlineStr">
        <is>
          <t>Assigned: bound</t>
        </is>
      </c>
      <c r="W12" s="6" t="n"/>
      <c r="X12" s="6" t="n"/>
      <c r="Y12" s="5" t="n"/>
      <c r="Z12" s="5" t="n"/>
      <c r="AA12" s="5" t="n"/>
      <c r="AB12" s="5" t="n"/>
      <c r="AC12" s="6" t="n"/>
      <c r="AD12" s="6" t="n"/>
      <c r="AE12" s="9" t="n"/>
      <c r="AF12" s="5" t="n"/>
      <c r="AG12" s="5" t="n"/>
      <c r="AH12" s="5" t="n"/>
      <c r="AI12" s="6" t="n"/>
      <c r="AJ12" s="5" t="n"/>
      <c r="AK12" s="5" t="n">
        <v>32</v>
      </c>
      <c r="AL12" s="6" t="n"/>
      <c r="AM12" s="6" t="inlineStr">
        <is>
          <t>Mac-Gray</t>
        </is>
      </c>
    </row>
    <row r="13">
      <c r="A13" s="5" t="n">
        <v>11</v>
      </c>
      <c r="B13" s="6" t="inlineStr">
        <is>
          <t>06/28/2013</t>
        </is>
      </c>
      <c r="C13" s="6" t="inlineStr">
        <is>
          <t>Party B</t>
        </is>
      </c>
      <c r="D13" s="6" t="inlineStr">
        <is>
          <t>NDA signed</t>
        </is>
      </c>
      <c r="E13" s="5" t="n">
        <v>1</v>
      </c>
      <c r="F13" s="5" t="inlineStr">
        <is>
          <t>1</t>
        </is>
      </c>
      <c r="G13" s="6" t="inlineStr">
        <is>
          <t>Financial</t>
        </is>
      </c>
      <c r="H13" s="6" t="inlineStr">
        <is>
          <t>Party B entered a confidentiality and standstill agreement and was provided the informational package to formulate a preliminary indication of interest.</t>
        </is>
      </c>
      <c r="I13" s="5" t="n"/>
      <c r="J13" s="5" t="n"/>
      <c r="K13" s="6" t="inlineStr">
        <is>
          <t>Stated: "Later on June 28, 2013, Party B, entered into a confidentiality and standstill agreement with Mac-Gray and was provided with an informational package for the purpose of providing Party B with data to formulate a preliminary indication of interest." (p.32)</t>
        </is>
      </c>
      <c r="L13" s="7" t="inlineStr">
        <is>
          <t>P-0511</t>
        </is>
      </c>
      <c r="M13" s="5" t="inlineStr">
        <is>
          <t>Q3</t>
        </is>
      </c>
      <c r="N13" s="6" t="n"/>
      <c r="O13" s="5" t="inlineStr">
        <is>
          <t>R011</t>
        </is>
      </c>
      <c r="P13" s="5" t="inlineStr">
        <is>
          <t>Yes</t>
        </is>
      </c>
      <c r="Q13" s="5" t="n">
        <v>1</v>
      </c>
      <c r="R13" s="8" t="n">
        <v>41453</v>
      </c>
      <c r="S13" s="8" t="n">
        <v>41453</v>
      </c>
      <c r="T13" s="8" t="n">
        <v>41453</v>
      </c>
      <c r="U13" s="5" t="inlineStr">
        <is>
          <t>Reported day</t>
        </is>
      </c>
      <c r="V13" s="5" t="inlineStr">
        <is>
          <t>Reported</t>
        </is>
      </c>
      <c r="W13" s="6" t="n"/>
      <c r="X13" s="6" t="n"/>
      <c r="Y13" s="5" t="n"/>
      <c r="Z13" s="5" t="n"/>
      <c r="AA13" s="5" t="n"/>
      <c r="AB13" s="5" t="n"/>
      <c r="AC13" s="6" t="n"/>
      <c r="AD13" s="6" t="n"/>
      <c r="AE13" s="9" t="n"/>
      <c r="AF13" s="5" t="n"/>
      <c r="AG13" s="5" t="n"/>
      <c r="AH13" s="5" t="n"/>
      <c r="AI13" s="6" t="n"/>
      <c r="AJ13" s="5" t="n"/>
      <c r="AK13" s="5" t="n">
        <v>32</v>
      </c>
      <c r="AL13" s="6" t="n"/>
      <c r="AM13" s="6" t="inlineStr">
        <is>
          <t>Mac-Gray</t>
        </is>
      </c>
    </row>
    <row r="14">
      <c r="A14" s="5" t="n">
        <v>12</v>
      </c>
      <c r="B14" s="6" t="inlineStr">
        <is>
          <t>06/30/2013</t>
        </is>
      </c>
      <c r="C14" s="6" t="inlineStr">
        <is>
          <t>Party C</t>
        </is>
      </c>
      <c r="D14" s="6" t="inlineStr">
        <is>
          <t>NDA signed</t>
        </is>
      </c>
      <c r="E14" s="5" t="n">
        <v>1</v>
      </c>
      <c r="F14" s="5" t="inlineStr">
        <is>
          <t>1</t>
        </is>
      </c>
      <c r="G14" s="6" t="inlineStr">
        <is>
          <t>Financial</t>
        </is>
      </c>
      <c r="H14" s="6" t="inlineStr">
        <is>
          <t>Party C entered a confidentiality and standstill agreement and was provided the informational package.</t>
        </is>
      </c>
      <c r="I14" s="5" t="n"/>
      <c r="J14" s="5" t="n"/>
      <c r="K14" s="6" t="inlineStr">
        <is>
          <t>Stated: "On June 30, 2013, Party C entered into a confidentiality and standstill agreement with Mac-Gray and was provided with an informational package for the purpose of providing Party C with data to formulate a preliminary indication of interest." (p.32)</t>
        </is>
      </c>
      <c r="L14" s="7" t="inlineStr">
        <is>
          <t>P-0512</t>
        </is>
      </c>
      <c r="M14" s="5" t="inlineStr">
        <is>
          <t>Q3</t>
        </is>
      </c>
      <c r="N14" s="6" t="n"/>
      <c r="O14" s="5" t="inlineStr">
        <is>
          <t>R012</t>
        </is>
      </c>
      <c r="P14" s="5" t="inlineStr">
        <is>
          <t>Yes</t>
        </is>
      </c>
      <c r="Q14" s="5" t="n">
        <v>1</v>
      </c>
      <c r="R14" s="8" t="n">
        <v>41455</v>
      </c>
      <c r="S14" s="8" t="n">
        <v>41455</v>
      </c>
      <c r="T14" s="8" t="n">
        <v>41455</v>
      </c>
      <c r="U14" s="5" t="inlineStr">
        <is>
          <t>Reported day</t>
        </is>
      </c>
      <c r="V14" s="5" t="inlineStr">
        <is>
          <t>Reported</t>
        </is>
      </c>
      <c r="W14" s="6" t="n"/>
      <c r="X14" s="6" t="n"/>
      <c r="Y14" s="5" t="n"/>
      <c r="Z14" s="5" t="n"/>
      <c r="AA14" s="5" t="n"/>
      <c r="AB14" s="5" t="n"/>
      <c r="AC14" s="6" t="n"/>
      <c r="AD14" s="6" t="n"/>
      <c r="AE14" s="9" t="n"/>
      <c r="AF14" s="5" t="n"/>
      <c r="AG14" s="5" t="n"/>
      <c r="AH14" s="5" t="n"/>
      <c r="AI14" s="6" t="n"/>
      <c r="AJ14" s="5" t="n"/>
      <c r="AK14" s="5" t="n">
        <v>32</v>
      </c>
      <c r="AL14" s="6" t="n"/>
      <c r="AM14" s="6" t="inlineStr">
        <is>
          <t>Mac-Gray</t>
        </is>
      </c>
    </row>
    <row r="15">
      <c r="A15" s="5" t="n">
        <v>13</v>
      </c>
      <c r="B15" s="6" t="inlineStr">
        <is>
          <t>07/06/2013</t>
        </is>
      </c>
      <c r="C15" s="6" t="inlineStr">
        <is>
          <t>Moab Partners, L.P. / CSC/Pamplona</t>
        </is>
      </c>
      <c r="D15" s="6" t="inlineStr">
        <is>
          <t>Material process update</t>
        </is>
      </c>
      <c r="E15" s="5" t="n">
        <v>1</v>
      </c>
      <c r="F15" s="5" t="inlineStr">
        <is>
          <t>1</t>
        </is>
      </c>
      <c r="G15" s="6" t="n"/>
      <c r="H15" s="6" t="inlineStr">
        <is>
          <t>Rollover relationship denied at this stage: the Special Committee declined to let Moab partner exclusively with CSC/Pamplona for equity-rollover discussions (requested 07/03/2013 through Mr. Rothenberg and Pamplona) so that Moab’s shares could remain available as capital to other bidders; the Committee said such discussions would be permitted at a later stage.</t>
        </is>
      </c>
      <c r="I15" s="5" t="n"/>
      <c r="J15" s="5" t="n"/>
      <c r="K15" s="6" t="inlineStr">
        <is>
          <t>Stated: "the Special Committee decided to deny the exclusivity request at this stage of the process so that the potential equity rollover of Moab’s shares could be available as a source of capital for other potential bidders." and "it was premature for Mac-Gray to permit Moab to engage in equity rollover discussions with any party, including CSC/Pamplona, but that such discussions would be permitted at a later stage of the sale process." (p.33)</t>
        </is>
      </c>
      <c r="L15" s="7" t="inlineStr">
        <is>
          <t>P-0513; P-0514; P-0516</t>
        </is>
      </c>
      <c r="M15" s="5" t="inlineStr">
        <is>
          <t>Q8</t>
        </is>
      </c>
      <c r="N15" s="6" t="n"/>
      <c r="O15" s="5" t="inlineStr">
        <is>
          <t>R013</t>
        </is>
      </c>
      <c r="P15" s="5" t="inlineStr">
        <is>
          <t>Yes</t>
        </is>
      </c>
      <c r="Q15" s="5" t="n"/>
      <c r="R15" s="8" t="n">
        <v>41461</v>
      </c>
      <c r="S15" s="8" t="n">
        <v>41461</v>
      </c>
      <c r="T15" s="8" t="n">
        <v>41461</v>
      </c>
      <c r="U15" s="5" t="inlineStr">
        <is>
          <t>Reported day</t>
        </is>
      </c>
      <c r="V15" s="5" t="inlineStr">
        <is>
          <t>Reported</t>
        </is>
      </c>
      <c r="W15" s="6" t="n"/>
      <c r="X15" s="6" t="n"/>
      <c r="Y15" s="5" t="n"/>
      <c r="Z15" s="5" t="n"/>
      <c r="AA15" s="5" t="n"/>
      <c r="AB15" s="5" t="n"/>
      <c r="AC15" s="6" t="n"/>
      <c r="AD15" s="6" t="n"/>
      <c r="AE15" s="9" t="n"/>
      <c r="AF15" s="5" t="n"/>
      <c r="AG15" s="5" t="n"/>
      <c r="AH15" s="5" t="n"/>
      <c r="AI15" s="6" t="n"/>
      <c r="AJ15" s="5" t="n"/>
      <c r="AK15" s="5" t="n">
        <v>33</v>
      </c>
      <c r="AL15" s="6" t="n"/>
      <c r="AM15" s="6" t="inlineStr">
        <is>
          <t>Mac-Gray</t>
        </is>
      </c>
    </row>
    <row r="16">
      <c r="A16" s="5" t="n">
        <v>14</v>
      </c>
      <c r="B16" s="6" t="inlineStr">
        <is>
          <t>07/11/2013</t>
        </is>
      </c>
      <c r="C16" s="6" t="inlineStr">
        <is>
          <t>CSC/Pamplona</t>
        </is>
      </c>
      <c r="D16" s="6" t="inlineStr">
        <is>
          <t>NDA signed</t>
        </is>
      </c>
      <c r="E16" s="5" t="n">
        <v>1</v>
      </c>
      <c r="F16" s="5" t="inlineStr">
        <is>
          <t>1</t>
        </is>
      </c>
      <c r="G16" s="6" t="inlineStr">
        <is>
          <t>Strategic</t>
        </is>
      </c>
      <c r="H16" s="6" t="inlineStr">
        <is>
          <t>CSC/Pamplona entered a confidentiality and standstill agreement and was provided the informational package.</t>
        </is>
      </c>
      <c r="I16" s="5" t="n"/>
      <c r="J16" s="5" t="n"/>
      <c r="K16" s="6" t="inlineStr">
        <is>
          <t>Stated: "On July 11, 2013, CSC/Pamplona entered into a confidentiality and standstill agreement with Mac-Gray and were provided with an informational package for the purpose of providing CSC/Pamplona with data to formulate a preliminary indication of interest." (p.33)</t>
        </is>
      </c>
      <c r="L16" s="7" t="inlineStr">
        <is>
          <t>P-0517</t>
        </is>
      </c>
      <c r="M16" s="5" t="inlineStr">
        <is>
          <t>Q3</t>
        </is>
      </c>
      <c r="N16" s="6" t="n"/>
      <c r="O16" s="5" t="inlineStr">
        <is>
          <t>R014</t>
        </is>
      </c>
      <c r="P16" s="5" t="inlineStr">
        <is>
          <t>Yes</t>
        </is>
      </c>
      <c r="Q16" s="5" t="n">
        <v>1</v>
      </c>
      <c r="R16" s="8" t="n">
        <v>41466</v>
      </c>
      <c r="S16" s="8" t="n">
        <v>41466</v>
      </c>
      <c r="T16" s="8" t="n">
        <v>41466</v>
      </c>
      <c r="U16" s="5" t="inlineStr">
        <is>
          <t>Reported day</t>
        </is>
      </c>
      <c r="V16" s="5" t="inlineStr">
        <is>
          <t>Reported</t>
        </is>
      </c>
      <c r="W16" s="6" t="n"/>
      <c r="X16" s="6" t="n"/>
      <c r="Y16" s="5" t="n"/>
      <c r="Z16" s="5" t="n"/>
      <c r="AA16" s="5" t="n"/>
      <c r="AB16" s="5" t="n"/>
      <c r="AC16" s="6" t="n"/>
      <c r="AD16" s="6" t="n"/>
      <c r="AE16" s="9" t="n"/>
      <c r="AF16" s="5" t="n"/>
      <c r="AG16" s="5" t="n"/>
      <c r="AH16" s="5" t="n"/>
      <c r="AI16" s="6" t="n"/>
      <c r="AJ16" s="5" t="n"/>
      <c r="AK16" s="5" t="n">
        <v>33</v>
      </c>
      <c r="AL16" s="6" t="n"/>
      <c r="AM16" s="6" t="inlineStr">
        <is>
          <t>Mac-Gray</t>
        </is>
      </c>
    </row>
    <row r="17">
      <c r="A17" s="5" t="n">
        <v>15</v>
      </c>
      <c r="B17" s="6" t="inlineStr">
        <is>
          <t>by 07/23/2013 (communication day not disclosed)</t>
        </is>
      </c>
      <c r="C17" s="6" t="inlineStr">
        <is>
          <t>Mac-Gray / BofA Merrill Lynch</t>
        </is>
      </c>
      <c r="D17" s="6" t="inlineStr">
        <is>
          <t>Deadline set</t>
        </is>
      </c>
      <c r="E17" s="5" t="n">
        <v>1</v>
      </c>
      <c r="F17" s="5" t="inlineStr">
        <is>
          <t>1</t>
        </is>
      </c>
      <c r="G17" s="6" t="n"/>
      <c r="H17" s="6" t="inlineStr">
        <is>
          <t>NDA signers furnished an informational package and instructed to submit preliminary indications of interest by 07/23/2013, addressing valuation, sources and structures of financing, material conditions including required approvals, and focus areas for due diligence. Individual communication dates are not disclosed; Working date is the only supported bound.</t>
        </is>
      </c>
      <c r="I17" s="5" t="n"/>
      <c r="J17" s="5" t="n"/>
      <c r="K17" s="6" t="inlineStr">
        <is>
          <t>Stated: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The letter requested that the proposals address, among other things, valuation, sources and structures of financing, material conditions, including required approvals, and focus areas for due diligence." (p.32)</t>
        </is>
      </c>
      <c r="L17" s="7" t="inlineStr">
        <is>
          <t>P-0509</t>
        </is>
      </c>
      <c r="M17" s="5" t="inlineStr">
        <is>
          <t>Q2; Q7</t>
        </is>
      </c>
      <c r="N17" s="6" t="n"/>
      <c r="O17" s="5" t="inlineStr">
        <is>
          <t>R015</t>
        </is>
      </c>
      <c r="P17" s="5" t="inlineStr">
        <is>
          <t>Yes</t>
        </is>
      </c>
      <c r="Q17" s="5" t="n"/>
      <c r="R17" s="9" t="n"/>
      <c r="S17" s="8" t="n">
        <v>41478</v>
      </c>
      <c r="T17" s="8" t="n">
        <v>41478</v>
      </c>
      <c r="U17" s="5" t="inlineStr">
        <is>
          <t>Relative only</t>
        </is>
      </c>
      <c r="V17" s="5" t="inlineStr">
        <is>
          <t>Assigned: bound</t>
        </is>
      </c>
      <c r="W17" s="6" t="n"/>
      <c r="X17" s="6" t="n"/>
      <c r="Y17" s="5" t="n"/>
      <c r="Z17" s="5" t="n"/>
      <c r="AA17" s="5" t="n"/>
      <c r="AB17" s="5" t="n"/>
      <c r="AC17" s="6" t="n"/>
      <c r="AD17" s="6" t="n"/>
      <c r="AE17" s="9" t="n"/>
      <c r="AF17" s="5" t="n"/>
      <c r="AG17" s="5" t="n"/>
      <c r="AH17" s="5" t="n"/>
      <c r="AI17" s="6" t="n"/>
      <c r="AJ17" s="5" t="n"/>
      <c r="AK17" s="5" t="n">
        <v>32</v>
      </c>
      <c r="AL17" s="6" t="n"/>
      <c r="AM17" s="6" t="inlineStr">
        <is>
          <t>Mac-Gray</t>
        </is>
      </c>
    </row>
    <row r="18">
      <c r="A18" s="5" t="n">
        <v>16</v>
      </c>
      <c r="B18" s="6" t="inlineStr">
        <is>
          <t>07/23/2013</t>
        </is>
      </c>
      <c r="C18" s="6" t="inlineStr">
        <is>
          <t>Mac-Gray / BofA Merrill Lynch</t>
        </is>
      </c>
      <c r="D18" s="6" t="inlineStr">
        <is>
          <t>Deadline</t>
        </is>
      </c>
      <c r="E18" s="5" t="n">
        <v>1</v>
      </c>
      <c r="F18" s="5" t="inlineStr">
        <is>
          <t>1</t>
        </is>
      </c>
      <c r="G18" s="6" t="n"/>
      <c r="H18" s="6" t="inlineStr">
        <is>
          <t>Preliminary IOI due date reached. Treatment: Late bids accepted — Party B’s written IOI and Party C’s oral IOI arrived 07/24/2013 and Party C’s written indication 07/25/2013; all were reviewed at the 07/25/2013 Board/Special Committee meeting. No extension is reported.</t>
        </is>
      </c>
      <c r="I18" s="5" t="n"/>
      <c r="J18" s="5" t="n"/>
      <c r="K18" s="6" t="inlineStr">
        <is>
          <t>Stated: "On July 23, 2013, CSC/Pamplona submitted a preliminary indication of interest at an all-cash purchase price of $18.50 per share." "On July 24, 2013, Party B submitted a preliminary indication of interest at an all-cash purchase price of $17.00 to $18.00 per share." "Also on July 24, 2013, representatives from Party C called BofA Merrill Lynch and presented an oral preliminary indication of interest at an all-cash purchase price of $15.00 to $17.00 per share." "Later on July 25, 2013, Party C submitted a written indication of interest at an all-cash purchase price of $16.00 to $16.50 per share." (pp.33–34); all were reviewed on 07/25/2013 (p.33).</t>
        </is>
      </c>
      <c r="L18" s="7" t="inlineStr">
        <is>
          <t>P-0519; P-0520; P-0521; P-0525</t>
        </is>
      </c>
      <c r="M18" s="5" t="inlineStr">
        <is>
          <t>Q2</t>
        </is>
      </c>
      <c r="N18" s="6" t="n"/>
      <c r="O18" s="5" t="inlineStr">
        <is>
          <t>R016</t>
        </is>
      </c>
      <c r="P18" s="5" t="inlineStr">
        <is>
          <t>Yes</t>
        </is>
      </c>
      <c r="Q18" s="5" t="n"/>
      <c r="R18" s="8" t="n">
        <v>41478</v>
      </c>
      <c r="S18" s="8" t="n">
        <v>41478</v>
      </c>
      <c r="T18" s="8" t="n">
        <v>41478</v>
      </c>
      <c r="U18" s="5" t="inlineStr">
        <is>
          <t>Reported day</t>
        </is>
      </c>
      <c r="V18" s="5" t="inlineStr">
        <is>
          <t>Reported</t>
        </is>
      </c>
      <c r="W18" s="6" t="n"/>
      <c r="X18" s="6" t="n"/>
      <c r="Y18" s="5" t="n"/>
      <c r="Z18" s="5" t="n"/>
      <c r="AA18" s="5" t="n"/>
      <c r="AB18" s="5" t="n"/>
      <c r="AC18" s="6" t="n"/>
      <c r="AD18" s="6" t="n"/>
      <c r="AE18" s="8" t="n">
        <v>41478</v>
      </c>
      <c r="AF18" s="5" t="inlineStr">
        <is>
          <t>Late bids accepted</t>
        </is>
      </c>
      <c r="AG18" s="5" t="n"/>
      <c r="AH18" s="5" t="n"/>
      <c r="AI18" s="6" t="n"/>
      <c r="AJ18" s="5" t="n"/>
      <c r="AK18" s="5" t="n">
        <v>33</v>
      </c>
      <c r="AL18" s="6" t="n"/>
      <c r="AM18" s="6" t="inlineStr">
        <is>
          <t>Mac-Gray</t>
        </is>
      </c>
    </row>
    <row r="19">
      <c r="A19" s="5" t="n">
        <v>17</v>
      </c>
      <c r="B19" s="6" t="inlineStr">
        <is>
          <t>07/23/2013</t>
        </is>
      </c>
      <c r="C19" s="6" t="inlineStr">
        <is>
          <t>CSC/Pamplona</t>
        </is>
      </c>
      <c r="D19" s="6" t="inlineStr">
        <is>
          <t>Bid</t>
        </is>
      </c>
      <c r="E19" s="5" t="n">
        <v>1</v>
      </c>
      <c r="F19" s="5" t="inlineStr">
        <is>
          <t>1</t>
        </is>
      </c>
      <c r="G19" s="6" t="inlineStr">
        <is>
          <t>Strategic</t>
        </is>
      </c>
      <c r="H19" s="6" t="inlineStr">
        <is>
          <t>Preliminary indication of interest at $18.50 per share, all cash. CSC/Pamplona emphasized minimal expected business and legal diligence given familiarity with Mac-Gray. No financing or other conditions stated.</t>
        </is>
      </c>
      <c r="I19" s="5" t="inlineStr">
        <is>
          <t>Informal</t>
        </is>
      </c>
      <c r="J19" s="5" t="inlineStr">
        <is>
          <t>Heavy</t>
        </is>
      </c>
      <c r="K19" s="6" t="inlineStr">
        <is>
          <t>Stated: "On July 23, 2013, CSC/Pamplona submitted a preliminary indication of interest at an all-cash purchase price of $18.50 per share." (p.33) Formality: Informal — preliminary indication, no transaction-document markup. Conditions: Heavy by context — made before substantive diligence access (data site opened 08/06/2013).</t>
        </is>
      </c>
      <c r="L19" s="7" t="inlineStr">
        <is>
          <t>P-0519; P-0510</t>
        </is>
      </c>
      <c r="M19" s="5" t="inlineStr">
        <is>
          <t>Q5; Q6</t>
        </is>
      </c>
      <c r="N19" s="6" t="n"/>
      <c r="O19" s="5" t="inlineStr">
        <is>
          <t>R017</t>
        </is>
      </c>
      <c r="P19" s="5" t="inlineStr">
        <is>
          <t>Yes</t>
        </is>
      </c>
      <c r="Q19" s="5" t="n">
        <v>1</v>
      </c>
      <c r="R19" s="8" t="n">
        <v>41478</v>
      </c>
      <c r="S19" s="8" t="n">
        <v>41478</v>
      </c>
      <c r="T19" s="8" t="n">
        <v>41478</v>
      </c>
      <c r="U19" s="5" t="inlineStr">
        <is>
          <t>Reported day</t>
        </is>
      </c>
      <c r="V19" s="5" t="inlineStr">
        <is>
          <t>Reported</t>
        </is>
      </c>
      <c r="W19" s="6" t="n">
        <v>18.5</v>
      </c>
      <c r="X19" s="6" t="n">
        <v>18.5</v>
      </c>
      <c r="Y19" s="5" t="inlineStr">
        <is>
          <t>Point</t>
        </is>
      </c>
      <c r="Z19" s="5" t="inlineStr">
        <is>
          <t>Stated</t>
        </is>
      </c>
      <c r="AA19" s="5" t="inlineStr">
        <is>
          <t>USD</t>
        </is>
      </c>
      <c r="AB19" s="5" t="inlineStr">
        <is>
          <t>Yes</t>
        </is>
      </c>
      <c r="AC19" s="6" t="n"/>
      <c r="AD19" s="6" t="inlineStr">
        <is>
          <t>Fin: not stated; DD required: not stated; DD open: no; Excl: not stated</t>
        </is>
      </c>
      <c r="AE19" s="9" t="n"/>
      <c r="AF19" s="5" t="n"/>
      <c r="AG19" s="5" t="n"/>
      <c r="AH19" s="5" t="n"/>
      <c r="AI19" s="6" t="n"/>
      <c r="AJ19" s="5" t="n"/>
      <c r="AK19" s="5" t="n">
        <v>33</v>
      </c>
      <c r="AL19" s="6" t="n"/>
      <c r="AM19" s="6" t="inlineStr">
        <is>
          <t>Mac-Gray</t>
        </is>
      </c>
    </row>
    <row r="20">
      <c r="A20" s="5" t="n">
        <v>18</v>
      </c>
      <c r="B20" s="6" t="inlineStr">
        <is>
          <t>by 07/23/2013</t>
        </is>
      </c>
      <c r="C20" s="6" t="inlineStr">
        <is>
          <t>16 financial NDA signers (inferred residual)</t>
        </is>
      </c>
      <c r="D20" s="6" t="inlineStr">
        <is>
          <t>Did not submit</t>
        </is>
      </c>
      <c r="E20" s="5" t="n">
        <v>1</v>
      </c>
      <c r="F20" s="5" t="inlineStr">
        <is>
          <t>1</t>
        </is>
      </c>
      <c r="G20" s="6" t="inlineStr">
        <is>
          <t>Financial</t>
        </is>
      </c>
      <c r="H20" s="6" t="inlineStr">
        <is>
          <t>Inferred: residual -- 18 financial NDA signers − Party B − Party C = 16 non-submitters at the preliminary-IOI deadline. The filing names no IOI from any other financial signer; agency is unknown and no notice or reason is reported.</t>
        </is>
      </c>
      <c r="I20" s="5" t="n"/>
      <c r="J20" s="5" t="n"/>
      <c r="K20" s="6" t="inlineStr">
        <is>
          <t>Calculated from "18 financial bidders (including Party B and Party C), entered into confidentiality agreements" (p.32) and the three preliminary indications from CSC/Pamplona, Party B and Party C (pp.33–34). Inferred closing at the solicitation due date.</t>
        </is>
      </c>
      <c r="L20" s="7" t="inlineStr">
        <is>
          <t>P-0509; P-0519; P-0520; P-0525</t>
        </is>
      </c>
      <c r="M20" s="5" t="inlineStr">
        <is>
          <t>Q3; Q4</t>
        </is>
      </c>
      <c r="N20" s="6" t="n"/>
      <c r="O20" s="5" t="inlineStr">
        <is>
          <t>R018</t>
        </is>
      </c>
      <c r="P20" s="5" t="inlineStr">
        <is>
          <t>Yes</t>
        </is>
      </c>
      <c r="Q20" s="5" t="n">
        <v>16</v>
      </c>
      <c r="R20" s="9" t="n"/>
      <c r="S20" s="8" t="n">
        <v>41478</v>
      </c>
      <c r="T20" s="8" t="n">
        <v>41478</v>
      </c>
      <c r="U20" s="5" t="inlineStr">
        <is>
          <t>Relative only</t>
        </is>
      </c>
      <c r="V20" s="5" t="inlineStr">
        <is>
          <t>Assigned: deadline</t>
        </is>
      </c>
      <c r="W20" s="6" t="n"/>
      <c r="X20" s="6" t="n"/>
      <c r="Y20" s="5" t="n"/>
      <c r="Z20" s="5" t="n"/>
      <c r="AA20" s="5" t="n"/>
      <c r="AB20" s="5" t="n"/>
      <c r="AC20" s="6" t="n"/>
      <c r="AD20" s="6" t="n"/>
      <c r="AE20" s="9" t="n"/>
      <c r="AF20" s="5" t="n"/>
      <c r="AG20" s="5" t="n"/>
      <c r="AH20" s="5" t="inlineStr">
        <is>
          <t>Unknown</t>
        </is>
      </c>
      <c r="AI20" s="6" t="inlineStr">
        <is>
          <t>Not stated</t>
        </is>
      </c>
      <c r="AJ20" s="5" t="inlineStr">
        <is>
          <t>Inferred: residual</t>
        </is>
      </c>
      <c r="AK20" s="5" t="n">
        <v>32</v>
      </c>
      <c r="AL20" s="6" t="n"/>
      <c r="AM20" s="6" t="inlineStr">
        <is>
          <t>Mac-Gray</t>
        </is>
      </c>
    </row>
    <row r="21">
      <c r="A21" s="5" t="n">
        <v>19</v>
      </c>
      <c r="B21" s="6" t="inlineStr">
        <is>
          <t>07/24/2013</t>
        </is>
      </c>
      <c r="C21" s="6" t="inlineStr">
        <is>
          <t>Party B</t>
        </is>
      </c>
      <c r="D21" s="6" t="inlineStr">
        <is>
          <t>Bid</t>
        </is>
      </c>
      <c r="E21" s="5" t="n">
        <v>1</v>
      </c>
      <c r="F21" s="5" t="inlineStr">
        <is>
          <t>1</t>
        </is>
      </c>
      <c r="G21" s="6" t="inlineStr">
        <is>
          <t>Financial</t>
        </is>
      </c>
      <c r="H21" s="6" t="inlineStr">
        <is>
          <t>Preliminary indication of interest at an all-cash price of $17.00 to $18.00 per share.</t>
        </is>
      </c>
      <c r="I21" s="5" t="inlineStr">
        <is>
          <t>Informal</t>
        </is>
      </c>
      <c r="J21" s="5" t="inlineStr">
        <is>
          <t>Heavy</t>
        </is>
      </c>
      <c r="K21" s="6" t="inlineStr">
        <is>
          <t>Stated: "On July 24, 2013, Party B submitted a preliminary indication of interest at an all-cash purchase price of $17.00 to $18.00 per share." (p.33) Formality: Informal — preliminary indication. Conditions: Heavy by context — before substantive diligence access.</t>
        </is>
      </c>
      <c r="L21" s="7" t="inlineStr">
        <is>
          <t>P-0520</t>
        </is>
      </c>
      <c r="M21" s="5" t="inlineStr">
        <is>
          <t>Q5; Q6</t>
        </is>
      </c>
      <c r="N21" s="6" t="n"/>
      <c r="O21" s="5" t="inlineStr">
        <is>
          <t>R019</t>
        </is>
      </c>
      <c r="P21" s="5" t="inlineStr">
        <is>
          <t>Yes</t>
        </is>
      </c>
      <c r="Q21" s="5" t="n">
        <v>1</v>
      </c>
      <c r="R21" s="8" t="n">
        <v>41479</v>
      </c>
      <c r="S21" s="8" t="n">
        <v>41479</v>
      </c>
      <c r="T21" s="8" t="n">
        <v>41479</v>
      </c>
      <c r="U21" s="5" t="inlineStr">
        <is>
          <t>Reported day</t>
        </is>
      </c>
      <c r="V21" s="5" t="inlineStr">
        <is>
          <t>Reported</t>
        </is>
      </c>
      <c r="W21" s="6" t="n">
        <v>17</v>
      </c>
      <c r="X21" s="6" t="n">
        <v>18</v>
      </c>
      <c r="Y21" s="5" t="inlineStr">
        <is>
          <t>Bidder range</t>
        </is>
      </c>
      <c r="Z21" s="5" t="inlineStr">
        <is>
          <t>Stated</t>
        </is>
      </c>
      <c r="AA21" s="5" t="inlineStr">
        <is>
          <t>USD</t>
        </is>
      </c>
      <c r="AB21" s="5" t="inlineStr">
        <is>
          <t>Yes</t>
        </is>
      </c>
      <c r="AC21" s="6" t="n"/>
      <c r="AD21" s="6" t="inlineStr">
        <is>
          <t>Fin: not stated; DD required: not stated; DD open: no; Excl: not stated</t>
        </is>
      </c>
      <c r="AE21" s="9" t="n"/>
      <c r="AF21" s="5" t="n"/>
      <c r="AG21" s="5" t="n"/>
      <c r="AH21" s="5" t="n"/>
      <c r="AI21" s="6" t="n"/>
      <c r="AJ21" s="5" t="n"/>
      <c r="AK21" s="5" t="n">
        <v>33</v>
      </c>
      <c r="AL21" s="6" t="n"/>
      <c r="AM21" s="6" t="inlineStr">
        <is>
          <t>Mac-Gray</t>
        </is>
      </c>
    </row>
    <row r="22">
      <c r="A22" s="5" t="n">
        <v>20</v>
      </c>
      <c r="B22" s="6" t="inlineStr">
        <is>
          <t>07/24/2013</t>
        </is>
      </c>
      <c r="C22" s="6" t="inlineStr">
        <is>
          <t>Party C</t>
        </is>
      </c>
      <c r="D22" s="6" t="inlineStr">
        <is>
          <t>Bid</t>
        </is>
      </c>
      <c r="E22" s="5" t="n">
        <v>1</v>
      </c>
      <c r="F22" s="5" t="inlineStr">
        <is>
          <t>1</t>
        </is>
      </c>
      <c r="G22" s="6" t="inlineStr">
        <is>
          <t>Financial</t>
        </is>
      </c>
      <c r="H22" s="6" t="inlineStr">
        <is>
          <t>Oral preliminary indication of interest at an all-cash price of $15.00 to $17.00 per share, presented by telephone to BofA Merrill Lynch.</t>
        </is>
      </c>
      <c r="I22" s="5" t="inlineStr">
        <is>
          <t>Informal</t>
        </is>
      </c>
      <c r="J22" s="5" t="inlineStr">
        <is>
          <t>Heavy</t>
        </is>
      </c>
      <c r="K22" s="6" t="inlineStr">
        <is>
          <t>Stated: "Also on July 24, 2013, representatives from Party C called BofA Merrill Lynch and presented an oral preliminary indication of interest at an all-cash purchase price of $15.00 to $17.00 per share." (p.33) Formality: Informal — oral preliminary indication. Conditions: Heavy by context.</t>
        </is>
      </c>
      <c r="L22" s="7" t="inlineStr">
        <is>
          <t>P-0520</t>
        </is>
      </c>
      <c r="M22" s="5" t="inlineStr">
        <is>
          <t>Q5; Q6</t>
        </is>
      </c>
      <c r="N22" s="6" t="n"/>
      <c r="O22" s="5" t="inlineStr">
        <is>
          <t>R020</t>
        </is>
      </c>
      <c r="P22" s="5" t="inlineStr">
        <is>
          <t>Yes</t>
        </is>
      </c>
      <c r="Q22" s="5" t="n">
        <v>1</v>
      </c>
      <c r="R22" s="8" t="n">
        <v>41479</v>
      </c>
      <c r="S22" s="8" t="n">
        <v>41479</v>
      </c>
      <c r="T22" s="8" t="n">
        <v>41479</v>
      </c>
      <c r="U22" s="5" t="inlineStr">
        <is>
          <t>Reported day</t>
        </is>
      </c>
      <c r="V22" s="5" t="inlineStr">
        <is>
          <t>Reported</t>
        </is>
      </c>
      <c r="W22" s="6" t="n">
        <v>15</v>
      </c>
      <c r="X22" s="6" t="n">
        <v>17</v>
      </c>
      <c r="Y22" s="5" t="inlineStr">
        <is>
          <t>Bidder range</t>
        </is>
      </c>
      <c r="Z22" s="5" t="inlineStr">
        <is>
          <t>Stated</t>
        </is>
      </c>
      <c r="AA22" s="5" t="inlineStr">
        <is>
          <t>USD</t>
        </is>
      </c>
      <c r="AB22" s="5" t="inlineStr">
        <is>
          <t>Yes</t>
        </is>
      </c>
      <c r="AC22" s="6" t="n"/>
      <c r="AD22" s="6" t="inlineStr">
        <is>
          <t>Fin: not stated; DD required: not stated; DD open: no; Excl: not stated</t>
        </is>
      </c>
      <c r="AE22" s="9" t="n"/>
      <c r="AF22" s="5" t="n"/>
      <c r="AG22" s="5" t="n"/>
      <c r="AH22" s="5" t="n"/>
      <c r="AI22" s="6" t="n"/>
      <c r="AJ22" s="5" t="n"/>
      <c r="AK22" s="5" t="n">
        <v>33</v>
      </c>
      <c r="AL22" s="6" t="n"/>
      <c r="AM22" s="6" t="inlineStr">
        <is>
          <t>Mac-Gray</t>
        </is>
      </c>
    </row>
    <row r="23">
      <c r="A23" s="5" t="n">
        <v>21</v>
      </c>
      <c r="B23" s="6" t="inlineStr">
        <is>
          <t>07/25/2013</t>
        </is>
      </c>
      <c r="C23" s="6" t="inlineStr">
        <is>
          <t>Party C</t>
        </is>
      </c>
      <c r="D23" s="6" t="inlineStr">
        <is>
          <t>Bid</t>
        </is>
      </c>
      <c r="E23" s="5" t="n">
        <v>1</v>
      </c>
      <c r="F23" s="5" t="inlineStr">
        <is>
          <t>1</t>
        </is>
      </c>
      <c r="G23" s="6" t="inlineStr">
        <is>
          <t>Financial</t>
        </is>
      </c>
      <c r="H23" s="6" t="inlineStr">
        <is>
          <t>Written indication of interest at an all-cash price of $16.00 to $16.50 per share, superseding the 07/24/2013 oral range.</t>
        </is>
      </c>
      <c r="I23" s="5" t="inlineStr">
        <is>
          <t>Informal</t>
        </is>
      </c>
      <c r="J23" s="5" t="inlineStr">
        <is>
          <t>Heavy</t>
        </is>
      </c>
      <c r="K23" s="6" t="inlineStr">
        <is>
          <t>Stated: "Later on July 25, 2013, Party C submitted a written indication of interest at an all-cash purchase price of $16.00 to $16.50 per share." (p.34) Formality: Informal — preliminary indication. Conditions: Heavy by context.</t>
        </is>
      </c>
      <c r="L23" s="7" t="inlineStr">
        <is>
          <t>P-0525</t>
        </is>
      </c>
      <c r="M23" s="5" t="inlineStr">
        <is>
          <t>Q5; Q6</t>
        </is>
      </c>
      <c r="N23" s="6" t="n"/>
      <c r="O23" s="5" t="inlineStr">
        <is>
          <t>R021</t>
        </is>
      </c>
      <c r="P23" s="5" t="inlineStr">
        <is>
          <t>Yes</t>
        </is>
      </c>
      <c r="Q23" s="5" t="n">
        <v>0</v>
      </c>
      <c r="R23" s="8" t="n">
        <v>41480</v>
      </c>
      <c r="S23" s="8" t="n">
        <v>41480</v>
      </c>
      <c r="T23" s="8" t="n">
        <v>41480</v>
      </c>
      <c r="U23" s="5" t="inlineStr">
        <is>
          <t>Reported day</t>
        </is>
      </c>
      <c r="V23" s="5" t="inlineStr">
        <is>
          <t>Reported</t>
        </is>
      </c>
      <c r="W23" s="6" t="n">
        <v>16</v>
      </c>
      <c r="X23" s="6" t="n">
        <v>16.5</v>
      </c>
      <c r="Y23" s="5" t="inlineStr">
        <is>
          <t>Bidder range</t>
        </is>
      </c>
      <c r="Z23" s="5" t="inlineStr">
        <is>
          <t>Stated</t>
        </is>
      </c>
      <c r="AA23" s="5" t="inlineStr">
        <is>
          <t>USD</t>
        </is>
      </c>
      <c r="AB23" s="5" t="inlineStr">
        <is>
          <t>Yes</t>
        </is>
      </c>
      <c r="AC23" s="6" t="n"/>
      <c r="AD23" s="6" t="inlineStr">
        <is>
          <t>Fin: not stated; DD required: not stated; DD open: no; Excl: not stated</t>
        </is>
      </c>
      <c r="AE23" s="9" t="n"/>
      <c r="AF23" s="5" t="n"/>
      <c r="AG23" s="5" t="n"/>
      <c r="AH23" s="5" t="n"/>
      <c r="AI23" s="6" t="n"/>
      <c r="AJ23" s="5" t="n"/>
      <c r="AK23" s="5" t="n">
        <v>34</v>
      </c>
      <c r="AL23" s="6" t="inlineStr">
        <is>
          <t>supersedes R020</t>
        </is>
      </c>
      <c r="AM23" s="6" t="inlineStr">
        <is>
          <t>Mac-Gray</t>
        </is>
      </c>
    </row>
    <row r="24">
      <c r="A24" s="5" t="n">
        <v>22</v>
      </c>
      <c r="B24" s="6" t="inlineStr">
        <is>
          <t>07/25/2013</t>
        </is>
      </c>
      <c r="C24" s="6" t="inlineStr">
        <is>
          <t>Mac-Gray (Special Committee) / BofA Merrill Lynch</t>
        </is>
      </c>
      <c r="D24" s="6" t="inlineStr">
        <is>
          <t>Round opened</t>
        </is>
      </c>
      <c r="E24" s="5" t="n">
        <v>1</v>
      </c>
      <c r="F24" s="5" t="inlineStr">
        <is>
          <t>2</t>
        </is>
      </c>
      <c r="G24" s="6" t="n"/>
      <c r="H24" s="6" t="inlineStr">
        <is>
          <t>Round 2 objective: management meetings with the four interested bidders (Party A if it signed a confidentiality agreement, Party B, Party C, CSC/Pamplona), staged diligence and revised indications of interest. The Committee reviewed the IOIs and found them lower than expected, expecting strategic parties to improve after diligence; authorized staged disclosure and management meetings, then a letter requesting revised written proposals (R025). Party A’s standing round-0 proposal (R006) was reviewed here, so Party A counts as a round-2 participant. Finality: Not final — revised indications, no finality announcement.</t>
        </is>
      </c>
      <c r="I24" s="5" t="n"/>
      <c r="J24" s="5" t="n"/>
      <c r="K24" s="6" t="inlineStr">
        <is>
          <t>Stated: "the Special Committee authorized and instructed BofA Merrill Lynch to proceed with the staged disclosure as discussed at this meeting and to reach out to each of the four interested bidders and arrange management meetings." (p.34); management presentations were held for Party B (08/06), Party C (08/08), CSC/Pamplona (08/12) and Party A (08/14) (p.34).</t>
        </is>
      </c>
      <c r="L24" s="7" t="inlineStr">
        <is>
          <t>P-0521; P-0522; P-0524</t>
        </is>
      </c>
      <c r="M24" s="5" t="inlineStr">
        <is>
          <t>Q1</t>
        </is>
      </c>
      <c r="N24" s="6" t="n"/>
      <c r="O24" s="5" t="inlineStr">
        <is>
          <t>R022</t>
        </is>
      </c>
      <c r="P24" s="5" t="inlineStr">
        <is>
          <t>Yes</t>
        </is>
      </c>
      <c r="Q24" s="5" t="n"/>
      <c r="R24" s="8" t="n">
        <v>41480</v>
      </c>
      <c r="S24" s="8" t="n">
        <v>41480</v>
      </c>
      <c r="T24" s="8" t="n">
        <v>41480</v>
      </c>
      <c r="U24" s="5" t="inlineStr">
        <is>
          <t>Reported day</t>
        </is>
      </c>
      <c r="V24" s="5" t="inlineStr">
        <is>
          <t>Assigned: decision day</t>
        </is>
      </c>
      <c r="W24" s="6" t="n"/>
      <c r="X24" s="6" t="n"/>
      <c r="Y24" s="5" t="n"/>
      <c r="Z24" s="5" t="n"/>
      <c r="AA24" s="5" t="n"/>
      <c r="AB24" s="5" t="n"/>
      <c r="AC24" s="6" t="n"/>
      <c r="AD24" s="6" t="n"/>
      <c r="AE24" s="9" t="n"/>
      <c r="AF24" s="5" t="n"/>
      <c r="AG24" s="5" t="inlineStr">
        <is>
          <t>Not final</t>
        </is>
      </c>
      <c r="AH24" s="5" t="n"/>
      <c r="AI24" s="6" t="n"/>
      <c r="AJ24" s="5" t="n"/>
      <c r="AK24" s="5" t="n">
        <v>33</v>
      </c>
      <c r="AL24" s="6" t="n"/>
      <c r="AM24" s="6" t="inlineStr">
        <is>
          <t>Mac-Gray</t>
        </is>
      </c>
    </row>
    <row r="25">
      <c r="A25" s="5" t="n">
        <v>23</v>
      </c>
      <c r="B25" s="6" t="inlineStr">
        <is>
          <t>08/05/2013</t>
        </is>
      </c>
      <c r="C25" s="6" t="inlineStr">
        <is>
          <t>Party A</t>
        </is>
      </c>
      <c r="D25" s="6" t="inlineStr">
        <is>
          <t>NDA signed</t>
        </is>
      </c>
      <c r="E25" s="5" t="n">
        <v>1</v>
      </c>
      <c r="F25" s="5" t="inlineStr">
        <is>
          <t>2</t>
        </is>
      </c>
      <c r="G25" s="6" t="inlineStr">
        <is>
          <t>Strategic</t>
        </is>
      </c>
      <c r="H25" s="6" t="inlineStr">
        <is>
          <t>After NDA negotiations resumed 07/27/2013 (the parties agreed on customer and employee non-solicitation provisions), Party A entered a confidentiality and standstill agreement and received the informational package to potentially improve its June 21 proposal. Negotiations had stalled 07/11–07/23/2013 on the non-solicitation terms.</t>
        </is>
      </c>
      <c r="I25" s="5" t="n"/>
      <c r="J25" s="5" t="n"/>
      <c r="K25" s="6" t="inlineStr">
        <is>
          <t>Stated: "Discussions with Party A resumed on July 27, 2103 and Party A and the Transaction Committee agreed to the terms of the customer and employee non-solicitation provisions. On August 5, 2013, Party A entered into a confidentiality and standstill agreement with Mac-Gray and was provided with an informational package for the purpose of providing Party A with data to potentially improve the terms of the Party A June 21 proposal." (p.34) (source typo "2103" retained).</t>
        </is>
      </c>
      <c r="L25" s="7" t="inlineStr">
        <is>
          <t>P-0518; P-0526</t>
        </is>
      </c>
      <c r="M25" s="5" t="inlineStr">
        <is>
          <t>Q3</t>
        </is>
      </c>
      <c r="N25" s="6" t="n"/>
      <c r="O25" s="5" t="inlineStr">
        <is>
          <t>R023</t>
        </is>
      </c>
      <c r="P25" s="5" t="inlineStr">
        <is>
          <t>Yes</t>
        </is>
      </c>
      <c r="Q25" s="5" t="n">
        <v>1</v>
      </c>
      <c r="R25" s="8" t="n">
        <v>41491</v>
      </c>
      <c r="S25" s="8" t="n">
        <v>41491</v>
      </c>
      <c r="T25" s="8" t="n">
        <v>41491</v>
      </c>
      <c r="U25" s="5" t="inlineStr">
        <is>
          <t>Reported day</t>
        </is>
      </c>
      <c r="V25" s="5" t="inlineStr">
        <is>
          <t>Reported</t>
        </is>
      </c>
      <c r="W25" s="6" t="n"/>
      <c r="X25" s="6" t="n"/>
      <c r="Y25" s="5" t="n"/>
      <c r="Z25" s="5" t="n"/>
      <c r="AA25" s="5" t="n"/>
      <c r="AB25" s="5" t="n"/>
      <c r="AC25" s="6" t="n"/>
      <c r="AD25" s="6" t="n"/>
      <c r="AE25" s="9" t="n"/>
      <c r="AF25" s="5" t="n"/>
      <c r="AG25" s="5" t="n"/>
      <c r="AH25" s="5" t="n"/>
      <c r="AI25" s="6" t="n"/>
      <c r="AJ25" s="5" t="n"/>
      <c r="AK25" s="5" t="n">
        <v>34</v>
      </c>
      <c r="AL25" s="6" t="n"/>
      <c r="AM25" s="6" t="inlineStr">
        <is>
          <t>Mac-Gray</t>
        </is>
      </c>
    </row>
    <row r="26">
      <c r="A26" s="5" t="n">
        <v>24</v>
      </c>
      <c r="B26" s="6" t="inlineStr">
        <is>
          <t>08/06/2013–08/27/2013</t>
        </is>
      </c>
      <c r="C26" s="6" t="inlineStr">
        <is>
          <t>Party A; CSC/Pamplona (strategic) vs Party B; Party C (financial)</t>
        </is>
      </c>
      <c r="D26" s="6" t="inlineStr">
        <is>
          <t>Information access changed</t>
        </is>
      </c>
      <c r="E26" s="5" t="n">
        <v>1</v>
      </c>
      <c r="F26" s="5" t="inlineStr">
        <is>
          <t>2</t>
        </is>
      </c>
      <c r="G26" s="6" t="n"/>
      <c r="H26" s="6" t="inlineStr">
        <is>
          <t>Differentiated access by bidder type, implementing the 07/25/2013 staging decision: Party B and Party C, as financial bidders, were given broad electronic data-site access; Party A and CSC/Pamplona, as strategic bidders, were given somewhat limited access, with customer data (including customer locations) reserved until later in the process; Party A and CSC/Pamplona also held synergy discussions with management. All four received management presentations.</t>
        </is>
      </c>
      <c r="I26" s="5" t="n"/>
      <c r="J26" s="5" t="n"/>
      <c r="K26" s="6" t="inlineStr">
        <is>
          <t>Stated: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 th Special Committee meeting." (p.34)</t>
        </is>
      </c>
      <c r="L26" s="7" t="inlineStr">
        <is>
          <t>P-0532</t>
        </is>
      </c>
      <c r="M26" s="5" t="inlineStr">
        <is>
          <t>Q1</t>
        </is>
      </c>
      <c r="N26" s="6" t="n"/>
      <c r="O26" s="5" t="inlineStr">
        <is>
          <t>R024</t>
        </is>
      </c>
      <c r="P26" s="5" t="inlineStr">
        <is>
          <t>Yes</t>
        </is>
      </c>
      <c r="Q26" s="5" t="n"/>
      <c r="R26" s="8" t="n">
        <v>41492</v>
      </c>
      <c r="S26" s="8" t="n">
        <v>41513</v>
      </c>
      <c r="T26" s="8" t="n">
        <v>41492</v>
      </c>
      <c r="U26" s="5" t="inlineStr">
        <is>
          <t>Reported interval</t>
        </is>
      </c>
      <c r="V26" s="5" t="inlineStr">
        <is>
          <t>Assigned: bound</t>
        </is>
      </c>
      <c r="W26" s="6" t="n"/>
      <c r="X26" s="6" t="n"/>
      <c r="Y26" s="5" t="n"/>
      <c r="Z26" s="5" t="n"/>
      <c r="AA26" s="5" t="n"/>
      <c r="AB26" s="5" t="n"/>
      <c r="AC26" s="6" t="n"/>
      <c r="AD26" s="6" t="n"/>
      <c r="AE26" s="9" t="n"/>
      <c r="AF26" s="5" t="n"/>
      <c r="AG26" s="5" t="n"/>
      <c r="AH26" s="5" t="n"/>
      <c r="AI26" s="6" t="n"/>
      <c r="AJ26" s="5" t="n"/>
      <c r="AK26" s="5" t="n">
        <v>34</v>
      </c>
      <c r="AL26" s="6" t="n"/>
      <c r="AM26" s="6" t="inlineStr">
        <is>
          <t>Mac-Gray</t>
        </is>
      </c>
    </row>
    <row r="27">
      <c r="A27" s="5" t="n">
        <v>25</v>
      </c>
      <c r="B27" s="6" t="inlineStr">
        <is>
          <t>08/27/2013</t>
        </is>
      </c>
      <c r="C27" s="6" t="inlineStr">
        <is>
          <t>Mac-Gray / BofA Merrill Lynch</t>
        </is>
      </c>
      <c r="D27" s="6" t="inlineStr">
        <is>
          <t>Deadline set</t>
        </is>
      </c>
      <c r="E27" s="5" t="n">
        <v>1</v>
      </c>
      <c r="F27" s="5" t="inlineStr">
        <is>
          <t>2</t>
        </is>
      </c>
      <c r="G27" s="6" t="n"/>
      <c r="H27" s="6" t="inlineStr">
        <is>
          <t>Letter to each of Party A, Party B, Party C and CSC/Pamplona instructing revised written proposals no later than 09/09/2013 if the bidder wished to continue to an in-depth evaluation, addressing valuation, sources and structures of financing, regulatory approvals, other post-signing covenants and due-diligence focus areas. Authorized at the 08/15/2013 Special Committee meeting once diligence was substantially complete.</t>
        </is>
      </c>
      <c r="I27" s="5" t="n"/>
      <c r="J27" s="5" t="n"/>
      <c r="K27" s="6" t="inlineStr">
        <is>
          <t>Stated: "On August 27, 2013, BofA Merrill Lynch, as instructed by the Special Committee, sent a letter to each of Party A, Party B, Party C and CSC/Pamplona instructing such bidders to submit revised written proposals no later than September 9, 2013 if such bidders wished to proceed further in the process to pursue an in-depth evaluation of Mac-Gray with the objective of making a revised offer." (p.35) and the letter "requested that the revised proposals address, among other things, valuation, sources and structures of financing, regulatory approvals and other post-signing covenants and focus areas for due diligence." (p.35)</t>
        </is>
      </c>
      <c r="L27" s="7" t="inlineStr">
        <is>
          <t>P-0531; P-0534</t>
        </is>
      </c>
      <c r="M27" s="5" t="inlineStr">
        <is>
          <t>Q2</t>
        </is>
      </c>
      <c r="N27" s="6" t="n"/>
      <c r="O27" s="5" t="inlineStr">
        <is>
          <t>R025</t>
        </is>
      </c>
      <c r="P27" s="5" t="inlineStr">
        <is>
          <t>Yes</t>
        </is>
      </c>
      <c r="Q27" s="5" t="n"/>
      <c r="R27" s="8" t="n">
        <v>41513</v>
      </c>
      <c r="S27" s="8" t="n">
        <v>41513</v>
      </c>
      <c r="T27" s="8" t="n">
        <v>41513</v>
      </c>
      <c r="U27" s="5" t="inlineStr">
        <is>
          <t>Reported day</t>
        </is>
      </c>
      <c r="V27" s="5" t="inlineStr">
        <is>
          <t>Reported</t>
        </is>
      </c>
      <c r="W27" s="6" t="n"/>
      <c r="X27" s="6" t="n"/>
      <c r="Y27" s="5" t="n"/>
      <c r="Z27" s="5" t="n"/>
      <c r="AA27" s="5" t="n"/>
      <c r="AB27" s="5" t="n"/>
      <c r="AC27" s="6" t="n"/>
      <c r="AD27" s="6" t="n"/>
      <c r="AE27" s="8" t="n">
        <v>41526</v>
      </c>
      <c r="AF27" s="5" t="n"/>
      <c r="AG27" s="5" t="n"/>
      <c r="AH27" s="5" t="n"/>
      <c r="AI27" s="6" t="n"/>
      <c r="AJ27" s="5" t="n"/>
      <c r="AK27" s="5" t="n">
        <v>35</v>
      </c>
      <c r="AL27" s="6" t="n"/>
      <c r="AM27" s="6" t="inlineStr">
        <is>
          <t>Mac-Gray</t>
        </is>
      </c>
    </row>
    <row r="28">
      <c r="A28" s="5" t="n">
        <v>26</v>
      </c>
      <c r="B28" s="6" t="inlineStr">
        <is>
          <t>09/09/2013</t>
        </is>
      </c>
      <c r="C28" s="6" t="inlineStr">
        <is>
          <t>Mac-Gray / BofA Merrill Lynch</t>
        </is>
      </c>
      <c r="D28" s="6" t="inlineStr">
        <is>
          <t>Deadline</t>
        </is>
      </c>
      <c r="E28" s="5" t="n">
        <v>1</v>
      </c>
      <c r="F28" s="5" t="inlineStr">
        <is>
          <t>2</t>
        </is>
      </c>
      <c r="G28" s="6" t="n"/>
      <c r="H28" s="6" t="inlineStr">
        <is>
          <t>Revised-proposal due date reached. Treatment: Late bids accepted — Party A and Party C submitted revised oral indications on 09/10/2013 and the Special Committee reviewed all four revised indications on 09/11/2013. No extension is reported.</t>
        </is>
      </c>
      <c r="I28" s="5" t="n"/>
      <c r="J28" s="5" t="n"/>
      <c r="K28" s="6" t="inlineStr">
        <is>
          <t>Stated: "On September 10, 2013, Party A submitted a revised indication of interest with an all-cash purchase price of $18.00 to $19.00 per share, to be financed by outstanding credit facilities or affiliated equity sources." and "Also on September 10, 2013, in a telephone call to a representative of BofA Merrill Lynch, a representative of Party C indicated that it was submitting a revised oral indication of interest with an all-cash purchase price of $16.00 to $17.00 per share." (p.35); the Committee reviewed the revised indications on 09/11/2013 (p.35).</t>
        </is>
      </c>
      <c r="L28" s="7" t="inlineStr">
        <is>
          <t>P-0538; P-0539; P-0541</t>
        </is>
      </c>
      <c r="M28" s="5" t="inlineStr">
        <is>
          <t>Q2</t>
        </is>
      </c>
      <c r="N28" s="6" t="n"/>
      <c r="O28" s="5" t="inlineStr">
        <is>
          <t>R026</t>
        </is>
      </c>
      <c r="P28" s="5" t="inlineStr">
        <is>
          <t>Yes</t>
        </is>
      </c>
      <c r="Q28" s="5" t="n"/>
      <c r="R28" s="8" t="n">
        <v>41526</v>
      </c>
      <c r="S28" s="8" t="n">
        <v>41526</v>
      </c>
      <c r="T28" s="8" t="n">
        <v>41526</v>
      </c>
      <c r="U28" s="5" t="inlineStr">
        <is>
          <t>Reported day</t>
        </is>
      </c>
      <c r="V28" s="5" t="inlineStr">
        <is>
          <t>Reported</t>
        </is>
      </c>
      <c r="W28" s="6" t="n"/>
      <c r="X28" s="6" t="n"/>
      <c r="Y28" s="5" t="n"/>
      <c r="Z28" s="5" t="n"/>
      <c r="AA28" s="5" t="n"/>
      <c r="AB28" s="5" t="n"/>
      <c r="AC28" s="6" t="n"/>
      <c r="AD28" s="6" t="n"/>
      <c r="AE28" s="8" t="n">
        <v>41526</v>
      </c>
      <c r="AF28" s="5" t="inlineStr">
        <is>
          <t>Late bids accepted</t>
        </is>
      </c>
      <c r="AG28" s="5" t="n"/>
      <c r="AH28" s="5" t="n"/>
      <c r="AI28" s="6" t="n"/>
      <c r="AJ28" s="5" t="n"/>
      <c r="AK28" s="5" t="n">
        <v>35</v>
      </c>
      <c r="AL28" s="6" t="n"/>
      <c r="AM28" s="6" t="inlineStr">
        <is>
          <t>Mac-Gray</t>
        </is>
      </c>
    </row>
    <row r="29">
      <c r="A29" s="5" t="n">
        <v>27</v>
      </c>
      <c r="B29" s="6" t="inlineStr">
        <is>
          <t>09/09/2013</t>
        </is>
      </c>
      <c r="C29" s="6" t="inlineStr">
        <is>
          <t>CSC/Pamplona</t>
        </is>
      </c>
      <c r="D29" s="6" t="inlineStr">
        <is>
          <t>Bid</t>
        </is>
      </c>
      <c r="E29" s="5" t="n">
        <v>1</v>
      </c>
      <c r="F29" s="5" t="inlineStr">
        <is>
          <t>2</t>
        </is>
      </c>
      <c r="G29" s="6" t="inlineStr">
        <is>
          <t>Strategic</t>
        </is>
      </c>
      <c r="H29" s="6" t="inlineStr">
        <is>
          <t>Revised indication of interest at $19.50 per share, all cash; Pamplona committed to provide 100% of the capital required; requested two weeks of exclusive negotiations with Mac-Gray. Exclusivity requested (2 weeks); not yet granted.</t>
        </is>
      </c>
      <c r="I29" s="5" t="inlineStr">
        <is>
          <t>Informal</t>
        </is>
      </c>
      <c r="J29" s="5" t="inlineStr">
        <is>
          <t>Light</t>
        </is>
      </c>
      <c r="K29" s="6" t="inlineStr">
        <is>
          <t>Stated: "On September 9, 2013,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(p.35) Formality: Informal — revised indication, no markup or final-solicitation response. Conditions: Light — committed financing and no diligence condition stated, but diligence work continued into September.</t>
        </is>
      </c>
      <c r="L29" s="7" t="inlineStr">
        <is>
          <t>P-0538</t>
        </is>
      </c>
      <c r="M29" s="5" t="inlineStr">
        <is>
          <t>Q5; Q6</t>
        </is>
      </c>
      <c r="N29" s="6" t="n"/>
      <c r="O29" s="5" t="inlineStr">
        <is>
          <t>R027</t>
        </is>
      </c>
      <c r="P29" s="5" t="inlineStr">
        <is>
          <t>Yes</t>
        </is>
      </c>
      <c r="Q29" s="5" t="n">
        <v>1</v>
      </c>
      <c r="R29" s="8" t="n">
        <v>41526</v>
      </c>
      <c r="S29" s="8" t="n">
        <v>41526</v>
      </c>
      <c r="T29" s="8" t="n">
        <v>41526</v>
      </c>
      <c r="U29" s="5" t="inlineStr">
        <is>
          <t>Reported day</t>
        </is>
      </c>
      <c r="V29" s="5" t="inlineStr">
        <is>
          <t>Reported</t>
        </is>
      </c>
      <c r="W29" s="6" t="n">
        <v>19.5</v>
      </c>
      <c r="X29" s="6" t="n">
        <v>19.5</v>
      </c>
      <c r="Y29" s="5" t="inlineStr">
        <is>
          <t>Point</t>
        </is>
      </c>
      <c r="Z29" s="5" t="inlineStr">
        <is>
          <t>Stated</t>
        </is>
      </c>
      <c r="AA29" s="5" t="inlineStr">
        <is>
          <t>USD</t>
        </is>
      </c>
      <c r="AB29" s="5" t="inlineStr">
        <is>
          <t>Yes</t>
        </is>
      </c>
      <c r="AC29" s="6" t="n"/>
      <c r="AD29" s="6" t="inlineStr">
        <is>
          <t>Fin: committed; DD required: not stated; DD open: yes; Excl: requested (2 wks)</t>
        </is>
      </c>
      <c r="AE29" s="9" t="n"/>
      <c r="AF29" s="5" t="n"/>
      <c r="AG29" s="5" t="n"/>
      <c r="AH29" s="5" t="n"/>
      <c r="AI29" s="6" t="n"/>
      <c r="AJ29" s="5" t="n"/>
      <c r="AK29" s="5" t="n">
        <v>35</v>
      </c>
      <c r="AL29" s="6" t="n"/>
      <c r="AM29" s="6" t="inlineStr">
        <is>
          <t>Mac-Gray</t>
        </is>
      </c>
    </row>
    <row r="30">
      <c r="A30" s="5" t="n">
        <v>28</v>
      </c>
      <c r="B30" s="6" t="inlineStr">
        <is>
          <t>09/09/2013</t>
        </is>
      </c>
      <c r="C30" s="6" t="inlineStr">
        <is>
          <t>Party B</t>
        </is>
      </c>
      <c r="D30" s="6" t="inlineStr">
        <is>
          <t>Bid</t>
        </is>
      </c>
      <c r="E30" s="5" t="n">
        <v>1</v>
      </c>
      <c r="F30" s="5" t="inlineStr">
        <is>
          <t>2</t>
        </is>
      </c>
      <c r="G30" s="6" t="inlineStr">
        <is>
          <t>Financial</t>
        </is>
      </c>
      <c r="H30" s="6" t="inlineStr">
        <is>
          <t>Revised indication of interest at $18.50 per share, all cash, proposed to be financed with a combination of equity from affiliated funds and third-party debt; no firm financing commitment.</t>
        </is>
      </c>
      <c r="I30" s="5" t="inlineStr">
        <is>
          <t>Informal</t>
        </is>
      </c>
      <c r="J30" s="5" t="inlineStr">
        <is>
          <t>Heavy</t>
        </is>
      </c>
      <c r="K30" s="6" t="inlineStr">
        <is>
          <t>Stated: "On September 9, 2013,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 (p.35) Formality: Informal. Conditions: Heavy — financing not committed.</t>
        </is>
      </c>
      <c r="L30" s="7" t="inlineStr">
        <is>
          <t>P-0538</t>
        </is>
      </c>
      <c r="M30" s="5" t="inlineStr">
        <is>
          <t>Q5; Q6</t>
        </is>
      </c>
      <c r="N30" s="6" t="n"/>
      <c r="O30" s="5" t="inlineStr">
        <is>
          <t>R028</t>
        </is>
      </c>
      <c r="P30" s="5" t="inlineStr">
        <is>
          <t>Yes</t>
        </is>
      </c>
      <c r="Q30" s="5" t="n">
        <v>1</v>
      </c>
      <c r="R30" s="8" t="n">
        <v>41526</v>
      </c>
      <c r="S30" s="8" t="n">
        <v>41526</v>
      </c>
      <c r="T30" s="8" t="n">
        <v>41526</v>
      </c>
      <c r="U30" s="5" t="inlineStr">
        <is>
          <t>Reported day</t>
        </is>
      </c>
      <c r="V30" s="5" t="inlineStr">
        <is>
          <t>Reported</t>
        </is>
      </c>
      <c r="W30" s="6" t="n">
        <v>18.5</v>
      </c>
      <c r="X30" s="6" t="n">
        <v>18.5</v>
      </c>
      <c r="Y30" s="5" t="inlineStr">
        <is>
          <t>Point</t>
        </is>
      </c>
      <c r="Z30" s="5" t="inlineStr">
        <is>
          <t>Stated</t>
        </is>
      </c>
      <c r="AA30" s="5" t="inlineStr">
        <is>
          <t>USD</t>
        </is>
      </c>
      <c r="AB30" s="5" t="inlineStr">
        <is>
          <t>Yes</t>
        </is>
      </c>
      <c r="AC30" s="6" t="n"/>
      <c r="AD30" s="6" t="inlineStr">
        <is>
          <t>Fin: not committed; DD required: not stated; DD open: yes; Excl: not stated</t>
        </is>
      </c>
      <c r="AE30" s="9" t="n"/>
      <c r="AF30" s="5" t="n"/>
      <c r="AG30" s="5" t="n"/>
      <c r="AH30" s="5" t="n"/>
      <c r="AI30" s="6" t="n"/>
      <c r="AJ30" s="5" t="n"/>
      <c r="AK30" s="5" t="n">
        <v>35</v>
      </c>
      <c r="AL30" s="6" t="n"/>
      <c r="AM30" s="6" t="inlineStr">
        <is>
          <t>Mac-Gray</t>
        </is>
      </c>
    </row>
    <row r="31">
      <c r="A31" s="5" t="n">
        <v>29</v>
      </c>
      <c r="B31" s="6" t="inlineStr">
        <is>
          <t>09/10/2013</t>
        </is>
      </c>
      <c r="C31" s="6" t="inlineStr">
        <is>
          <t>Party A</t>
        </is>
      </c>
      <c r="D31" s="6" t="inlineStr">
        <is>
          <t>Bid</t>
        </is>
      </c>
      <c r="E31" s="5" t="n">
        <v>1</v>
      </c>
      <c r="F31" s="5" t="inlineStr">
        <is>
          <t>2</t>
        </is>
      </c>
      <c r="G31" s="6" t="inlineStr">
        <is>
          <t>Strategic</t>
        </is>
      </c>
      <c r="H31" s="6" t="inlineStr">
        <is>
          <t>Revised indication of interest at $18.00 to $19.00 per share, all cash, to be financed by outstanding credit facilities or affiliated equity sources; no firm financing commitment.</t>
        </is>
      </c>
      <c r="I31" s="5" t="inlineStr">
        <is>
          <t>Informal</t>
        </is>
      </c>
      <c r="J31" s="5" t="inlineStr">
        <is>
          <t>Heavy</t>
        </is>
      </c>
      <c r="K31" s="6" t="inlineStr">
        <is>
          <t>Stated: "On September 10, 2013, Party A submitted a revised indication of interest with an all-cash purchase price of $18.00 to $19.00 per share, to be financed by outstanding credit facilities or affiliated equity sources." and "Neither Party A’s nor Party C’s revised indication of interest included a firm financing commitment." (p.35) Formality: Informal. Conditions: Heavy — financing not committed.</t>
        </is>
      </c>
      <c r="L31" s="7" t="inlineStr">
        <is>
          <t>P-0539</t>
        </is>
      </c>
      <c r="M31" s="5" t="inlineStr">
        <is>
          <t>Q5; Q6</t>
        </is>
      </c>
      <c r="N31" s="6" t="n"/>
      <c r="O31" s="5" t="inlineStr">
        <is>
          <t>R029</t>
        </is>
      </c>
      <c r="P31" s="5" t="inlineStr">
        <is>
          <t>Yes</t>
        </is>
      </c>
      <c r="Q31" s="5" t="n">
        <v>1</v>
      </c>
      <c r="R31" s="8" t="n">
        <v>41527</v>
      </c>
      <c r="S31" s="8" t="n">
        <v>41527</v>
      </c>
      <c r="T31" s="8" t="n">
        <v>41527</v>
      </c>
      <c r="U31" s="5" t="inlineStr">
        <is>
          <t>Reported day</t>
        </is>
      </c>
      <c r="V31" s="5" t="inlineStr">
        <is>
          <t>Reported</t>
        </is>
      </c>
      <c r="W31" s="6" t="n">
        <v>18</v>
      </c>
      <c r="X31" s="6" t="n">
        <v>19</v>
      </c>
      <c r="Y31" s="5" t="inlineStr">
        <is>
          <t>Bidder range</t>
        </is>
      </c>
      <c r="Z31" s="5" t="inlineStr">
        <is>
          <t>Stated</t>
        </is>
      </c>
      <c r="AA31" s="5" t="inlineStr">
        <is>
          <t>USD</t>
        </is>
      </c>
      <c r="AB31" s="5" t="inlineStr">
        <is>
          <t>Yes</t>
        </is>
      </c>
      <c r="AC31" s="6" t="n"/>
      <c r="AD31" s="6" t="inlineStr">
        <is>
          <t>Fin: not committed; DD required: not stated; DD open: yes; Excl: not stated</t>
        </is>
      </c>
      <c r="AE31" s="9" t="n"/>
      <c r="AF31" s="5" t="n"/>
      <c r="AG31" s="5" t="n"/>
      <c r="AH31" s="5" t="n"/>
      <c r="AI31" s="6" t="n"/>
      <c r="AJ31" s="5" t="n"/>
      <c r="AK31" s="5" t="n">
        <v>35</v>
      </c>
      <c r="AL31" s="6" t="n"/>
      <c r="AM31" s="6" t="inlineStr">
        <is>
          <t>Mac-Gray</t>
        </is>
      </c>
    </row>
    <row r="32">
      <c r="A32" s="5" t="n">
        <v>30</v>
      </c>
      <c r="B32" s="6" t="inlineStr">
        <is>
          <t>09/10/2013</t>
        </is>
      </c>
      <c r="C32" s="6" t="inlineStr">
        <is>
          <t>Party C</t>
        </is>
      </c>
      <c r="D32" s="6" t="inlineStr">
        <is>
          <t>Bid</t>
        </is>
      </c>
      <c r="E32" s="5" t="n">
        <v>1</v>
      </c>
      <c r="F32" s="5" t="inlineStr">
        <is>
          <t>2</t>
        </is>
      </c>
      <c r="G32" s="6" t="inlineStr">
        <is>
          <t>Financial</t>
        </is>
      </c>
      <c r="H32" s="6" t="inlineStr">
        <is>
          <t>Revised oral indication of interest at $16.00 to $17.00 per share, all cash; no firm financing commitment.</t>
        </is>
      </c>
      <c r="I32" s="5" t="inlineStr">
        <is>
          <t>Informal</t>
        </is>
      </c>
      <c r="J32" s="5" t="inlineStr">
        <is>
          <t>Heavy</t>
        </is>
      </c>
      <c r="K32" s="6" t="inlineStr">
        <is>
          <t>Stated: "Also on September 10, 2013, in a telephone call to a representative of BofA Merrill Lynch, a representative of Party C indicated that it was submitting a revised oral indication of interest with an all-cash purchase price of $16.00 to $17.00 per share." (p.35) Formality: Informal. Conditions: Heavy — financing not committed.</t>
        </is>
      </c>
      <c r="L32" s="7" t="inlineStr">
        <is>
          <t>P-0539</t>
        </is>
      </c>
      <c r="M32" s="5" t="inlineStr">
        <is>
          <t>Q5; Q6</t>
        </is>
      </c>
      <c r="N32" s="6" t="n"/>
      <c r="O32" s="5" t="inlineStr">
        <is>
          <t>R030</t>
        </is>
      </c>
      <c r="P32" s="5" t="inlineStr">
        <is>
          <t>Yes</t>
        </is>
      </c>
      <c r="Q32" s="5" t="n">
        <v>1</v>
      </c>
      <c r="R32" s="8" t="n">
        <v>41527</v>
      </c>
      <c r="S32" s="8" t="n">
        <v>41527</v>
      </c>
      <c r="T32" s="8" t="n">
        <v>41527</v>
      </c>
      <c r="U32" s="5" t="inlineStr">
        <is>
          <t>Reported day</t>
        </is>
      </c>
      <c r="V32" s="5" t="inlineStr">
        <is>
          <t>Reported</t>
        </is>
      </c>
      <c r="W32" s="6" t="n">
        <v>16</v>
      </c>
      <c r="X32" s="6" t="n">
        <v>17</v>
      </c>
      <c r="Y32" s="5" t="inlineStr">
        <is>
          <t>Bidder range</t>
        </is>
      </c>
      <c r="Z32" s="5" t="inlineStr">
        <is>
          <t>Stated</t>
        </is>
      </c>
      <c r="AA32" s="5" t="inlineStr">
        <is>
          <t>USD</t>
        </is>
      </c>
      <c r="AB32" s="5" t="inlineStr">
        <is>
          <t>Yes</t>
        </is>
      </c>
      <c r="AC32" s="6" t="n"/>
      <c r="AD32" s="6" t="inlineStr">
        <is>
          <t>Fin: not committed; DD required: not stated; DD open: yes; Excl: not stated</t>
        </is>
      </c>
      <c r="AE32" s="9" t="n"/>
      <c r="AF32" s="5" t="n"/>
      <c r="AG32" s="5" t="n"/>
      <c r="AH32" s="5" t="n"/>
      <c r="AI32" s="6" t="n"/>
      <c r="AJ32" s="5" t="n"/>
      <c r="AK32" s="5" t="n">
        <v>35</v>
      </c>
      <c r="AL32" s="6" t="n"/>
      <c r="AM32" s="6" t="inlineStr">
        <is>
          <t>Mac-Gray</t>
        </is>
      </c>
    </row>
    <row r="33">
      <c r="A33" s="5" t="n">
        <v>31</v>
      </c>
      <c r="B33" s="6" t="inlineStr">
        <is>
          <t>09/11/2013–09/12/2013</t>
        </is>
      </c>
      <c r="C33" s="6" t="inlineStr">
        <is>
          <t>Stewart G. MacDonald, Jr. (CEO and stockholder)</t>
        </is>
      </c>
      <c r="D33" s="6" t="inlineStr">
        <is>
          <t>Material process update</t>
        </is>
      </c>
      <c r="E33" s="5" t="n">
        <v>1</v>
      </c>
      <c r="F33" s="5" t="inlineStr">
        <is>
          <t>3</t>
        </is>
      </c>
      <c r="G33" s="6" t="n"/>
      <c r="H33" s="6" t="inlineStr">
        <is>
          <t>Rollover relationship resolved for Mr. MacDonald: on a 09/11/2013 call he was given a limited overview (no identities or prices) and said he was not interested in rolling over any shares; the Committee considered his perspective on price critical and had him fully briefed with identities on 09/12/2013, after which he supported continuing the process but wanted higher stockholder value. His voting agreement was later requested by CSC/Pamplona and became effective at signing.</t>
        </is>
      </c>
      <c r="I33" s="5" t="n"/>
      <c r="J33" s="5" t="n"/>
      <c r="K33" s="6" t="inlineStr">
        <is>
          <t>Stated: "During this call, Mr. MacDonald indicated that he had decided that he was not interested in rolling over any of his shares in any transaction." (p.35); "Although Mr. MacDonald voiced his general support for continuing with the process, he expressed his view that Mac-Gray should continue to seek a higher value for stockholders." (p.36)</t>
        </is>
      </c>
      <c r="L33" s="7" t="inlineStr">
        <is>
          <t>P-0540; P-0543; P-0544</t>
        </is>
      </c>
      <c r="M33" s="5" t="inlineStr">
        <is>
          <t>Q8</t>
        </is>
      </c>
      <c r="N33" s="6" t="n"/>
      <c r="O33" s="5" t="inlineStr">
        <is>
          <t>R031</t>
        </is>
      </c>
      <c r="P33" s="5" t="inlineStr">
        <is>
          <t>Yes</t>
        </is>
      </c>
      <c r="Q33" s="5" t="n"/>
      <c r="R33" s="8" t="n">
        <v>41528</v>
      </c>
      <c r="S33" s="8" t="n">
        <v>41529</v>
      </c>
      <c r="T33" s="8" t="n">
        <v>41528</v>
      </c>
      <c r="U33" s="5" t="inlineStr">
        <is>
          <t>Reported interval</t>
        </is>
      </c>
      <c r="V33" s="5" t="inlineStr">
        <is>
          <t>Assigned: bound</t>
        </is>
      </c>
      <c r="W33" s="6" t="n"/>
      <c r="X33" s="6" t="n"/>
      <c r="Y33" s="5" t="n"/>
      <c r="Z33" s="5" t="n"/>
      <c r="AA33" s="5" t="n"/>
      <c r="AB33" s="5" t="n"/>
      <c r="AC33" s="6" t="n"/>
      <c r="AD33" s="6" t="n"/>
      <c r="AE33" s="9" t="n"/>
      <c r="AF33" s="5" t="n"/>
      <c r="AG33" s="5" t="n"/>
      <c r="AH33" s="5" t="n"/>
      <c r="AI33" s="6" t="n"/>
      <c r="AJ33" s="5" t="n"/>
      <c r="AK33" s="5" t="n">
        <v>36</v>
      </c>
      <c r="AL33" s="6" t="n"/>
      <c r="AM33" s="6" t="inlineStr">
        <is>
          <t>Mac-Gray</t>
        </is>
      </c>
    </row>
    <row r="34">
      <c r="A34" s="5" t="n">
        <v>32</v>
      </c>
      <c r="B34" s="6" t="inlineStr">
        <is>
          <t>09/11/2013</t>
        </is>
      </c>
      <c r="C34" s="6" t="inlineStr">
        <is>
          <t>Mac-Gray (Special Committee) / BofA Merrill Lynch</t>
        </is>
      </c>
      <c r="D34" s="6" t="inlineStr">
        <is>
          <t>Round opened</t>
        </is>
      </c>
      <c r="E34" s="5" t="n">
        <v>1</v>
      </c>
      <c r="F34" s="5" t="inlineStr">
        <is>
          <t>3</t>
        </is>
      </c>
      <c r="G34" s="6" t="n"/>
      <c r="H34" s="6" t="inlineStr">
        <is>
          <t>Round 3 objective: final indications of interest and a possible short exclusivity period. After reviewing the revised proposals and BofA’s view that bidders were unlikely to proceed without Mr. MacDonald’s support, the Committee instructed BofA to request final indications of interest by 09/18/2013 and to indicate Mac-Gray would consider a short exclusive negotiation with one bidder depending on price and deal certainty; BofA called all four bidders the same day. Due date 09/18/2013 (carried here; no separate deadline-set row). Finality: Announced as final — the target requested "final indications of interest" with a due date, and Party A responded as its "best and final offer".</t>
        </is>
      </c>
      <c r="I34" s="5" t="n"/>
      <c r="J34" s="5" t="n"/>
      <c r="K34" s="6" t="inlineStr">
        <is>
          <t>Stated: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(p.36)</t>
        </is>
      </c>
      <c r="L34" s="7" t="inlineStr">
        <is>
          <t>P-0541; P-0543</t>
        </is>
      </c>
      <c r="M34" s="5" t="inlineStr">
        <is>
          <t>Q1</t>
        </is>
      </c>
      <c r="N34" s="6" t="n"/>
      <c r="O34" s="5" t="inlineStr">
        <is>
          <t>R032</t>
        </is>
      </c>
      <c r="P34" s="5" t="inlineStr">
        <is>
          <t>Yes</t>
        </is>
      </c>
      <c r="Q34" s="5" t="n"/>
      <c r="R34" s="8" t="n">
        <v>41528</v>
      </c>
      <c r="S34" s="8" t="n">
        <v>41528</v>
      </c>
      <c r="T34" s="8" t="n">
        <v>41528</v>
      </c>
      <c r="U34" s="5" t="inlineStr">
        <is>
          <t>Reported day</t>
        </is>
      </c>
      <c r="V34" s="5" t="inlineStr">
        <is>
          <t>Assigned: decision day</t>
        </is>
      </c>
      <c r="W34" s="6" t="n"/>
      <c r="X34" s="6" t="n"/>
      <c r="Y34" s="5" t="n"/>
      <c r="Z34" s="5" t="n"/>
      <c r="AA34" s="5" t="n"/>
      <c r="AB34" s="5" t="n"/>
      <c r="AC34" s="6" t="n"/>
      <c r="AD34" s="6" t="n"/>
      <c r="AE34" s="8" t="n">
        <v>41535</v>
      </c>
      <c r="AF34" s="5" t="n"/>
      <c r="AG34" s="5" t="inlineStr">
        <is>
          <t>Announced as final</t>
        </is>
      </c>
      <c r="AH34" s="5" t="n"/>
      <c r="AI34" s="6" t="n"/>
      <c r="AJ34" s="5" t="n"/>
      <c r="AK34" s="5" t="n">
        <v>35</v>
      </c>
      <c r="AL34" s="6" t="n"/>
      <c r="AM34" s="6" t="inlineStr">
        <is>
          <t>Mac-Gray</t>
        </is>
      </c>
    </row>
    <row r="35">
      <c r="A35" s="5" t="n">
        <v>33</v>
      </c>
      <c r="B35" s="6" t="inlineStr">
        <is>
          <t>09/18/2013</t>
        </is>
      </c>
      <c r="C35" s="6" t="inlineStr">
        <is>
          <t>Mac-Gray / BofA Merrill Lynch</t>
        </is>
      </c>
      <c r="D35" s="6" t="inlineStr">
        <is>
          <t>Deadline</t>
        </is>
      </c>
      <c r="E35" s="5" t="n">
        <v>1</v>
      </c>
      <c r="F35" s="5" t="inlineStr">
        <is>
          <t>3</t>
        </is>
      </c>
      <c r="G35" s="6" t="n"/>
      <c r="H35" s="6" t="inlineStr">
        <is>
          <t>Final-indication due date reached. Treatment: Enforced — no extension and no late acceptance; the target proceeded the next day to select CSC/Pamplona for exclusivity on the bids in hand. Party C did not submit (R037).</t>
        </is>
      </c>
      <c r="I35" s="5" t="n"/>
      <c r="J35" s="5" t="n"/>
      <c r="K35" s="6" t="inlineStr">
        <is>
          <t>Stated: three final indications (CSC/Pamplona, Party A, Party B) were submitted 09/18/2013 and reviewed at the 09/19/2013 Special Committee meeting (pp.36–37); "Party C did not submit a revised indication of interest or reiterate its prior indication of interest of an all-cash purchase price of $16.00 to $17.00 per share nor did it specify any reasons in connection therewith" (p.36).</t>
        </is>
      </c>
      <c r="L35" s="7" t="inlineStr">
        <is>
          <t>P-0546; P-0547</t>
        </is>
      </c>
      <c r="M35" s="5" t="inlineStr">
        <is>
          <t>Q2</t>
        </is>
      </c>
      <c r="N35" s="6" t="n"/>
      <c r="O35" s="5" t="inlineStr">
        <is>
          <t>R033</t>
        </is>
      </c>
      <c r="P35" s="5" t="inlineStr">
        <is>
          <t>Yes</t>
        </is>
      </c>
      <c r="Q35" s="5" t="n"/>
      <c r="R35" s="8" t="n">
        <v>41535</v>
      </c>
      <c r="S35" s="8" t="n">
        <v>41535</v>
      </c>
      <c r="T35" s="8" t="n">
        <v>41535</v>
      </c>
      <c r="U35" s="5" t="inlineStr">
        <is>
          <t>Reported day</t>
        </is>
      </c>
      <c r="V35" s="5" t="inlineStr">
        <is>
          <t>Reported</t>
        </is>
      </c>
      <c r="W35" s="6" t="n"/>
      <c r="X35" s="6" t="n"/>
      <c r="Y35" s="5" t="n"/>
      <c r="Z35" s="5" t="n"/>
      <c r="AA35" s="5" t="n"/>
      <c r="AB35" s="5" t="n"/>
      <c r="AC35" s="6" t="n"/>
      <c r="AD35" s="6" t="n"/>
      <c r="AE35" s="8" t="n">
        <v>41535</v>
      </c>
      <c r="AF35" s="5" t="inlineStr">
        <is>
          <t>Enforced</t>
        </is>
      </c>
      <c r="AG35" s="5" t="n"/>
      <c r="AH35" s="5" t="n"/>
      <c r="AI35" s="6" t="n"/>
      <c r="AJ35" s="5" t="n"/>
      <c r="AK35" s="5" t="n">
        <v>36</v>
      </c>
      <c r="AL35" s="6" t="n"/>
      <c r="AM35" s="6" t="inlineStr">
        <is>
          <t>Mac-Gray</t>
        </is>
      </c>
    </row>
    <row r="36">
      <c r="A36" s="5" t="n">
        <v>34</v>
      </c>
      <c r="B36" s="6" t="inlineStr">
        <is>
          <t>09/18/2013</t>
        </is>
      </c>
      <c r="C36" s="6" t="inlineStr">
        <is>
          <t>CSC/Pamplona</t>
        </is>
      </c>
      <c r="D36" s="6" t="inlineStr">
        <is>
          <t>Bid</t>
        </is>
      </c>
      <c r="E36" s="5" t="n">
        <v>1</v>
      </c>
      <c r="F36" s="5" t="inlineStr">
        <is>
          <t>3</t>
        </is>
      </c>
      <c r="G36" s="6" t="inlineStr">
        <is>
          <t>Strategic</t>
        </is>
      </c>
      <c r="H36" s="6" t="inlineStr">
        <is>
          <t>Final indication of interest at $20.75 per share, all cash; Pamplona reiterated its commitment to provide 100% of the capital required; requested two weeks of exclusive negotiations. Exclusivity requested (2 weeks); granted 09/24/2013 (R040).</t>
        </is>
      </c>
      <c r="I36" s="5" t="inlineStr">
        <is>
          <t>Formal</t>
        </is>
      </c>
      <c r="J36" s="5" t="inlineStr">
        <is>
          <t>Light</t>
        </is>
      </c>
      <c r="K36" s="6" t="inlineStr">
        <is>
          <t>Stated: "On September 18, 2013,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(p.36) Formality: Formal — response on the requested basis to the target’s final-indication solicitation (signal 2). Conditions: Light — committed financing, no diligence condition stated; diligence still open.</t>
        </is>
      </c>
      <c r="L36" s="7" t="inlineStr">
        <is>
          <t>P-0546</t>
        </is>
      </c>
      <c r="M36" s="5" t="inlineStr">
        <is>
          <t>Q5; Q6</t>
        </is>
      </c>
      <c r="N36" s="6" t="n"/>
      <c r="O36" s="5" t="inlineStr">
        <is>
          <t>R034</t>
        </is>
      </c>
      <c r="P36" s="5" t="inlineStr">
        <is>
          <t>Yes</t>
        </is>
      </c>
      <c r="Q36" s="5" t="n">
        <v>1</v>
      </c>
      <c r="R36" s="8" t="n">
        <v>41535</v>
      </c>
      <c r="S36" s="8" t="n">
        <v>41535</v>
      </c>
      <c r="T36" s="8" t="n">
        <v>41535</v>
      </c>
      <c r="U36" s="5" t="inlineStr">
        <is>
          <t>Reported day</t>
        </is>
      </c>
      <c r="V36" s="5" t="inlineStr">
        <is>
          <t>Reported</t>
        </is>
      </c>
      <c r="W36" s="6" t="n">
        <v>20.75</v>
      </c>
      <c r="X36" s="6" t="n">
        <v>20.75</v>
      </c>
      <c r="Y36" s="5" t="inlineStr">
        <is>
          <t>Point</t>
        </is>
      </c>
      <c r="Z36" s="5" t="inlineStr">
        <is>
          <t>Stated</t>
        </is>
      </c>
      <c r="AA36" s="5" t="inlineStr">
        <is>
          <t>USD</t>
        </is>
      </c>
      <c r="AB36" s="5" t="inlineStr">
        <is>
          <t>Yes</t>
        </is>
      </c>
      <c r="AC36" s="6" t="n"/>
      <c r="AD36" s="6" t="inlineStr">
        <is>
          <t>Fin: committed; DD required: not stated; DD open: yes; Excl: requested (2 wks)</t>
        </is>
      </c>
      <c r="AE36" s="9" t="n"/>
      <c r="AF36" s="5" t="n"/>
      <c r="AG36" s="5" t="n"/>
      <c r="AH36" s="5" t="n"/>
      <c r="AI36" s="6" t="n"/>
      <c r="AJ36" s="5" t="n"/>
      <c r="AK36" s="5" t="n">
        <v>36</v>
      </c>
      <c r="AL36" s="6" t="n"/>
      <c r="AM36" s="6" t="inlineStr">
        <is>
          <t>Mac-Gray</t>
        </is>
      </c>
    </row>
    <row r="37">
      <c r="A37" s="5" t="n">
        <v>35</v>
      </c>
      <c r="B37" s="6" t="inlineStr">
        <is>
          <t>09/18/2013</t>
        </is>
      </c>
      <c r="C37" s="6" t="inlineStr">
        <is>
          <t>Party A</t>
        </is>
      </c>
      <c r="D37" s="6" t="inlineStr">
        <is>
          <t>Bid</t>
        </is>
      </c>
      <c r="E37" s="5" t="n">
        <v>1</v>
      </c>
      <c r="F37" s="5" t="inlineStr">
        <is>
          <t>3</t>
        </is>
      </c>
      <c r="G37" s="6" t="inlineStr">
        <is>
          <t>Strategic</t>
        </is>
      </c>
      <c r="H37" s="6" t="inlineStr">
        <is>
          <t>Reiterated by telephone that its previous $18.00 to $19.00 per share all-cash indication was its best and final offer. No firm financing commitment was ever provided.</t>
        </is>
      </c>
      <c r="I37" s="5" t="inlineStr">
        <is>
          <t>Formal</t>
        </is>
      </c>
      <c r="J37" s="5" t="inlineStr">
        <is>
          <t>Heavy</t>
        </is>
      </c>
      <c r="K37" s="6" t="inlineStr">
        <is>
          <t>Stated: "Also on September 18, 2013, Party A reiterated in a telephone call to a representative of BofA Merrill Lynch that its previous indication of interest with an all-cash purchase price of $18.00 to $19.00 per share was its best and final offer." (p.36) Formality: Formal — best-and-final response to a final solicitation (signal 2). Conditions: Heavy — financing not committed.</t>
        </is>
      </c>
      <c r="L37" s="7" t="inlineStr">
        <is>
          <t>P-0546</t>
        </is>
      </c>
      <c r="M37" s="5" t="inlineStr">
        <is>
          <t>Q5; Q6</t>
        </is>
      </c>
      <c r="N37" s="6" t="n"/>
      <c r="O37" s="5" t="inlineStr">
        <is>
          <t>R035</t>
        </is>
      </c>
      <c r="P37" s="5" t="inlineStr">
        <is>
          <t>Yes</t>
        </is>
      </c>
      <c r="Q37" s="5" t="n">
        <v>1</v>
      </c>
      <c r="R37" s="8" t="n">
        <v>41535</v>
      </c>
      <c r="S37" s="8" t="n">
        <v>41535</v>
      </c>
      <c r="T37" s="8" t="n">
        <v>41535</v>
      </c>
      <c r="U37" s="5" t="inlineStr">
        <is>
          <t>Reported day</t>
        </is>
      </c>
      <c r="V37" s="5" t="inlineStr">
        <is>
          <t>Reported</t>
        </is>
      </c>
      <c r="W37" s="6" t="n">
        <v>18</v>
      </c>
      <c r="X37" s="6" t="n">
        <v>19</v>
      </c>
      <c r="Y37" s="5" t="inlineStr">
        <is>
          <t>Bidder range</t>
        </is>
      </c>
      <c r="Z37" s="5" t="inlineStr">
        <is>
          <t>Stated</t>
        </is>
      </c>
      <c r="AA37" s="5" t="inlineStr">
        <is>
          <t>USD</t>
        </is>
      </c>
      <c r="AB37" s="5" t="inlineStr">
        <is>
          <t>Yes</t>
        </is>
      </c>
      <c r="AC37" s="6" t="n"/>
      <c r="AD37" s="6" t="inlineStr">
        <is>
          <t>Fin: not committed; DD required: not stated; DD open: yes; Excl: not stated</t>
        </is>
      </c>
      <c r="AE37" s="9" t="n"/>
      <c r="AF37" s="5" t="n"/>
      <c r="AG37" s="5" t="n"/>
      <c r="AH37" s="5" t="n"/>
      <c r="AI37" s="6" t="n"/>
      <c r="AJ37" s="5" t="n"/>
      <c r="AK37" s="5" t="n">
        <v>36</v>
      </c>
      <c r="AL37" s="6" t="inlineStr">
        <is>
          <t>reiterates R029 as best and final</t>
        </is>
      </c>
      <c r="AM37" s="6" t="inlineStr">
        <is>
          <t>Mac-Gray</t>
        </is>
      </c>
    </row>
    <row r="38">
      <c r="A38" s="5" t="n">
        <v>36</v>
      </c>
      <c r="B38" s="6" t="inlineStr">
        <is>
          <t>09/18/2013</t>
        </is>
      </c>
      <c r="C38" s="6" t="inlineStr">
        <is>
          <t>Party B</t>
        </is>
      </c>
      <c r="D38" s="6" t="inlineStr">
        <is>
          <t>Bid</t>
        </is>
      </c>
      <c r="E38" s="5" t="n">
        <v>1</v>
      </c>
      <c r="F38" s="5" t="inlineStr">
        <is>
          <t>3</t>
        </is>
      </c>
      <c r="G38" s="6" t="inlineStr">
        <is>
          <t>Financial</t>
        </is>
      </c>
      <c r="H38" s="6" t="inlineStr">
        <is>
          <t>Revised indication: package valued by Party B at $21.50 per share, comprising $19.00 cash at closing plus options valued by Party B at $2.50 per share (10% of the new equity, strike price equal to Party B’s initial cost basis, vesting on achievement of the base-case management projections over five years excluding future acquisitions). No firm financing commitment.</t>
        </is>
      </c>
      <c r="I38" s="5" t="inlineStr">
        <is>
          <t>Formal</t>
        </is>
      </c>
      <c r="J38" s="5" t="inlineStr">
        <is>
          <t>Heavy</t>
        </is>
      </c>
      <c r="K38" s="6" t="inlineStr">
        <is>
          <t>Stated: "On September 18, 2013,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These options, which we refer to as the Party B options, would vest on the achievement of the base case management projections ( i.e. , over five years), excluding any future acquisitions. Party B’s proposal stated that it valued the Party B options at $2.50 of incremental value per share." (p.36) Formality: Formal — final-solicitation response. Conditions: Heavy — financing not committed; contingent equity consideration. All cash: No (options are equity).</t>
        </is>
      </c>
      <c r="L38" s="7" t="inlineStr">
        <is>
          <t>P-0546</t>
        </is>
      </c>
      <c r="M38" s="5" t="inlineStr">
        <is>
          <t>Q6</t>
        </is>
      </c>
      <c r="N38" s="6" t="n"/>
      <c r="O38" s="5" t="inlineStr">
        <is>
          <t>R036</t>
        </is>
      </c>
      <c r="P38" s="5" t="inlineStr">
        <is>
          <t>Yes</t>
        </is>
      </c>
      <c r="Q38" s="5" t="n">
        <v>1</v>
      </c>
      <c r="R38" s="8" t="n">
        <v>41535</v>
      </c>
      <c r="S38" s="8" t="n">
        <v>41535</v>
      </c>
      <c r="T38" s="8" t="n">
        <v>41535</v>
      </c>
      <c r="U38" s="5" t="inlineStr">
        <is>
          <t>Reported day</t>
        </is>
      </c>
      <c r="V38" s="5" t="inlineStr">
        <is>
          <t>Reported</t>
        </is>
      </c>
      <c r="W38" s="6" t="n">
        <v>21.5</v>
      </c>
      <c r="X38" s="6" t="n">
        <v>21.5</v>
      </c>
      <c r="Y38" s="5" t="inlineStr">
        <is>
          <t>Point</t>
        </is>
      </c>
      <c r="Z38" s="5" t="inlineStr">
        <is>
          <t>Stated</t>
        </is>
      </c>
      <c r="AA38" s="5" t="inlineStr">
        <is>
          <t>USD</t>
        </is>
      </c>
      <c r="AB38" s="5" t="inlineStr">
        <is>
          <t>No</t>
        </is>
      </c>
      <c r="AC38" s="6" t="n">
        <v>19</v>
      </c>
      <c r="AD38" s="6" t="inlineStr">
        <is>
          <t>Fin: not committed; DD required: not stated; DD open: yes; Excl: not stated</t>
        </is>
      </c>
      <c r="AE38" s="9" t="n"/>
      <c r="AF38" s="5" t="n"/>
      <c r="AG38" s="5" t="n"/>
      <c r="AH38" s="5" t="n"/>
      <c r="AI38" s="6" t="n"/>
      <c r="AJ38" s="5" t="n"/>
      <c r="AK38" s="5" t="n">
        <v>36</v>
      </c>
      <c r="AL38" s="6" t="n"/>
      <c r="AM38" s="6" t="inlineStr">
        <is>
          <t>Mac-Gray</t>
        </is>
      </c>
    </row>
    <row r="39">
      <c r="A39" s="5" t="n">
        <v>37</v>
      </c>
      <c r="B39" s="6" t="inlineStr">
        <is>
          <t>09/18/2013</t>
        </is>
      </c>
      <c r="C39" s="6" t="inlineStr">
        <is>
          <t>Party C</t>
        </is>
      </c>
      <c r="D39" s="6" t="inlineStr">
        <is>
          <t>Did not submit</t>
        </is>
      </c>
      <c r="E39" s="5" t="n">
        <v>1</v>
      </c>
      <c r="F39" s="5" t="inlineStr">
        <is>
          <t>3</t>
        </is>
      </c>
      <c r="G39" s="6" t="inlineStr">
        <is>
          <t>Financial</t>
        </is>
      </c>
      <c r="H39" s="6" t="inlineStr">
        <is>
          <t>In the final-indication solicitation Party C neither submitted a revised indication nor reiterated its prior $16.00–$17.00 indication, and it gave no reasons. Agency: Unknown (no communication reported). It had been a live participant through round 2 and continued diligence through 09/18.</t>
        </is>
      </c>
      <c r="I39" s="5" t="n"/>
      <c r="J39" s="5" t="n"/>
      <c r="K39" s="6" t="inlineStr">
        <is>
          <t>Stated: "Party C did not submit a revised indication of interest or reiterate its prior indication of interest of an all-cash purchase price of $16.00 to $17.00 per share nor did it specify any reasons in connection therewith." (p.36)</t>
        </is>
      </c>
      <c r="L39" s="7" t="inlineStr">
        <is>
          <t>P-0546; P-0545</t>
        </is>
      </c>
      <c r="M39" s="5" t="inlineStr">
        <is>
          <t>Q4</t>
        </is>
      </c>
      <c r="N39" s="6" t="n"/>
      <c r="O39" s="5" t="inlineStr">
        <is>
          <t>R037</t>
        </is>
      </c>
      <c r="P39" s="5" t="inlineStr">
        <is>
          <t>Yes</t>
        </is>
      </c>
      <c r="Q39" s="5" t="n">
        <v>1</v>
      </c>
      <c r="R39" s="9" t="n"/>
      <c r="S39" s="8" t="n">
        <v>41535</v>
      </c>
      <c r="T39" s="8" t="n">
        <v>41535</v>
      </c>
      <c r="U39" s="5" t="inlineStr">
        <is>
          <t>Relative only</t>
        </is>
      </c>
      <c r="V39" s="5" t="inlineStr">
        <is>
          <t>Assigned: deadline</t>
        </is>
      </c>
      <c r="W39" s="6" t="n"/>
      <c r="X39" s="6" t="n"/>
      <c r="Y39" s="5" t="n"/>
      <c r="Z39" s="5" t="n"/>
      <c r="AA39" s="5" t="n"/>
      <c r="AB39" s="5" t="n"/>
      <c r="AC39" s="6" t="n"/>
      <c r="AD39" s="6" t="n"/>
      <c r="AE39" s="9" t="n"/>
      <c r="AF39" s="5" t="n"/>
      <c r="AG39" s="5" t="n"/>
      <c r="AH39" s="5" t="inlineStr">
        <is>
          <t>Unknown</t>
        </is>
      </c>
      <c r="AI39" s="6" t="inlineStr">
        <is>
          <t>Not stated</t>
        </is>
      </c>
      <c r="AJ39" s="5" t="inlineStr">
        <is>
          <t>Stated</t>
        </is>
      </c>
      <c r="AK39" s="5" t="n">
        <v>36</v>
      </c>
      <c r="AL39" s="6" t="n"/>
      <c r="AM39" s="6" t="inlineStr">
        <is>
          <t>Mac-Gray</t>
        </is>
      </c>
    </row>
    <row r="40">
      <c r="A40" s="5" t="n">
        <v>38</v>
      </c>
      <c r="B40" s="6" t="inlineStr">
        <is>
          <t>09/19/2013</t>
        </is>
      </c>
      <c r="C40" s="6" t="inlineStr">
        <is>
          <t>Mac-Gray (Special Committee) / CSC/Pamplona</t>
        </is>
      </c>
      <c r="D40" s="6" t="inlineStr">
        <is>
          <t>Exclusivity changed</t>
        </is>
      </c>
      <c r="E40" s="5" t="n">
        <v>1</v>
      </c>
      <c r="F40" s="5" t="inlineStr">
        <is>
          <t>3</t>
        </is>
      </c>
      <c r="G40" s="6" t="n"/>
      <c r="H40" s="6" t="inlineStr">
        <is>
          <t>Authorized (not yet granted): after reviewing the three final indications, the Special Committee concluded the CSC/Pamplona proposal had the potential to deliver the most value with greater certainty and less risk than the alternatives, primarily given potential synergies, and authorized the Transaction Committee to tell CSC/Pamplona the Committee was prepared to move into exclusivity at $21.25 per share; negotiation of exclusivity terms was authorized. Mr. MacDonald indicated support for $21.25. Party B’s $21.50 face value was considered but not accepted given the contingent Party B options and financing risk.</t>
        </is>
      </c>
      <c r="I40" s="5" t="n"/>
      <c r="J40" s="5" t="n"/>
      <c r="K40" s="6" t="inlineStr">
        <is>
          <t>Stated: "the Special Committee concluded that the revised indication of interest submitted by CSC/Pamplona had the potential of delivering the most value to stockholders, provided greater certainty and involved less potential risk than the other indications." "the Special Committee also concluded that, primarily in view of potential synergies between Mac-Gray and CSC, CSC/Pamplona should be in a position to increase their offer price above $20.75." "The Special Committee then authorized the Transaction Committee to inform CSC/Pamplona that the Special Committee would be prepared to move into exclusivity at a price of $21.25 per share" (p.37).</t>
        </is>
      </c>
      <c r="L40" s="7" t="inlineStr">
        <is>
          <t>P-0550</t>
        </is>
      </c>
      <c r="M40" s="5" t="inlineStr">
        <is>
          <t>Q4; Q6</t>
        </is>
      </c>
      <c r="N40" s="6" t="n"/>
      <c r="O40" s="5" t="inlineStr">
        <is>
          <t>R038</t>
        </is>
      </c>
      <c r="P40" s="5" t="inlineStr">
        <is>
          <t>Yes</t>
        </is>
      </c>
      <c r="Q40" s="5" t="n"/>
      <c r="R40" s="8" t="n">
        <v>41536</v>
      </c>
      <c r="S40" s="8" t="n">
        <v>41536</v>
      </c>
      <c r="T40" s="8" t="n">
        <v>41536</v>
      </c>
      <c r="U40" s="5" t="inlineStr">
        <is>
          <t>Reported day</t>
        </is>
      </c>
      <c r="V40" s="5" t="inlineStr">
        <is>
          <t>Reported</t>
        </is>
      </c>
      <c r="W40" s="6" t="n"/>
      <c r="X40" s="6" t="n"/>
      <c r="Y40" s="5" t="n"/>
      <c r="Z40" s="5" t="n"/>
      <c r="AA40" s="5" t="n"/>
      <c r="AB40" s="5" t="n"/>
      <c r="AC40" s="6" t="n"/>
      <c r="AD40" s="6" t="n"/>
      <c r="AE40" s="9" t="n"/>
      <c r="AF40" s="5" t="n"/>
      <c r="AG40" s="5" t="n"/>
      <c r="AH40" s="5" t="n"/>
      <c r="AI40" s="6" t="n"/>
      <c r="AJ40" s="5" t="n"/>
      <c r="AK40" s="5" t="n">
        <v>37</v>
      </c>
      <c r="AL40" s="6" t="n"/>
      <c r="AM40" s="6" t="inlineStr">
        <is>
          <t>Mac-Gray</t>
        </is>
      </c>
    </row>
    <row r="41">
      <c r="A41" s="5" t="n">
        <v>39</v>
      </c>
      <c r="B41" s="6" t="inlineStr">
        <is>
          <t>09/21/2013</t>
        </is>
      </c>
      <c r="C41" s="6" t="inlineStr">
        <is>
          <t>CSC/Pamplona</t>
        </is>
      </c>
      <c r="D41" s="6" t="inlineStr">
        <is>
          <t>Bid</t>
        </is>
      </c>
      <c r="E41" s="5" t="n">
        <v>1</v>
      </c>
      <c r="F41" s="5" t="inlineStr">
        <is>
          <t>3</t>
        </is>
      </c>
      <c r="G41" s="6" t="inlineStr">
        <is>
          <t>Strategic</t>
        </is>
      </c>
      <c r="H41" s="6" t="inlineStr">
        <is>
          <t>Price increase: CSC/Pamplona confirmed it was willing to increase its all-cash price to $21.25 per share as a last and best offer, provided Mac-Gray agreed to a two-week exclusive negotiation; also requested a customary voting agreement covering shares owned by Mr. MacDonald and his immediate family. Exclusivity requested (2 weeks); granted 09/24/2013 (R040).</t>
        </is>
      </c>
      <c r="I41" s="5" t="inlineStr">
        <is>
          <t>Formal</t>
        </is>
      </c>
      <c r="J41" s="5" t="inlineStr">
        <is>
          <t>Light</t>
        </is>
      </c>
      <c r="K41" s="6" t="inlineStr">
        <is>
          <t>Stated: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The representative of CSC/Pamplona also requested that shares of Mac-Gray common stock owned beneficially and of record by Mr. MacDonald and his immediate family be subject to a customary voting agreement" (p.37). Formality: Formal — price confirmation while definitive terms were being finalized (signal 3). Conditions: Light — committed financing; diligence substantially complete; final documentation.</t>
        </is>
      </c>
      <c r="L41" s="7" t="inlineStr">
        <is>
          <t>P-0551</t>
        </is>
      </c>
      <c r="M41" s="5" t="inlineStr">
        <is>
          <t>Q5; Q6</t>
        </is>
      </c>
      <c r="N41" s="6" t="n"/>
      <c r="O41" s="5" t="inlineStr">
        <is>
          <t>R039</t>
        </is>
      </c>
      <c r="P41" s="5" t="inlineStr">
        <is>
          <t>Yes</t>
        </is>
      </c>
      <c r="Q41" s="5" t="n">
        <v>0</v>
      </c>
      <c r="R41" s="8" t="n">
        <v>41538</v>
      </c>
      <c r="S41" s="8" t="n">
        <v>41538</v>
      </c>
      <c r="T41" s="8" t="n">
        <v>41538</v>
      </c>
      <c r="U41" s="5" t="inlineStr">
        <is>
          <t>Reported day</t>
        </is>
      </c>
      <c r="V41" s="5" t="inlineStr">
        <is>
          <t>Reported</t>
        </is>
      </c>
      <c r="W41" s="6" t="n">
        <v>21.25</v>
      </c>
      <c r="X41" s="6" t="n">
        <v>21.25</v>
      </c>
      <c r="Y41" s="5" t="inlineStr">
        <is>
          <t>Point</t>
        </is>
      </c>
      <c r="Z41" s="5" t="inlineStr">
        <is>
          <t>Stated</t>
        </is>
      </c>
      <c r="AA41" s="5" t="inlineStr">
        <is>
          <t>USD</t>
        </is>
      </c>
      <c r="AB41" s="5" t="inlineStr">
        <is>
          <t>Yes</t>
        </is>
      </c>
      <c r="AC41" s="6" t="n">
        <v>21.25</v>
      </c>
      <c r="AD41" s="6" t="inlineStr">
        <is>
          <t>Fin: committed; DD required: not stated; DD open: yes; Excl: requested (2 wks)</t>
        </is>
      </c>
      <c r="AE41" s="9" t="n"/>
      <c r="AF41" s="5" t="n"/>
      <c r="AG41" s="5" t="n"/>
      <c r="AH41" s="5" t="n"/>
      <c r="AI41" s="6" t="n"/>
      <c r="AJ41" s="5" t="n"/>
      <c r="AK41" s="5" t="n">
        <v>37</v>
      </c>
      <c r="AL41" s="6" t="inlineStr">
        <is>
          <t>revises R034</t>
        </is>
      </c>
      <c r="AM41" s="6" t="inlineStr">
        <is>
          <t>Mac-Gray</t>
        </is>
      </c>
    </row>
    <row r="42">
      <c r="A42" s="5" t="n">
        <v>40</v>
      </c>
      <c r="B42" s="6" t="inlineStr">
        <is>
          <t>09/24/2013</t>
        </is>
      </c>
      <c r="C42" s="6" t="inlineStr">
        <is>
          <t>CSC / Pamplona / Mac-Gray</t>
        </is>
      </c>
      <c r="D42" s="6" t="inlineStr">
        <is>
          <t>Exclusivity changed</t>
        </is>
      </c>
      <c r="E42" s="5" t="n">
        <v>1</v>
      </c>
      <c r="F42" s="5" t="inlineStr">
        <is>
          <t>3</t>
        </is>
      </c>
      <c r="G42" s="6" t="n"/>
      <c r="H42" s="6" t="inlineStr">
        <is>
          <t>Granted (executed): exclusivity agreement providing for exclusive negotiations until 5:00 p.m. ET on 10/12/2013, subject to CSC/Pamplona not adversely changing the agreed terms; negotiated terms included a $15 million CSC reverse termination fee payable to Mac-Gray if regulatory clearance were not obtained, agreement on certain post-signing covenants, no financing contingency and Pamplona’s commitment to fund 100% of capital needed for closing. CSC/Pamplona confirmed the $21.25 price and exclusivity request on 09/21/2013. Executing exclusivity caused every other live bidder to be dropped on this date (R041, R042, R037 earlier).</t>
        </is>
      </c>
      <c r="I42" s="5" t="n"/>
      <c r="J42" s="5" t="n"/>
      <c r="K42" s="6" t="inlineStr">
        <is>
          <t>Stated: "On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 (p.38)</t>
        </is>
      </c>
      <c r="L42" s="7" t="inlineStr">
        <is>
          <t>P-0552; P-0554; P-0557</t>
        </is>
      </c>
      <c r="M42" s="5" t="inlineStr">
        <is>
          <t>Q1</t>
        </is>
      </c>
      <c r="N42" s="6" t="n"/>
      <c r="O42" s="5" t="inlineStr">
        <is>
          <t>R040</t>
        </is>
      </c>
      <c r="P42" s="5" t="inlineStr">
        <is>
          <t>Yes</t>
        </is>
      </c>
      <c r="Q42" s="5" t="n"/>
      <c r="R42" s="8" t="n">
        <v>41541</v>
      </c>
      <c r="S42" s="8" t="n">
        <v>41541</v>
      </c>
      <c r="T42" s="8" t="n">
        <v>41541</v>
      </c>
      <c r="U42" s="5" t="inlineStr">
        <is>
          <t>Reported day</t>
        </is>
      </c>
      <c r="V42" s="5" t="inlineStr">
        <is>
          <t>Assigned: decision day</t>
        </is>
      </c>
      <c r="W42" s="6" t="n"/>
      <c r="X42" s="6" t="n"/>
      <c r="Y42" s="5" t="n"/>
      <c r="Z42" s="5" t="n"/>
      <c r="AA42" s="5" t="n"/>
      <c r="AB42" s="5" t="n"/>
      <c r="AC42" s="6" t="n"/>
      <c r="AD42" s="6" t="n"/>
      <c r="AE42" s="9" t="n"/>
      <c r="AF42" s="5" t="n"/>
      <c r="AG42" s="5" t="n"/>
      <c r="AH42" s="5" t="n"/>
      <c r="AI42" s="6" t="n"/>
      <c r="AJ42" s="5" t="n"/>
      <c r="AK42" s="5" t="n">
        <v>38</v>
      </c>
      <c r="AL42" s="6" t="n"/>
      <c r="AM42" s="6" t="inlineStr">
        <is>
          <t>Mac-Gray</t>
        </is>
      </c>
    </row>
    <row r="43">
      <c r="A43" s="5" t="n">
        <v>41</v>
      </c>
      <c r="B43" s="6" t="inlineStr">
        <is>
          <t>by 09/24/2013</t>
        </is>
      </c>
      <c r="C43" s="6" t="inlineStr">
        <is>
          <t>Party A</t>
        </is>
      </c>
      <c r="D43" s="6" t="inlineStr">
        <is>
          <t>Dropped by target</t>
        </is>
      </c>
      <c r="E43" s="5" t="n">
        <v>1</v>
      </c>
      <c r="F43" s="5" t="inlineStr">
        <is>
          <t>3</t>
        </is>
      </c>
      <c r="G43" s="6" t="inlineStr">
        <is>
          <t>Strategic</t>
        </is>
      </c>
      <c r="H43" s="6" t="inlineStr">
        <is>
          <t>Inferred: exclusivity — displaced when Mac-Gray executed exclusivity with CSC/Pamplona. Party A’s best-and-final $18.00–$19.00 offer remained below the exclusive bidder’s $21.25; agency: Target (executed exclusivity), no notice to Party A is separately reported. Closing inferred only; no motive beyond displacement is asserted here (its exit reason records the stated price relative to the selected offer).</t>
        </is>
      </c>
      <c r="I43" s="5" t="n"/>
      <c r="J43" s="5" t="n"/>
      <c r="K43" s="6" t="inlineStr">
        <is>
          <t>Stated execution: "CSC, Pamplona and Mac-Gray executed the exclusivity agreement" (p.38); Party A had last submitted its best and final offer on 09/18/2013 (p.36) and was not selected. Inferred closing at the exclusivity execution.</t>
        </is>
      </c>
      <c r="L43" s="7" t="inlineStr">
        <is>
          <t>P-0546; P-0557</t>
        </is>
      </c>
      <c r="M43" s="5" t="inlineStr">
        <is>
          <t>Q4</t>
        </is>
      </c>
      <c r="N43" s="6" t="n"/>
      <c r="O43" s="5" t="inlineStr">
        <is>
          <t>R041</t>
        </is>
      </c>
      <c r="P43" s="5" t="inlineStr">
        <is>
          <t>Yes</t>
        </is>
      </c>
      <c r="Q43" s="5" t="n">
        <v>1</v>
      </c>
      <c r="R43" s="9" t="n"/>
      <c r="S43" s="8" t="n">
        <v>41541</v>
      </c>
      <c r="T43" s="8" t="n">
        <v>41541</v>
      </c>
      <c r="U43" s="5" t="inlineStr">
        <is>
          <t>Relative only</t>
        </is>
      </c>
      <c r="V43" s="5" t="inlineStr">
        <is>
          <t>Assigned: decision day</t>
        </is>
      </c>
      <c r="W43" s="6" t="n"/>
      <c r="X43" s="6" t="n"/>
      <c r="Y43" s="5" t="n"/>
      <c r="Z43" s="5" t="n"/>
      <c r="AA43" s="5" t="n"/>
      <c r="AB43" s="5" t="n"/>
      <c r="AC43" s="6" t="n"/>
      <c r="AD43" s="6" t="n"/>
      <c r="AE43" s="9" t="n"/>
      <c r="AF43" s="5" t="n"/>
      <c r="AG43" s="5" t="n"/>
      <c r="AH43" s="5" t="inlineStr">
        <is>
          <t>Target</t>
        </is>
      </c>
      <c r="AI43" s="6" t="inlineStr">
        <is>
          <t>Lower offer than rivals</t>
        </is>
      </c>
      <c r="AJ43" s="5" t="inlineStr">
        <is>
          <t>Inferred: exclusivity</t>
        </is>
      </c>
      <c r="AK43" s="5" t="n">
        <v>38</v>
      </c>
      <c r="AL43" s="6" t="n"/>
      <c r="AM43" s="6" t="inlineStr">
        <is>
          <t>Mac-Gray</t>
        </is>
      </c>
    </row>
    <row r="44">
      <c r="A44" s="5" t="n">
        <v>42</v>
      </c>
      <c r="B44" s="6" t="inlineStr">
        <is>
          <t>by 09/24/2013</t>
        </is>
      </c>
      <c r="C44" s="6" t="inlineStr">
        <is>
          <t>Party B</t>
        </is>
      </c>
      <c r="D44" s="6" t="inlineStr">
        <is>
          <t>Dropped by target</t>
        </is>
      </c>
      <c r="E44" s="5" t="n">
        <v>1</v>
      </c>
      <c r="F44" s="5" t="inlineStr">
        <is>
          <t>3</t>
        </is>
      </c>
      <c r="G44" s="6" t="inlineStr">
        <is>
          <t>Financial</t>
        </is>
      </c>
      <c r="H44" s="6" t="inlineStr">
        <is>
          <t>Inferred: exclusivity — displaced when Mac-Gray executed exclusivity with CSC/Pamplona. Party B’s $21.50 face value exceeded the $21.25 exclusive price but included Party B options and no firm financing commitment; the Committee’s stated selection basis was greater certainty and less risk. Agency: Target (executed exclusivity). Exit reason: Terms or process (contingent consideration and financing risk); see Questions.</t>
        </is>
      </c>
      <c r="I44" s="5" t="n"/>
      <c r="J44" s="5" t="n"/>
      <c r="K44" s="6" t="inlineStr">
        <is>
          <t>Stated execution: "CSC, Pamplona and Mac-Gray executed the exclusivity agreement" (p.38). Selection basis: "CSC/Pamplona had the potential of delivering the most value to stockholders, provided greater certainty and involved less potential risk than the other indications" (p.37).</t>
        </is>
      </c>
      <c r="L44" s="7" t="inlineStr">
        <is>
          <t>P-0550; P-0557</t>
        </is>
      </c>
      <c r="M44" s="5" t="inlineStr">
        <is>
          <t>Q4</t>
        </is>
      </c>
      <c r="N44" s="6" t="n"/>
      <c r="O44" s="5" t="inlineStr">
        <is>
          <t>R042</t>
        </is>
      </c>
      <c r="P44" s="5" t="inlineStr">
        <is>
          <t>Yes</t>
        </is>
      </c>
      <c r="Q44" s="5" t="n">
        <v>1</v>
      </c>
      <c r="R44" s="9" t="n"/>
      <c r="S44" s="8" t="n">
        <v>41541</v>
      </c>
      <c r="T44" s="8" t="n">
        <v>41541</v>
      </c>
      <c r="U44" s="5" t="inlineStr">
        <is>
          <t>Relative only</t>
        </is>
      </c>
      <c r="V44" s="5" t="inlineStr">
        <is>
          <t>Assigned: decision day</t>
        </is>
      </c>
      <c r="W44" s="6" t="n"/>
      <c r="X44" s="6" t="n"/>
      <c r="Y44" s="5" t="n"/>
      <c r="Z44" s="5" t="n"/>
      <c r="AA44" s="5" t="n"/>
      <c r="AB44" s="5" t="n"/>
      <c r="AC44" s="6" t="n"/>
      <c r="AD44" s="6" t="n"/>
      <c r="AE44" s="9" t="n"/>
      <c r="AF44" s="5" t="n"/>
      <c r="AG44" s="5" t="n"/>
      <c r="AH44" s="5" t="inlineStr">
        <is>
          <t>Target</t>
        </is>
      </c>
      <c r="AI44" s="6" t="inlineStr">
        <is>
          <t>Terms or process</t>
        </is>
      </c>
      <c r="AJ44" s="5" t="inlineStr">
        <is>
          <t>Inferred: exclusivity</t>
        </is>
      </c>
      <c r="AK44" s="5" t="n">
        <v>38</v>
      </c>
      <c r="AL44" s="6" t="n"/>
      <c r="AM44" s="6" t="inlineStr">
        <is>
          <t>Mac-Gray</t>
        </is>
      </c>
    </row>
    <row r="45">
      <c r="A45" s="5" t="n">
        <v>43</v>
      </c>
      <c r="B45" s="6" t="inlineStr">
        <is>
          <t>10/07/2013</t>
        </is>
      </c>
      <c r="C45" s="6" t="inlineStr">
        <is>
          <t>Moab Partners, L.P. / CSC/Pamplona</t>
        </is>
      </c>
      <c r="D45" s="6" t="inlineStr">
        <is>
          <t>Material process update</t>
        </is>
      </c>
      <c r="E45" s="5" t="n">
        <v>1</v>
      </c>
      <c r="F45" s="5" t="inlineStr">
        <is>
          <t>3</t>
        </is>
      </c>
      <c r="G45" s="6" t="n"/>
      <c r="H45" s="6" t="inlineStr">
        <is>
          <t>Rollover relationship resolved: after discussions with Pamplona beginning 09/25/2013 (facilitated after the 09/23/2013 briefing), it was determined that Moab would not roll over any shares in the transaction; Mr. Rothenberg was then given the details of the process and negotiations. No rollover, so no membership change in the bidding unit.</t>
        </is>
      </c>
      <c r="I45" s="5" t="n"/>
      <c r="J45" s="5" t="n"/>
      <c r="K45" s="6" t="inlineStr">
        <is>
          <t>Stated: "Mr. Rothenberg engaged in various discussions with representatives of Pamplona during this time to discuss a possible rollover of Moab shares. As a result of such discussions, it was determined that Moab would not rollover any Moab shares in the transaction." (p.38); confirmed "after discussions between Moab and representatives of Pamplona, it was determined that Moab would not rollover any Moab shares in the transaction" (p.39).</t>
        </is>
      </c>
      <c r="L45" s="7" t="inlineStr">
        <is>
          <t>P-0555; P-0558; P-0563</t>
        </is>
      </c>
      <c r="M45" s="5" t="inlineStr">
        <is>
          <t>Q8</t>
        </is>
      </c>
      <c r="N45" s="6" t="n"/>
      <c r="O45" s="5" t="inlineStr">
        <is>
          <t>R043</t>
        </is>
      </c>
      <c r="P45" s="5" t="inlineStr">
        <is>
          <t>Yes</t>
        </is>
      </c>
      <c r="Q45" s="5" t="n"/>
      <c r="R45" s="8" t="n">
        <v>41554</v>
      </c>
      <c r="S45" s="8" t="n">
        <v>41554</v>
      </c>
      <c r="T45" s="8" t="n">
        <v>41554</v>
      </c>
      <c r="U45" s="5" t="inlineStr">
        <is>
          <t>Reported day</t>
        </is>
      </c>
      <c r="V45" s="5" t="inlineStr">
        <is>
          <t>Reported</t>
        </is>
      </c>
      <c r="W45" s="6" t="n"/>
      <c r="X45" s="6" t="n"/>
      <c r="Y45" s="5" t="n"/>
      <c r="Z45" s="5" t="n"/>
      <c r="AA45" s="5" t="n"/>
      <c r="AB45" s="5" t="n"/>
      <c r="AC45" s="6" t="n"/>
      <c r="AD45" s="6" t="n"/>
      <c r="AE45" s="9" t="n"/>
      <c r="AF45" s="5" t="n"/>
      <c r="AG45" s="5" t="n"/>
      <c r="AH45" s="5" t="n"/>
      <c r="AI45" s="6" t="n"/>
      <c r="AJ45" s="5" t="n"/>
      <c r="AK45" s="5" t="n">
        <v>39</v>
      </c>
      <c r="AL45" s="6" t="n"/>
      <c r="AM45" s="6" t="inlineStr">
        <is>
          <t>Mac-Gray</t>
        </is>
      </c>
    </row>
    <row r="46">
      <c r="A46" s="5" t="n">
        <v>44</v>
      </c>
      <c r="B46" s="6" t="inlineStr">
        <is>
          <t>10/12/2013</t>
        </is>
      </c>
      <c r="C46" s="6" t="inlineStr">
        <is>
          <t>CSC / Pamplona / Mac-Gray</t>
        </is>
      </c>
      <c r="D46" s="6" t="inlineStr">
        <is>
          <t>Exclusivity changed</t>
        </is>
      </c>
      <c r="E46" s="5" t="n">
        <v>1</v>
      </c>
      <c r="F46" s="5" t="inlineStr">
        <is>
          <t>3</t>
        </is>
      </c>
      <c r="G46" s="6" t="n"/>
      <c r="H46" s="6" t="inlineStr">
        <is>
          <t>Extended (executed): letter agreement extending exclusivity to 11:59 p.m. ET on 10/15/2013, after CSC/Pamplona requested more time on 10/09/2013 and the Special Committee authorized an extension only if CSC/Pamplona agreed to a Mac-Gray termination fee of not more than $11 million (about 3.2% of total equity value); CSC/Pamplona agreed to the $11 million fee on 10/11/2013, down from its proposed $15 million (about 4.4%), and Mac-Gray had proposed $10.5 million (about 3.0%).</t>
        </is>
      </c>
      <c r="I46" s="5" t="n"/>
      <c r="J46" s="5" t="n"/>
      <c r="K46" s="6" t="inlineStr">
        <is>
          <t>Stated: "On October 12, 2013, CSC, Pamplona and Mac-Gray executed a letter agreement extending exclusivity until 11:59 p.m. ET on October 15, 2013." (p.41); fee negotiation at pp.39–40 (including "authorized to extend the exclusivity agreement until 11:59 p.m. on ET on October 15, 2013 if CSC/Pamplona would agree to a Mac-Gray termination fee of not more than $11 million, which represented approximately 3.2% of the total equity value of the transaction", p.40).</t>
        </is>
      </c>
      <c r="L46" s="7" t="inlineStr">
        <is>
          <t>P-0564; P-0567; P-0569; P-0570; P-0571; P-0574</t>
        </is>
      </c>
      <c r="M46" s="5" t="inlineStr">
        <is>
          <t>Q2</t>
        </is>
      </c>
      <c r="N46" s="6" t="n"/>
      <c r="O46" s="5" t="inlineStr">
        <is>
          <t>R044</t>
        </is>
      </c>
      <c r="P46" s="5" t="inlineStr">
        <is>
          <t>Yes</t>
        </is>
      </c>
      <c r="Q46" s="5" t="n"/>
      <c r="R46" s="8" t="n">
        <v>41559</v>
      </c>
      <c r="S46" s="8" t="n">
        <v>41559</v>
      </c>
      <c r="T46" s="8" t="n">
        <v>41559</v>
      </c>
      <c r="U46" s="5" t="inlineStr">
        <is>
          <t>Reported day</t>
        </is>
      </c>
      <c r="V46" s="5" t="inlineStr">
        <is>
          <t>Reported</t>
        </is>
      </c>
      <c r="W46" s="6" t="n"/>
      <c r="X46" s="6" t="n"/>
      <c r="Y46" s="5" t="n"/>
      <c r="Z46" s="5" t="n"/>
      <c r="AA46" s="5" t="n"/>
      <c r="AB46" s="5" t="n"/>
      <c r="AC46" s="6" t="n"/>
      <c r="AD46" s="6" t="n"/>
      <c r="AE46" s="9" t="n"/>
      <c r="AF46" s="5" t="n"/>
      <c r="AG46" s="5" t="n"/>
      <c r="AH46" s="5" t="n"/>
      <c r="AI46" s="6" t="n"/>
      <c r="AJ46" s="5" t="n"/>
      <c r="AK46" s="5" t="n">
        <v>41</v>
      </c>
      <c r="AL46" s="6" t="n"/>
      <c r="AM46" s="6" t="inlineStr">
        <is>
          <t>Mac-Gray</t>
        </is>
      </c>
    </row>
    <row r="47">
      <c r="A47" s="5" t="n">
        <v>45</v>
      </c>
      <c r="B47" s="6" t="inlineStr">
        <is>
          <t>10/14/2013</t>
        </is>
      </c>
      <c r="C47" s="6" t="inlineStr">
        <is>
          <t>Mac-Gray / CSC ServiceWorks / Spin Holdco / CSC Fenway / Pamplona</t>
        </is>
      </c>
      <c r="D47" s="6" t="inlineStr">
        <is>
          <t>Merger agreement signed</t>
        </is>
      </c>
      <c r="E47" s="5" t="n">
        <v>1</v>
      </c>
      <c r="F47" s="5" t="inlineStr">
        <is>
          <t>3</t>
        </is>
      </c>
      <c r="G47" s="6" t="n"/>
      <c r="H47" s="6" t="inlineStr">
        <is>
          <t>Merger agreement dated and executed 10/14/2013: each common share converted into $21.25 in cash without interest; Mac-Gray termination fee $11 million (about 3.2% of equity value; heavily negotiated); Parent termination fee $15 million; no financing condition; Pamplona commitment letter for $594 million delivered, with Pamplona liability for damages capped at $50 million and the Buyer Entities’ liability unlimited; Moab voting agreement executed and the MacDonald voting agreements became effective; the Special Committee and Board approved after BofA’s oral opinion (written opinion dated 10/14/2013).</t>
        </is>
      </c>
      <c r="I47" s="5" t="n"/>
      <c r="J47" s="5" t="n"/>
      <c r="K47" s="6" t="inlineStr">
        <is>
          <t>Stated: "Later in the day, on October 14, 2013, the merger agreement was executed, the Pamplona commitment letter was delivered, Moab and Parent executed the Moab voting agreement and the Mac-Donald voting agreements became effective." (p.41); $21.25 per share (p.5); termination fees $11 million/$15 million (p.10); $594 million commitment (p.6).</t>
        </is>
      </c>
      <c r="L47" s="7" t="inlineStr">
        <is>
          <t>X-001; X-002; X-003; P-0577; P-0579</t>
        </is>
      </c>
      <c r="M47" s="5" t="inlineStr">
        <is>
          <t>Q6</t>
        </is>
      </c>
      <c r="N47" s="6" t="n"/>
      <c r="O47" s="5" t="inlineStr">
        <is>
          <t>R045</t>
        </is>
      </c>
      <c r="P47" s="5" t="inlineStr">
        <is>
          <t>Yes</t>
        </is>
      </c>
      <c r="Q47" s="5" t="n"/>
      <c r="R47" s="8" t="n">
        <v>41561</v>
      </c>
      <c r="S47" s="8" t="n">
        <v>41561</v>
      </c>
      <c r="T47" s="8" t="n">
        <v>41561</v>
      </c>
      <c r="U47" s="5" t="inlineStr">
        <is>
          <t>Reported day</t>
        </is>
      </c>
      <c r="V47" s="5" t="inlineStr">
        <is>
          <t>Reported</t>
        </is>
      </c>
      <c r="W47" s="6" t="n"/>
      <c r="X47" s="6" t="n"/>
      <c r="Y47" s="5" t="n"/>
      <c r="Z47" s="5" t="n"/>
      <c r="AA47" s="5" t="n"/>
      <c r="AB47" s="5" t="n"/>
      <c r="AC47" s="6" t="n"/>
      <c r="AD47" s="6" t="n"/>
      <c r="AE47" s="9" t="n"/>
      <c r="AF47" s="5" t="n"/>
      <c r="AG47" s="5" t="n"/>
      <c r="AH47" s="5" t="n"/>
      <c r="AI47" s="6" t="n"/>
      <c r="AJ47" s="5" t="n"/>
      <c r="AK47" s="5" t="n">
        <v>41</v>
      </c>
      <c r="AL47" s="6" t="n"/>
      <c r="AM47" s="6" t="inlineStr">
        <is>
          <t>Mac-Gray</t>
        </is>
      </c>
    </row>
    <row r="48">
      <c r="A48" s="5" t="n">
        <v>46</v>
      </c>
      <c r="B48" s="6" t="inlineStr">
        <is>
          <t>10/15/2013</t>
        </is>
      </c>
      <c r="C48" s="6" t="inlineStr">
        <is>
          <t>Mac-Gray / CSC</t>
        </is>
      </c>
      <c r="D48" s="6" t="inlineStr">
        <is>
          <t>Merger announced</t>
        </is>
      </c>
      <c r="E48" s="5" t="n">
        <v>1</v>
      </c>
      <c r="F48" s="5" t="inlineStr">
        <is>
          <t>post</t>
        </is>
      </c>
      <c r="G48" s="6" t="n"/>
      <c r="H48" s="6" t="inlineStr">
        <is>
          <t>Mac-Gray and CSC jointly announced the execution of the merger agreement before the U.S. stock markets opened. Public disclosure by joint press release.</t>
        </is>
      </c>
      <c r="I48" s="5" t="n"/>
      <c r="J48" s="5" t="n"/>
      <c r="K48" s="6" t="inlineStr">
        <is>
          <t>Stated: "On October 15, 2013, before the U.S. stock markets opened, Mac-Gray and CSC jointly announced the execution of the merger agreement." (p.41)</t>
        </is>
      </c>
      <c r="L48" s="7" t="inlineStr">
        <is>
          <t>P-0580</t>
        </is>
      </c>
      <c r="M48" s="5" t="inlineStr">
        <is>
          <t>Q1</t>
        </is>
      </c>
      <c r="N48" s="6" t="n"/>
      <c r="O48" s="5" t="inlineStr">
        <is>
          <t>R046</t>
        </is>
      </c>
      <c r="P48" s="5" t="inlineStr">
        <is>
          <t>Yes</t>
        </is>
      </c>
      <c r="Q48" s="5" t="n"/>
      <c r="R48" s="8" t="n">
        <v>41562</v>
      </c>
      <c r="S48" s="8" t="n">
        <v>41562</v>
      </c>
      <c r="T48" s="8" t="n">
        <v>41562</v>
      </c>
      <c r="U48" s="5" t="inlineStr">
        <is>
          <t>Reported day</t>
        </is>
      </c>
      <c r="V48" s="5" t="inlineStr">
        <is>
          <t>Reported</t>
        </is>
      </c>
      <c r="W48" s="6" t="n"/>
      <c r="X48" s="6" t="n"/>
      <c r="Y48" s="5" t="n"/>
      <c r="Z48" s="5" t="n"/>
      <c r="AA48" s="5" t="n"/>
      <c r="AB48" s="5" t="n"/>
      <c r="AC48" s="6" t="n"/>
      <c r="AD48" s="6" t="n"/>
      <c r="AE48" s="9" t="n"/>
      <c r="AF48" s="5" t="n"/>
      <c r="AG48" s="5" t="n"/>
      <c r="AH48" s="5" t="n"/>
      <c r="AI48" s="6" t="n"/>
      <c r="AJ48" s="5" t="n"/>
      <c r="AK48" s="5" t="n">
        <v>41</v>
      </c>
      <c r="AL48" s="6" t="n"/>
      <c r="AM48" s="6" t="inlineStr">
        <is>
          <t>Mac-Gray</t>
        </is>
      </c>
    </row>
  </sheetData>
  <autoFilter ref="A2:AM48"/>
  <mergeCells count="8">
    <mergeCell ref="R1:V1"/>
    <mergeCell ref="AE1:AG1"/>
    <mergeCell ref="AB1:AC1"/>
    <mergeCell ref="AH1:AJ1"/>
    <mergeCell ref="AK1:AM1"/>
    <mergeCell ref="O1:P1"/>
    <mergeCell ref="W1:AA1"/>
    <mergeCell ref="A1:N1"/>
  </mergeCells>
  <conditionalFormatting sqref="A3:AM300">
    <cfRule type="expression" priority="1" dxfId="0" stopIfTrue="1">
      <formula>AND($O3&lt;&gt;"",ISNA(MATCH($O3,'AI original'!$O$3:$O$500,0)))</formula>
    </cfRule>
    <cfRule type="expression" priority="2" dxfId="0" stopIfTrue="0">
      <formula>AND($O3&lt;&gt;"",NOT(ISNA(MATCH($O3,'AI original'!$O$3:$O$500,0))),A3&lt;&gt;INDEX('AI original'!$A$3:$AM$500,MATCH($O3,'AI original'!$O$3:$O$500,0),COLUMN()))</formula>
    </cfRule>
  </conditionalFormatting>
  <dataValidations count="15">
    <dataValidation sqref="D3:D300" showDropDown="0" showInputMessage="0" showErrorMessage="1" allowBlank="1" type="list">
      <formula1>=Lists!$A$2:$A$41</formula1>
    </dataValidation>
    <dataValidation sqref="G3:G300" showDropDown="0" showInputMessage="0" showErrorMessage="1" allowBlank="1" type="list">
      <formula1>=Lists!$B$2:$B$5</formula1>
    </dataValidation>
    <dataValidation sqref="I3:I300" showDropDown="0" showInputMessage="0" showErrorMessage="1" allowBlank="1" type="list">
      <formula1>=Lists!$C$2:$C$5</formula1>
    </dataValidation>
    <dataValidation sqref="J3:J300" showDropDown="0" showInputMessage="0" showErrorMessage="1" allowBlank="1" type="list">
      <formula1>=Lists!$D$2:$D$6</formula1>
    </dataValidation>
    <dataValidation sqref="P3:P300" showDropDown="0" showInputMessage="0" showErrorMessage="1" allowBlank="1" type="list">
      <formula1>=Lists!$E$2:$E$3</formula1>
    </dataValidation>
    <dataValidation sqref="U3:U300" showDropDown="0" showInputMessage="0" showErrorMessage="1" allowBlank="1" type="list">
      <formula1>=Lists!$F$2:$F$7</formula1>
    </dataValidation>
    <dataValidation sqref="V3:V300" showDropDown="0" showInputMessage="0" showErrorMessage="1" allowBlank="1" type="list">
      <formula1>=Lists!$G$2:$G$8</formula1>
    </dataValidation>
    <dataValidation sqref="Y3:Y300" showDropDown="0" showInputMessage="0" showErrorMessage="1" allowBlank="1" type="list">
      <formula1>=Lists!$H$2:$H$6</formula1>
    </dataValidation>
    <dataValidation sqref="Z3:Z300" showDropDown="0" showInputMessage="0" showErrorMessage="1" allowBlank="1" type="list">
      <formula1>=Lists!$I$2:$I$4</formula1>
    </dataValidation>
    <dataValidation sqref="AB3:AB300" showDropDown="0" showInputMessage="0" showErrorMessage="1" allowBlank="1" type="list">
      <formula1>=Lists!$J$2:$J$4</formula1>
    </dataValidation>
    <dataValidation sqref="AF3:AF300" showDropDown="0" showInputMessage="0" showErrorMessage="1" allowBlank="1" type="list">
      <formula1>=Lists!$K$2:$K$8</formula1>
    </dataValidation>
    <dataValidation sqref="AG3:AG300" showDropDown="0" showInputMessage="0" showErrorMessage="1" allowBlank="1" type="list">
      <formula1>=Lists!$L$2:$L$4</formula1>
    </dataValidation>
    <dataValidation sqref="AH3:AH300" showDropDown="0" showInputMessage="0" showErrorMessage="1" allowBlank="1" type="list">
      <formula1>=Lists!$M$2:$M$5</formula1>
    </dataValidation>
    <dataValidation sqref="AI3:AI300" showDropDown="0" showInputMessage="0" showErrorMessage="1" allowBlank="1" type="list">
      <formula1>=Lists!$N$2:$N$10</formula1>
    </dataValidation>
    <dataValidation sqref="AJ3:AJ300" showDropDown="0" showInputMessage="0" showErrorMessage="1" allowBlank="1" type="list">
      <formula1>=Lists!$O$2:$O$6</formula1>
    </dataValidation>
  </dataValidation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4" customWidth="1" min="1" max="1"/>
    <col width="110" customWidth="1" min="2" max="2"/>
    <col width="70" customWidth="1" min="3" max="3"/>
  </cols>
  <sheetData>
    <row r="1">
      <c r="A1" s="1" t="inlineStr">
        <is>
          <t>1. Status and commercial account</t>
        </is>
      </c>
    </row>
    <row r="2">
      <c r="A2" s="6" t="inlineStr">
        <is>
          <t>AI first pass; not human-approved. Instruction revision: 19 September 2026. Supplied source: the single DEFM14A in raw_filing/ (mac-gray_2013-12-04_DEFM14A.htm); background pp.27–41, plus the summary, financing, reasons, opinion, market-price and ownership passages included under Source text. Last recheck: mechanical checks run at build time on this version; no post-delivery edits.</t>
        </is>
      </c>
    </row>
    <row r="3">
      <c r="A3" s="6" t="inlineStr">
        <is>
          <t>Mac-Gray, the second-largest US laundry-facilities manager, ran a six-month sale process in 2013. Against a backdrop of industry consolidation (CSC itself had been bought by Pamplona in May 2013), the Board authorized exploratory work on 04/05/2013 and heard an unsolicited 06/21/2013 proposal from industry party A at $17.00–$19.00. The Special Committee (formed 06/24/2013, excluding CEO MacDonald and Moab nominee Rothenberg over rollover conflicts) had BofA Merrill Lynch contact 50 parties; 20 signed confidentiality agreements (2 strategic, 18 financial). Three preliminary IOIs followed — CSC/Pamplona $18.50, Party B $17.00–$18.00 and Party C $15.00–$17.00 — and the Committee staged diligence by bidder type, ran management meetings and requested revised proposals (six submitters were reviewed on 09/11/2013). In September the four bidders were asked for final indications: CSC/Pamplona bid $20.75, Party A said $18.00–$19.00 was best and final, Party B offered a $21.50-valued package of $19.00 cash plus options, and Party C did not respond. The Committee judged CSC/Pamplona the most valuable and most certain, obtained a $21.25 last-and-best price with a two-week exclusivity agreement (executed 09/24/2013; extended to 10/15/2013 after agreeing an $11 million termination fee), and signed on 10/14/2013, announcing 10/15/2013. The proxy is dated 12/04/2013; completion is not observed in the supplied filing (the special meeting was scheduled for 01/08/2014).</t>
        </is>
      </c>
    </row>
    <row r="5">
      <c r="A5" s="1" t="inlineStr">
        <is>
          <t>2. Deal facts</t>
        </is>
      </c>
    </row>
    <row r="6">
      <c r="A6" s="10" t="inlineStr">
        <is>
          <t>Target</t>
        </is>
      </c>
      <c r="B6" s="6" t="inlineStr">
        <is>
          <t>Mac-Gray Corporation, a Delaware corporation; common stock listed on the NYSE as "TUC"; second-largest laundry facilities management contractor in the US, founded 1927.</t>
        </is>
      </c>
    </row>
    <row r="7">
      <c r="A7" s="10" t="inlineStr">
        <is>
          <t>Focal acquirer and type</t>
        </is>
      </c>
      <c r="B7" s="6" t="inlineStr">
        <is>
          <t>CSC/Pamplona: CSC ServiceWorks, Inc. (operating laundry-services company; Strategic), acquired through Spin Holdco Inc. (Parent, wholly owned by CSC), CSC Fenway, Inc. (Merger Sub, wholly owned by Parent) and CSC ServiceWorks Holdings, Inc. (Holdings). Pamplona Capital Partners III, L.P. is the sponsor funding the transaction and owns CSC through Holdings.</t>
        </is>
      </c>
    </row>
    <row r="8">
      <c r="A8" s="10" t="inlineStr">
        <is>
          <t>Agreed consideration</t>
        </is>
      </c>
      <c r="B8" s="6" t="inlineStr">
        <is>
          <t>$21.25 per share in cash, without interest, less withholding (all cash).</t>
        </is>
      </c>
    </row>
    <row r="9">
      <c r="A9" s="10" t="inlineStr">
        <is>
          <t>Signing / announcement / completion</t>
        </is>
      </c>
      <c r="B9" s="6" t="inlineStr">
        <is>
          <t>Merger agreement dated and executed 10/14/2013; jointly announced 10/15/2013 before market open. Completion is not observed in the supplied filing: the special meeting was scheduled for 01/08/2014 and the golden-parachute disclosure assumes closing on 03/01/2014 (expected in Q1 2014).</t>
        </is>
      </c>
    </row>
    <row r="10">
      <c r="A10" s="10" t="inlineStr">
        <is>
          <t>Filing identity and source</t>
        </is>
      </c>
      <c r="B10" s="6" t="inlineStr">
        <is>
          <t>DEFM14A for Mac-Gray filed 2013-12-04 (filename mac-gray_2013-12-04_DEFM14A.htm, raw_filing/). Background pages 27–41. Record date 11/27/2013: 14,758,306 common shares outstanding; 104 holders of record.</t>
        </is>
      </c>
    </row>
    <row r="11">
      <c r="A11" s="10" t="inlineStr">
        <is>
          <t>Termination fees and financing</t>
        </is>
      </c>
      <c r="B11" s="6" t="inlineStr">
        <is>
          <t>Mac-Gray termination fee $11 million (about 3.2% of total equity value; negotiated down from CSC/Pamplona’s proposed $15 million ≈ 4.4% and up from Mac-Gray’s proposed $10.5 million ≈ 3.0%). Parent termination fee $15 million. No financing condition; $594 million Pamplona commitment letter dated 10/14/2013; Pamplona’s damages liability capped at $50 million with Buyer Entities unlimited.</t>
        </is>
      </c>
    </row>
    <row r="12">
      <c r="A12" s="10" t="inlineStr">
        <is>
          <t>Market benchmark</t>
        </is>
      </c>
      <c r="B12" s="6" t="inlineStr">
        <is>
          <t>Closing price $14.72 on 10/11/2013 (last trading day before Board approval) → the $21.25 price is a stated premium of ~44%, and ~36% over the 52-week high of $15.61 (p.43). Closing price $14.93 on 10/14/2013 (last full trading day before announcement) and $21.30 on 11/27/2013 (p.89).</t>
        </is>
      </c>
    </row>
    <row r="13">
      <c r="A13" s="10" t="inlineStr">
        <is>
          <t>Voting agreements</t>
        </is>
      </c>
      <c r="B13" s="6" t="inlineStr">
        <is>
          <t>Certain stockholders (including Moab and Mr. MacDonald and family) signed voting agreements with Parent covering approximately 15% of the common stock entitled to vote as of the record date (p.11). Ordinary pre-signing support, not rollovers.</t>
        </is>
      </c>
    </row>
    <row r="15">
      <c r="A15" s="1" t="inlineStr">
        <is>
          <t>3. Process and round map</t>
        </is>
      </c>
    </row>
    <row r="16">
      <c r="A16" s="6" t="inlineStr">
        <is>
          <t>One process (no abandonment, dormancy or restarted attempt observed). Round 0: ongoing strategic review; 2011-2012 Discussions and BofA’s 10/23/2012 engagement (context, prior mandate); 04/05/2013 authorization; 04/08/2013 Party A contact; 06/21/2013 Party A unsolicited proposal.</t>
        </is>
      </c>
    </row>
    <row r="17">
      <c r="A17" s="10" t="inlineStr">
        <is>
          <t>Round 1 — solicitation and preliminary IOIs (opened 06/24/2013)</t>
        </is>
      </c>
      <c r="B17" s="6" t="inlineStr">
        <is>
          <t>R1 anchor: the 06/24/2013 Special Committee determination to approach 50 parties (contacts reported underway by 06/28/2013) (R009). Participants: 50 contacted (15 strategic, 35 financial); 20 NDA signers (2 strategic, 18 financial: Party A, CSC/Pamplona, Party B, Party C and 16 residual financials). Deadline: preliminary IOIs by 07/23/2013; treatment Late bids accepted (Party B and Party C submissions 07/24–07/25 reviewed 07/25). Submitting units: CSC/Pamplona, Party B, Party C (3), plus Party A’s standing round-0 proposal counted as a round-1 participant per section 6.3. End: four interested bidders advanced to round 2; 16 residual financial signers inferred Did not submit at the deadline. Finality: Not final.</t>
        </is>
      </c>
    </row>
    <row r="18">
      <c r="A18" s="10" t="inlineStr">
        <is>
          <t>Round 2 — staged diligence, management meetings and revised IOIs (opened 07/25/2013)</t>
        </is>
      </c>
      <c r="B18" s="6" t="inlineStr">
        <is>
          <t>Objective: management presentations (08/06–08/14), staged data-site access by bidder type (financial broad; strategic limited with customer data reserved) and revised written proposals. Deadline: revised proposals by 09/09/2013 (letter 08/27/2013); treatment Late bids accepted (Party A and Party C revised 09/10, reviewed 09/11). Participants: Party A, Party B, Party C, CSC/Pamplona (4). Finality: Not final.</t>
        </is>
      </c>
    </row>
    <row r="19">
      <c r="A19" s="10" t="inlineStr">
        <is>
          <t>Round 3 — final indications and exclusivity (opened 09/11/2013)</t>
        </is>
      </c>
      <c r="B19" s="6" t="inlineStr">
        <is>
          <t>Objective: final indications by 09/18/2013 and a possible short exclusivity. Due date 09/18/2013; treatment Enforced. Participants: the same four bidders; submissions from CSC/Pamplona ($20.75), Party A ($18.00–$19.00 best and final) and Party B ($21.50 valued); Party C Did not submit. Selection: CSC/Pamplona authorized at $21.25 (09/19), price confirmed as last and best (09/21), exclusivity executed 09/24 and extended to 10/15/2013 (10/12). Finality: Announced as final. End: signing 10/14/2013.</t>
        </is>
      </c>
    </row>
    <row r="20">
      <c r="A20" s="10" t="inlineStr">
        <is>
          <t>Post-signing</t>
        </is>
      </c>
      <c r="B20" s="6" t="inlineStr">
        <is>
          <t>No competing proposal, go-shop or termination is disclosed in the supplied filing (dated 12/04/2013).</t>
        </is>
      </c>
    </row>
    <row r="22">
      <c r="A22" s="1" t="inlineStr">
        <is>
          <t>4. Participants and advisers</t>
        </is>
      </c>
    </row>
    <row r="23">
      <c r="A23" s="10" t="inlineStr">
        <is>
          <t>Party A</t>
        </is>
      </c>
      <c r="B23" s="6" t="inlineStr">
        <is>
          <t>Strategic (industry participant). 04/08/2013 contact; 06/21/2013 unsolicited $17.00–$19.00 proposal (round 0); NDA 08/05/2013; management presentation 08/14; revised $18.00–$19.00 indications 09/10 and 09/18 (best and final, no firm financing); dropped by target at exclusivity 09/24/2013 (inferred), reason Lower offer than rivals.</t>
        </is>
      </c>
    </row>
    <row r="24">
      <c r="A24" s="10" t="inlineStr">
        <is>
          <t>Party B</t>
        </is>
      </c>
      <c r="B24" s="6" t="inlineStr">
        <is>
          <t>Financial. NDA 06/28/2013; preliminary IOI $17.00–$18.00 (07/24); revised $18.50 (09/09, no firm financing commitment); final $21.50-valued package of $19.00 cash plus options (09/18); dropped by target at exclusivity 09/24/2013 (inferred), reason Terms or process (contingent consideration and financing risk; see Questions).</t>
        </is>
      </c>
    </row>
    <row r="25">
      <c r="A25" s="10" t="inlineStr">
        <is>
          <t>Party C</t>
        </is>
      </c>
      <c r="B25" s="6" t="inlineStr">
        <is>
          <t>Financial. NDA 06/30/2013; oral IOI $15.00–$17.00 (07/24); written IOI $16.00–$16.50 (07/25); revised oral $16.00–$17.00 (09/10); did not submit or reiterate in the final round (09/18) and gave no reasons — closed Did not submit.</t>
        </is>
      </c>
    </row>
    <row r="26">
      <c r="A26" s="10" t="inlineStr">
        <is>
          <t>CSC/Pamplona (winner)</t>
        </is>
      </c>
      <c r="B26" s="6" t="inlineStr">
        <is>
          <t>Strategic. NDA 07/11/2013; preliminary IOI $18.50 (07/23); revised $19.50 with 100% Pamplona funding committed (09/09); final $20.75 (09/18); $21.25 last and best confirmed 09/21; exclusivity 09/24–10/15/2013; signed 10/14/2013. No exit row.</t>
        </is>
      </c>
    </row>
    <row r="27">
      <c r="A27" s="10" t="inlineStr">
        <is>
          <t>Cohorts</t>
        </is>
      </c>
      <c r="B27" s="6" t="inlineStr">
        <is>
          <t>50 contacted parties (15 strategic, 35 financial); 20 NDA signers (2 strategic, 18 financial) split into four named signers and the 16-financial-signer residual; three preliminary IOI submitters; four round-2 bidders. Cohorts are not extra parties.</t>
        </is>
      </c>
    </row>
    <row r="28">
      <c r="A28" s="10" t="inlineStr">
        <is>
          <t>Rollover relationships</t>
        </is>
      </c>
      <c r="B28" s="6" t="inlineStr">
        <is>
          <t>Moab/Rothenberg rollover discussions denied at the 07/06/2013 stage and resolved with no rollover on 10/07/2013; Mr. MacDonald declined to roll over (09/11/2013) and was later covered by a voting agreement. Neither is a bidding-group change.</t>
        </is>
      </c>
    </row>
    <row r="29">
      <c r="A29" s="10" t="inlineStr">
        <is>
          <t>Advisers</t>
        </is>
      </c>
      <c r="B29" s="6" t="inlineStr">
        <is>
          <t>BofA Merrill Lynch (Merrill Lynch, Pierce, Fenner &amp; Smith Incorporated): target financial advisor; engaged 05/31/2013 (Board approval 05/30/2013), after termination of its 10/23/2012 engagement for the 2011-2012 Discussions; fairness opinion 10/14/2013; aggregate fee ≈ $8.1 million ($0.75 million on delivery of the opinion; balance contingent on completion). Goodwin Procter LLP: target legal counsel (first service observed 05/09/2013). Kirkland &amp; Ellis LLP: CSC/Pamplona legal counsel (first service observed 09/25/2013). No banker to CSC/Pamplona is disclosed as a financial adviser in the supplied excerpt.</t>
        </is>
      </c>
    </row>
    <row r="31">
      <c r="A31" s="1" t="inlineStr">
        <is>
          <t>5. Counts and auction screen</t>
        </is>
      </c>
    </row>
    <row r="32">
      <c r="A32" s="11" t="inlineStr">
        <is>
          <t>Auction screen (signed bidder NDAs)</t>
        </is>
      </c>
      <c r="B32" s="6">
        <f>SUMIFS('Deal ledger'!$Q:$Q,'Deal ledger'!$D:$D,"NDA signed",'Deal ledger'!$E:$E,1,'Deal ledger'!$P:$P,"Yes")</f>
        <v/>
      </c>
      <c r="C32" s="12" t="inlineStr">
        <is>
          <t>Met: more than one independent prospective acquiring bidder unit executed bidder-target confidentiality agreements. Ledger NDA Count = 16 (residual financials) + 1 Party B + 1 Party C + 1 CSC/Pamplona + 1 Party A = 20, matching the filing’s 20 signers (2 strategic, 18 financial). Excludes the 30 contacted parties that never signed.</t>
        </is>
      </c>
    </row>
    <row r="33">
      <c r="A33" s="11" t="inlineStr">
        <is>
          <t>Contacts recorded</t>
        </is>
      </c>
      <c r="B33" s="6">
        <f>SUMIFS('Deal ledger'!$Q:$Q,'Deal ledger'!$D:$D,"Contact",'Deal ledger'!$E:$E,1,'Deal ledger'!$P:$P,"Yes")</f>
        <v/>
      </c>
      <c r="C33" s="12" t="inlineStr">
        <is>
          <t>Filing assertions: 50 parties contacted (15 strategic, 35 financial) and Party A contacted 04/08/2013. The formula sums 50 + 1 = 51 contact events; Party A is also inside the 50, so 51 counts events, not unique parties. The 2011-2012 Discussions are context only and are not counted.</t>
        </is>
      </c>
    </row>
    <row r="34">
      <c r="A34" s="11" t="inlineStr">
        <is>
          <t>Round-1 preliminary IOI submitters</t>
        </is>
      </c>
      <c r="B34" s="6">
        <f>SUMIFS('Deal ledger'!$Q:$Q,'Deal ledger'!$D:$D,"Bid",'Deal ledger'!$E:$E,1,'Deal ledger'!$F:$F,1,'Deal ledger'!$P:$P,"Yes")</f>
        <v/>
      </c>
      <c r="C34" s="12" t="inlineStr">
        <is>
          <t>Ledger counts: CSC/Pamplona 1 + Party B 1 + Party C oral 1 + Party C written 0 (same unit, already counted in round 1) = 3 counted units, four Bid rows (the written indication supersedes the oral). Filing does not state a count; three submitters are named.</t>
        </is>
      </c>
    </row>
    <row r="35">
      <c r="A35" s="11" t="inlineStr">
        <is>
          <t>Round-2 revised IOI submitters</t>
        </is>
      </c>
      <c r="B35" s="6">
        <f>SUMIFS('Deal ledger'!$Q:$Q,'Deal ledger'!$D:$D,"Bid",'Deal ledger'!$E:$E,1,'Deal ledger'!$F:$F,2,'Deal ledger'!$P:$P,"Yes")</f>
        <v/>
      </c>
      <c r="C35" s="12" t="inlineStr">
        <is>
          <t>Ledger counts: CSC/Pamplona 1 + Party B 1 + Party A 1 + Party C 1 = 4 submitters, matching the four bidders to whom the 08/27/2013 letter was addressed.</t>
        </is>
      </c>
    </row>
    <row r="36">
      <c r="A36" s="11" t="inlineStr">
        <is>
          <t>Round-3 final-indication submitters</t>
        </is>
      </c>
      <c r="B36" s="6">
        <f>SUMIFS('Deal ledger'!$Q:$Q,'Deal ledger'!$D:$D,"Bid",'Deal ledger'!$E:$E,1,'Deal ledger'!$F:$F,3,'Deal ledger'!$P:$P,"Yes")</f>
        <v/>
      </c>
      <c r="C36" s="12" t="inlineStr">
        <is>
          <t>Ledger counts: CSC/Pamplona 1 ($20.75) + Party A 1 (best and final) + Party B 1 ($21.50 valued) + CSC/Pamplona 0 (09/21 price confirmation and R3 bid already counted) = 3 submitters; Party C did not submit (recorded separately).</t>
        </is>
      </c>
    </row>
    <row r="37">
      <c r="A37" s="11" t="inlineStr">
        <is>
          <t>Per-stage balance (participant units)</t>
        </is>
      </c>
      <c r="B37" s="6" t="inlineStr"/>
      <c r="C37" s="12" t="inlineStr">
        <is>
          <t>Round 1: 20 entered (NDA signers); exits 16 inferred non-submitters = 16; continuing 4 (CSC/Pamplona, Party B, Party C, Party A via standing proposal/NDA). Round 2: 4 entered; no exits; continuing 4. Round 3: 4 entered; Party C did not submit; Party A and Party B dropped at exclusivity = 3 exits; winner CSC/Pamplona alone. Inferred share of exits: 16 residual + 2 exclusivity closings = 18 of 19 close-out units.</t>
        </is>
      </c>
    </row>
    <row r="38">
      <c r="A38" s="10" t="inlineStr">
        <is>
          <t>Counts caveats</t>
        </is>
      </c>
      <c r="B38" s="6" t="inlineStr">
        <is>
          <t>Counts are scoped tallies. No submission count is asserted beyond the IOIs/revised/final indications the filing names. The 30 contacted parties that never signed are not closed out; the four contacted financial parties who did not sign are part of that group (18 of 35 financial contacted signed).</t>
        </is>
      </c>
    </row>
    <row r="40">
      <c r="A40" s="1" t="inlineStr">
        <is>
          <t>6. Comparability and inputs</t>
        </is>
      </c>
    </row>
    <row r="41">
      <c r="A41" s="10" t="inlineStr">
        <is>
          <t>Other-scope / partial proposals</t>
        </is>
      </c>
      <c r="B41" s="6" t="inlineStr">
        <is>
          <t>None. The 2011-2012 Discussions concerned a possible acquisition of CSC by Mac-Gray (Mac-Gray as buyer); retained as context for BofA’s mandate and the industry backdrop, not as a bid in this process.</t>
        </is>
      </c>
    </row>
    <row r="42">
      <c r="A42" s="10" t="inlineStr">
        <is>
          <t>Unusual consideration</t>
        </is>
      </c>
      <c r="B42" s="6" t="inlineStr">
        <is>
          <t>Party B’s final package: $19.00 cash at closing plus options that Party B valued at $2.50 per share (10% of new equity; strike at Party B’s initial cost basis; vesting over five years on base-case projections excluding acquisitions). All cash = No; the fixed cash component is $19.00 and the option value is Party B’s own attribution, not guaranteed.</t>
        </is>
      </c>
    </row>
    <row r="43">
      <c r="A43" s="10" t="inlineStr">
        <is>
          <t>Stated share counts / market data</t>
        </is>
      </c>
      <c r="B43" s="6" t="inlineStr">
        <is>
          <t>14,758,306 common shares outstanding and 104 holders of record as of 11/27/2013; voting-agreement stockholders ≈15%; closing prices: $14.72 (10/11/2013), $14.93 (10/14/2013), $21.30 (11/27/2013); Q4 2013 high/low through 11/27/2013: $21.30 / $14.46.</t>
        </is>
      </c>
    </row>
    <row r="44">
      <c r="A44" s="10" t="inlineStr">
        <is>
          <t>Stated premiums</t>
        </is>
      </c>
      <c r="B44" s="6" t="inlineStr">
        <is>
          <t>The filing states the $21.25 price represents ~44% over the $14.72 closing price on 10/11/2013 and ~36% over the 52-week high of $15.61 (p.43). No additional premium arithmetic is entered.</t>
        </is>
      </c>
    </row>
    <row r="45">
      <c r="A45" s="10" t="inlineStr">
        <is>
          <t>Currency</t>
        </is>
      </c>
      <c r="B45" s="6" t="inlineStr">
        <is>
          <t>USD throughout; no conversion performed.</t>
        </is>
      </c>
    </row>
    <row r="46">
      <c r="A46" s="10" t="inlineStr">
        <is>
          <t>Glossary</t>
        </is>
      </c>
      <c r="B46" s="6" t="inlineStr">
        <is>
          <t>NDA = confidentiality and standstill agreement; IOI = indication of interest; Special Committee = six independent and disinterested directors formed 06/24/2013; rollover = a shareholder contributing shares into the buyer’s equity; sunset provision = standstill termination on announcement of a business combination; Parent termination fee = reverse termination fee payable by the buyer.</t>
        </is>
      </c>
    </row>
  </sheetData>
  <mergeCells count="9">
    <mergeCell ref="A2:B2"/>
    <mergeCell ref="A16:B16"/>
    <mergeCell ref="A15:B15"/>
    <mergeCell ref="A5:B5"/>
    <mergeCell ref="A1:B1"/>
    <mergeCell ref="A40:B40"/>
    <mergeCell ref="A31:B31"/>
    <mergeCell ref="A3:B3"/>
    <mergeCell ref="A22:B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60" customWidth="1" min="3" max="3"/>
    <col width="60" customWidth="1" min="4" max="4"/>
    <col width="30" customWidth="1" min="5" max="5"/>
    <col width="45" customWidth="1" min="6" max="6"/>
    <col width="10" customWidth="1" min="7" max="7"/>
    <col width="24" customWidth="1" min="8" max="8"/>
  </cols>
  <sheetData>
    <row r="1">
      <c r="A1" s="13" t="inlineStr">
        <is>
          <t>Q</t>
        </is>
      </c>
      <c r="B1" s="13" t="inlineStr">
        <is>
          <t>Review topic</t>
        </is>
      </c>
      <c r="C1" s="13" t="inlineStr">
        <is>
          <t>Recommended answer</t>
        </is>
      </c>
      <c r="D1" s="13" t="inlineStr">
        <is>
          <t>Why and source</t>
        </is>
      </c>
      <c r="E1" s="13" t="inlineStr">
        <is>
          <t>Affected rows/fields</t>
        </is>
      </c>
      <c r="F1" s="13" t="inlineStr">
        <is>
          <t>Consequence of changing it</t>
        </is>
      </c>
      <c r="G1" s="13" t="inlineStr">
        <is>
          <t>Status</t>
        </is>
      </c>
      <c r="H1" s="13" t="inlineStr">
        <is>
          <t>Reviewer note</t>
        </is>
      </c>
    </row>
    <row r="2">
      <c r="A2" s="6" t="inlineStr">
        <is>
          <t>Q1</t>
        </is>
      </c>
      <c r="B2" s="6" t="inlineStr">
        <is>
          <t>Process and round map</t>
        </is>
      </c>
      <c r="C2" s="6" t="inlineStr">
        <is>
          <t>Adopt one process with three rounds: R1 opened 06/24/2013 (Special Committee decision to approach 50 parties; contacts evidenced by the 06/28/2013 call) and Not final; R2 opened 07/25/2013 (staged diligence, management meetings, revised indications) and Not final; R3 opened 09/11/2013 (final indications by 09/18; exclusivity followed) and Announced as final. R1 anchor = the 06/24/2013 decision; rejected candidate = the 04/05/2013 Board authorization. Exclusivity execution (09/24) and the 09/21 price confirmation do not create new rounds.</t>
        </is>
      </c>
      <c r="D2" s="6" t="inlineStr">
        <is>
          <t>Sections 6.2–6.3. No abandonment or dormancy appears (one process). Round 1 could alternatively anchor on the first contacts (evidenced 06/28/2013) but the filing gives no separate first-wave date, and the decision was executed within about a week. Round 3 "Announced as final": the target requested "final indications of interest" by a date and Party A responded as its "best and final offer" (p.36).</t>
        </is>
      </c>
      <c r="E2" s="6" t="inlineStr">
        <is>
          <t>R001, R007, R008, R009, R022, R032, R038, R040; Round finality fields on R008, R022, R032</t>
        </is>
      </c>
      <c r="F2" s="6" t="inlineStr">
        <is>
          <t>Anchoring R1 on the 06/28/2013 contacts or the 04/05/2013 authorization moves the boundary but not participant counts; treating the exclusivity stage as a new round would add a round and move the 09/19–10/14 rows.</t>
        </is>
      </c>
      <c r="G2" s="6" t="inlineStr">
        <is>
          <t>Pending</t>
        </is>
      </c>
      <c r="H2" s="6" t="inlineStr"/>
    </row>
    <row r="3">
      <c r="A3" s="6" t="inlineStr">
        <is>
          <t>Q2</t>
        </is>
      </c>
      <c r="B3" s="6" t="inlineStr">
        <is>
          <t>Deadlines and treatments</t>
        </is>
      </c>
      <c r="C3" s="6" t="inlineStr">
        <is>
          <t>Keep: preliminary IOIs due 07/23/2013 with Late bids accepted (Party B 07/24; Party C written 07/25); revised proposals due 09/09/2013 with Late bids accepted (Party A and Party C on 09/10); final indications due 09/18/2013 with Enforced treatment. Exclusivity expiry (10/12/2013, extended to 10/15/2013) stays in Terms, not in the Due date field.</t>
        </is>
      </c>
      <c r="D3" s="6" t="inlineStr">
        <is>
          <t>Section 8.3. The filing shows post-deadline submissions being reviewed in the same round (pp.33–35) and, for 09/18, immediate selection with no extension or late acceptance (pp.36–37). The 08/27 letter is the communication date for the 09/09 due date (p.35).</t>
        </is>
      </c>
      <c r="E3" s="6" t="inlineStr">
        <is>
          <t>R015, R016, R025, R026, R032, R033, R037; Deadline treatment fields</t>
        </is>
      </c>
      <c r="F3" s="6" t="inlineStr">
        <is>
          <t>Treating the 07/23 or 09/09 dates as Enforced would imply the late bids should not have been considered, contradicting the filing; treating 09/18 as Extended would imply a revised due date that is not reported.</t>
        </is>
      </c>
      <c r="G3" s="6" t="inlineStr">
        <is>
          <t>Pending</t>
        </is>
      </c>
      <c r="H3" s="6" t="inlineStr"/>
    </row>
    <row r="4">
      <c r="A4" s="6" t="inlineStr">
        <is>
          <t>Q3</t>
        </is>
      </c>
      <c r="B4" s="6" t="inlineStr">
        <is>
          <t>NDA quantities, dates and population overlap</t>
        </is>
      </c>
      <c r="C4" s="6" t="inlineStr">
        <is>
          <t>Keep 50 contacted (15 strategic, 35 financial) and 20 NDA signers (2 strategic, 18 financial), partitioned as Party A, CSC/Pamplona, Party B, Party C and a 16-financial-signer residual cohort. Keep the residual cohort NDA row working-dated to the 06/24/2013 bound (individual dates undisclosed) and close the 16 at the 07/23/2013 IOI deadline. The 30 contacted parties that never signed are not closed out.</t>
        </is>
      </c>
      <c r="D4" s="6" t="inlineStr">
        <is>
          <t>"a total of 20 potential bidders, including two strategic bidders (Party A and CSC/Pamplona) and 18 financial bidders (including Party B and Party C), entered into confidentiality agreements" (p.32); individual NDA dates at pp.32–34 (Party A signed only on 08/05/2013, after resolving non-solicitation terms).</t>
        </is>
      </c>
      <c r="E4" s="6" t="inlineStr">
        <is>
          <t>R008, R009, R010, R011, R012, R014, R023, R018; Summary counts block</t>
        </is>
      </c>
      <c r="F4" s="6" t="inlineStr">
        <is>
          <t>A different signer partition changes the 16-unit residual and the per-stage balance; dating the residual cohort later would move its entry row after individual NDAs it is meant to precede in display order only.</t>
        </is>
      </c>
      <c r="G4" s="6" t="inlineStr">
        <is>
          <t>Pending</t>
        </is>
      </c>
      <c r="H4" s="6" t="inlineStr"/>
    </row>
    <row r="5">
      <c r="A5" s="6" t="inlineStr">
        <is>
          <t>Q4</t>
        </is>
      </c>
      <c r="B5" s="6" t="inlineStr">
        <is>
          <t>Participation outcomes, agency and reasons</t>
        </is>
      </c>
      <c r="C5" s="6" t="inlineStr">
        <is>
          <t>Keep: 16 residual financial signers Did not submit at 07/23/2013 (Inferred: residual); Party C Did not submit at 09/18/2013 (Stated, agency Unknown, reason Not stated); Party A and Party B Dropped by target on the 09/24/2013 exclusivity execution (Inferred: exclusivity), with Party A reason Lower offer than rivals and Party B reason Terms or process. No re-entries occurred.</t>
        </is>
      </c>
      <c r="D5" s="6" t="inlineStr">
        <is>
          <t>Section 10. Party C’s non-submission is expressly stated with no reasons (p.36). The exclusivity execution is the transition at which the continuing set (CSC/Pamplona alone) is identified without the other two (p.38). Party B’s $21.50 face value exceeded the $21.25 selected price, so Lower offer than rivals would misstate the basis; the Committee cited certainty and risk (p.37).</t>
        </is>
      </c>
      <c r="E5" s="6" t="inlineStr">
        <is>
          <t>R018, R037, R041, R042; Decided by / Exit reason / Outcome basis fields</t>
        </is>
      </c>
      <c r="F5" s="6" t="inlineStr">
        <is>
          <t>Using Lower offer than rivals for Party B would assert a price ranking the filing does not support; treating Party C as a withdrawal would invent an agency and permanence the filing does not report.</t>
        </is>
      </c>
      <c r="G5" s="6" t="inlineStr">
        <is>
          <t>Pending</t>
        </is>
      </c>
      <c r="H5" s="6" t="inlineStr"/>
    </row>
    <row r="6">
      <c r="A6" s="6" t="inlineStr">
        <is>
          <t>Q5</t>
        </is>
      </c>
      <c r="B6" s="6" t="inlineStr">
        <is>
          <t>Formality and documentation signals</t>
        </is>
      </c>
      <c r="C6" s="6" t="inlineStr">
        <is>
          <t>All preliminary and revised IOIs are Informal (no markups, no final solicitation); the three round-3 responses (CSC/Pamplona, Party A, Party B) are Formal under signal 2 (responses on the requested basis to the final-indication solicitation); CSC/Pamplona’s 09/21/2013 $21.25 confirmation is Formal under signal 3. No late-reconfirmation row is needed: no bidder declined at the end while the target finalized with it (Party B was displaced by exclusivity, and no returned marks were reported).</t>
        </is>
      </c>
      <c r="D6" s="6" t="inlineStr">
        <is>
          <t>Section 9.1–9.2. The filing never reports bidder-returned agreement markups; the 08/27 letter asked for "revised written proposals" but only the 09/11/2013 instruction asked for final indications (p.36) and Party A answered as "best and final".</t>
        </is>
      </c>
      <c r="E6" s="6" t="inlineStr">
        <is>
          <t>R006, R017, R019, R020, R021, R027, R028, R029, R030, R034, R035, R036, R039; Formality fields</t>
        </is>
      </c>
      <c r="F6" s="6" t="inlineStr">
        <is>
          <t>Upgrading the early indications to Formal would overstate documentation; downgrading the final responses would understate their solicited-final status.</t>
        </is>
      </c>
      <c r="G6" s="6" t="inlineStr">
        <is>
          <t>Pending</t>
        </is>
      </c>
      <c r="H6" s="6" t="inlineStr"/>
    </row>
    <row r="7">
      <c r="A7" s="6" t="inlineStr">
        <is>
          <t>Q6</t>
        </is>
      </c>
      <c r="B7" s="6" t="inlineStr">
        <is>
          <t>Conditions levels, prices and consideration</t>
        </is>
      </c>
      <c r="C7" s="6" t="inlineStr">
        <is>
          <t>Keep: preliminary IOIs and Party A’s June 21 proposal Heavy by context (before substantive diligence access); CSC/Pamplona’s revised and final indications Light (Pamplona committed 100% of capital; no diligence condition stated, though diligence continued); Party A, Party B and Party C revised indications Heavy (no firm financing commitment); Party B’s final package Heavy with All cash = No and Cash at closing $19.00 (options valued at $2.50 by Party B). CSC/Pamplona’s $21.25 confirmation Light. Ranges remain ranges; no averaging.</t>
        </is>
      </c>
      <c r="D7" s="6" t="inlineStr">
        <is>
          <t>Section 9.3–9.4. The filing states minimal expected diligence for CSC/Pamplona (p.32) and Pamplona’s 100% capital commitment (p.35); it states "did not include a firm financing commitment" for Party A, Party B and Party C (p.35). Party B’s options are equity consideration (p.36).</t>
        </is>
      </c>
      <c r="E7" s="6" t="inlineStr">
        <is>
          <t>R006, R017, R019, R020, R021, R027, R028, R029, R030, R034, R035, R036, R039; Conditions level and Conditions detail fields</t>
        </is>
      </c>
      <c r="F7" s="6" t="inlineStr">
        <is>
          <t>Treating Party B’s package as cash would misstate consideration; treating CSC/Pamplona as Heavy despite committed funding and no stated diligence condition would contradict the filing; ignoring diligence staging would understate early-bid conditionality.</t>
        </is>
      </c>
      <c r="G7" s="6" t="inlineStr">
        <is>
          <t>Pending</t>
        </is>
      </c>
      <c r="H7" s="6" t="inlineStr"/>
    </row>
    <row r="8">
      <c r="A8" s="6" t="inlineStr">
        <is>
          <t>Q7</t>
        </is>
      </c>
      <c r="B8" s="6" t="inlineStr">
        <is>
          <t>Dates, order and working conventions</t>
        </is>
      </c>
      <c r="C8" s="6" t="inlineStr">
        <is>
          <t>Keep the conventions: 06/24/2013 anchor and contact bound for the 50-party wave; residual NDA cohort Working 06/24/2013 (Assigned: bound); preliminary IOI deadline-set Working 07/23/2013 (Assigned: bound, communication day undisclosed); 07/25/2013 Round-2 opening assigned to the decision day; exclusivity drops Working 09/24/2013 (Assigned: decision day); 09/11–09/12 MacDonald row Working 09/11/2013 (Assigned: bound).</t>
        </is>
      </c>
      <c r="D8" s="6" t="inlineStr">
        <is>
          <t>Section 8.1. The filing gives no first-contact day for the 50-party wave; the 07/23 deadline communication day is not disclosed; the MacDonald-row timing spans two days with the call first.</t>
        </is>
      </c>
      <c r="E8" s="6" t="inlineStr">
        <is>
          <t>R009, R010, R015, R022, R041, R042, R031; all date-bound fields</t>
        </is>
      </c>
      <c r="F8" s="6" t="inlineStr">
        <is>
          <t>Using mid-June or August midpoints for the contact wave or March-1-style assumptions would break the display order against dated events; a later residual-NDA bound would place entry after the IOI deadline.</t>
        </is>
      </c>
      <c r="G8" s="6" t="inlineStr">
        <is>
          <t>Pending</t>
        </is>
      </c>
      <c r="H8" s="6" t="inlineStr"/>
    </row>
    <row r="9">
      <c r="A9" s="6" t="inlineStr">
        <is>
          <t>Q8</t>
        </is>
      </c>
      <c r="B9" s="6" t="inlineStr">
        <is>
          <t>Advisers, activists and rollover relationships</t>
        </is>
      </c>
      <c r="C9" s="6" t="inlineStr">
        <is>
          <t>Keep BofA Merrill Lynch as one adviser relationship with mandate history (10/23/2012 engagement for the 2011-2012 Discussions; termination 05/14–05/15/2013; re-engagement 05/30–05/31/2013); Goodwin Procter first service 05/09/2013; Kirkland first service 09/25/2013; no CSC/Pamplona financial adviser disclosed. Keep the Moab rollover denial (07/06/2013) and resolution (10/07/2013) and the MacDonald rollover row (09/11–09/12/2013), and keep the Moab proxy-contest row (05/30/2013) as Activist involvement.</t>
        </is>
      </c>
      <c r="D9" s="6" t="inlineStr">
        <is>
          <t>Section 5.4 and section 4 rollover rule. The filing shows the earlier BofA mandate terminated and a new engagement letter; rollover discussions are not bidding-group changes; the proxy contest changed board composition and created the conflict that shaped the Special Committee.</t>
        </is>
      </c>
      <c r="E9" s="6" t="inlineStr">
        <is>
          <t>R005, R004, R013, R031, R043; Summary participants block</t>
        </is>
      </c>
      <c r="F9" s="6" t="inlineStr">
        <is>
          <t>Merging the two BofA mandates would erase the termination; adding separate rows for rollover steps would breach the one-row permission/one-row resolution cap; omitting the activism row would hide the board-composition change.</t>
        </is>
      </c>
      <c r="G9" s="6" t="inlineStr">
        <is>
          <t>Pending</t>
        </is>
      </c>
      <c r="H9" s="6" t="inlineStr"/>
    </row>
    <row r="11">
      <c r="A11" s="14" t="inlineStr">
        <is>
          <t>Section 13 check results (this version)</t>
        </is>
      </c>
    </row>
    <row r="12">
      <c r="A12" s="13" t="inlineStr">
        <is>
          <t>#</t>
        </is>
      </c>
      <c r="B12" s="13" t="inlineStr">
        <is>
          <t>Check</t>
        </is>
      </c>
      <c r="C12" s="13" t="inlineStr">
        <is>
          <t>Result</t>
        </is>
      </c>
      <c r="D12" s="13" t="inlineStr">
        <is>
          <t>Affected rows and consequences</t>
        </is>
      </c>
    </row>
    <row r="13">
      <c r="A13" s="6" t="n">
        <v>1</v>
      </c>
      <c r="B13" s="6" t="inlineStr">
        <is>
          <t>Coverage and materiality</t>
        </is>
      </c>
      <c r="C13" s="6" t="inlineStr">
        <is>
          <t>Passed</t>
        </is>
      </c>
      <c r="D13" s="6" t="inlineStr">
        <is>
          <t>All core bids and revisions (Party A June 21; three preliminary IOIs plus Party C’s written supersession; four revised IOIs; three final indications; the $21.25 confirmation), all NDA events, the information-access staging, the exclusivity history, every participation outcome, signing and announcement are recorded. Deal-protection negotiations and routine meetings are omitted.</t>
        </is>
      </c>
    </row>
    <row r="14">
      <c r="A14" s="6" t="n">
        <v>2</v>
      </c>
      <c r="B14" s="6" t="inlineStr">
        <is>
          <t>Counts and population</t>
        </is>
      </c>
      <c r="C14" s="6" t="inlineStr">
        <is>
          <t>Passed</t>
        </is>
      </c>
      <c r="D14" s="6" t="inlineStr">
        <is>
          <t>Summary formulas match ledger contributions: NDA 20 (16+1+1+1+1); contacts 51 event counts (50 wave + Party A; overlap noted); round-1 counted units 3 with four Bid rows; round-2 4; round-3 3. Per-stage balance: 20 − 16 = 4; 4; 4 − 3 = 1 winner.</t>
        </is>
      </c>
    </row>
    <row r="15">
      <c r="A15" s="6" t="n">
        <v>3</v>
      </c>
      <c r="B15" s="6" t="inlineStr">
        <is>
          <t>Participation continuity</t>
        </is>
      </c>
      <c r="C15" s="6" t="inlineStr">
        <is>
          <t>Passed</t>
        </is>
      </c>
      <c r="D15" s="6" t="inlineStr">
        <is>
          <t>Every entered participant is closed or is the winner: 16 residual non-submitters; Party C non-submission; Party A and Party B dropped at exclusivity; CSC/Pamplona signs. No unexplained transitions; no re-entries occurred.</t>
        </is>
      </c>
    </row>
    <row r="16">
      <c r="A16" s="6" t="n">
        <v>4</v>
      </c>
      <c r="B16" s="6" t="inlineStr">
        <is>
          <t>Dates and order</t>
        </is>
      </c>
      <c r="C16" s="6" t="inlineStr">
        <is>
          <t>Qualified</t>
        </is>
      </c>
      <c r="D16" s="6" t="inlineStr">
        <is>
          <t>All rows carry Working date/Date method; order non-decreasing. Disclosed conventions: the 06/24/2013 contact and residual-NDA bounds, the 07/23/2013 deadline-set bound, the 09/11/2013 bound for a two-day row. 09/18 afternoon submissions and the 09/19 meeting are ordered by # with equal-day conventions.</t>
        </is>
      </c>
    </row>
    <row r="17">
      <c r="A17" s="6" t="n">
        <v>5</v>
      </c>
      <c r="B17" s="6" t="inlineStr">
        <is>
          <t>Offers and classifications</t>
        </is>
      </c>
      <c r="C17" s="6" t="inlineStr">
        <is>
          <t>Passed</t>
        </is>
      </c>
      <c r="D17" s="6" t="inlineStr">
        <is>
          <t>Every Bid row has Formality, Conditions level and fixed-format Conditions detail; ranges kept as ranges and not averaged; Party B’s options kept as non-cash; Group envelope not applicable (no group bids).</t>
        </is>
      </c>
    </row>
    <row r="18">
      <c r="A18" s="6" t="n">
        <v>6</v>
      </c>
      <c r="B18" s="6" t="inlineStr">
        <is>
          <t>Structure and consistency</t>
        </is>
      </c>
      <c r="C18" s="6" t="inlineStr">
        <is>
          <t>Passed</t>
        </is>
      </c>
      <c r="D18" s="6" t="inlineStr">
        <is>
          <t>One opening row per round with Round finality; no R1 anchor tag is required beyond this deal’s stated anchor text on the R1 row; Deadline treatment matches the Summary map; inferred rows open with their Outcome basis tag; Page filled wherever Source is.</t>
        </is>
      </c>
    </row>
    <row r="19">
      <c r="A19" s="6" t="n">
        <v>7</v>
      </c>
      <c r="B19" s="6" t="inlineStr">
        <is>
          <t>Evidence</t>
        </is>
      </c>
      <c r="C19" s="6" t="inlineStr">
        <is>
          <t>Passed</t>
        </is>
      </c>
      <c r="D19" s="6" t="inlineStr">
        <is>
          <t>Quotes were checked programmatically as exact substrings of the extracted filing text (whitespace-normalized) and against their cited paragraphs. The "July 27, 2103" source typo is retained in the quote and flagged in the row.</t>
        </is>
      </c>
    </row>
    <row r="20">
      <c r="A20" s="6" t="n">
        <v>8</v>
      </c>
      <c r="B20" s="6" t="inlineStr">
        <is>
          <t>Review and workbook operation</t>
        </is>
      </c>
      <c r="C20" s="6" t="inlineStr">
        <is>
          <t>Qualified</t>
        </is>
      </c>
      <c r="D20" s="6" t="inlineStr">
        <is>
          <t>Question links resolve to Row ids; 15 controlled-list drop-downs built; baseline-conditional formatting compares Row id + column against "AI original". Formulas and formatting were built programmatically but not recalculated in Excel/LibreOffice — application testing not performed.</t>
        </is>
      </c>
    </row>
  </sheetData>
  <mergeCells count="9">
    <mergeCell ref="D12:H12"/>
    <mergeCell ref="D20:H20"/>
    <mergeCell ref="D15:H15"/>
    <mergeCell ref="D16:H16"/>
    <mergeCell ref="D19:H19"/>
    <mergeCell ref="D13:H13"/>
    <mergeCell ref="D14:H14"/>
    <mergeCell ref="D18:H18"/>
    <mergeCell ref="D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0"/>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7" customWidth="1" min="3" max="3"/>
    <col width="150" customWidth="1" min="4" max="4"/>
  </cols>
  <sheetData>
    <row r="1">
      <c r="A1" s="15" t="inlineStr">
        <is>
          <t>Paragraph</t>
        </is>
      </c>
      <c r="B1" s="15" t="inlineStr">
        <is>
          <t>Section</t>
        </is>
      </c>
      <c r="C1" s="15" t="inlineStr">
        <is>
          <t>Page</t>
        </is>
      </c>
      <c r="D1" s="15" t="inlineStr">
        <is>
          <t>Text</t>
        </is>
      </c>
    </row>
    <row r="2">
      <c r="A2" s="16" t="inlineStr">
        <is>
          <t>NOTE</t>
        </is>
      </c>
      <c r="D2" s="17" t="inlineStr">
        <is>
          <t>Background paragraphs P-0479–P-0580 are the complete Background of the Merger (printed pp.27–41), in filing order, including the bullet-list paragraphs decoded from DL/DT/DD markup as separate rows. Page footer numbers and repeated "Table of Contents" navigation lines were removed in extraction; text, punctuation and typographical errors (including the "July 27, 2103" typo at P-0526) are preserved. X- rows are additional filing passages relied on elsewhere in the workbook, each identified by section. This baseline is the 19 Sep 2026 instruction revision.</t>
        </is>
      </c>
    </row>
    <row r="3">
      <c r="A3" s="18" t="inlineStr">
        <is>
          <t>P-0479</t>
        </is>
      </c>
      <c r="B3" s="18" t="inlineStr">
        <is>
          <t>Background of the Merger</t>
        </is>
      </c>
      <c r="C3" s="18" t="n">
        <v>27</v>
      </c>
      <c r="D3" s="6" t="inlineStr">
        <is>
          <t>Background of the Merger.</t>
        </is>
      </c>
    </row>
    <row r="4">
      <c r="A4" s="18" t="inlineStr">
        <is>
          <t>P-0480</t>
        </is>
      </c>
      <c r="B4" s="18" t="inlineStr">
        <is>
          <t>Background of the Merger</t>
        </is>
      </c>
      <c r="C4" s="18" t="n">
        <v>27</v>
      </c>
      <c r="D4" s="6" t="inlineStr">
        <is>
          <t>The Mac-Gray Board of Directors, whom we sometimes to refer to as the Board, and Mac-Gray's management have continually engaged in a review of Mac-Gray's business plans and other strategic alternatives as part of their ongoing activities. This process has included evaluating prospects and options pertaining to Mac-Gray's business, the markets in which it competes, organic initiatives, and possible strategic transactions, such as mergers, acquisitions and dispositions, in each case with a view towards enhancing value for Mac-Gray's stockholders.</t>
        </is>
      </c>
    </row>
    <row r="5">
      <c r="A5" s="18" t="inlineStr">
        <is>
          <t>P-0481</t>
        </is>
      </c>
      <c r="B5" s="18" t="inlineStr">
        <is>
          <t>Background of the Merger</t>
        </is>
      </c>
      <c r="C5" s="18" t="n">
        <v>27</v>
      </c>
      <c r="D5" s="6" t="inlineStr">
        <is>
          <t>Certain potential strategic transactions have been discussed from time to time between Mac-Gray and CSC and other participants in the laundry facilities management industry, including discussions between Mac-Gray and CSC in the winter of 2011 and into 2012 regarding the possible acquisition of CSC by Mac-Gray. In connection with Mac-Gray's consideration of a possible acquisition of CSC, which we refer to as the 2011-2012 Discussions, Mac-Gray engaged BofA Merrill Lynch on October 23, 2012. During the fall and winter of 2012, CSC engaged in a sale process and, ultimately, CSC was purchased by Pamplona in May 2013.</t>
        </is>
      </c>
    </row>
    <row r="6">
      <c r="A6" s="18" t="inlineStr">
        <is>
          <t>P-0482</t>
        </is>
      </c>
      <c r="B6" s="18" t="inlineStr">
        <is>
          <t>Background of the Merger</t>
        </is>
      </c>
      <c r="C6" s="18" t="n">
        <v>27</v>
      </c>
      <c r="D6" s="6" t="inlineStr">
        <is>
          <t>As part of its ongoing review of strategic alternatives, at an in-person meeting of the Board on April 5, 2013, the Board discussed the sale of CSC to Pamplona as well as industry-wide merger and acquisition activity and dynamics, and authorized Mac-Gray management to work with BofA Merrill Lynch to explore transactional opportunities that might be available to Mac-Gray, including opportunities with another strategic party, whom we refer to as Party A, in the laundry facilities management industry. The Board also determined to further consider Mac-Gray's strategic alternatives at its meeting scheduled for May 9, 2013.</t>
        </is>
      </c>
    </row>
    <row r="7">
      <c r="A7" s="18" t="inlineStr">
        <is>
          <t>P-0483</t>
        </is>
      </c>
      <c r="B7" s="18" t="inlineStr">
        <is>
          <t>Background of the Merger</t>
        </is>
      </c>
      <c r="C7" s="18" t="n">
        <v>27</v>
      </c>
      <c r="D7" s="6" t="inlineStr">
        <is>
          <t>On April 8, 2013, representatives of BofA Merrill Lynch, as instructed by the Board, telephoned a representative of Party A to discuss generally a possible business combination between Party A and Mac-Gray. During this call, the representative of Party A indicated that Party A might consider a business combination with Mac-Gray.</t>
        </is>
      </c>
    </row>
    <row r="8">
      <c r="A8" s="18" t="inlineStr">
        <is>
          <t>P-0484</t>
        </is>
      </c>
      <c r="B8" s="18" t="inlineStr">
        <is>
          <t>Background of the Merger</t>
        </is>
      </c>
      <c r="C8" s="18" t="n">
        <v>27</v>
      </c>
      <c r="D8" s="6" t="inlineStr">
        <is>
          <t>On May 9, 2013, the Mac-Gray Board of Directors held a regularly scheduled in-person meeting. By invitation of the Board, Stewart G. MacDonald, Jr., our chief executive officer, Michael J. Shea, our executive vice president and chief financial officer, Neil MacLellan and Phil Emma, executive vice presidents at Mac-Gray, Linda Serafini, our vice president, general counsel and secretary, and representatives from BofA Merrill Lynch and Goodwin Procter LLP, outside legal counsel to Mac-Gray, were also in attendance for all or portions of the meeting. At this meeting, BofA Merrill Lynch discussed CSC's sale process and the acquisition environment generally and provided an overview of strategic alternatives for Mac-Gray, including the continued pursuit of Mac-Gray's existing business plan, a significant stock repurchase program, acquisition opportunities and the possibility of a sale process. With respect to a potential sale process, BofA Merrill Lynch discussed the then-current merger and acquisition environment and Mac-Gray's potential attractiveness as an acquisition target, including a general overview of potential valuation parameters. BofA Merrill Lynch also reported on its conversation with the representative of Party A, who had expressed interest in pursuing a possible business combination with Mac-Gray. Management and BofA Merrill Lynch also reviewed with the Board potential opportunities if Mac-Gray were to remain independent, including the ability to improve profitability and EBITDA margins by increasing scale and density through organic growth and/or strategic acquisitions as well as the ability to increase revenue through vend increases and the conversion from coin-operated technology to card-based technology. In considering these alternatives, the Board considered the risks associated with executing and achieving Mac-Gray's short and long-term business and financial objectives, including Mac-Gray's ability to identify, acquire and successfully integrate laundry facilities management businesses, establish new and/or renew existing laundry facility management leases and penetrate markets historically dominated by smaller local and regional</t>
        </is>
      </c>
    </row>
    <row r="9">
      <c r="A9" s="18" t="inlineStr">
        <is>
          <t>P-0486</t>
        </is>
      </c>
      <c r="B9" s="18" t="inlineStr">
        <is>
          <t>Background of the Merger</t>
        </is>
      </c>
      <c r="C9" s="18" t="n">
        <v>28</v>
      </c>
      <c r="D9" s="6" t="inlineStr">
        <is>
          <t>operators, the impact of general economic and market trends on Mac-Gray's sales and the general risks of market conditions that could reduce Mac-Gray's stock price.</t>
        </is>
      </c>
    </row>
    <row r="10">
      <c r="A10" s="18" t="inlineStr">
        <is>
          <t>P-0487</t>
        </is>
      </c>
      <c r="B10" s="18" t="inlineStr">
        <is>
          <t>Background of the Merger</t>
        </is>
      </c>
      <c r="C10" s="18" t="n">
        <v>28</v>
      </c>
      <c r="D10" s="6" t="inlineStr">
        <is>
          <t>After a review of these opportunities and risks, the Board engaged in a general discussion concerning whether it might be advisable to approach and discuss a potential sale transaction with third parties at this time as a means by which to deliver value to the stockholders of Mac-Gray. The Board discussed the potential risks and benefits of commencing a process in which parties would be invited to review confidential information and submit indications of interest with respect to a potential business combination involving Mac-Gray. In particular, the Board discussed the potential disruptions to Mac-Gray's business, the risk of leaks that might arise from approaching potential acquirors within the industry and the impact on Mac-Gray's business that could result from any such leaks, including the potential loss of customers, suppliers and employees resulting from uncertainty over the future of Mac-Gray. The Board also discussed the potential need to disclose during such process sensitive, proprietary and confidential information to competitors and potential competitors.</t>
        </is>
      </c>
    </row>
    <row r="11">
      <c r="A11" s="18" t="inlineStr">
        <is>
          <t>P-0488</t>
        </is>
      </c>
      <c r="B11" s="18" t="inlineStr">
        <is>
          <t>Background of the Merger</t>
        </is>
      </c>
      <c r="C11" s="18" t="n">
        <v>28</v>
      </c>
      <c r="D11" s="6" t="inlineStr">
        <is>
          <t>After BofA Merrill Lynch and management left the meeting, a representative of Goodwin Procter provided an overview of the Board's fiduciary duties and the Board discussed engaging a financial advisor to assist the Board in considering strategic alternatives, including a sale process. To assist in the administration of the strategic alternatives review, the Board formed a transaction committee at this meeting, which we refer to as the Transaction Committee, and appointed Thomas Bullock and Paul Daoust, both independent directors, to serve as its members. Mr. Daoust was appointed because of his knowledge of and experience with mergers and acquisitions, including as president, chief executive officer and board member of Salary.com when it was sold in 2010. Mr. Bullock was appointed because of his knowledge of Mac-Gray and our business, given his tenure on the Board (since November 2000) and his chairmanship role. Further, both Mr. Daoust and Mr. Bullock indicated that they would be able to commit sufficient time to undertake the responsibilities associated with membership on the Transaction Committee. The Transaction Committee was charged with recommending to the Board the selection and engagement of a financial advisor to assist the Board in seeking and considering strategic alternatives, including but not limited to a merger, consolidation, business combination, recapitalization, restructuring, going-private or other strategic transaction or alternative that might be available to Mac-Gray in lieu of pursuing any of the foregoing. The Board also delegated to the Transaction Committee authority to take any administrative actions in connection with the Board's exploration of strategic alternatives. The Board concluded that it would discuss the review of strategic alternatives, including engaging in a potential sale process, at its next meeting so that the Board would have additional time to consider the risks and benefits of the various alternatives discussed.</t>
        </is>
      </c>
    </row>
    <row r="12">
      <c r="A12" s="18" t="inlineStr">
        <is>
          <t>P-0489</t>
        </is>
      </c>
      <c r="B12" s="18" t="inlineStr">
        <is>
          <t>Background of the Merger</t>
        </is>
      </c>
      <c r="C12" s="18" t="n">
        <v>28</v>
      </c>
      <c r="D12" s="6" t="inlineStr">
        <is>
          <t>On May 10, 2013, the Transaction Committee and representatives of Goodwin Procter held a meeting by telephone conference call. The Transaction Committee discussed the process for hiring a financial advisor for a review of strategic alternatives and determined to invite three nationally recognized investment banks to submit proposals. The members of the Transaction Committee also discussed what role, if any, members of Mac-Gray management should have in connection with the Board's consideration of strategic alternatives. In this regard, the Transaction Committee considered the fact that, in view of the significant stock ownership of Mr. MacDonald and his family, coupled with the possibility that the strategic alternatives process might result in third parties who would be interested in partnering with Mr. MacDonald (either through continued employment and/or contribution of some or all of his existing equity, a so-called equity "rollover"), Mr. MacDonald could have interests that would not be aligned with other Mac-Gray stockholders. As such, the Transaction Committee determined to recommend to the Board at an upcoming meeting that, as a general matter, Mr. MacDonald should not be permitted to participate in the Board's evaluation of strategic alternatives or any negotiations with any interested parties in a sale process. The Transaction Committee noted, however, that Mr. MacDonald would be invited to provide perspectives to the Board on Mac-Gray's operations and business on an as-requested basis.</t>
        </is>
      </c>
    </row>
    <row r="13">
      <c r="A13" s="18" t="inlineStr">
        <is>
          <t>P-0491</t>
        </is>
      </c>
      <c r="B13" s="18" t="inlineStr">
        <is>
          <t>Background of the Merger</t>
        </is>
      </c>
      <c r="C13" s="18" t="n">
        <v>29</v>
      </c>
      <c r="D13" s="6" t="inlineStr">
        <is>
          <t>On May 14, 2013, the Transaction Committee and representatives of Goodwin Procter held a meeting by telephone conference call. The Transaction Committee discussed further the process for hiring a financial advisor for a review of strategic alternatives. Given that BofA Merrill Lynch was one of the investment banks to be invited to submit a proposal and that the CSC sale process had ended, the Transaction Committee determined to terminate BofA Merrill Lynch's engagement letter entered into for purposes of the 2011-2012 Discussions.</t>
        </is>
      </c>
    </row>
    <row r="14">
      <c r="A14" s="18" t="inlineStr">
        <is>
          <t>P-0492</t>
        </is>
      </c>
      <c r="B14" s="18" t="inlineStr">
        <is>
          <t>Background of the Merger</t>
        </is>
      </c>
      <c r="C14" s="18" t="n">
        <v>29</v>
      </c>
      <c r="D14" s="6" t="inlineStr">
        <is>
          <t>On May 15, 2013, Mac-Gray sent a letter to BofA Merrill Lynch terminating their engagement in connection with the 2011-2012 Discussions.</t>
        </is>
      </c>
    </row>
    <row r="15">
      <c r="A15" s="18" t="inlineStr">
        <is>
          <t>P-0493</t>
        </is>
      </c>
      <c r="B15" s="18" t="inlineStr">
        <is>
          <t>Background of the Merger</t>
        </is>
      </c>
      <c r="C15" s="18" t="n">
        <v>29</v>
      </c>
      <c r="D15" s="6" t="inlineStr">
        <is>
          <t>On May 22, 2013, the Mac-Gray Board of Directors held a regularly scheduled in-person meeting. By invitation of the Board, Mr. MacDonald, Mr. Shea, Mr. MacLellan, Mr. Emma, Ms. Serafini and representatives of Goodwin Procter were also present for all or portions of the meeting. At the request of the Board, at this meeting Mr. MacDonald provided an overview of Mac-Gray's acquisition strategy and recent acquisitions within the industry, and Mr. MacLellan reviewed Mac-Gray's recently completed acquisitions with the Board. Also at this meeting, in addition to routine and administrative matters and the approval of Mac-Gray's quarterly common stock dividend, the Board appointed Mr. Daoust as chairman of the Transaction Committee during an executive session that excluded all members of management.</t>
        </is>
      </c>
    </row>
    <row r="16">
      <c r="A16" s="18" t="inlineStr">
        <is>
          <t>P-0494</t>
        </is>
      </c>
      <c r="B16" s="18" t="inlineStr">
        <is>
          <t>Background of the Merger</t>
        </is>
      </c>
      <c r="C16" s="18" t="n">
        <v>29</v>
      </c>
      <c r="D16" s="6" t="inlineStr">
        <is>
          <t>Later on May 22, 2013, representatives from BofA Merrill Lynch presented to the members of the Transaction Committee for purposes of a potential engagement in connection with the Board's current review of strategic alternatives and the possibility of undertaking a sale process.</t>
        </is>
      </c>
    </row>
    <row r="17">
      <c r="A17" s="18" t="inlineStr">
        <is>
          <t>P-0495</t>
        </is>
      </c>
      <c r="B17" s="18" t="inlineStr">
        <is>
          <t>Background of the Merger</t>
        </is>
      </c>
      <c r="C17" s="18" t="n">
        <v>29</v>
      </c>
      <c r="D17" s="6" t="inlineStr">
        <is>
          <t>On May 29, 2013, each of the other two financial advisor candidates presented to the members of the Transaction Committee for purposes of a potential engagement in connection with the Board's current review of strategic alternatives and the possibility of undertaking a sale process.</t>
        </is>
      </c>
    </row>
    <row r="18">
      <c r="A18" s="18" t="inlineStr">
        <is>
          <t>P-0496</t>
        </is>
      </c>
      <c r="B18" s="18" t="inlineStr">
        <is>
          <t>Background of the Merger</t>
        </is>
      </c>
      <c r="C18" s="18" t="n">
        <v>29</v>
      </c>
      <c r="D18" s="6" t="inlineStr">
        <is>
          <t>On May 30, 2013, the Board held an in-person meeting. By invitation of the Board, Mr. MacDonald, Mr. Shea, Ms. Serafini and representatives of Goodwin Procter were also present for all or portions of the meeting. During the meeting, the members of the Transaction Committee presented their assessment of the relative capabilities, strengths, and possible weaknesses of the three financial advisor candidates. Mr. Shea also provided his perspective of each financial advisor candidate's capabilities, strengths, and possible weaknesses. The Transaction Committee recommended to the Board that Mac-Gray engage BofA Merrill Lynch as Mac-Gray's financial advisor for the Board's exploration of strategic alternatives, including a potential sale process. The Transaction Committee's endorsement of BofA Merrill Lynch was based on, among other things, BofA Merrill Lynch's knowledge of Mac-Gray, the industry generally, the current environment for mergers and acquisitions and potential strategic acquirors, as well as BofA Merrill Lynch's proposed process and strategy for maximizing value to Mac-Gray's stockholders should the Board determine that a sale of the company would be in the best interests of stockholders. Representatives of Goodwin Procter reviewed with the Board the terms of proposed BofA Merrill Lynch engagement. Based on the recommendation of the Transaction Committee, the Board unanimously approved the engagement of BofA Merrill Lynch on the terms discussed at this meeting.</t>
        </is>
      </c>
    </row>
    <row r="19">
      <c r="A19" s="18" t="inlineStr">
        <is>
          <t>P-0497</t>
        </is>
      </c>
      <c r="B19" s="18" t="inlineStr">
        <is>
          <t>Background of the Merger</t>
        </is>
      </c>
      <c r="C19" s="18" t="n">
        <v>29</v>
      </c>
      <c r="D19" s="6" t="inlineStr">
        <is>
          <t>Later on May 30, 2013, Mac-Gray held its annual stockholder meeting at which, among other actions, the Mac-Gray stockholders elected as directors Michael M. Rothenberg and James E. Hyman, candidates nominated by Mac-Gray's stockholder, Moab Partners, L.P. and certain of its affiliates, which we refer collectively to as Moab. Mac-Gray and Moab engaged in a proxy contest leading up to the annual meeting and Mr. Rothenberg and Mr. Hyman were elected in place of Mac-Gray's incumbent nominees, David W. Bryan and Mary Ann Tocio. Edward McCauley's term expired at the annual meeting, at which time the size of the Board was reduced to seven. Mr. Rothenberg is a co-founder and the General Partner of Moab and Mr. Hyman is president and chief executive officer of TestAmerica, Inc., the nation's largest provider of environmental testing services, a role he has held since 2011.</t>
        </is>
      </c>
    </row>
    <row r="20">
      <c r="A20" s="18" t="inlineStr">
        <is>
          <t>P-0499</t>
        </is>
      </c>
      <c r="B20" s="18" t="inlineStr">
        <is>
          <t>Background of the Merger</t>
        </is>
      </c>
      <c r="C20" s="18" t="n">
        <v>30</v>
      </c>
      <c r="D20" s="6" t="inlineStr">
        <is>
          <t>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t>
        </is>
      </c>
    </row>
    <row r="21">
      <c r="A21" s="18" t="inlineStr">
        <is>
          <t>P-0500</t>
        </is>
      </c>
      <c r="B21" s="18" t="inlineStr">
        <is>
          <t>Background of the Merger</t>
        </is>
      </c>
      <c r="C21" s="18" t="n">
        <v>30</v>
      </c>
      <c r="D21" s="6" t="inlineStr">
        <is>
          <t>On June 12, 2013, Mr. Rothenberg and Mr. Hyman met individually with Mr. Bullock, Mr. Daoust, Ms. Serafini and representatives from Goodwin Procter as part of their orientation as new members of the Board. Each was provided with an overview of the status of the Board's review of strategic alternatives and a potential sale process. At the meeting with Mr. Rothenberg, the participants discussed that, to the extent Moab might have an interest in an equity rollover of all or a portion of Moab's shares of Mac-Gray common stock in connection with any sale transaction that might result from the Board's strategic alternatives process, Mr. Rothenberg would need to be excluded from the process from the outset. At the time of this meeting, Moab beneficially owned approximately 9% of Mac-Gray's outstanding common stock.</t>
        </is>
      </c>
    </row>
    <row r="22">
      <c r="A22" s="18" t="inlineStr">
        <is>
          <t>P-0501</t>
        </is>
      </c>
      <c r="B22" s="18" t="inlineStr">
        <is>
          <t>Background of the Merger</t>
        </is>
      </c>
      <c r="C22" s="18" t="n">
        <v>30</v>
      </c>
      <c r="D22" s="6" t="inlineStr">
        <is>
          <t>On June 21, 2013, Party A submitted an unsolicited proposal to the Mac-Gray Board of Directors offering to purchase Mac-Gray for an all-cash purchase price of $17.00 to $19.00 per share, which we refer to as the Party A June 21 proposal.</t>
        </is>
      </c>
    </row>
    <row r="23">
      <c r="A23" s="18" t="inlineStr">
        <is>
          <t>P-0502</t>
        </is>
      </c>
      <c r="B23" s="18" t="inlineStr">
        <is>
          <t>Background of the Merger</t>
        </is>
      </c>
      <c r="C23" s="18" t="n">
        <v>30</v>
      </c>
      <c r="D23" s="6" t="inlineStr">
        <is>
          <t>On June 24, 2013, the Mac-Gray Board of Directors held a regularly scheduled meeting. By invitation of the Board, certain members of management, including Mr. MacDonald, Mr. Shea, Mr. MacLellan, Mr. Emma, Ms. Serafini and Sheff Halsey, our chief marketing officer and an executive vice president, and representatives from Goodwin Procter were also present for some or all of the meeting. During this meeting, representatives of Goodwin Procter reviewed for the Board its fiduciary duties in the context of considering strategic alternatives that might be available to Mac-Gray, including a potential sale of the company. The Board also discussed, with input from the members of the Transaction Committee, whether it would be appropriate for each of Mr. MacDonald and Mr. Rothenberg to be excluded from the Board's consideration of strategic alternatives in view of the possibility that Mr. MacDonald and/or Moab could be asked to partner with a potential acquiror given their respective equity stakes in Mac-Gray. Following this discussion, the Board decided, and Mr. MacDonald and Mr. Rothenberg agreed, that it would be appropriate to exclude Mr. MacDonald and Mr. Rothenberg from the Board's evaluation of strategic alternatives and any negotiations with third parties that might take place. Mr. MacDonald excused himself after such discussion. In furtherance of the conclusion to exclude Mr. MacDonald and Mr. Rothenberg from the Board's evaluation of strategic alternatives, the Board then established the Special Committee, comprised of the six independent and disinterested members of the Board (namely, Mr. Bullock, Mr. Daoust, Mr. Hyman, William F. Meagher, Bruce A. Percelay and Alastair G. Robinson), to, among other things, explore strategic alternatives to enhance value to Mac-Gray's stockholders and to recommend to the Board the advisability of any such strategic alternative. In connection with this delegation of authority, the Special Committee was further authorized to (a) consider and evaluate all proposals that might be received by Mac-Gray in connection with a possible sale or other significant business transaction, through any form of transaction, including, without limitation, merger, stock purchase, asset purchase, recapitalization, reorganization, going-private transaction, consolidation, amalgamation or other transaction, (b) participate in and direct the negotiation of the material terms and conditions of any such transaction, (c) consider any alternatives to any such transaction, including without limitation, Mac-Gray's continuing to operate as an independent company and (d) recommend to the Board the advisability of entering into a definitive agreement with respect to any such transaction. Mr. Bullock was appointed chairman of the Special Committee. It was also determined that the Transaction Committee would function as a sub-committee of the Special Committee for the purpose of taking any administrative actions to discharge the duties and responsibilities of the Special Committee.</t>
        </is>
      </c>
    </row>
    <row r="24">
      <c r="A24" s="18" t="inlineStr">
        <is>
          <t>P-0504</t>
        </is>
      </c>
      <c r="B24" s="18" t="inlineStr">
        <is>
          <t>Background of the Merger</t>
        </is>
      </c>
      <c r="C24" s="18" t="n">
        <v>31</v>
      </c>
      <c r="D24" s="6" t="inlineStr">
        <is>
          <t>Mr. Rothenberg was then excused and the Board meeting proceeded as a meeting of the Special Committee. By invitation of the Special Committee, Mr. Shea and Mr. Emma and representatives of BofA Merrill Lynch and Goodwin Procter were present for all or portions of the meeting. Mr. Shea and Mr. Emma presented Mac-Gray's five-year strategic business plan and projections, including the with acquisitions case and the without acquisitions case (see "—Projected Financial Information" below), which we refer to as the Projections. Following the management presentation, representatives of BofA Merrill Lynch discussed potential strategic alternatives and the structure and timing of a potential sale process. The Special Committee reviewed Mac-Gray's short and long-term business strategies and discussed the five-year strategic business plan, including Mac-Gray's ability to identify, acquire and successfully integrate laundry facilities management businesses, establish new and/or renew existing laundry facility management leases and penetrate markets historically dominated by smaller local and regional operators, the impact of general economic and market trends on Mac-Gray's sales and the general risks of market conditions that could reduce Mac-Gray's stock price. The Special Committee also discussed the risks involved if Mac-Gray did not execute on its strategic business plan, including the difficulties with increasing the Company's stock price without a significant or transformative transaction, such as a major acquisition or restructuring.</t>
        </is>
      </c>
    </row>
    <row r="25">
      <c r="A25" s="18" t="inlineStr">
        <is>
          <t>P-0505</t>
        </is>
      </c>
      <c r="B25" s="18" t="inlineStr">
        <is>
          <t>Background of the Merger</t>
        </is>
      </c>
      <c r="C25" s="18" t="n">
        <v>31</v>
      </c>
      <c r="D25" s="6" t="inlineStr">
        <is>
          <t>The Special Committee, in follow up to the considerations introduced at the May 9 th Board meeting, then further considered whether it might be advisable to approach and discuss a potential sale transaction with third parties, including Party A, at this time. The Special Committee discussed the potential risks and benefits of commencing a process in which parties would be invited to review confidential information and submit indications of interest with respect to a potential business combination involving Mac-Gray, focusing again on the potential disruptions to Mac-Gray's business, the risk of leaks that might arise from approaching potential acquirors within the industry and the resulting impact on Mac-Gray's business and the need to disclose during such process sensitive, proprietary and confidential information to competitors and potential competitors. The members of the Special Committee also discussed with BofA Merrill Lynch the likelihood that strategic parties, including CSC and Party A, should be able to pay a higher price for Mac-Gray because of the benefit of synergies, and noted their collective belief that Party A would likely increase the Party A June 21 proposal in light of such synergies if Party A were given the opportunity to conduct business and legal due diligence on a potential acquisition of Mac-Gray. The Special Committee then discussed the other strategic alternatives, including a significant share repurchase program and an extraordinary dividend, and determined that these options were not likely to maximize value for Mac-Gray's stockholders as compared to execution of Mac-Gray's strategic business plan or undertaking a sale of the company. In light of the factors discussed at this meeting, the Special Committee concluded that it would be in the best interests of stockholders to consider a potential sale of Mac-Gray and to review this alternative as compared to Mac-Gray's continuing as a stand-alone company and the risks and opportunities associated with execution of Mac-Gray's strategic business plan.</t>
        </is>
      </c>
    </row>
    <row r="26">
      <c r="A26" s="18" t="inlineStr">
        <is>
          <t>P-0506</t>
        </is>
      </c>
      <c r="B26" s="18" t="inlineStr">
        <is>
          <t>Background of the Merger</t>
        </is>
      </c>
      <c r="C26" s="18" t="n">
        <v>31</v>
      </c>
      <c r="D26" s="6" t="inlineStr">
        <is>
          <t>The Special Committee, with the assistance of BofA Merrill Lynch and management, also discussed the general and specific universe of potential acquirors who might be contacted, including those parties the Special Committee believed had the strongest potential to have an interest in engaging in a strategic transaction with Mac-Gray. In its evaluation of potential likely acquirors, the Special Committee considered such parties' financial strength, their experience in acquiring companies in Mac-Gray's industry, such parties' perceived potential interest in Mac-Gray and potential synergies based on such parties' businesses and legal considerations. The Special Committee and BofA Merrill Lynch also discussed that although potential strategic buyers should be able to pay a higher purchase price because of synergies, it was important to solicit interest from financial buyers, including private equity firms, to maximize the competitive dynamics in the sale process. This perspective was based on the fact that many financial buyers had engaged in transactions with companies in industries similar to Mac-Gray and could be in a position to recognize value competitive with potential strategic buyers. Guided by the foregoing principles, the Special Committee determined to approach a total of</t>
        </is>
      </c>
    </row>
    <row r="27">
      <c r="A27" s="18" t="inlineStr">
        <is>
          <t>P-0508</t>
        </is>
      </c>
      <c r="B27" s="18" t="inlineStr">
        <is>
          <t>Background of the Merger</t>
        </is>
      </c>
      <c r="C27" s="18" t="n">
        <v>32</v>
      </c>
      <c r="D27" s="6" t="inlineStr">
        <is>
          <t>50 parties, including CSC and Pamplona, who together we refer to as CSC/Pamplona, and Party A, to solicit potential interest in a transaction with Mac-Gray, 15 of which were potential strategic buyers and 35 of which were potential financial buyers, including private equity firms.</t>
        </is>
      </c>
    </row>
    <row r="28">
      <c r="A28" s="18" t="inlineStr">
        <is>
          <t>P-0509</t>
        </is>
      </c>
      <c r="B28" s="18" t="inlineStr">
        <is>
          <t>Background of the Merger</t>
        </is>
      </c>
      <c r="C28" s="18" t="n">
        <v>32</v>
      </c>
      <c r="D28" s="6" t="inlineStr">
        <is>
          <t>During the next several weeks, in accordance with the directives of the Special Committee, BofA Merrill Lynch contacted the strategic and financial parties identified at the June 24th Special Committee meeting. Over the next two months a total of 20 potential bidders, including two strategic bidders (Party A and CSC/Pamplona) and 18 financial bidders (including Party B and Party C), entered into confidentiality agreements with Mac-Gray on a form provided by Mac-Gray, the terms of which were individually negotiated with potential bidders, but did not vary materially from the form provided. The confidentiality agreements contained customary non-disclosure provisions and a customary standstill provision that either expired or permitted the potential bidder to make confidential proposals to Mac-Gray (a so-called "sunset" provision) upon announcement of a business combination between Mac-Gray and a third party, and, in some instances upon announcement of a change in control.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The letter requested that the proposals address, among other things, valuation, sources and structures of financing, material conditions, including required approvals, and focus areas for due diligence.</t>
        </is>
      </c>
    </row>
    <row r="29">
      <c r="A29" s="18" t="inlineStr">
        <is>
          <t>P-0510</t>
        </is>
      </c>
      <c r="B29" s="18" t="inlineStr">
        <is>
          <t>Background of the Merger</t>
        </is>
      </c>
      <c r="C29" s="18" t="n">
        <v>32</v>
      </c>
      <c r="D29" s="6" t="inlineStr">
        <is>
          <t>On June 28, 2013, the members of the Transaction Committee participated in a telephone conference call with representatives of BofA Merrill Lynch and Goodwin Procter. BofA Merrill Lynch summarized the contacts they had had with certain of the potential bidders. In particular, BofA Merrill Lynch reported that they had spoken with representatives of Party A, as instructed by the Special Committee, who had expressed the view that there would be considerable synergies if Party A were to acquire Mac-Gray and that Party A would be speaking with certain financing sources with respect to funding such a transaction. BofA Merrill Lynch also reported that they had spoken with representatives of Pamplona, as instructed by the Special Committee, who expressed interest in a transaction, including an acquisition of Mac-Gray by its portfolio company, CSC. Pamplona emphasized that business and legal due diligence would be minimal given its familiarity with Mac-Gray and the industry generally.</t>
        </is>
      </c>
    </row>
    <row r="30">
      <c r="A30" s="18" t="inlineStr">
        <is>
          <t>P-0511</t>
        </is>
      </c>
      <c r="B30" s="18" t="inlineStr">
        <is>
          <t>Background of the Merger</t>
        </is>
      </c>
      <c r="C30" s="18" t="n">
        <v>32</v>
      </c>
      <c r="D30" s="6" t="inlineStr">
        <is>
          <t>Later on June 28, 2013, Party B, entered into a confidentiality and standstill agreement with Mac-Gray and was provided with an informational package for the purpose of providing Party B with data to formulate a preliminary indication of interest.</t>
        </is>
      </c>
    </row>
    <row r="31">
      <c r="A31" s="18" t="inlineStr">
        <is>
          <t>P-0512</t>
        </is>
      </c>
      <c r="B31" s="18" t="inlineStr">
        <is>
          <t>Background of the Merger</t>
        </is>
      </c>
      <c r="C31" s="18" t="n">
        <v>32</v>
      </c>
      <c r="D31" s="6" t="inlineStr">
        <is>
          <t>On June 30, 2013, Party C entered into a confidentiality and standstill agreement with Mac-Gray and was provided with an informational package for the purpose of providing Party C with data to formulate a preliminary indication of interest.</t>
        </is>
      </c>
    </row>
    <row r="32">
      <c r="A32" s="18" t="inlineStr">
        <is>
          <t>P-0513</t>
        </is>
      </c>
      <c r="B32" s="18" t="inlineStr">
        <is>
          <t>Background of the Merger</t>
        </is>
      </c>
      <c r="C32" s="18" t="n">
        <v>32</v>
      </c>
      <c r="D32" s="6" t="inlineStr">
        <is>
          <t>On July 3, 2013, Mr. Rothenberg called a representative of Goodwin Procter to indicate that he had spoken with representatives of Pamplona about Moab's desire to maintain the flexibility to consider a possible equity rollover if Pamplona were to participate in a business combination with Mac-Gray. Mr. Rothenberg also informed Goodwin Procter that Pamplona would be requesting that any confidentiality agreement CSC/Pamplona execute with Mac-Gray permit CSC and Pamplona to discuss their bid and evaluation material with Moab, with Moab agreeing to exclusively engage with CSC/Pamplona.</t>
        </is>
      </c>
    </row>
    <row r="33">
      <c r="A33" s="18" t="inlineStr">
        <is>
          <t>P-0514</t>
        </is>
      </c>
      <c r="B33" s="18" t="inlineStr">
        <is>
          <t>Background of the Merger</t>
        </is>
      </c>
      <c r="C33" s="18" t="n">
        <v>32</v>
      </c>
      <c r="D33" s="6" t="inlineStr">
        <is>
          <t>On July 6, 2013, the Special Committee held a telephonic meeting for the purpose of receiving an update on the ongoing sale process. By invitation of the Special Committee, representatives from BofA Merrill Lynch and Goodwin Procter were also present throughout the meeting. The Special Committee discussed whether Moab should be permitted to partner exclusively with CSC/Pamplona. Because the</t>
        </is>
      </c>
    </row>
    <row r="34">
      <c r="A34" s="18" t="inlineStr">
        <is>
          <t>P-0516</t>
        </is>
      </c>
      <c r="B34" s="18" t="inlineStr">
        <is>
          <t>Background of the Merger</t>
        </is>
      </c>
      <c r="C34" s="18" t="n">
        <v>33</v>
      </c>
      <c r="D34" s="6" t="inlineStr">
        <is>
          <t>objective of the sale process was to maximize value for Mac-Gray's stockholders, the Special Committee decided to deny the exclusivity request at this stage of the process so that the potential equity rollover of Moab's shares could be available as a source of capital for other potential bidders. The Special Committee instructed BofA Merrill Lynch and Goodwin Procter to communicate to CSC/Pamplona and Mr. Rothenberg, respectively, that it was premature for Mac-Gray to permit Moab to engage in equity rollover discussions with any party, including CSC/Pamplona, but that such discussions would be permitted at a later stage of the sale process.</t>
        </is>
      </c>
    </row>
    <row r="35">
      <c r="A35" s="18" t="inlineStr">
        <is>
          <t>P-0517</t>
        </is>
      </c>
      <c r="B35" s="18" t="inlineStr">
        <is>
          <t>Background of the Merger</t>
        </is>
      </c>
      <c r="C35" s="18" t="n">
        <v>33</v>
      </c>
      <c r="D35" s="6" t="inlineStr">
        <is>
          <t>On July 11, 2013, CSC/Pamplona entered into a confidentiality and standstill agreement with Mac-Gray and were provided with an informational package for the purpose of providing CSC/Pamplona with data to formulate a preliminary indication of interest.</t>
        </is>
      </c>
    </row>
    <row r="36">
      <c r="A36" s="18" t="inlineStr">
        <is>
          <t>P-0518</t>
        </is>
      </c>
      <c r="B36" s="18" t="inlineStr">
        <is>
          <t>Background of the Merger</t>
        </is>
      </c>
      <c r="C36" s="18" t="n">
        <v>33</v>
      </c>
      <c r="D36" s="6" t="inlineStr">
        <is>
          <t>Between July 11, 2013 and July 23, 2013, Party B, Party C and CSC/Pamplona engaged in a preliminary review of Mac-Gray and the potential acquisition opportunity. Also during this time, outside counsel to Party A and representatives of Goodwin Procter negotiated the terms of a confidentiality and standstill agreement, but did not come to agreement on the terms of the customer and employee non-solicitation provisions.</t>
        </is>
      </c>
    </row>
    <row r="37">
      <c r="A37" s="18" t="inlineStr">
        <is>
          <t>P-0519</t>
        </is>
      </c>
      <c r="B37" s="18" t="inlineStr">
        <is>
          <t>Background of the Merger</t>
        </is>
      </c>
      <c r="C37" s="18" t="n">
        <v>33</v>
      </c>
      <c r="D37" s="6" t="inlineStr">
        <is>
          <t>On July 23, 2013, CSC/Pamplona submitted a preliminary indication of interest at an all-cash purchase price of $18.50 per share.</t>
        </is>
      </c>
    </row>
    <row r="38">
      <c r="A38" s="18" t="inlineStr">
        <is>
          <t>P-0520</t>
        </is>
      </c>
      <c r="B38" s="18" t="inlineStr">
        <is>
          <t>Background of the Merger</t>
        </is>
      </c>
      <c r="C38" s="18" t="n">
        <v>33</v>
      </c>
      <c r="D38" s="6" t="inlineStr">
        <is>
          <t>On July 24, 2013, Party B submitted a preliminary indication of interest at an all-cash purchase price of $17.00 to $18.00 per share. Also on July 24, 2013, representatives from Party C called BofA Merrill Lynch and presented an oral preliminary indication of interest at an all-cash purchase price of $15.00 to $17.00 per share.</t>
        </is>
      </c>
    </row>
    <row r="39">
      <c r="A39" s="18" t="inlineStr">
        <is>
          <t>P-0521</t>
        </is>
      </c>
      <c r="B39" s="18" t="inlineStr">
        <is>
          <t>Background of the Merger</t>
        </is>
      </c>
      <c r="C39" s="18" t="n">
        <v>33</v>
      </c>
      <c r="D39" s="6" t="inlineStr">
        <is>
          <t>On July 25, 2013, the Board held a regularly scheduled in-person meeting. By invitation of the Board, Mr. Shea and representatives from BofA Merrill Lynch and Goodwin Procter were also present for all or portions of this meeting. Prior to the start of the meeting, because the Board expected to discuss matters related to the sale process, and in light of Moab's continuing interest in a potential equity rollover in any sale transaction, Mr. Rothenberg recused himself from the meeting and the meeting proceeded as a meeting of the Special Committee. At this meeting, representatives of BofA Merrill Lynch reviewed the preliminary indications of interest received from Party B, Party C and CSC/Pamplona as well as the Party A June 21 proposal, in each case from a financial point of view. The Board reviewed management's five-year strategic business plan and Projections. During this meeting, representatives of Goodwin Procter reviewed for the Special Committee its fiduciary duties in the context of considering a potential sale. The Special Committee then discussed the potential conflict of interest arising from Moab's continuing desire to consider an equity rollover and decided that Mr. Rothenberg should be asked to recuse himself from participating in Board meetings for the duration of the sale process so he would not be privy to confidential information about Mac-Gray and our business.</t>
        </is>
      </c>
    </row>
    <row r="40">
      <c r="A40" s="18" t="inlineStr">
        <is>
          <t>P-0522</t>
        </is>
      </c>
      <c r="B40" s="18" t="inlineStr">
        <is>
          <t>Background of the Merger</t>
        </is>
      </c>
      <c r="C40" s="18" t="n">
        <v>33</v>
      </c>
      <c r="D40" s="6" t="inlineStr">
        <is>
          <t>The Special Committee discussed that the preliminary indications of interest were lower than expected and suggested that additional due diligence, including with regard to the potential synergies, should result in improved offers by the strategic parties. The Special Committee then discussed the highly competitive nature of Mac-Gray's industry and expressed concern over permitting access to and the potential misuse of sensitive and competitive information, including customer terms and locations, especially by strategic bidders. Accordingly, the Special Committee concluded that it would be advisable to stage the disclosure of such information to each of the bidders to the extent that a bidder's indication of interest and other actions demonstrated its seriousness in acquiring Mac-Gray on terms viewed favorably by the Special Committee. Based on this discussion, BofA Merrill Lynch discussed with the Special Committee a proposed process for the second stage of the on-going sale process. As part of this review, BofA Merrill Lynch recommended that management meetings be arranged between members of Mac-Gray management (other than Mr. MacDonald) and each of Party A (if Party A</t>
        </is>
      </c>
    </row>
    <row r="41">
      <c r="A41" s="18" t="inlineStr">
        <is>
          <t>P-0524</t>
        </is>
      </c>
      <c r="B41" s="18" t="inlineStr">
        <is>
          <t>Background of the Merger</t>
        </is>
      </c>
      <c r="C41" s="18" t="n">
        <v>34</v>
      </c>
      <c r="D41" s="6" t="inlineStr">
        <is>
          <t>agreed to enter into a confidentiality agreement), Party B, Party C and CSC/Pamplona to provide these parties with access to high level information concerning Mac-Gray's technology, pipeline, management team, regional operations, contracts, operations and growth initiatives, and in the case of CSC/Pamplona and Party A, synergies, and to then request that each of these parties submit a revised indication of interest. After discussion and in an effort to drive offers with increased value, the Special Committee authorized and instructed BofA Merrill Lynch to proceed with the staged disclosure as discussed at this meeting and to reach out to each of the four interested bidders and arrange management meetings.</t>
        </is>
      </c>
    </row>
    <row r="42">
      <c r="A42" s="18" t="inlineStr">
        <is>
          <t>P-0525</t>
        </is>
      </c>
      <c r="B42" s="18" t="inlineStr">
        <is>
          <t>Background of the Merger</t>
        </is>
      </c>
      <c r="C42" s="18" t="n">
        <v>34</v>
      </c>
      <c r="D42" s="6" t="inlineStr">
        <is>
          <t>Later on July 25, 2013, Party C submitted a written indication of interest at an all-cash purchase price of $16.00 to $16.50 per share.</t>
        </is>
      </c>
    </row>
    <row r="43">
      <c r="A43" s="18" t="inlineStr">
        <is>
          <t>P-0526</t>
        </is>
      </c>
      <c r="B43" s="18" t="inlineStr">
        <is>
          <t>Background of the Merger</t>
        </is>
      </c>
      <c r="C43" s="18" t="n">
        <v>34</v>
      </c>
      <c r="D43" s="6" t="inlineStr">
        <is>
          <t>Discussions with Party A resumed on July 27, 2103 and Party A and the Transaction Committee agreed to the terms of the customer and employee non-solicitation provisions. On August 5, 2013, Party A entered into a confidentiality and standstill agreement with Mac-Gray and was provided with an informational package for the purpose of providing Party A with data to potentially improve the terms of the Party A June 21 proposal.</t>
        </is>
      </c>
    </row>
    <row r="44">
      <c r="A44" s="18" t="inlineStr">
        <is>
          <t>P-0527</t>
        </is>
      </c>
      <c r="B44" s="18" t="inlineStr">
        <is>
          <t>Background of the Merger</t>
        </is>
      </c>
      <c r="C44" s="18" t="n">
        <v>34</v>
      </c>
      <c r="D44" s="6" t="inlineStr">
        <is>
          <t>On August 6, 2013, representatives of Party B attended a management presentation at the Boston office of Goodwin Procter with members of Mac-Gray management, representatives of BofA Merrill Lynch and a member of the Transaction Committee.</t>
        </is>
      </c>
    </row>
    <row r="45">
      <c r="A45" s="18" t="inlineStr">
        <is>
          <t>P-0528</t>
        </is>
      </c>
      <c r="B45" s="18" t="inlineStr">
        <is>
          <t>Background of the Merger</t>
        </is>
      </c>
      <c r="C45" s="18" t="n">
        <v>34</v>
      </c>
      <c r="D45" s="6" t="inlineStr">
        <is>
          <t>On August 8, 2013, representatives of Party C attended a management presentation at the Boston office of Goodwin Procter with members of Mac-Gray management, representatives of BofA Merrill Lynch and a member of the Transaction Committee.</t>
        </is>
      </c>
    </row>
    <row r="46">
      <c r="A46" s="18" t="inlineStr">
        <is>
          <t>P-0529</t>
        </is>
      </c>
      <c r="B46" s="18" t="inlineStr">
        <is>
          <t>Background of the Merger</t>
        </is>
      </c>
      <c r="C46" s="18" t="n">
        <v>34</v>
      </c>
      <c r="D46" s="6" t="inlineStr">
        <is>
          <t>On August 12, 2013, representatives of CSC and Pamplona attended a management presentation at the Boston office of Goodwin Procter with members of Mac-Gray management, representatives of BofA Merrill Lynch and the two members of the Transaction Committee.</t>
        </is>
      </c>
    </row>
    <row r="47">
      <c r="A47" s="18" t="inlineStr">
        <is>
          <t>P-0530</t>
        </is>
      </c>
      <c r="B47" s="18" t="inlineStr">
        <is>
          <t>Background of the Merger</t>
        </is>
      </c>
      <c r="C47" s="18" t="n">
        <v>34</v>
      </c>
      <c r="D47" s="6" t="inlineStr">
        <is>
          <t>On August 14, 2013, representatives of Party A attended a management presentation at the Boston office of Goodwin Procter with members of Mac-Gray management, representatives of BofA Merrill Lynch and the two members of the Transaction Committee.</t>
        </is>
      </c>
    </row>
    <row r="48">
      <c r="A48" s="18" t="inlineStr">
        <is>
          <t>P-0531</t>
        </is>
      </c>
      <c r="B48" s="18" t="inlineStr">
        <is>
          <t>Background of the Merger</t>
        </is>
      </c>
      <c r="C48" s="18" t="n">
        <v>34</v>
      </c>
      <c r="D48" s="6" t="inlineStr">
        <is>
          <t>On August 15, 2013, the Special Committee held a telephonic meeting for the purpose of reviewing the on-going strategic alternatives process. By invitation of the Special Committee, representatives from BofA Merrill Lynch and Goodwin Procter were also in attendance. BofA Merrill Lynch updated the Special Committee as to the current status of the strategic alternatives process, including the due diligence process and the management presentations with Party A, Party B, Party C and CSC/Pamplona. After discussion and as discussed at the July 25 th Special Committee meeting, the Special Committee authorized and instructed BofA Merrill Lynch to send a letter to each of Party A, Party B, Party C and CSC/Pamplona once all four of the bidders' due diligence was substantially complete requesting that, in light of the results of the respective party's due diligence, such party submit a revised written proposal in order to continue in the process, including to engage in more in-depth and confirmatory due diligence of Mac-Gray.</t>
        </is>
      </c>
    </row>
    <row r="49">
      <c r="A49" s="18" t="inlineStr">
        <is>
          <t>P-0532</t>
        </is>
      </c>
      <c r="B49" s="18" t="inlineStr">
        <is>
          <t>Background of the Merger</t>
        </is>
      </c>
      <c r="C49" s="18" t="n">
        <v>34</v>
      </c>
      <c r="D49" s="6" t="inlineStr">
        <is>
          <t>Between August 6, 2013 and August 27, 2013, the four bidders conducted business and legal due diligence. During this time,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 th Special Committee meeting. During this time, both Party A and CSC/Pamplona participated in discussions with members of Mac-Gray management around synergies.</t>
        </is>
      </c>
    </row>
    <row r="50">
      <c r="A50" s="18" t="inlineStr">
        <is>
          <t>P-0534</t>
        </is>
      </c>
      <c r="B50" s="18" t="inlineStr">
        <is>
          <t>Background of the Merger</t>
        </is>
      </c>
      <c r="C50" s="18" t="n">
        <v>35</v>
      </c>
      <c r="D50" s="6" t="inlineStr">
        <is>
          <t>On August 27, 2013, BofA Merrill Lynch, as instructed by the Special Committee, sent a letter to each of Party A, Party B, Party C and CSC/Pamplona instructing such bidders to submit revised written proposals no later than September 9, 2013 if such bidders wished to proceed further in the process to pursue an in-depth evaluation of Mac-Gray with the objective of making a revised offer. The letter requested that the revised proposals address, among other things, valuation, sources and structures of financing, regulatory approvals and other post-signing covenants and focus areas for due diligence.</t>
        </is>
      </c>
    </row>
    <row r="51">
      <c r="A51" s="18" t="inlineStr">
        <is>
          <t>P-0535</t>
        </is>
      </c>
      <c r="B51" s="18" t="inlineStr">
        <is>
          <t>Background of the Merger</t>
        </is>
      </c>
      <c r="C51" s="18" t="n">
        <v>35</v>
      </c>
      <c r="D51" s="6" t="inlineStr">
        <is>
          <t>Also on August 27, 2013, members of Mac-Gray management, representatives from BofA Merrill Lynch and representatives of Party B participated in a telephone conference call for Party B to conduct follow-up and confirmatory due diligence.</t>
        </is>
      </c>
    </row>
    <row r="52">
      <c r="A52" s="18" t="inlineStr">
        <is>
          <t>P-0536</t>
        </is>
      </c>
      <c r="B52" s="18" t="inlineStr">
        <is>
          <t>Background of the Merger</t>
        </is>
      </c>
      <c r="C52" s="18" t="n">
        <v>35</v>
      </c>
      <c r="D52" s="6" t="inlineStr">
        <is>
          <t>On August 29, 2013, members of Mac-Gray management, representatives from BofA Merrill Lynch and representatives of Party C participated in an in-person session for Party C to conduct follow-up and confirmatory due diligence.</t>
        </is>
      </c>
    </row>
    <row r="53">
      <c r="A53" s="18" t="inlineStr">
        <is>
          <t>P-0537</t>
        </is>
      </c>
      <c r="B53" s="18" t="inlineStr">
        <is>
          <t>Background of the Merger</t>
        </is>
      </c>
      <c r="C53" s="18" t="n">
        <v>35</v>
      </c>
      <c r="D53" s="6" t="inlineStr">
        <is>
          <t>On September 3, 2013, members of Mac-Gray management, representatives from BofA Merrill Lynch and representatives of Party A participated in a telephone conference call for Party A to conduct follow-up and confirmatory due diligence.</t>
        </is>
      </c>
    </row>
    <row r="54">
      <c r="A54" s="18" t="inlineStr">
        <is>
          <t>P-0538</t>
        </is>
      </c>
      <c r="B54" s="18" t="inlineStr">
        <is>
          <t>Background of the Merger</t>
        </is>
      </c>
      <c r="C54" s="18" t="n">
        <v>35</v>
      </c>
      <c r="D54" s="6" t="inlineStr">
        <is>
          <t>On September 9, 2013,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On September 9, 2013,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t>
        </is>
      </c>
    </row>
    <row r="55">
      <c r="A55" s="18" t="inlineStr">
        <is>
          <t>P-0539</t>
        </is>
      </c>
      <c r="B55" s="18" t="inlineStr">
        <is>
          <t>Background of the Merger</t>
        </is>
      </c>
      <c r="C55" s="18" t="n">
        <v>35</v>
      </c>
      <c r="D55" s="6" t="inlineStr">
        <is>
          <t>On September 10, 2013, Party A submitted a revised indication of interest with an all-cash purchase price of $18.00 to $19.00 per share, to be financed by outstanding credit facilities or affiliated equity sources. Also on September 10, 2013, in a telephone call to a representative of BofA Merrill Lynch, a representative of Party C indicated that it was submitting a revised oral indication of interest with an all-cash purchase price of $16.00 to $17.00 per share. Neither Party A's nor Party C's revised indication of interest included a firm financing commitment.</t>
        </is>
      </c>
    </row>
    <row r="56">
      <c r="A56" s="18" t="inlineStr">
        <is>
          <t>P-0540</t>
        </is>
      </c>
      <c r="B56" s="18" t="inlineStr">
        <is>
          <t>Background of the Merger</t>
        </is>
      </c>
      <c r="C56" s="18" t="n">
        <v>35</v>
      </c>
      <c r="D56" s="6" t="inlineStr">
        <is>
          <t>On September 11, 2013, members of the Transaction Committee, in a telephone call, without identifying Party A, Party B, Party C or CSC/Pamplona and without indicating any proposed purchase prices, provided Mr. MacDonald with a limited overview of the status of the Special Committee's review of strategic alternatives, including the decision to engage in strategic alternatives process, and the negotiations between Mac-Gray and CSC/Pamplona so that Mr. MacDonald could consider whether he continued to have an interest in potentially rolling over any of his Mac-Gray shares in a transaction. During this call, Mr. MacDonald indicated that he had decided that he was not interested in rolling over any of his shares in any transaction.</t>
        </is>
      </c>
    </row>
    <row r="57">
      <c r="A57" s="18" t="inlineStr">
        <is>
          <t>P-0541</t>
        </is>
      </c>
      <c r="B57" s="18" t="inlineStr">
        <is>
          <t>Background of the Merger</t>
        </is>
      </c>
      <c r="C57" s="18" t="n">
        <v>35</v>
      </c>
      <c r="D57" s="6" t="inlineStr">
        <is>
          <t>Later on September 11, 2013, the Special Committee held a telephonic meeting to review the revised indications of interest submitted by Party A, Party B, Party C and CSC/Pamplona. By invitation of the Special Committee, Mr. Shea and Mr. Emma, as well as representatives from BofA Merrill Lynch and Goodwin Procter, were present for all or portions of the meeting. BofA Merrill Lynch reviewed with the Special Committee the current status of the revised indications of interest. The Special Committee also reviewed and discussed the Projections, including the risks and opportunities relating to Mac-Gray's ability to execute its strategic plan as an independent, stand-alone company. The Special Committee also considered the Projections in light of the revised indications of interest. BofA Merrill Lynch then indicated that, based on conversations with Party A, Party B, Party C and CSC/Pamplona, it was unlikely that any of these parties would move forward in the process without the express support of Mr. MacDonald. The Transaction Committee reported that Mr. MacDonald had</t>
        </is>
      </c>
    </row>
    <row r="58">
      <c r="A58" s="18" t="inlineStr">
        <is>
          <t>P-0543</t>
        </is>
      </c>
      <c r="B58" s="18" t="inlineStr">
        <is>
          <t>Background of the Merger</t>
        </is>
      </c>
      <c r="C58" s="18" t="n">
        <v>36</v>
      </c>
      <c r="D58" s="6" t="inlineStr">
        <is>
          <t>decided that he was not interested in rolling over any of his shares in a transaction and recommended that Mr. MacDonald be fully briefed of the process to date. The Special Committee agreed, noting that Mr. MacDonald's perspective on the purchase price of a sale transaction was critical to the Special Committee's evaluation, as any potential acquiror would be unlikely to proceed without knowing that Mr. MacDonald would support the transaction. Based on the amount of due diligence conducted by Party A, Party B, Party C and CSC/Pamplona, and discussions with such parties to date, and in an effort to maximize value for Mac-Gray's stockholders,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As authorized and instructed by the Special Committee, representatives of BofA Merrill Lynch called each of Party A, Party B, Party C and CSC/Pamplona on September 11, 2013 with such instructions.</t>
        </is>
      </c>
    </row>
    <row r="59">
      <c r="A59" s="18" t="inlineStr">
        <is>
          <t>P-0544</t>
        </is>
      </c>
      <c r="B59" s="18" t="inlineStr">
        <is>
          <t>Background of the Merger</t>
        </is>
      </c>
      <c r="C59" s="18" t="n">
        <v>36</v>
      </c>
      <c r="D59" s="6" t="inlineStr">
        <is>
          <t>On September 12, 2013, at the instruction of the Transaction Committee, representatives of BofA Merrill Lynch participated in a telephone conference call with Mr. MacDonald and provided him with a detailed overview of the strategic alternatives process, including the status of negotiations with and the identity of Party A, Party B, Party C and CSC/Pamplona. Although Mr. MacDonald voiced his general support for continuing with the process, he expressed his view that Mac-Gray should continue to seek a higher value for stockholders.</t>
        </is>
      </c>
    </row>
    <row r="60">
      <c r="A60" s="18" t="inlineStr">
        <is>
          <t>P-0545</t>
        </is>
      </c>
      <c r="B60" s="18" t="inlineStr">
        <is>
          <t>Background of the Merger</t>
        </is>
      </c>
      <c r="C60" s="18" t="n">
        <v>36</v>
      </c>
      <c r="D60" s="6" t="inlineStr">
        <is>
          <t>Between September 11, 2013 and September 18, 2013, Party A, Party B, Party C and CSC/Pamplona continued to conduct business and legal due diligence.</t>
        </is>
      </c>
    </row>
    <row r="61">
      <c r="A61" s="18" t="inlineStr">
        <is>
          <t>P-0546</t>
        </is>
      </c>
      <c r="B61" s="18" t="inlineStr">
        <is>
          <t>Background of the Merger</t>
        </is>
      </c>
      <c r="C61" s="18" t="n">
        <v>36</v>
      </c>
      <c r="D61" s="6" t="inlineStr">
        <is>
          <t>On September 18, 2013,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Also on September 18, 2013, Party A reiterated in a telephone call to a representative of BofA Merrill Lynch that its previous indication of interest with an all-cash purchase price of $18.00 to $19.00 per share was its best and final offer. On September 18, 2013,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These options, which we refer to as the Party B options, would vest on the achievement of the base case management projections ( i.e. , over five years), excluding any future acquisitions. Party B's proposal stated that it valued the Party B options at $2.50 of incremental value per share. Party C did not submit a revised indication of interest or reiterate its prior indication of interest of an all-cash purchase price of $16.00 to $17.00 per share nor did it specify any reasons in connection therewith.</t>
        </is>
      </c>
    </row>
    <row r="62">
      <c r="A62" s="18" t="inlineStr">
        <is>
          <t>P-0547</t>
        </is>
      </c>
      <c r="B62" s="18" t="inlineStr">
        <is>
          <t>Background of the Merger</t>
        </is>
      </c>
      <c r="C62" s="18" t="n">
        <v>36</v>
      </c>
      <c r="D62" s="6" t="inlineStr">
        <is>
          <t>On September 19, 2013, the Special Committee held an in-person meeting. By invitation of the Special Committee, Mr. MacDonald and Mr. Shea, as well as representatives from BofA Merrill Lynch and Goodwin Procter, were also present for all or portions of the meeting. At this meeting, BofA Merrill Lynch updated the Special Committee as to the current status of the revised indications of interest submitted by Party A, Party B and CSC/Pamplona and reported that Party C did not submit a revised indication of interest or reiterate its prior indication of interest. BofA Merrill Lynch also reported to the Special Committee on Mr. MacDonald's general support for continuing with the process and his view that Mac-Gray should continue to seek a higher value for stockholders. Mr. Shea again reviewed the Projections with the Special Committee and BofA Merrill Lynch. The Special Committee again discussed the Projections, including the risks relating to Mac-Gray's ability to execute its strategic plan as an independent, stand-alone company (including Mac-Gray's ability to identify, acquire and successfully integrate laundry facilities management businesses, establish new and/or renew existing laundry facility management leases and penetrate markets historically dominated by smaller</t>
        </is>
      </c>
    </row>
    <row r="63">
      <c r="A63" s="18" t="inlineStr">
        <is>
          <t>P-0549</t>
        </is>
      </c>
      <c r="B63" s="18" t="inlineStr">
        <is>
          <t>Background of the Merger</t>
        </is>
      </c>
      <c r="C63" s="18" t="n">
        <v>37</v>
      </c>
      <c r="D63" s="6" t="inlineStr">
        <is>
          <t>local and regional operators, the impact of general economic and market trends on Mac-Gray's sales and the general risks of market conditions that could reduce Mac-Gray's stock price). The Special Committee also again discussed the potential opportunities if Mac-Gray were able to execute its strategic plan as an independent, stand-alone company (including the ability to improve profitability and EBITDA margins by increasing scale and density through organic growth and/or strategic acquisitions as well as the ability to increase revenue through vend increases and the conversion from coin-operated technology to card-based technology). The Special Committee also discussed the risks involved if Mac-Gray did not execute on its strategic business plan, including the difficulties with increasing the Company's stock price without a significant or transformative transaction, such as a major acquisition or restructuring. The Special Committee then considered the Projections in light of the revised indications of interest. Representatives from Goodwin Procter again reviewed the Special Committee's fiduciary duties in the context of a sale of the company. The Special Committee then discussed each of the three revised proposals, including their advantages and disadvantages. The Special Committee discussed the risks and complexities of the Party B options, including their contingent and deferred nature and the uncertainties associated with how Mac-Gray's performance would be measured, especially in light of the fact that current Mac-Gray management would not be in control of the surviving corporation to monitor or drive the growth necessary to trigger payment under the Party B options.</t>
        </is>
      </c>
    </row>
    <row r="64">
      <c r="A64" s="18" t="inlineStr">
        <is>
          <t>P-0550</t>
        </is>
      </c>
      <c r="B64" s="18" t="inlineStr">
        <is>
          <t>Background of the Merger</t>
        </is>
      </c>
      <c r="C64" s="18" t="n">
        <v>37</v>
      </c>
      <c r="D64" s="6" t="inlineStr">
        <is>
          <t>The representatives from BofA Merrill Lynch were then excused from the meeting and the Special Committee continued its discussion. The Special Committee noted that the indication of interest submitted by Party B, including the Party B options, was on its face higher than the CSC/Pamplona proposal but further discussed the risks and complexities involved with measuring and achieving the performance required to vest the Party B options. The Special Committee also noted that Party B would likely be financing the transaction with a combination of equity from affiliated funds and third party debt capital, which would involve more risk than the Pamplona-funded CSC/Pamplona proposal, which did not require any third party financing. Following a discussion, the Special Committee concluded that the revised indication of interest submitted by CSC/Pamplona had the potential of delivering the most value to stockholders, provided greater certainty and involved less potential risk than the other indications. However, the Special Committee also concluded that, primarily in view of potential synergies between Mac-Gray and CSC, CSC/Pamplona should be in a position to increase their offer price above $20.75. The Special Committee then authorized the Transaction Committee to inform CSC/Pamplona that the Special Committee would be prepared to move into exclusivity at a price of $21.25 per share and authorized the Transaction Committee and Goodwin Procter to negotiate the terms of such exclusivity based on guidance provided by the Special Committee. In addition, at this meeting Mr. MacDonald indicated that he would be supportive of a price of $21.25 per share.</t>
        </is>
      </c>
    </row>
    <row r="65">
      <c r="A65" s="18" t="inlineStr">
        <is>
          <t>P-0551</t>
        </is>
      </c>
      <c r="B65" s="18" t="inlineStr">
        <is>
          <t>Background of the Merger</t>
        </is>
      </c>
      <c r="C65" s="18" t="n">
        <v>37</v>
      </c>
      <c r="D65" s="6" t="inlineStr">
        <is>
          <t>On September 21, 2013, the members of the Transaction Committee called the representative of CSC/Pamplona to propose that Mac-Gray was prepared to move forward with CSC/Pamplona on an exclusive basis for two weeks subject to CSC/Pamplona increasing their all-cash purchase price to $21.25 per share. Later that same day,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The representative of CSC/Pamplona also requested that shares of Mac-Gray common stock owned beneficially and of record by Mr. MacDonald and his immediate family be subject to a customary voting agreement, which we refer to as the MacDonald voting agreements.</t>
        </is>
      </c>
    </row>
    <row r="66">
      <c r="A66" s="18" t="inlineStr">
        <is>
          <t>P-0552</t>
        </is>
      </c>
      <c r="B66" s="18" t="inlineStr">
        <is>
          <t>Background of the Merger</t>
        </is>
      </c>
      <c r="C66" s="18" t="n">
        <v>37</v>
      </c>
      <c r="D66" s="6" t="inlineStr">
        <is>
          <t>Between September 21, 2013 and September 23, 2013, the parties negotiated the terms of the exclusivity agreement, including an expiration date of October 12, 2013, the inclusion of a $15 million "reverse" termination fee payable by CSC/Pamplona to Mac-Gray in the event regulatory clearance is not obtained, which we refer to as the CSC reverse termination fee, agreements regarding certain post-signing covenants, the fact that there would be no financing contingency and that Pamplona was</t>
        </is>
      </c>
    </row>
    <row r="67">
      <c r="A67" s="18" t="inlineStr">
        <is>
          <t>P-0554</t>
        </is>
      </c>
      <c r="B67" s="18" t="inlineStr">
        <is>
          <t>Background of the Merger</t>
        </is>
      </c>
      <c r="C67" s="18" t="n">
        <v>38</v>
      </c>
      <c r="D67" s="6" t="inlineStr">
        <is>
          <t>committing to fund 100% of the capital needed for closing, which, together with the all-cash per share purchase price of $21.25, we refer to as the CSC/Pamplona final proposal. The parties also agreed that the exclusivity agreement would automatically terminate if CSC or Pamplona adversely changed any of the terms of the CSC/Pamplona final proposal.</t>
        </is>
      </c>
    </row>
    <row r="68">
      <c r="A68" s="18" t="inlineStr">
        <is>
          <t>P-0555</t>
        </is>
      </c>
      <c r="B68" s="18" t="inlineStr">
        <is>
          <t>Background of the Merger</t>
        </is>
      </c>
      <c r="C68" s="18" t="n">
        <v>38</v>
      </c>
      <c r="D68" s="6" t="inlineStr">
        <is>
          <t>On September 23, 2013, representatives from Goodwin Procter participated in a telephone conference call with Mr. Rothenberg and his counsel to inform Mr. Rothenberg, on a limited basis, of the status of the Special Committee's review of strategic alternatives and the negotiations between Mac-Gray and CSC and Pamplona to provide Moab with the opportunity to resume discussions with CSC/Pamplona regarding a possible equity rollover of Moab's shares in the transaction if Moab still had an interest in such a rollover. Mr. Rothenberg indicated he would like to discuss the possibility of an equity rollover with CSC/Pamplona and it was agreed that representatives of BofA Merrill Lynch would arrange and facilitate such a discussion.</t>
        </is>
      </c>
    </row>
    <row r="69">
      <c r="A69" s="18" t="inlineStr">
        <is>
          <t>P-0556</t>
        </is>
      </c>
      <c r="B69" s="18" t="inlineStr">
        <is>
          <t>Background of the Merger</t>
        </is>
      </c>
      <c r="C69" s="18" t="n">
        <v>38</v>
      </c>
      <c r="D69" s="6" t="inlineStr">
        <is>
          <t>Later on September 23, 2013, the Special Committee held a telephonic meeting, the purpose of which was to receive an update on the negotiations from the Transaction Committee and Goodwin Procter regarding the CSC/Pamplona final proposal and request for exclusivity. Representatives from Goodwin Procter reviewed the terms of the CSC/Pamplona final proposal with the Special Committee, including the $21.25 per share cash consideration, the $15 million CSC reverse termination fee, certain post-signing covenants, the fact that there would be no financing contingency and that Pamplona was committing to fund 100% of the capital needed for closing. After discussion, the Special Committee authorized Mac-Gray to enter into an exclusivity agreement providing for exclusive negotiations until 5 p.m. ET on October 12, 2013 on the terms included in the CSC/Pamplona final proposal and authorized the Transaction Committee and Goodwin Procter to continue negotiations with CSC/Pamplona based on guidance provided by the Special Committee at this meeting.</t>
        </is>
      </c>
    </row>
    <row r="70">
      <c r="A70" s="18" t="inlineStr">
        <is>
          <t>P-0557</t>
        </is>
      </c>
      <c r="B70" s="18" t="inlineStr">
        <is>
          <t>Background of the Merger</t>
        </is>
      </c>
      <c r="C70" s="18" t="n">
        <v>38</v>
      </c>
      <c r="D70" s="6" t="inlineStr">
        <is>
          <t>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t>
        </is>
      </c>
    </row>
    <row r="71">
      <c r="A71" s="18" t="inlineStr">
        <is>
          <t>P-0558</t>
        </is>
      </c>
      <c r="B71" s="18" t="inlineStr">
        <is>
          <t>Background of the Merger</t>
        </is>
      </c>
      <c r="C71" s="18" t="n">
        <v>38</v>
      </c>
      <c r="D71" s="6" t="inlineStr">
        <is>
          <t>On September 25, 2013, Goodwin Procter delivered to Kirkland &amp; Ellis LLP, outside legal counsel to CSC/Pamplona, whom we refer to as Kirkland, the initial draft of the merger agreement. Between September 25, 2013 and October 7, 2013, the Transaction Committee and representatives from CSC/Pamplona, Goodwin Procter and Kirkland negotiated the terms of the merger agreement (including our ability to respond to unsolicited inquiries following the announcement of the transaction and our right to terminate the merger agreement to accept a superior proposal) and the Pamplona commitment letter. The parties discussed various open points in the merger agreement and the Pamplona commitment letter, including the proposal by Mac-Gray that both Pamplona and CSC be responsible in the event CSC failed to consummate the merger, including liability for any and all damages resulting from a breach of the merger agreement, certain post-signing covenants and the parties' termination rights, including the amount of the termination fee payable by Mac-Gray to CSC under certain circumstances (which we refer to as the Mac-Gray termination fee), which Mac-Gray proposed should approximate 2.5% of the total equity value of the transaction. Also during this time, CSC and Pamplona were granted full access to the electronic data site and access to certain members of management and conducted confirmatory business and legal due diligence on Mac-Gray. Mr. Rothenberg engaged in various discussions with representatives of Pamplona during this time to discuss a possible rollover of Moab shares. As a result of such discussions, it was determined that Moab would not rollover any Moab shares in the transaction. Following such determination, BofA Merrill Lynch and the Transaction Committee provided Mr. Rothenberg with the details regarding the Special Committee's review of strategic alternatives and the negotiations between Mac-Gray and CSC/Pamplona.</t>
        </is>
      </c>
    </row>
    <row r="72">
      <c r="A72" s="18" t="inlineStr">
        <is>
          <t>P-0560</t>
        </is>
      </c>
      <c r="B72" s="18" t="inlineStr">
        <is>
          <t>Background of the Merger</t>
        </is>
      </c>
      <c r="C72" s="18" t="n">
        <v>39</v>
      </c>
      <c r="D72" s="6" t="inlineStr">
        <is>
          <t>Between September 24, 2013 and September 27, 2013, Kirkland and outside counsel to Mr. MacDonald negotiated the terms of the MacDonald voting agreements, which were entered into by Mr. MacDonald, his wife and one of his trusts on September 27, 2013, and which became effective upon entry into the merger agreement.</t>
        </is>
      </c>
    </row>
    <row r="73">
      <c r="A73" s="18" t="inlineStr">
        <is>
          <t>P-0561</t>
        </is>
      </c>
      <c r="B73" s="18" t="inlineStr">
        <is>
          <t>Background of the Merger</t>
        </is>
      </c>
      <c r="C73" s="18" t="n">
        <v>39</v>
      </c>
      <c r="D73" s="6" t="inlineStr">
        <is>
          <t>On October 1, 2013, representatives of Mac-Gray management, along with representatives from BofA Merrill Lynch and representatives from CSC/Pamplona attended a meeting at the Boston offices of Goodwin Procter for purposes of conducting confirmatory business due diligence. Representatives of Mac-Gray, Goodwin Procter, BofA Merrill Lynch and representatives of CSC/Pamplona and Kirkland participated in various telephone conference calls over the subsequent days to finalize business and legal due diligence.</t>
        </is>
      </c>
    </row>
    <row r="74">
      <c r="A74" s="18" t="inlineStr">
        <is>
          <t>P-0562</t>
        </is>
      </c>
      <c r="B74" s="18" t="inlineStr">
        <is>
          <t>Background of the Merger</t>
        </is>
      </c>
      <c r="C74" s="18" t="n">
        <v>39</v>
      </c>
      <c r="D74" s="6" t="inlineStr">
        <is>
          <t>On October 5, 2013, Kirkland delivered to Goodwin Procter a revised draft of the Pamplona commitment letter which, among other things, proposed that, in addition to CSC, Pamplona would be responsible in the event CSC failed to consummate the merger, but that Pamplona's liability for damages resulting from a breach of the merger agreement would be limited to an unspecified dollar amount.</t>
        </is>
      </c>
    </row>
    <row r="75">
      <c r="A75" s="18" t="inlineStr">
        <is>
          <t>P-0563</t>
        </is>
      </c>
      <c r="B75" s="18" t="inlineStr">
        <is>
          <t>Background of the Merger</t>
        </is>
      </c>
      <c r="C75" s="18" t="n">
        <v>39</v>
      </c>
      <c r="D75" s="6" t="inlineStr">
        <is>
          <t>On October 7, 2013, the Special Committee held a telephonic meeting, the purpose of which was to receive an update on the transaction negotiations from the Transaction Committee and Goodwin Procter. By invitation of the Special Committee, Mr. MacDonald was also present for a portion of the meeting. Mr. Daoust reported to the Special Committee that, after discussions between Moab and representatives of Pamplona, it was determined that Moab would not rollover any Moab shares in the transaction. Mr. Daoust also provided the Special Committee with an overview of the open business points and the progress the parties had made since the September 23 rd Special Committee meeting. Representatives from Goodwin Procter then reported on the progress that had been made in diligence and summarized the open issues in the merger agreement and the Pamplona commitment letter, including to what extent Pamplona would be responsible in the event CSC failed to consummate the merger, including CSC's and Pamplona's liability for damages resulting from a breach of the merger agreement, certain post-signing covenants and the parties' termination rights, including the amounts of the Mac-Gray termination fee and the CSC reverse termination fee. The Special Committee authorized the Transaction Committee and Goodwin Procter to continue negotiations with CSC/Pamplona, and, among other things, provided guidance with respect to the open transaction issues discussed at the meeting.</t>
        </is>
      </c>
    </row>
    <row r="76">
      <c r="A76" s="18" t="inlineStr">
        <is>
          <t>P-0564</t>
        </is>
      </c>
      <c r="B76" s="18" t="inlineStr">
        <is>
          <t>Background of the Merger</t>
        </is>
      </c>
      <c r="C76" s="18" t="n">
        <v>39</v>
      </c>
      <c r="D76" s="6" t="inlineStr">
        <is>
          <t>Also on October 7, 2013, Kirkland delivered to Goodwin Procter a revised draft of the merger agreement which, among other things, proposed a $15 million Mac-Gray termination fee, which represented approximately 4.4% of the total equity value of the transaction, and certain positions on the scope of various post-signing covenants.</t>
        </is>
      </c>
    </row>
    <row r="77">
      <c r="A77" s="18" t="inlineStr">
        <is>
          <t>P-0565</t>
        </is>
      </c>
      <c r="B77" s="18" t="inlineStr">
        <is>
          <t>Background of the Merger</t>
        </is>
      </c>
      <c r="C77" s="18" t="n">
        <v>39</v>
      </c>
      <c r="D77" s="6" t="inlineStr">
        <is>
          <t>On October 8, 2013, representatives from Goodwin Procter and Kirkland participated in a telephone conference call to discuss the open points in the merger agreement and the Pamplona commitment letter, including to what extent Pamplona would also have liability in the event CSC failed to consummate the merger, which Kirkland proposed, at the direction of CSC/Pamplona, be capped at $50 million. Kirkland and Goodwin Procter also discussed CSC's and Pamplona's liability for damages resulting from a breach of the merger agreement, certain post-signing covenants and the parties' termination rights, including the amounts of the Mac-Gray termination fee and the CSC reverse termination fee. The parties also discussed potential compromises on the post-signing covenants. Goodwin Procter and Kirkland agreed to communicate these positions to their respective clients. Later that day, after various discussions among representatives from CSC/Pamplona, Kirkland, Goodwin Procter and the members of the Transaction Committee, and on behalf of the Special Committee, Goodwin Procter sent an e-mail to the representatives of Kirkland that proposed to accept the</t>
        </is>
      </c>
    </row>
    <row r="78">
      <c r="A78" s="18" t="inlineStr">
        <is>
          <t>P-0567</t>
        </is>
      </c>
      <c r="B78" s="18" t="inlineStr">
        <is>
          <t>Background of the Merger</t>
        </is>
      </c>
      <c r="C78" s="18" t="n">
        <v>40</v>
      </c>
      <c r="D78" s="6" t="inlineStr">
        <is>
          <t>$50 million liability cap proposed by Pamplona and proposed a $10.5 million Mac-Gray termination fee, which represented approximately 3.0% of the total equity value of the transaction.</t>
        </is>
      </c>
    </row>
    <row r="79">
      <c r="A79" s="18" t="inlineStr">
        <is>
          <t>P-0568</t>
        </is>
      </c>
      <c r="B79" s="18" t="inlineStr">
        <is>
          <t>Background of the Merger</t>
        </is>
      </c>
      <c r="C79" s="18" t="n">
        <v>40</v>
      </c>
      <c r="D79" s="6" t="inlineStr">
        <is>
          <t>On October 9, 2013, in follow up to the October 8, 2013 negotiations and proposals made by Goodwin Procter, the members of the Transaction Committee participated in a telephone conference call with a representative from CSC/Pamplona to discuss the open issues in the merger agreement, including certain post-signing covenants and the parties' termination rights, including the amounts of the Mac-Gray termination fee and the CSC reverse termination fee, but did not reach agreement on these issues.</t>
        </is>
      </c>
    </row>
    <row r="80">
      <c r="A80" s="18" t="inlineStr">
        <is>
          <t>P-0569</t>
        </is>
      </c>
      <c r="B80" s="18" t="inlineStr">
        <is>
          <t>Background of the Merger</t>
        </is>
      </c>
      <c r="C80" s="18" t="n">
        <v>40</v>
      </c>
      <c r="D80" s="6" t="inlineStr">
        <is>
          <t>Later on October 9, 2013, the Special Committee held a telephonic meeting, the purpose of which was to receive an update on the transaction negotiations from the Transaction Committee and Goodwin Procter. By invitation of the Special Committee, Mr. MacDonald was also present at this meeting. The Transaction Committee reported to the Special Committee on the negotiations that had taken place since the meeting of the Special Committee held on October 7, 2013. The Transaction Committee reported that the parties had come to an agreement that Pamplona's liability for certain damages would be limited to $50 million, but that certain post-signing covenants and the amounts of the termination fees remained open issues. The Special Committee discussed various alternatives that could be proposed to CSC/Pamplona on the open issues. Goodwin Procter then reported that Kirkland had requested on behalf of CSC/Pamplona that the exclusivity agreement, due to expire at 5 p.m. ET on October 12, 2013, be extended to allow for continued negotiations of these open issues. After discussion, the Special Committee authorized the Transaction Committee to negotiate the open issues within certain parameters and in connection therewith to extend exclusivity to October 15, 2013. The Special Committee also determined to reconvene for an update telephone conference call on October 11, 2013.</t>
        </is>
      </c>
    </row>
    <row r="81">
      <c r="A81" s="18" t="inlineStr">
        <is>
          <t>P-0570</t>
        </is>
      </c>
      <c r="B81" s="18" t="inlineStr">
        <is>
          <t>Background of the Merger</t>
        </is>
      </c>
      <c r="C81" s="18" t="n">
        <v>40</v>
      </c>
      <c r="D81" s="6" t="inlineStr">
        <is>
          <t>On October 10, 2013, the members of the Transaction Committee and the representative of CSC/Pamplona engaged in various discussions regarding the open issues, including certain post-signing covenants and the amounts of the termination fees. While the parties reached a compromise on the post-signing covenants, no agreement was reached on the amount of the Mac-Gray termination fee. On October 11, 2013, the Special Committee held a telephonic meeting to discuss the proposed terms of the transaction and the status of discussions with CSC/Pamplona. By invitation of the Special Committee, Mr. Rothenberg and representatives of Goodwin Procter were also present. The members of the Transaction Committee reviewed with the Special Committee the negotiations that had taken place with representatives from CSC/Pamplona since the October 9 th Special Committee meeting. The Transaction Committee reported that CSC/Pamplona, on the one hand, and the Transaction Committee (as authorized by the Special Committee at the October 9 th meeting), on the other hand, had come to an agreement on certain post-signing covenants but that the parties had not reached agreement on the amount of the Mac-Gray termination fee. The Special Committee also discussed the fact that the exclusivity agreement would be expiring at 5 p.m. ET on October 12, 2013 and that CSC/Pamplona had requested an extension of exclusivity until the end of the day on October 15, 2013. After discussions, the Special Committee determined that the members of the Transaction Committee and representatives of Goodwin Procter should communicate to the representative of CSC/Pamplona and representatives at Kirkland, respectively, that the Special Committee continued to object to the $15 million Mac-Gray termination fee proposed by CSC/Pamplona and would not be willing to extend exclusivity unless a lower amount were agreed to. The Special Committee confirmed that the Transaction Committee and representatives of Mac-Gray were authorized to extend the exclusivity agreement until 11:59 p.m. on ET on October 15, 2013 if CSC/Pamplona would agree to a Mac-Gray termination fee of not more than $11 million, which represented approximately 3.2% of the total equity value of the transaction.</t>
        </is>
      </c>
    </row>
    <row r="82">
      <c r="A82" s="18" t="inlineStr">
        <is>
          <t>P-0571</t>
        </is>
      </c>
      <c r="B82" s="18" t="inlineStr">
        <is>
          <t>Background of the Merger</t>
        </is>
      </c>
      <c r="C82" s="18" t="n">
        <v>40</v>
      </c>
      <c r="D82" s="6" t="inlineStr">
        <is>
          <t>Later on October 11, 2013, the two members of the Transaction Committee telephoned CSC/Pamplona and communicated the Special Committee's position. Shortly following that conversation, the representative of CSC/Pamplona telephoned Mr. Daoust and agreed to the $11 million Mac-Gray</t>
        </is>
      </c>
    </row>
    <row r="83">
      <c r="A83" s="18" t="inlineStr">
        <is>
          <t>P-0573</t>
        </is>
      </c>
      <c r="B83" s="18" t="inlineStr">
        <is>
          <t>Background of the Merger</t>
        </is>
      </c>
      <c r="C83" s="18" t="n">
        <v>41</v>
      </c>
      <c r="D83" s="6" t="inlineStr">
        <is>
          <t>termination fee. Following such agreement, Goodwin Procter delivered Kirkland revised drafts of the merger agreement and the Pamplona commitment letter.</t>
        </is>
      </c>
    </row>
    <row r="84">
      <c r="A84" s="18" t="inlineStr">
        <is>
          <t>P-0574</t>
        </is>
      </c>
      <c r="B84" s="18" t="inlineStr">
        <is>
          <t>Background of the Merger</t>
        </is>
      </c>
      <c r="C84" s="18" t="n">
        <v>41</v>
      </c>
      <c r="D84" s="6" t="inlineStr">
        <is>
          <t>On October 12, 2013, CSC, Pamplona and Mac-Gray executed a letter agreement extending exclusivity until 11:59 p.m. ET on October 15, 2013.</t>
        </is>
      </c>
    </row>
    <row r="85">
      <c r="A85" s="18" t="inlineStr">
        <is>
          <t>P-0575</t>
        </is>
      </c>
      <c r="B85" s="18" t="inlineStr">
        <is>
          <t>Background of the Merger</t>
        </is>
      </c>
      <c r="C85" s="18" t="n">
        <v>41</v>
      </c>
      <c r="D85" s="6" t="inlineStr">
        <is>
          <t>Between October 12, 2013 and October 14, 2013, Kirkland and Goodwin Procter finalized the remaining unresolved issues in the merger agreement and the Pamplona commitment letter.</t>
        </is>
      </c>
    </row>
    <row r="86">
      <c r="A86" s="18" t="inlineStr">
        <is>
          <t>P-0576</t>
        </is>
      </c>
      <c r="B86" s="18" t="inlineStr">
        <is>
          <t>Background of the Merger</t>
        </is>
      </c>
      <c r="C86" s="18" t="n">
        <v>41</v>
      </c>
      <c r="D86" s="6" t="inlineStr">
        <is>
          <t>Between October 8, 2013 and October 14, 2013, Kirkland and counsel for Moab negotiated the terms of a voting agreement for Moab.</t>
        </is>
      </c>
    </row>
    <row r="87">
      <c r="A87" s="18" t="inlineStr">
        <is>
          <t>P-0577</t>
        </is>
      </c>
      <c r="B87" s="18" t="inlineStr">
        <is>
          <t>Background of the Merger</t>
        </is>
      </c>
      <c r="C87" s="18" t="n">
        <v>41</v>
      </c>
      <c r="D87" s="6" t="inlineStr">
        <is>
          <t>On October 14, 2013, the Special Committee held a meeting via teleconference to discuss the final terms of the transaction and the proposed definitive merger agreement and related documents. By invitation of the Special Committee, Mr. Rothenberg and representatives of BofA Merrill Lynch and Goodwin Procter were also present for all or portions of the meeting. The members of the Transaction Committee reported to the Special Committee on the negotiations that had taken place since the meeting of the Special Committee held on October 11, 2013, and in particular that the Transaction Committee and CSC had come to an agreement on the remaining open business points, including the post-signing covenants and the termination fees. Goodwin Procter again reviewed with the Special Committee its fiduciary duties and provided a summary of the terms of the proposed merger agreement and the Pamplona capital commitment letter, copies of which were provided to the directors prior to the meeting. Also at this meeting, BofA Merrill Lynch reviewed with the Special Committee its financial analysis of the consideration and delivered to the Special Committee an oral opinion, which was confirmed by delivery of a written opinion dated, October 14, 2013, to the effect that, as of that date and based on and subject to the assumptions and limitations described in its opinion, the consideration to be received by holders of Mac-Gray common stock was fair, from a financial point of view, to such holders. Following these presentations, the Special Committee went into an executive session that excluded BofA Merrill Lynch and, after discussion, the Special Committee unanimously determined to recommend to the Board that the merger agreement and the merger were advisable and in the best interests of Mac-Gray's stockholders and that the Board approve the merger on the terms and subject to the conditions set forth in the merger agreement, adopt the merger agreement and recommend that the Mac-Gray stockholders adopt and approve the merger agreement. The Special Committee meeting then adjourned.</t>
        </is>
      </c>
    </row>
    <row r="88">
      <c r="A88" s="18" t="inlineStr">
        <is>
          <t>P-0578</t>
        </is>
      </c>
      <c r="B88" s="18" t="inlineStr">
        <is>
          <t>Background of the Merger</t>
        </is>
      </c>
      <c r="C88" s="18" t="n">
        <v>41</v>
      </c>
      <c r="D88" s="6" t="inlineStr">
        <is>
          <t>Following the adjournment of the Special Committee meeting, a meeting of the Mac-Gray Board of Directors convened. All members of the Board participated. Representatives from Goodwin Procter led a discussion on the terms of the merger agreement and advised the Board regarding the likely timing for execution of a definitive agreement and public announcement of the transaction and a projected closing timetable should the Board approve the merger. After discussion, the Board (upon the recommendation of the Special Committee) unanimously determined that the merger agreement and the merger were advisable and in the best interests of Mac-Gray's stockholders, approved the merger on the terms and subject to the conditions set forth in the merger agreement, adopted the merger agreement and recommended that the Mac-Gray stockholders adopt and approve the merger agreement.</t>
        </is>
      </c>
    </row>
    <row r="89">
      <c r="A89" s="18" t="inlineStr">
        <is>
          <t>P-0579</t>
        </is>
      </c>
      <c r="B89" s="18" t="inlineStr">
        <is>
          <t>Background of the Merger</t>
        </is>
      </c>
      <c r="C89" s="18" t="n">
        <v>41</v>
      </c>
      <c r="D89" s="6" t="inlineStr">
        <is>
          <t>Later in the day, on October 14, 2013, the merger agreement was executed, the Pamplona commitment letter was delivered, Moab and Parent executed the Moab voting agreement and the Mac-Donald voting agreements became effective.</t>
        </is>
      </c>
    </row>
    <row r="90">
      <c r="A90" s="18" t="inlineStr">
        <is>
          <t>P-0580</t>
        </is>
      </c>
      <c r="B90" s="18" t="inlineStr">
        <is>
          <t>Background of the Merger</t>
        </is>
      </c>
      <c r="C90" s="18" t="n">
        <v>41</v>
      </c>
      <c r="D90" s="6" t="inlineStr">
        <is>
          <t>On October 15, 2013, before the U.S. stock markets opened, Mac-Gray and CSC jointly announced the execution of the merger agreement.</t>
        </is>
      </c>
    </row>
    <row r="91">
      <c r="A91" s="18" t="inlineStr">
        <is>
          <t>X-001</t>
        </is>
      </c>
      <c r="B91" s="18" t="inlineStr">
        <is>
          <t>Summary Term Sheet — merger consideration</t>
        </is>
      </c>
      <c r="C91" s="18" t="n">
        <v>5</v>
      </c>
      <c r="D91" s="6" t="inlineStr">
        <is>
          <t>If the merger is completed, at the effective time of the merger, each outstanding share of Mac-Gray common stock (other than shares held in treasury or held by the Buyer Entities or Merger Subsidiary (or their subsidiaries) or shares as to which dissenters' rights have been perfected and not withdrawn or lost) will be automatically converted into the right to receive $21.25 in cash, without interest and less applicable withholding taxes. We refer to this amount in this proxy statement as the merger consideration.</t>
        </is>
      </c>
    </row>
    <row r="92">
      <c r="A92" s="18" t="inlineStr">
        <is>
          <t>X-002</t>
        </is>
      </c>
      <c r="B92" s="18" t="inlineStr">
        <is>
          <t>Summary Term Sheet — financing</t>
        </is>
      </c>
      <c r="C92" s="18" t="n">
        <v>6</v>
      </c>
      <c r="D92" s="6" t="inlineStr">
        <is>
          <t>The merger agreement does not contain any condition to the obligations of the Buyer Entities or Merger Subsidiary relating to the receipt of financing by the Buyer Entities. Parent will fund the merger consideration from an aggregate of $594 million of capital, which we refer to as the Pamplona commitment amount and which is committed pursuant to a commitment letter delivered to the Buyer Entities by Pamplona Capital Partners III, L.P. dated as of October 14, 2013, which we refer to as the Pamplona commitment letter.</t>
        </is>
      </c>
    </row>
    <row r="93">
      <c r="A93" s="18" t="inlineStr">
        <is>
          <t>X-003</t>
        </is>
      </c>
      <c r="B93" s="18" t="inlineStr">
        <is>
          <t>Summary Term Sheet — termination fees</t>
        </is>
      </c>
      <c r="C93" s="18" t="n">
        <v>10</v>
      </c>
      <c r="D93" s="6" t="inlineStr">
        <is>
          <t>Mac-Gray has agreed to pay Parent $11 million upon the termination of the merger agreement under certain circumstances, which we refer to as the Mac-Gray termination fee. Parent has agreed to pay Mac-Gray $15 million upon the termination of the merger agreement under certain circumstances, which we refer to as the Parent termination fee.</t>
        </is>
      </c>
    </row>
    <row r="94">
      <c r="A94" s="18" t="inlineStr">
        <is>
          <t>X-004</t>
        </is>
      </c>
      <c r="B94" s="18" t="inlineStr">
        <is>
          <t>Summary Term Sheet — record date and shares</t>
        </is>
      </c>
      <c r="C94" s="18" t="n">
        <v>3</v>
      </c>
      <c r="D94" s="6" t="inlineStr">
        <is>
          <t>Record Date and Quorum. You are entitled to vote at the special meeting if you owned shares of Mac-Gray common stock at the close of business on November 27, 2013, the record date for the special meeting. You will have one vote for each share of Mac-Gray common stock that you owned on the record date. As of November 27, 2013, there were 14,758,306 shares of Mac-Gray common stock issued and outstanding and entitled to vote. A majority of Mac-Gray common stock issued, outstanding and entitled to vote at the special meeting, present in person or represented by proxy, constitutes a quorum for the purpose of the special meeting.</t>
        </is>
      </c>
    </row>
    <row r="95">
      <c r="A95" s="18" t="inlineStr">
        <is>
          <t>X-005</t>
        </is>
      </c>
      <c r="B95" s="18" t="inlineStr">
        <is>
          <t>Summary Term Sheet — voting agreements</t>
        </is>
      </c>
      <c r="C95" s="18" t="n">
        <v>4</v>
      </c>
      <c r="D95" s="6" t="inlineStr">
        <is>
          <t>In connection with the execution of the merger agreement, certain stockholders of Mac-Gray entered into a voting agreement agreeing to vote in favor of the adoption of the merger agreement. As of November 27, 2013, the record date for the special meeting, these stockholders collectively owned approximately 15% of the Mac-Gray common stock entitled to vote at the special meeting.</t>
        </is>
      </c>
    </row>
    <row r="96">
      <c r="A96" s="18" t="inlineStr">
        <is>
          <t>X-006</t>
        </is>
      </c>
      <c r="B96" s="18" t="inlineStr">
        <is>
          <t>Summary Term Sheet — voting agreements ownership</t>
        </is>
      </c>
      <c r="C96" s="18" t="n">
        <v>11</v>
      </c>
      <c r="D96" s="6" t="inlineStr">
        <is>
          <t>As of November 27, 2013, the record date for the special meeting, the stockholders of Mac-Gray that entered into the voting agreements collectively owned approximately 15% of the Mac-Gray common stock entitled to vote at the special meeting.</t>
        </is>
      </c>
    </row>
    <row r="97">
      <c r="A97" s="18" t="inlineStr">
        <is>
          <t>X-007</t>
        </is>
      </c>
      <c r="B97" s="18" t="inlineStr">
        <is>
          <t>Current Market Price of Common Stock</t>
        </is>
      </c>
      <c r="C97" s="18" t="n">
        <v>89</v>
      </c>
      <c r="D97" s="6" t="inlineStr">
        <is>
          <t>Mac-Gray common stock has been listed on the New York Stock Exchange under the trading symbol "TUC" since October 16, 1997. The following table sets forth the closing sale prices per share of Mac-Gray common stock, as reported on the New York Stock Exchange on October 14, 2013, the last full trading day before the public announcement of the proposed merger, and on November 27, 2013, the latest practicable date before the printing of this proxy statement:</t>
        </is>
      </c>
    </row>
    <row r="98">
      <c r="A98" s="18" t="inlineStr">
        <is>
          <t>X-008</t>
        </is>
      </c>
      <c r="B98" s="18" t="inlineStr">
        <is>
          <t>Current Market Price of Common Stock — 10/14/2013 close</t>
        </is>
      </c>
      <c r="C98" s="18" t="n">
        <v>89</v>
      </c>
      <c r="D98" s="6" t="inlineStr">
        <is>
          <t>October 14, 2013 | $ | 14.93</t>
        </is>
      </c>
    </row>
    <row r="99">
      <c r="A99" s="18" t="inlineStr">
        <is>
          <t>X-009</t>
        </is>
      </c>
      <c r="B99" s="18" t="inlineStr">
        <is>
          <t>Current Market Price of Common Stock — 11/27/2013 close</t>
        </is>
      </c>
      <c r="C99" s="18" t="n">
        <v>89</v>
      </c>
      <c r="D99" s="6" t="inlineStr">
        <is>
          <t>November 27, 2013 | $ | 21.30</t>
        </is>
      </c>
    </row>
    <row r="100">
      <c r="A100" s="18" t="inlineStr">
        <is>
          <t>X-010</t>
        </is>
      </c>
      <c r="B100" s="18" t="inlineStr">
        <is>
          <t>Current Market Price of Common Stock — holders of record</t>
        </is>
      </c>
      <c r="C100" s="18" t="n">
        <v>89</v>
      </c>
      <c r="D100" s="6" t="inlineStr">
        <is>
          <t>As of November 27, 2013, our common stock was held of record by 104 stockholders.</t>
        </is>
      </c>
    </row>
    <row r="101">
      <c r="A101" s="18" t="inlineStr">
        <is>
          <t>X-011</t>
        </is>
      </c>
      <c r="B101" s="18" t="inlineStr">
        <is>
          <t>Opinion of Mac-Gray's Financial Advisor — fee</t>
        </is>
      </c>
      <c r="C101" s="18" t="n">
        <v>51</v>
      </c>
      <c r="D101" s="6" t="inlineStr">
        <is>
          <t>Mac-Gray has agreed to pay BofA Merrill Lynch for its services in connection with the merger an aggregate fee currently estimated to be approximately $8.1 million, $0.75 million of which was payable upon delivery of its opinion and the balance of which is contingent upon the completion of the merger. Mac-Gray also has agreed to reimburse BofA Merrill Lynch for its expenses incurred in connection with BofA Merrill Lynch's engagement and to indemnify BofA Merrill Lynch, any controlling person of BofA Merrill Lynch and each of their respective directors, officers, employees, agents and affiliates against specified liabilities, including liabilities under the federal securities laws.</t>
        </is>
      </c>
    </row>
    <row r="102">
      <c r="A102" s="18" t="inlineStr">
        <is>
          <t>X-012</t>
        </is>
      </c>
      <c r="B102" s="18" t="inlineStr">
        <is>
          <t>Reasons for the Merger — stated premium</t>
        </is>
      </c>
      <c r="C102" s="18" t="n">
        <v>43</v>
      </c>
      <c r="D102" s="6" t="inlineStr">
        <is>
          <t>the fact that the $21.25 per share to be paid as the consideration in the merger represents a premium of approximately 36% over the high of $15.61 per share for the 52-week period ending October 11, 2013 and a premium of approximately 44% over the $14.72 closing trading price for the shares of our common stock on the NYSE on October 11, 2013, the last trading day prior to the date our Board of Directors approved the merger agreement;</t>
        </is>
      </c>
    </row>
    <row r="103">
      <c r="A103" s="18" t="inlineStr">
        <is>
          <t>X-013</t>
        </is>
      </c>
      <c r="B103" s="18" t="inlineStr">
        <is>
          <t>Reasons for the Merger — Pamplona commitment letter</t>
        </is>
      </c>
      <c r="C103" s="18" t="n">
        <v>43</v>
      </c>
      <c r="D103" s="6" t="inlineStr">
        <is>
          <t>the Pamplona commitment letter, pursuant to which Pamplona has committed to fund up to $594 million to the Buyer Entities to fund the payment of the merger consideration and other amounts payable pursuant to the merger agreement or to satisfy any damages (up to $50 million) awarded to Mac-Gray in certain circumstances involving litigation brought pursuant to the merger agreement;</t>
        </is>
      </c>
    </row>
    <row r="104">
      <c r="A104" s="18" t="inlineStr">
        <is>
          <t>X-014</t>
        </is>
      </c>
      <c r="B104" s="18" t="inlineStr">
        <is>
          <t>Reasons for the Merger — cash consideration certainty</t>
        </is>
      </c>
      <c r="C104" s="18" t="n">
        <v>43</v>
      </c>
      <c r="D104" s="6" t="inlineStr">
        <is>
          <t>the form and timing of merger consideration, consisting solely of cash at closing, which provides certainty of value to our stockholders;</t>
        </is>
      </c>
    </row>
    <row r="105">
      <c r="A105" s="18" t="inlineStr">
        <is>
          <t>X-015</t>
        </is>
      </c>
      <c r="B105" s="18" t="inlineStr">
        <is>
          <t>Reasons for the Merger — termination fee</t>
        </is>
      </c>
      <c r="C105" s="18" t="n">
        <v>43</v>
      </c>
      <c r="D105" s="6" t="inlineStr">
        <is>
          <t>the merger agreement, subject to the limitations and requirements contained in the agreement, provides our Board of Directors (upon the recommendation of the Special Committee) with flexibility to furnish information to and conduct negotiations with third parties in certain circumstances and, upon payment to CSC of the Mac-Gray termination fee $11 million (which was heavily negotiated and which our Board of Directors believes is reasonable under the circumstances) to terminate the merger agreement, to accept a superior offer;</t>
        </is>
      </c>
    </row>
    <row r="106">
      <c r="A106" s="18" t="inlineStr">
        <is>
          <t>X-016</t>
        </is>
      </c>
      <c r="B106" s="18" t="inlineStr">
        <is>
          <t>Opinion of Mac-Gray's Financial Advisor — oral opinion</t>
        </is>
      </c>
      <c r="C106" s="18" t="n">
        <v>45</v>
      </c>
      <c r="D106" s="6" t="inlineStr">
        <is>
          <t>On October 14, 2013, at a meeting of the Special Committee held to evaluate the merger, BofA Merrill Lynch delivered to the Special Committee an oral opinion, which was confirmed by delivery of a written opinion dated October 14, 2013, to the effect that, as of the date of the opinion and based on and subject to various assumptions and limitations described in its opinion, the merger consideration to be received by holders of Mac-Gray common stock was fair, from a financial point of view, to such holders.</t>
        </is>
      </c>
    </row>
    <row r="107">
      <c r="A107" s="18" t="inlineStr">
        <is>
          <t>X-017</t>
        </is>
      </c>
      <c r="B107" s="18" t="inlineStr">
        <is>
          <t>Summary Term Sheet — Spin Holdco Inc.</t>
        </is>
      </c>
      <c r="C107" s="18" t="n">
        <v>3</v>
      </c>
      <c r="D107" s="6" t="inlineStr">
        <is>
          <t>Spin Holdco Inc. is a Delaware corporation and a wholly-owned subsidiary of CSC.</t>
        </is>
      </c>
    </row>
    <row r="108">
      <c r="A108" s="18" t="inlineStr">
        <is>
          <t>X-018</t>
        </is>
      </c>
      <c r="B108" s="18" t="inlineStr">
        <is>
          <t>Interests of Directors and Officers — closing-date assumption</t>
        </is>
      </c>
      <c r="C108" s="18" t="n">
        <v>56</v>
      </c>
      <c r="D108" s="6" t="inlineStr">
        <is>
          <t>The table below sets forth an estimate of the approximate values of golden parachute compensation that may become payable to our named executive officers in connection with the merger as described in this proxy statement. The table assumes the closing of the merger occurs on March 1, 2014, and that a terminating event (as defined in the Severance Agreements) occurs immediately following the closing of the merger. If the merger were to close, and the associated terminations of employment were to occur, on a date other than March 1, 2014, certain amounts paid to the executive officers may be higher or lower than the amounts shown in the table. The table below does not include reasonable legal and arbitration fees and expenses that may incurred by the named executive officer in obtaining or enforcing any right or benefit provided by the Severance Agreement, as such amounts, if any, are not determinable at this time. The information in the "Equity" column below is based on the merger consideration of $21.25 per share.</t>
        </is>
      </c>
    </row>
    <row r="109">
      <c r="A109" s="18" t="inlineStr">
        <is>
          <t>X-019</t>
        </is>
      </c>
      <c r="B109" s="18" t="inlineStr">
        <is>
          <t>Financing of the Merger — $594 million commitment</t>
        </is>
      </c>
      <c r="C109" s="18" t="n">
        <v>59</v>
      </c>
      <c r="D109" s="6" t="inlineStr">
        <is>
          <t>for purposes of funding the merger consideration an aggregate of $594 million of capital (the Pamplona commitment amount), which is committed pursuant to the Pamplona commitment letter delivered to the Buyer Entities by Pamplona Capital Partners III, L.P. dated as of October 14, 2013.</t>
        </is>
      </c>
    </row>
    <row r="110">
      <c r="A110" s="18" t="inlineStr">
        <is>
          <t>X-020</t>
        </is>
      </c>
      <c r="B110" s="18" t="inlineStr">
        <is>
          <t>The Companies / Special Committee — 50 parties (background cross-reference)</t>
        </is>
      </c>
      <c r="C110" s="18" t="n">
        <v>32</v>
      </c>
      <c r="D110" s="6" t="inlineStr">
        <is>
          <t>50 parties, including CSC and Pamplona, who together we refer to as CSC/Pamplona, and Party A, to solicit potential interest in a transaction with Mac-Gray, 15 of which were potential strategic buyers and 35 of which were potential financial buyers, including private equity firms.</t>
        </is>
      </c>
    </row>
  </sheetData>
  <autoFilter ref="A1:D1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48"/>
  <sheetViews>
    <sheetView workbookViewId="0">
      <selection activeCell="A1" sqref="A1"/>
    </sheetView>
  </sheetViews>
  <sheetFormatPr baseColWidth="8" defaultRowHeight="15"/>
  <sheetData>
    <row r="1">
      <c r="A1" s="19" t="inlineStr">
        <is>
          <t>AI original baseline — Mac-Gray (TUC–CSC/Pamplona, 2013) — values-only copy on delivery (do not edit)</t>
        </is>
      </c>
    </row>
    <row r="2">
      <c r="A2" t="inlineStr">
        <is>
          <t>#</t>
        </is>
      </c>
      <c r="B2" t="inlineStr">
        <is>
          <t>When</t>
        </is>
      </c>
      <c r="C2" t="inlineStr">
        <is>
          <t>Who</t>
        </is>
      </c>
      <c r="D2" t="inlineStr">
        <is>
          <t>What happened</t>
        </is>
      </c>
      <c r="E2" t="inlineStr">
        <is>
          <t>Process</t>
        </is>
      </c>
      <c r="F2" t="inlineStr">
        <is>
          <t>Round</t>
        </is>
      </c>
      <c r="G2" t="inlineStr">
        <is>
          <t>Type</t>
        </is>
      </c>
      <c r="H2" t="inlineStr">
        <is>
          <t>Terms or outcome</t>
        </is>
      </c>
      <c r="I2" t="inlineStr">
        <is>
          <t>Formality</t>
        </is>
      </c>
      <c r="J2" t="inlineStr">
        <is>
          <t>Conditions level</t>
        </is>
      </c>
      <c r="K2" t="inlineStr">
        <is>
          <t>Why and evidence</t>
        </is>
      </c>
      <c r="L2" t="inlineStr">
        <is>
          <t>Source</t>
        </is>
      </c>
      <c r="M2" t="inlineStr">
        <is>
          <t>Review</t>
        </is>
      </c>
      <c r="N2" t="inlineStr">
        <is>
          <t>Reviewer note</t>
        </is>
      </c>
      <c r="O2" t="inlineStr">
        <is>
          <t>Row id</t>
        </is>
      </c>
      <c r="P2" t="inlineStr">
        <is>
          <t>Include</t>
        </is>
      </c>
      <c r="Q2" t="inlineStr">
        <is>
          <t>Count</t>
        </is>
      </c>
      <c r="R2" t="inlineStr">
        <is>
          <t>Date from</t>
        </is>
      </c>
      <c r="S2" t="inlineStr">
        <is>
          <t>Date to</t>
        </is>
      </c>
      <c r="T2" t="inlineStr">
        <is>
          <t>Working date</t>
        </is>
      </c>
      <c r="U2" t="inlineStr">
        <is>
          <t>Date basis</t>
        </is>
      </c>
      <c r="V2" t="inlineStr">
        <is>
          <t>Date method</t>
        </is>
      </c>
      <c r="W2" t="inlineStr">
        <is>
          <t>Price low</t>
        </is>
      </c>
      <c r="X2" t="inlineStr">
        <is>
          <t>Price high</t>
        </is>
      </c>
      <c r="Y2" t="inlineStr">
        <is>
          <t>Price kind</t>
        </is>
      </c>
      <c r="Z2" t="inlineStr">
        <is>
          <t>Price origin</t>
        </is>
      </c>
      <c r="AA2" t="inlineStr">
        <is>
          <t>Currency</t>
        </is>
      </c>
      <c r="AB2" t="inlineStr">
        <is>
          <t>All cash</t>
        </is>
      </c>
      <c r="AC2" t="inlineStr">
        <is>
          <t>Cash at closing</t>
        </is>
      </c>
      <c r="AD2" t="inlineStr">
        <is>
          <t>Conditions detail</t>
        </is>
      </c>
      <c r="AE2" t="inlineStr">
        <is>
          <t>Due date</t>
        </is>
      </c>
      <c r="AF2" t="inlineStr">
        <is>
          <t>Deadline treatment</t>
        </is>
      </c>
      <c r="AG2" t="inlineStr">
        <is>
          <t>Round finality</t>
        </is>
      </c>
      <c r="AH2" t="inlineStr">
        <is>
          <t>Decided by</t>
        </is>
      </c>
      <c r="AI2" t="inlineStr">
        <is>
          <t>Exit reason</t>
        </is>
      </c>
      <c r="AJ2" t="inlineStr">
        <is>
          <t>Outcome basis</t>
        </is>
      </c>
      <c r="AK2" t="inlineStr">
        <is>
          <t>Page</t>
        </is>
      </c>
      <c r="AL2" t="inlineStr">
        <is>
          <t>Related rows</t>
        </is>
      </c>
      <c r="AM2" t="inlineStr">
        <is>
          <t>Deal</t>
        </is>
      </c>
    </row>
    <row r="3">
      <c r="A3" t="n">
        <v>1</v>
      </c>
      <c r="B3" t="inlineStr">
        <is>
          <t>04/05/2013</t>
        </is>
      </c>
      <c r="C3" t="inlineStr">
        <is>
          <t>Mac-Gray (Board)</t>
        </is>
      </c>
      <c r="D3" t="inlineStr">
        <is>
          <t>Target sale decision</t>
        </is>
      </c>
      <c r="E3" t="n">
        <v>1</v>
      </c>
      <c r="F3" t="inlineStr">
        <is>
          <t>0</t>
        </is>
      </c>
      <c r="H3" t="inlineStr">
        <is>
          <t>Board meeting: discussed the sale of CSC to Pamplona and industry M&amp;A dynamics; authorized management to work with BofA Merrill Lynch to explore transactional opportunities, including with Party A in the laundry facilities management industry; determined to reconsider strategic alternatives at the 05/09/2013 meeting. Exploratory authorization, not a launch of solicitation.</t>
        </is>
      </c>
      <c r="K3" t="inlineStr">
        <is>
          <t>Stated: "at an in-person meeting of the Board on April 5, 2013, the Board discussed the sale of CSC to Pamplona as well as industry-wide merger and acquisition activity and dynamics, and authorized Mac-Gray management to work with BofA Merrill Lynch to explore transactional opportunities that might be available to Mac-Gray, including opportunities with another strategic party, whom we refer to as Party A, in the laundry facilities management industry." (p.27)</t>
        </is>
      </c>
      <c r="M3" t="inlineStr">
        <is>
          <t>Q1</t>
        </is>
      </c>
      <c r="O3" t="inlineStr">
        <is>
          <t>R001</t>
        </is>
      </c>
      <c r="P3" t="inlineStr">
        <is>
          <t>Yes</t>
        </is>
      </c>
      <c r="R3" t="inlineStr">
        <is>
          <t>04/05/2013</t>
        </is>
      </c>
      <c r="S3" t="inlineStr">
        <is>
          <t>04/05/2013</t>
        </is>
      </c>
      <c r="T3" t="inlineStr">
        <is>
          <t>04/05/2013</t>
        </is>
      </c>
      <c r="U3" t="inlineStr">
        <is>
          <t>Reported day</t>
        </is>
      </c>
      <c r="V3" t="inlineStr">
        <is>
          <t>Reported</t>
        </is>
      </c>
      <c r="AK3" t="n">
        <v>27</v>
      </c>
      <c r="AM3" t="inlineStr">
        <is>
          <t>Mac-Gray</t>
        </is>
      </c>
    </row>
    <row r="4">
      <c r="A4" t="n">
        <v>2</v>
      </c>
      <c r="B4" t="inlineStr">
        <is>
          <t>04/08/2013</t>
        </is>
      </c>
      <c r="C4" t="inlineStr">
        <is>
          <t>Party A</t>
        </is>
      </c>
      <c r="D4" t="inlineStr">
        <is>
          <t>Contact</t>
        </is>
      </c>
      <c r="E4" t="n">
        <v>1</v>
      </c>
      <c r="F4" t="inlineStr">
        <is>
          <t>0</t>
        </is>
      </c>
      <c r="G4" t="inlineStr">
        <is>
          <t>Strategic</t>
        </is>
      </c>
      <c r="H4" t="inlineStr">
        <is>
          <t>BofA Merrill Lynch, instructed by the Board, telephoned Party A to discuss generally a possible business combination; Party A indicated it might consider a combination with Mac-Gray. First sale-related contact with Party A in this process; direction: target-side.</t>
        </is>
      </c>
      <c r="K4" t="inlineStr">
        <is>
          <t>Stated: "On April 8, 2013, representatives of BofA Merrill Lynch, as instructed by the Board, telephoned a representative of Party A to discuss generally a possible business combination between Party A and Mac-Gray. During this call, the representative of Party A indicated that Party A might consider a business combination with Mac-Gray." (p.27)</t>
        </is>
      </c>
      <c r="M4" t="inlineStr">
        <is>
          <t>Q3</t>
        </is>
      </c>
      <c r="O4" t="inlineStr">
        <is>
          <t>R002</t>
        </is>
      </c>
      <c r="P4" t="inlineStr">
        <is>
          <t>Yes</t>
        </is>
      </c>
      <c r="Q4" t="n">
        <v>1</v>
      </c>
      <c r="R4" t="inlineStr">
        <is>
          <t>04/08/2013</t>
        </is>
      </c>
      <c r="S4" t="inlineStr">
        <is>
          <t>04/08/2013</t>
        </is>
      </c>
      <c r="T4" t="inlineStr">
        <is>
          <t>04/08/2013</t>
        </is>
      </c>
      <c r="U4" t="inlineStr">
        <is>
          <t>Reported day</t>
        </is>
      </c>
      <c r="V4" t="inlineStr">
        <is>
          <t>Reported</t>
        </is>
      </c>
      <c r="AK4" t="n">
        <v>27</v>
      </c>
      <c r="AM4" t="inlineStr">
        <is>
          <t>Mac-Gray</t>
        </is>
      </c>
    </row>
    <row r="5">
      <c r="A5" t="n">
        <v>3</v>
      </c>
      <c r="B5" t="inlineStr">
        <is>
          <t>05/09/2013</t>
        </is>
      </c>
      <c r="C5" t="inlineStr">
        <is>
          <t>Mac-Gray (Board)</t>
        </is>
      </c>
      <c r="D5" t="inlineStr">
        <is>
          <t>Target decision</t>
        </is>
      </c>
      <c r="E5" t="n">
        <v>1</v>
      </c>
      <c r="F5" t="inlineStr">
        <is>
          <t>0</t>
        </is>
      </c>
      <c r="H5" t="inlineStr">
        <is>
          <t>Board reviewed strategic alternatives, including a sale process, its risks (business disruption, leaks, disclosure to competitors) and independence alternatives; formed a Transaction Committee (Thomas Bullock and Paul Daoust, independent directors) charged with recommending the selection and engagement of a financial advisor; deferred the review decision to the next meeting.</t>
        </is>
      </c>
      <c r="K5" t="inlineStr">
        <is>
          <t>Stated: "To assist in the administration of the strategic alternatives review, the Board formed a transaction committee at this meeting, which we refer to as the Transaction Committee, and appointed Thomas Bullock and Paul Daoust, both independent directors, to serve as its members." (p.28)</t>
        </is>
      </c>
      <c r="M5" t="inlineStr">
        <is>
          <t>Q1</t>
        </is>
      </c>
      <c r="O5" t="inlineStr">
        <is>
          <t>R003</t>
        </is>
      </c>
      <c r="P5" t="inlineStr">
        <is>
          <t>Yes</t>
        </is>
      </c>
      <c r="R5" t="inlineStr">
        <is>
          <t>05/09/2013</t>
        </is>
      </c>
      <c r="S5" t="inlineStr">
        <is>
          <t>05/09/2013</t>
        </is>
      </c>
      <c r="T5" t="inlineStr">
        <is>
          <t>05/09/2013</t>
        </is>
      </c>
      <c r="U5" t="inlineStr">
        <is>
          <t>Reported day</t>
        </is>
      </c>
      <c r="V5" t="inlineStr">
        <is>
          <t>Reported</t>
        </is>
      </c>
      <c r="AK5" t="n">
        <v>28</v>
      </c>
      <c r="AM5" t="inlineStr">
        <is>
          <t>Mac-Gray</t>
        </is>
      </c>
    </row>
    <row r="6">
      <c r="A6" t="n">
        <v>4</v>
      </c>
      <c r="B6" t="inlineStr">
        <is>
          <t>05/30/2013</t>
        </is>
      </c>
      <c r="C6" t="inlineStr">
        <is>
          <t>Moab Partners, L.P. / Mac-Gray (annual meeting)</t>
        </is>
      </c>
      <c r="D6" t="inlineStr">
        <is>
          <t>Activist involvement</t>
        </is>
      </c>
      <c r="E6" t="n">
        <v>1</v>
      </c>
      <c r="F6" t="inlineStr">
        <is>
          <t>0</t>
        </is>
      </c>
      <c r="H6" t="inlineStr">
        <is>
          <t>After a proxy contest, Mac-Gray stockholders elected Moab nominees Michael M. Rothenberg (Moab co-founder and General Partner) and James E. Hyman in place of two incumbent directors; the Board was reduced to seven; Moab beneficially owned approximately 9% of the common stock at the 06/12/2013 orientation. The new directors were briefed on the strategic review; Rothenberg was to be excluded where Moab rollover interests could arise.</t>
        </is>
      </c>
      <c r="K6" t="inlineStr">
        <is>
          <t>Stated: "Mac-Gray and Moab engaged in a proxy contest leading up to the annual meeting and Mr. Rothenberg and Mr. Hyman were elected in place of Mac-Gray’s incumbent nominees, David W. Bryan and Mary Ann Tocio. Edward McCauley’s term expired at the annual meeting, at which time the size of the Board was reduced to seven." (p.29)</t>
        </is>
      </c>
      <c r="M6" t="inlineStr">
        <is>
          <t>Q8</t>
        </is>
      </c>
      <c r="O6" t="inlineStr">
        <is>
          <t>R004</t>
        </is>
      </c>
      <c r="P6" t="inlineStr">
        <is>
          <t>Yes</t>
        </is>
      </c>
      <c r="R6" t="inlineStr">
        <is>
          <t>05/30/2013</t>
        </is>
      </c>
      <c r="S6" t="inlineStr">
        <is>
          <t>05/30/2013</t>
        </is>
      </c>
      <c r="T6" t="inlineStr">
        <is>
          <t>05/30/2013</t>
        </is>
      </c>
      <c r="U6" t="inlineStr">
        <is>
          <t>Reported day</t>
        </is>
      </c>
      <c r="V6" t="inlineStr">
        <is>
          <t>Reported</t>
        </is>
      </c>
      <c r="AK6" t="n">
        <v>29</v>
      </c>
      <c r="AM6" t="inlineStr">
        <is>
          <t>Mac-Gray</t>
        </is>
      </c>
    </row>
    <row r="7">
      <c r="A7" t="n">
        <v>5</v>
      </c>
      <c r="B7" t="inlineStr">
        <is>
          <t>05/31/2013</t>
        </is>
      </c>
      <c r="C7" t="inlineStr">
        <is>
          <t>Mac-Gray / BofA Merrill Lynch</t>
        </is>
      </c>
      <c r="D7" t="inlineStr">
        <is>
          <t>Adviser engaged</t>
        </is>
      </c>
      <c r="E7" t="n">
        <v>1</v>
      </c>
      <c r="F7" t="inlineStr">
        <is>
          <t>0</t>
        </is>
      </c>
      <c r="H7" t="inlineStr">
        <is>
          <t>Board approved (05/30/2013) and Mac-Gray entered an engagement letter (05/31/2013) with BofA Merrill Lynch as financial advisor for the strategic-alternatives review, including a potential sale; BofA agreed not to act as a source of new acquisition financing for buyers without Mac-Gray’s written consent. Mandate history: BofA was engaged 10/23/2012 for the 2011-2012 Discussions (a possible Mac-Gray acquisition of CSC); the Transaction Committee determined on 05/14/2013 to terminate that engagement letter and Mac-Gray sent the termination letter 05/15/2013; BofA then presented as an adviser candidate on 05/22/2013 and was selected over two other banks.</t>
        </is>
      </c>
      <c r="K7" t="inlineStr">
        <is>
          <t>Stated: "On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 (p.30) Mandate history at pp.27, 28, 29.</t>
        </is>
      </c>
      <c r="M7" t="inlineStr">
        <is>
          <t>Q8</t>
        </is>
      </c>
      <c r="O7" t="inlineStr">
        <is>
          <t>R005</t>
        </is>
      </c>
      <c r="P7" t="inlineStr">
        <is>
          <t>Yes</t>
        </is>
      </c>
      <c r="R7" t="inlineStr">
        <is>
          <t>05/31/2013</t>
        </is>
      </c>
      <c r="S7" t="inlineStr">
        <is>
          <t>05/31/2013</t>
        </is>
      </c>
      <c r="T7" t="inlineStr">
        <is>
          <t>05/31/2013</t>
        </is>
      </c>
      <c r="U7" t="inlineStr">
        <is>
          <t>Reported day</t>
        </is>
      </c>
      <c r="V7" t="inlineStr">
        <is>
          <t>Reported</t>
        </is>
      </c>
      <c r="AK7" t="n">
        <v>30</v>
      </c>
      <c r="AM7" t="inlineStr">
        <is>
          <t>Mac-Gray</t>
        </is>
      </c>
    </row>
    <row r="8">
      <c r="A8" t="n">
        <v>6</v>
      </c>
      <c r="B8" t="inlineStr">
        <is>
          <t>06/21/2013</t>
        </is>
      </c>
      <c r="C8" t="inlineStr">
        <is>
          <t>Party A</t>
        </is>
      </c>
      <c r="D8" t="inlineStr">
        <is>
          <t>Bid</t>
        </is>
      </c>
      <c r="E8" t="n">
        <v>1</v>
      </c>
      <c r="F8" t="inlineStr">
        <is>
          <t>0</t>
        </is>
      </c>
      <c r="G8" t="inlineStr">
        <is>
          <t>Strategic</t>
        </is>
      </c>
      <c r="H8" t="inlineStr">
        <is>
          <t>Unsolicited proposal to the Board to purchase Mac-Gray for an all-cash price of $17.00 to $19.00 per share. No stated financing, diligence or other conditions; Party A had no confidentiality agreement or diligence access at this date. Standing when round 1 was evaluated on 07/25/2013 (see R2 opened, R022).</t>
        </is>
      </c>
      <c r="I8" t="inlineStr">
        <is>
          <t>Informal</t>
        </is>
      </c>
      <c r="J8" t="inlineStr">
        <is>
          <t>Heavy</t>
        </is>
      </c>
      <c r="K8" t="inlineStr">
        <is>
          <t>Stated: "On June 21, 2013, Party A submitted an unsolicited proposal to the Mac-Gray Board of Directors offering to purchase Mac-Gray for an all-cash purchase price of $17.00 to $19.00 per share, which we refer to as the Party A June 21 proposal." (p.30) Formality: Informal — unsolicited preliminary proposal, no transaction-document markup. Conditions: Heavy by context — made before any confidentiality agreement or substantive diligence access.</t>
        </is>
      </c>
      <c r="M8" t="inlineStr">
        <is>
          <t>Q5; Q6</t>
        </is>
      </c>
      <c r="O8" t="inlineStr">
        <is>
          <t>R006</t>
        </is>
      </c>
      <c r="P8" t="inlineStr">
        <is>
          <t>Yes</t>
        </is>
      </c>
      <c r="Q8" t="n">
        <v>1</v>
      </c>
      <c r="R8" t="inlineStr">
        <is>
          <t>06/21/2013</t>
        </is>
      </c>
      <c r="S8" t="inlineStr">
        <is>
          <t>06/21/2013</t>
        </is>
      </c>
      <c r="T8" t="inlineStr">
        <is>
          <t>06/21/2013</t>
        </is>
      </c>
      <c r="U8" t="inlineStr">
        <is>
          <t>Reported day</t>
        </is>
      </c>
      <c r="V8" t="inlineStr">
        <is>
          <t>Reported</t>
        </is>
      </c>
      <c r="W8" t="n">
        <v>17</v>
      </c>
      <c r="X8" t="n">
        <v>19</v>
      </c>
      <c r="Y8" t="inlineStr">
        <is>
          <t>Bidder range</t>
        </is>
      </c>
      <c r="Z8" t="inlineStr">
        <is>
          <t>Stated</t>
        </is>
      </c>
      <c r="AA8" t="inlineStr">
        <is>
          <t>USD</t>
        </is>
      </c>
      <c r="AB8" t="inlineStr">
        <is>
          <t>Yes</t>
        </is>
      </c>
      <c r="AD8" t="inlineStr">
        <is>
          <t>Fin: not stated; DD required: not stated; DD open: no; Excl: not stated</t>
        </is>
      </c>
      <c r="AK8" t="n">
        <v>30</v>
      </c>
      <c r="AM8" t="inlineStr">
        <is>
          <t>Mac-Gray</t>
        </is>
      </c>
    </row>
    <row r="9">
      <c r="A9" t="n">
        <v>7</v>
      </c>
      <c r="B9" t="inlineStr">
        <is>
          <t>06/24/2013</t>
        </is>
      </c>
      <c r="C9" t="inlineStr">
        <is>
          <t>Mac-Gray (Board)</t>
        </is>
      </c>
      <c r="D9" t="inlineStr">
        <is>
          <t>Target decision</t>
        </is>
      </c>
      <c r="E9" t="n">
        <v>1</v>
      </c>
      <c r="F9" t="inlineStr">
        <is>
          <t>1</t>
        </is>
      </c>
      <c r="H9" t="inlineStr">
        <is>
          <t>Board established the Special Committee of six independent and disinterested directors (Bullock (Chair), Daoust, Hyman, Meagher, Percelay, Robinson) to explore strategic alternatives and recommend to the Board; Mr. MacDonald (CEO, significant stockholder) and Mr. Rothenberg (Moab) were excluded from the evaluation and negotiations because of potential rollover interests; the Transaction Committee functioned as the Special Committee’s administrative sub-committee.</t>
        </is>
      </c>
      <c r="K9" t="inlineStr">
        <is>
          <t>Stated: "the Board then established the Special Committee, comprised of the six independent and disinterested members of the Board (namely, Mr. Bullock, Mr. Daoust, Mr. Hyman, William F. Meagher, Bruce A. Percelay and Alastair G. Robinson), to, among other things, explore strategic alternatives to enhance value to Mac-Gray’s stockholders" (p.30) and the Board "decided, and Mr. MacDonald and Mr. Rothenberg agreed, that it would be appropriate to exclude Mr. MacDonald and Mr. Rothenberg from the Board’s evaluation of strategic alternatives" (p.30).</t>
        </is>
      </c>
      <c r="M9" t="inlineStr">
        <is>
          <t>Q1</t>
        </is>
      </c>
      <c r="O9" t="inlineStr">
        <is>
          <t>R007</t>
        </is>
      </c>
      <c r="P9" t="inlineStr">
        <is>
          <t>Yes</t>
        </is>
      </c>
      <c r="R9" t="inlineStr">
        <is>
          <t>06/24/2013</t>
        </is>
      </c>
      <c r="S9" t="inlineStr">
        <is>
          <t>06/24/2013</t>
        </is>
      </c>
      <c r="T9" t="inlineStr">
        <is>
          <t>06/24/2013</t>
        </is>
      </c>
      <c r="U9" t="inlineStr">
        <is>
          <t>Reported day</t>
        </is>
      </c>
      <c r="V9" t="inlineStr">
        <is>
          <t>Reported</t>
        </is>
      </c>
      <c r="AK9" t="n">
        <v>30</v>
      </c>
      <c r="AM9" t="inlineStr">
        <is>
          <t>Mac-Gray</t>
        </is>
      </c>
    </row>
    <row r="10">
      <c r="A10" t="n">
        <v>8</v>
      </c>
      <c r="B10" t="inlineStr">
        <is>
          <t>06/24/2013</t>
        </is>
      </c>
      <c r="C10" t="inlineStr">
        <is>
          <t>Mac-Gray (Special Committee) / BofA Merrill Lynch</t>
        </is>
      </c>
      <c r="D10" t="inlineStr">
        <is>
          <t>Round opened</t>
        </is>
      </c>
      <c r="E10" t="n">
        <v>1</v>
      </c>
      <c r="F10" t="inlineStr">
        <is>
          <t>1</t>
        </is>
      </c>
      <c r="H10" t="inlineStr">
        <is>
          <t>R1 anchor: 06/24/2013 Special Committee determination to approach 50 parties, including CSC/Pamplona and Party A (the decision that launched outreach; contacts reported underway by the 06/28/2013 Transaction Committee call, within about a week) (R009). Other candidate: the 04/05/2013 Board authorization (R001) — rejected as an exploratory mandate rather than the launch of the solicitation. Objective: solicit preliminary indications of interest. Population: 50 parties (15 strategic, 35 financial). Deadline: preliminary IOIs by 07/23/2013 (R015). Finality: Not final — preliminary, non-binding indications.</t>
        </is>
      </c>
      <c r="K10" t="inlineStr">
        <is>
          <t>Stated: the Special Committee "determined to approach a total of " "50 parties, including CSC and Pamplona, who together we refer to as CSC/Pamplona, and Party A, to solicit potential interest in a transaction with Mac-Gray, 15 of which were potential strategic buyers and 35 of which were potential financial buyers" (p.32); "BofA Merrill Lynch summarized the contacts they had had with certain of the potential bidders" on 06/28/2013 (p.32).</t>
        </is>
      </c>
      <c r="M10" t="inlineStr">
        <is>
          <t>Q1</t>
        </is>
      </c>
      <c r="O10" t="inlineStr">
        <is>
          <t>R008</t>
        </is>
      </c>
      <c r="P10" t="inlineStr">
        <is>
          <t>Yes</t>
        </is>
      </c>
      <c r="R10" t="inlineStr">
        <is>
          <t>06/24/2013</t>
        </is>
      </c>
      <c r="S10" t="inlineStr">
        <is>
          <t>06/24/2013</t>
        </is>
      </c>
      <c r="T10" t="inlineStr">
        <is>
          <t>06/24/2013</t>
        </is>
      </c>
      <c r="U10" t="inlineStr">
        <is>
          <t>Reported day</t>
        </is>
      </c>
      <c r="V10" t="inlineStr">
        <is>
          <t>Assigned: decision day</t>
        </is>
      </c>
      <c r="AG10" t="inlineStr">
        <is>
          <t>Not final</t>
        </is>
      </c>
      <c r="AK10" t="n">
        <v>32</v>
      </c>
      <c r="AM10" t="inlineStr">
        <is>
          <t>Mac-Gray</t>
        </is>
      </c>
    </row>
    <row r="11">
      <c r="A11" t="n">
        <v>9</v>
      </c>
      <c r="B11" t="inlineStr">
        <is>
          <t>late June–August 2013</t>
        </is>
      </c>
      <c r="C11" t="inlineStr">
        <is>
          <t>BofA Merrill Lynch / 50 potential buyers (15 strategic; 35 financial)</t>
        </is>
      </c>
      <c r="D11" t="inlineStr">
        <is>
          <t>Contact</t>
        </is>
      </c>
      <c r="E11" t="n">
        <v>1</v>
      </c>
      <c r="F11" t="inlineStr">
        <is>
          <t>1</t>
        </is>
      </c>
      <c r="H11" t="inlineStr">
        <is>
          <t>First solicitation wave: BofA Merrill Lynch, at the Special Committee’s direction, contacted the 50 identified strategic and financial parties (including CSC/Pamplona and Party A) over the following weeks. Direction: target-side. Later individual contacts (Party A 04/08/2013, R002) are separate events; Party A is also within the 50.</t>
        </is>
      </c>
      <c r="K11" t="inlineStr">
        <is>
          <t>Stated: "During the next several weeks, in accordance with the directives of the Special Committee, BofA Merrill Lynch contacted the strategic and financial parties identified at the June 24th Special Committee meeting." (p.32) Working date is the first supported bound of the contact period (the 06/24/2013 decision).</t>
        </is>
      </c>
      <c r="M11" t="inlineStr">
        <is>
          <t>Q3</t>
        </is>
      </c>
      <c r="O11" t="inlineStr">
        <is>
          <t>R009</t>
        </is>
      </c>
      <c r="P11" t="inlineStr">
        <is>
          <t>Yes</t>
        </is>
      </c>
      <c r="Q11" t="n">
        <v>50</v>
      </c>
      <c r="R11" t="inlineStr">
        <is>
          <t>06/24/2013</t>
        </is>
      </c>
      <c r="T11" t="inlineStr">
        <is>
          <t>06/24/2013</t>
        </is>
      </c>
      <c r="U11" t="inlineStr">
        <is>
          <t>Relative only</t>
        </is>
      </c>
      <c r="V11" t="inlineStr">
        <is>
          <t>Assigned: bound</t>
        </is>
      </c>
      <c r="AK11" t="n">
        <v>32</v>
      </c>
      <c r="AM11" t="inlineStr">
        <is>
          <t>Mac-Gray</t>
        </is>
      </c>
    </row>
    <row r="12">
      <c r="A12" t="n">
        <v>10</v>
      </c>
      <c r="B12" t="inlineStr">
        <is>
          <t>late June–August 2013; dates not disclosed</t>
        </is>
      </c>
      <c r="C12" t="inlineStr">
        <is>
          <t>16 financial NDA signers (residual cohort)</t>
        </is>
      </c>
      <c r="D12" t="inlineStr">
        <is>
          <t>NDA signed</t>
        </is>
      </c>
      <c r="E12" t="n">
        <v>1</v>
      </c>
      <c r="F12" t="inlineStr">
        <is>
          <t>1</t>
        </is>
      </c>
      <c r="G12" t="inlineStr">
        <is>
          <t>Financial</t>
        </is>
      </c>
      <c r="H12" t="inlineStr">
        <is>
          <t>Residual financial signer cohort: 18 financial bidders signed confidentiality and standstill agreements (with customary standstill and sunset provisions); Party B and Party C are individually recorded, leaving these 16. No individual signature dates are disclosed; all received the informational package.</t>
        </is>
      </c>
      <c r="K12" t="inlineStr">
        <is>
          <t>Stated: "a total of 20 potential bidders, including two strategic bidders (Party A and CSC/Pamplona) and 18 financial bidders (including Party B and Party C), entered into confidentiality agreements with Mac-Gray" (p.32). Calculated disjoint residual: 18 financial signers − Party B − Party C = 16. Working date is the first supported bound of the signing period.</t>
        </is>
      </c>
      <c r="M12" t="inlineStr">
        <is>
          <t>Q3</t>
        </is>
      </c>
      <c r="O12" t="inlineStr">
        <is>
          <t>R010</t>
        </is>
      </c>
      <c r="P12" t="inlineStr">
        <is>
          <t>Yes</t>
        </is>
      </c>
      <c r="Q12" t="n">
        <v>16</v>
      </c>
      <c r="R12" t="inlineStr">
        <is>
          <t>06/24/2013</t>
        </is>
      </c>
      <c r="T12" t="inlineStr">
        <is>
          <t>06/24/2013</t>
        </is>
      </c>
      <c r="U12" t="inlineStr">
        <is>
          <t>Relative only</t>
        </is>
      </c>
      <c r="V12" t="inlineStr">
        <is>
          <t>Assigned: bound</t>
        </is>
      </c>
      <c r="AK12" t="n">
        <v>32</v>
      </c>
      <c r="AM12" t="inlineStr">
        <is>
          <t>Mac-Gray</t>
        </is>
      </c>
    </row>
    <row r="13">
      <c r="A13" t="n">
        <v>11</v>
      </c>
      <c r="B13" t="inlineStr">
        <is>
          <t>06/28/2013</t>
        </is>
      </c>
      <c r="C13" t="inlineStr">
        <is>
          <t>Party B</t>
        </is>
      </c>
      <c r="D13" t="inlineStr">
        <is>
          <t>NDA signed</t>
        </is>
      </c>
      <c r="E13" t="n">
        <v>1</v>
      </c>
      <c r="F13" t="inlineStr">
        <is>
          <t>1</t>
        </is>
      </c>
      <c r="G13" t="inlineStr">
        <is>
          <t>Financial</t>
        </is>
      </c>
      <c r="H13" t="inlineStr">
        <is>
          <t>Party B entered a confidentiality and standstill agreement and was provided the informational package to formulate a preliminary indication of interest.</t>
        </is>
      </c>
      <c r="K13" t="inlineStr">
        <is>
          <t>Stated: "Later on June 28, 2013, Party B, entered into a confidentiality and standstill agreement with Mac-Gray and was provided with an informational package for the purpose of providing Party B with data to formulate a preliminary indication of interest." (p.32)</t>
        </is>
      </c>
      <c r="M13" t="inlineStr">
        <is>
          <t>Q3</t>
        </is>
      </c>
      <c r="O13" t="inlineStr">
        <is>
          <t>R011</t>
        </is>
      </c>
      <c r="P13" t="inlineStr">
        <is>
          <t>Yes</t>
        </is>
      </c>
      <c r="Q13" t="n">
        <v>1</v>
      </c>
      <c r="R13" t="inlineStr">
        <is>
          <t>06/28/2013</t>
        </is>
      </c>
      <c r="S13" t="inlineStr">
        <is>
          <t>06/28/2013</t>
        </is>
      </c>
      <c r="T13" t="inlineStr">
        <is>
          <t>06/28/2013</t>
        </is>
      </c>
      <c r="U13" t="inlineStr">
        <is>
          <t>Reported day</t>
        </is>
      </c>
      <c r="V13" t="inlineStr">
        <is>
          <t>Reported</t>
        </is>
      </c>
      <c r="AK13" t="n">
        <v>32</v>
      </c>
      <c r="AM13" t="inlineStr">
        <is>
          <t>Mac-Gray</t>
        </is>
      </c>
    </row>
    <row r="14">
      <c r="A14" t="n">
        <v>12</v>
      </c>
      <c r="B14" t="inlineStr">
        <is>
          <t>06/30/2013</t>
        </is>
      </c>
      <c r="C14" t="inlineStr">
        <is>
          <t>Party C</t>
        </is>
      </c>
      <c r="D14" t="inlineStr">
        <is>
          <t>NDA signed</t>
        </is>
      </c>
      <c r="E14" t="n">
        <v>1</v>
      </c>
      <c r="F14" t="inlineStr">
        <is>
          <t>1</t>
        </is>
      </c>
      <c r="G14" t="inlineStr">
        <is>
          <t>Financial</t>
        </is>
      </c>
      <c r="H14" t="inlineStr">
        <is>
          <t>Party C entered a confidentiality and standstill agreement and was provided the informational package.</t>
        </is>
      </c>
      <c r="K14" t="inlineStr">
        <is>
          <t>Stated: "On June 30, 2013, Party C entered into a confidentiality and standstill agreement with Mac-Gray and was provided with an informational package for the purpose of providing Party C with data to formulate a preliminary indication of interest." (p.32)</t>
        </is>
      </c>
      <c r="M14" t="inlineStr">
        <is>
          <t>Q3</t>
        </is>
      </c>
      <c r="O14" t="inlineStr">
        <is>
          <t>R012</t>
        </is>
      </c>
      <c r="P14" t="inlineStr">
        <is>
          <t>Yes</t>
        </is>
      </c>
      <c r="Q14" t="n">
        <v>1</v>
      </c>
      <c r="R14" t="inlineStr">
        <is>
          <t>06/30/2013</t>
        </is>
      </c>
      <c r="S14" t="inlineStr">
        <is>
          <t>06/30/2013</t>
        </is>
      </c>
      <c r="T14" t="inlineStr">
        <is>
          <t>06/30/2013</t>
        </is>
      </c>
      <c r="U14" t="inlineStr">
        <is>
          <t>Reported day</t>
        </is>
      </c>
      <c r="V14" t="inlineStr">
        <is>
          <t>Reported</t>
        </is>
      </c>
      <c r="AK14" t="n">
        <v>32</v>
      </c>
      <c r="AM14" t="inlineStr">
        <is>
          <t>Mac-Gray</t>
        </is>
      </c>
    </row>
    <row r="15">
      <c r="A15" t="n">
        <v>13</v>
      </c>
      <c r="B15" t="inlineStr">
        <is>
          <t>07/06/2013</t>
        </is>
      </c>
      <c r="C15" t="inlineStr">
        <is>
          <t>Moab Partners, L.P. / CSC/Pamplona</t>
        </is>
      </c>
      <c r="D15" t="inlineStr">
        <is>
          <t>Material process update</t>
        </is>
      </c>
      <c r="E15" t="n">
        <v>1</v>
      </c>
      <c r="F15" t="inlineStr">
        <is>
          <t>1</t>
        </is>
      </c>
      <c r="H15" t="inlineStr">
        <is>
          <t>Rollover relationship denied at this stage: the Special Committee declined to let Moab partner exclusively with CSC/Pamplona for equity-rollover discussions (requested 07/03/2013 through Mr. Rothenberg and Pamplona) so that Moab’s shares could remain available as capital to other bidders; the Committee said such discussions would be permitted at a later stage.</t>
        </is>
      </c>
      <c r="K15" t="inlineStr">
        <is>
          <t>Stated: "the Special Committee decided to deny the exclusivity request at this stage of the process so that the potential equity rollover of Moab’s shares could be available as a source of capital for other potential bidders." and "it was premature for Mac-Gray to permit Moab to engage in equity rollover discussions with any party, including CSC/Pamplona, but that such discussions would be permitted at a later stage of the sale process." (p.33)</t>
        </is>
      </c>
      <c r="M15" t="inlineStr">
        <is>
          <t>Q8</t>
        </is>
      </c>
      <c r="O15" t="inlineStr">
        <is>
          <t>R013</t>
        </is>
      </c>
      <c r="P15" t="inlineStr">
        <is>
          <t>Yes</t>
        </is>
      </c>
      <c r="R15" t="inlineStr">
        <is>
          <t>07/06/2013</t>
        </is>
      </c>
      <c r="S15" t="inlineStr">
        <is>
          <t>07/06/2013</t>
        </is>
      </c>
      <c r="T15" t="inlineStr">
        <is>
          <t>07/06/2013</t>
        </is>
      </c>
      <c r="U15" t="inlineStr">
        <is>
          <t>Reported day</t>
        </is>
      </c>
      <c r="V15" t="inlineStr">
        <is>
          <t>Reported</t>
        </is>
      </c>
      <c r="AK15" t="n">
        <v>33</v>
      </c>
      <c r="AM15" t="inlineStr">
        <is>
          <t>Mac-Gray</t>
        </is>
      </c>
    </row>
    <row r="16">
      <c r="A16" t="n">
        <v>14</v>
      </c>
      <c r="B16" t="inlineStr">
        <is>
          <t>07/11/2013</t>
        </is>
      </c>
      <c r="C16" t="inlineStr">
        <is>
          <t>CSC/Pamplona</t>
        </is>
      </c>
      <c r="D16" t="inlineStr">
        <is>
          <t>NDA signed</t>
        </is>
      </c>
      <c r="E16" t="n">
        <v>1</v>
      </c>
      <c r="F16" t="inlineStr">
        <is>
          <t>1</t>
        </is>
      </c>
      <c r="G16" t="inlineStr">
        <is>
          <t>Strategic</t>
        </is>
      </c>
      <c r="H16" t="inlineStr">
        <is>
          <t>CSC/Pamplona entered a confidentiality and standstill agreement and was provided the informational package.</t>
        </is>
      </c>
      <c r="K16" t="inlineStr">
        <is>
          <t>Stated: "On July 11, 2013, CSC/Pamplona entered into a confidentiality and standstill agreement with Mac-Gray and were provided with an informational package for the purpose of providing CSC/Pamplona with data to formulate a preliminary indication of interest." (p.33)</t>
        </is>
      </c>
      <c r="M16" t="inlineStr">
        <is>
          <t>Q3</t>
        </is>
      </c>
      <c r="O16" t="inlineStr">
        <is>
          <t>R014</t>
        </is>
      </c>
      <c r="P16" t="inlineStr">
        <is>
          <t>Yes</t>
        </is>
      </c>
      <c r="Q16" t="n">
        <v>1</v>
      </c>
      <c r="R16" t="inlineStr">
        <is>
          <t>07/11/2013</t>
        </is>
      </c>
      <c r="S16" t="inlineStr">
        <is>
          <t>07/11/2013</t>
        </is>
      </c>
      <c r="T16" t="inlineStr">
        <is>
          <t>07/11/2013</t>
        </is>
      </c>
      <c r="U16" t="inlineStr">
        <is>
          <t>Reported day</t>
        </is>
      </c>
      <c r="V16" t="inlineStr">
        <is>
          <t>Reported</t>
        </is>
      </c>
      <c r="AK16" t="n">
        <v>33</v>
      </c>
      <c r="AM16" t="inlineStr">
        <is>
          <t>Mac-Gray</t>
        </is>
      </c>
    </row>
    <row r="17">
      <c r="A17" t="n">
        <v>15</v>
      </c>
      <c r="B17" t="inlineStr">
        <is>
          <t>by 07/23/2013 (communication day not disclosed)</t>
        </is>
      </c>
      <c r="C17" t="inlineStr">
        <is>
          <t>Mac-Gray / BofA Merrill Lynch</t>
        </is>
      </c>
      <c r="D17" t="inlineStr">
        <is>
          <t>Deadline set</t>
        </is>
      </c>
      <c r="E17" t="n">
        <v>1</v>
      </c>
      <c r="F17" t="inlineStr">
        <is>
          <t>1</t>
        </is>
      </c>
      <c r="H17" t="inlineStr">
        <is>
          <t>NDA signers furnished an informational package and instructed to submit preliminary indications of interest by 07/23/2013, addressing valuation, sources and structures of financing, material conditions including required approvals, and focus areas for due diligence. Individual communication dates are not disclosed; Working date is the only supported bound.</t>
        </is>
      </c>
      <c r="K17" t="inlineStr">
        <is>
          <t>Stated: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The letter requested that the proposals address, among other things, valuation, sources and structures of financing, material conditions, including required approvals, and focus areas for due diligence." (p.32)</t>
        </is>
      </c>
      <c r="M17" t="inlineStr">
        <is>
          <t>Q2; Q7</t>
        </is>
      </c>
      <c r="O17" t="inlineStr">
        <is>
          <t>R015</t>
        </is>
      </c>
      <c r="P17" t="inlineStr">
        <is>
          <t>Yes</t>
        </is>
      </c>
      <c r="S17" t="inlineStr">
        <is>
          <t>07/23/2013</t>
        </is>
      </c>
      <c r="T17" t="inlineStr">
        <is>
          <t>07/23/2013</t>
        </is>
      </c>
      <c r="U17" t="inlineStr">
        <is>
          <t>Relative only</t>
        </is>
      </c>
      <c r="V17" t="inlineStr">
        <is>
          <t>Assigned: bound</t>
        </is>
      </c>
      <c r="AK17" t="n">
        <v>32</v>
      </c>
      <c r="AM17" t="inlineStr">
        <is>
          <t>Mac-Gray</t>
        </is>
      </c>
    </row>
    <row r="18">
      <c r="A18" t="n">
        <v>16</v>
      </c>
      <c r="B18" t="inlineStr">
        <is>
          <t>07/23/2013</t>
        </is>
      </c>
      <c r="C18" t="inlineStr">
        <is>
          <t>Mac-Gray / BofA Merrill Lynch</t>
        </is>
      </c>
      <c r="D18" t="inlineStr">
        <is>
          <t>Deadline</t>
        </is>
      </c>
      <c r="E18" t="n">
        <v>1</v>
      </c>
      <c r="F18" t="inlineStr">
        <is>
          <t>1</t>
        </is>
      </c>
      <c r="H18" t="inlineStr">
        <is>
          <t>Preliminary IOI due date reached. Treatment: Late bids accepted — Party B’s written IOI and Party C’s oral IOI arrived 07/24/2013 and Party C’s written indication 07/25/2013; all were reviewed at the 07/25/2013 Board/Special Committee meeting. No extension is reported.</t>
        </is>
      </c>
      <c r="K18" t="inlineStr">
        <is>
          <t>Stated: "On July 23, 2013, CSC/Pamplona submitted a preliminary indication of interest at an all-cash purchase price of $18.50 per share." "On July 24, 2013, Party B submitted a preliminary indication of interest at an all-cash purchase price of $17.00 to $18.00 per share." "Also on July 24, 2013, representatives from Party C called BofA Merrill Lynch and presented an oral preliminary indication of interest at an all-cash purchase price of $15.00 to $17.00 per share." "Later on July 25, 2013, Party C submitted a written indication of interest at an all-cash purchase price of $16.00 to $16.50 per share." (pp.33–34); all were reviewed on 07/25/2013 (p.33).</t>
        </is>
      </c>
      <c r="M18" t="inlineStr">
        <is>
          <t>Q2</t>
        </is>
      </c>
      <c r="O18" t="inlineStr">
        <is>
          <t>R016</t>
        </is>
      </c>
      <c r="P18" t="inlineStr">
        <is>
          <t>Yes</t>
        </is>
      </c>
      <c r="R18" t="inlineStr">
        <is>
          <t>07/23/2013</t>
        </is>
      </c>
      <c r="S18" t="inlineStr">
        <is>
          <t>07/23/2013</t>
        </is>
      </c>
      <c r="T18" t="inlineStr">
        <is>
          <t>07/23/2013</t>
        </is>
      </c>
      <c r="U18" t="inlineStr">
        <is>
          <t>Reported day</t>
        </is>
      </c>
      <c r="V18" t="inlineStr">
        <is>
          <t>Reported</t>
        </is>
      </c>
      <c r="AE18" t="inlineStr">
        <is>
          <t>07/23/2013</t>
        </is>
      </c>
      <c r="AF18" t="inlineStr">
        <is>
          <t>Late bids accepted</t>
        </is>
      </c>
      <c r="AK18" t="n">
        <v>33</v>
      </c>
      <c r="AM18" t="inlineStr">
        <is>
          <t>Mac-Gray</t>
        </is>
      </c>
    </row>
    <row r="19">
      <c r="A19" t="n">
        <v>17</v>
      </c>
      <c r="B19" t="inlineStr">
        <is>
          <t>07/23/2013</t>
        </is>
      </c>
      <c r="C19" t="inlineStr">
        <is>
          <t>CSC/Pamplona</t>
        </is>
      </c>
      <c r="D19" t="inlineStr">
        <is>
          <t>Bid</t>
        </is>
      </c>
      <c r="E19" t="n">
        <v>1</v>
      </c>
      <c r="F19" t="inlineStr">
        <is>
          <t>1</t>
        </is>
      </c>
      <c r="G19" t="inlineStr">
        <is>
          <t>Strategic</t>
        </is>
      </c>
      <c r="H19" t="inlineStr">
        <is>
          <t>Preliminary indication of interest at $18.50 per share, all cash. CSC/Pamplona emphasized minimal expected business and legal diligence given familiarity with Mac-Gray. No financing or other conditions stated.</t>
        </is>
      </c>
      <c r="I19" t="inlineStr">
        <is>
          <t>Informal</t>
        </is>
      </c>
      <c r="J19" t="inlineStr">
        <is>
          <t>Heavy</t>
        </is>
      </c>
      <c r="K19" t="inlineStr">
        <is>
          <t>Stated: "On July 23, 2013, CSC/Pamplona submitted a preliminary indication of interest at an all-cash purchase price of $18.50 per share." (p.33) Formality: Informal — preliminary indication, no transaction-document markup. Conditions: Heavy by context — made before substantive diligence access (data site opened 08/06/2013).</t>
        </is>
      </c>
      <c r="M19" t="inlineStr">
        <is>
          <t>Q5; Q6</t>
        </is>
      </c>
      <c r="O19" t="inlineStr">
        <is>
          <t>R017</t>
        </is>
      </c>
      <c r="P19" t="inlineStr">
        <is>
          <t>Yes</t>
        </is>
      </c>
      <c r="Q19" t="n">
        <v>1</v>
      </c>
      <c r="R19" t="inlineStr">
        <is>
          <t>07/23/2013</t>
        </is>
      </c>
      <c r="S19" t="inlineStr">
        <is>
          <t>07/23/2013</t>
        </is>
      </c>
      <c r="T19" t="inlineStr">
        <is>
          <t>07/23/2013</t>
        </is>
      </c>
      <c r="U19" t="inlineStr">
        <is>
          <t>Reported day</t>
        </is>
      </c>
      <c r="V19" t="inlineStr">
        <is>
          <t>Reported</t>
        </is>
      </c>
      <c r="W19" t="n">
        <v>18.5</v>
      </c>
      <c r="X19" t="n">
        <v>18.5</v>
      </c>
      <c r="Y19" t="inlineStr">
        <is>
          <t>Point</t>
        </is>
      </c>
      <c r="Z19" t="inlineStr">
        <is>
          <t>Stated</t>
        </is>
      </c>
      <c r="AA19" t="inlineStr">
        <is>
          <t>USD</t>
        </is>
      </c>
      <c r="AB19" t="inlineStr">
        <is>
          <t>Yes</t>
        </is>
      </c>
      <c r="AD19" t="inlineStr">
        <is>
          <t>Fin: not stated; DD required: not stated; DD open: no; Excl: not stated</t>
        </is>
      </c>
      <c r="AK19" t="n">
        <v>33</v>
      </c>
      <c r="AM19" t="inlineStr">
        <is>
          <t>Mac-Gray</t>
        </is>
      </c>
    </row>
    <row r="20">
      <c r="A20" t="n">
        <v>18</v>
      </c>
      <c r="B20" t="inlineStr">
        <is>
          <t>by 07/23/2013</t>
        </is>
      </c>
      <c r="C20" t="inlineStr">
        <is>
          <t>16 financial NDA signers (inferred residual)</t>
        </is>
      </c>
      <c r="D20" t="inlineStr">
        <is>
          <t>Did not submit</t>
        </is>
      </c>
      <c r="E20" t="n">
        <v>1</v>
      </c>
      <c r="F20" t="inlineStr">
        <is>
          <t>1</t>
        </is>
      </c>
      <c r="G20" t="inlineStr">
        <is>
          <t>Financial</t>
        </is>
      </c>
      <c r="H20" t="inlineStr">
        <is>
          <t>Inferred: residual -- 18 financial NDA signers − Party B − Party C = 16 non-submitters at the preliminary-IOI deadline. The filing names no IOI from any other financial signer; agency is unknown and no notice or reason is reported.</t>
        </is>
      </c>
      <c r="K20" t="inlineStr">
        <is>
          <t>Calculated from "18 financial bidders (including Party B and Party C), entered into confidentiality agreements" (p.32) and the three preliminary indications from CSC/Pamplona, Party B and Party C (pp.33–34). Inferred closing at the solicitation due date.</t>
        </is>
      </c>
      <c r="M20" t="inlineStr">
        <is>
          <t>Q3; Q4</t>
        </is>
      </c>
      <c r="O20" t="inlineStr">
        <is>
          <t>R018</t>
        </is>
      </c>
      <c r="P20" t="inlineStr">
        <is>
          <t>Yes</t>
        </is>
      </c>
      <c r="Q20" t="n">
        <v>16</v>
      </c>
      <c r="S20" t="inlineStr">
        <is>
          <t>07/23/2013</t>
        </is>
      </c>
      <c r="T20" t="inlineStr">
        <is>
          <t>07/23/2013</t>
        </is>
      </c>
      <c r="U20" t="inlineStr">
        <is>
          <t>Relative only</t>
        </is>
      </c>
      <c r="V20" t="inlineStr">
        <is>
          <t>Assigned: deadline</t>
        </is>
      </c>
      <c r="AH20" t="inlineStr">
        <is>
          <t>Unknown</t>
        </is>
      </c>
      <c r="AI20" t="inlineStr">
        <is>
          <t>Not stated</t>
        </is>
      </c>
      <c r="AJ20" t="inlineStr">
        <is>
          <t>Inferred: residual</t>
        </is>
      </c>
      <c r="AK20" t="n">
        <v>32</v>
      </c>
      <c r="AM20" t="inlineStr">
        <is>
          <t>Mac-Gray</t>
        </is>
      </c>
    </row>
    <row r="21">
      <c r="A21" t="n">
        <v>19</v>
      </c>
      <c r="B21" t="inlineStr">
        <is>
          <t>07/24/2013</t>
        </is>
      </c>
      <c r="C21" t="inlineStr">
        <is>
          <t>Party B</t>
        </is>
      </c>
      <c r="D21" t="inlineStr">
        <is>
          <t>Bid</t>
        </is>
      </c>
      <c r="E21" t="n">
        <v>1</v>
      </c>
      <c r="F21" t="inlineStr">
        <is>
          <t>1</t>
        </is>
      </c>
      <c r="G21" t="inlineStr">
        <is>
          <t>Financial</t>
        </is>
      </c>
      <c r="H21" t="inlineStr">
        <is>
          <t>Preliminary indication of interest at an all-cash price of $17.00 to $18.00 per share.</t>
        </is>
      </c>
      <c r="I21" t="inlineStr">
        <is>
          <t>Informal</t>
        </is>
      </c>
      <c r="J21" t="inlineStr">
        <is>
          <t>Heavy</t>
        </is>
      </c>
      <c r="K21" t="inlineStr">
        <is>
          <t>Stated: "On July 24, 2013, Party B submitted a preliminary indication of interest at an all-cash purchase price of $17.00 to $18.00 per share." (p.33) Formality: Informal — preliminary indication. Conditions: Heavy by context — before substantive diligence access.</t>
        </is>
      </c>
      <c r="M21" t="inlineStr">
        <is>
          <t>Q5; Q6</t>
        </is>
      </c>
      <c r="O21" t="inlineStr">
        <is>
          <t>R019</t>
        </is>
      </c>
      <c r="P21" t="inlineStr">
        <is>
          <t>Yes</t>
        </is>
      </c>
      <c r="Q21" t="n">
        <v>1</v>
      </c>
      <c r="R21" t="inlineStr">
        <is>
          <t>07/24/2013</t>
        </is>
      </c>
      <c r="S21" t="inlineStr">
        <is>
          <t>07/24/2013</t>
        </is>
      </c>
      <c r="T21" t="inlineStr">
        <is>
          <t>07/24/2013</t>
        </is>
      </c>
      <c r="U21" t="inlineStr">
        <is>
          <t>Reported day</t>
        </is>
      </c>
      <c r="V21" t="inlineStr">
        <is>
          <t>Reported</t>
        </is>
      </c>
      <c r="W21" t="n">
        <v>17</v>
      </c>
      <c r="X21" t="n">
        <v>18</v>
      </c>
      <c r="Y21" t="inlineStr">
        <is>
          <t>Bidder range</t>
        </is>
      </c>
      <c r="Z21" t="inlineStr">
        <is>
          <t>Stated</t>
        </is>
      </c>
      <c r="AA21" t="inlineStr">
        <is>
          <t>USD</t>
        </is>
      </c>
      <c r="AB21" t="inlineStr">
        <is>
          <t>Yes</t>
        </is>
      </c>
      <c r="AD21" t="inlineStr">
        <is>
          <t>Fin: not stated; DD required: not stated; DD open: no; Excl: not stated</t>
        </is>
      </c>
      <c r="AK21" t="n">
        <v>33</v>
      </c>
      <c r="AM21" t="inlineStr">
        <is>
          <t>Mac-Gray</t>
        </is>
      </c>
    </row>
    <row r="22">
      <c r="A22" t="n">
        <v>20</v>
      </c>
      <c r="B22" t="inlineStr">
        <is>
          <t>07/24/2013</t>
        </is>
      </c>
      <c r="C22" t="inlineStr">
        <is>
          <t>Party C</t>
        </is>
      </c>
      <c r="D22" t="inlineStr">
        <is>
          <t>Bid</t>
        </is>
      </c>
      <c r="E22" t="n">
        <v>1</v>
      </c>
      <c r="F22" t="inlineStr">
        <is>
          <t>1</t>
        </is>
      </c>
      <c r="G22" t="inlineStr">
        <is>
          <t>Financial</t>
        </is>
      </c>
      <c r="H22" t="inlineStr">
        <is>
          <t>Oral preliminary indication of interest at an all-cash price of $15.00 to $17.00 per share, presented by telephone to BofA Merrill Lynch.</t>
        </is>
      </c>
      <c r="I22" t="inlineStr">
        <is>
          <t>Informal</t>
        </is>
      </c>
      <c r="J22" t="inlineStr">
        <is>
          <t>Heavy</t>
        </is>
      </c>
      <c r="K22" t="inlineStr">
        <is>
          <t>Stated: "Also on July 24, 2013, representatives from Party C called BofA Merrill Lynch and presented an oral preliminary indication of interest at an all-cash purchase price of $15.00 to $17.00 per share." (p.33) Formality: Informal — oral preliminary indication. Conditions: Heavy by context.</t>
        </is>
      </c>
      <c r="M22" t="inlineStr">
        <is>
          <t>Q5; Q6</t>
        </is>
      </c>
      <c r="O22" t="inlineStr">
        <is>
          <t>R020</t>
        </is>
      </c>
      <c r="P22" t="inlineStr">
        <is>
          <t>Yes</t>
        </is>
      </c>
      <c r="Q22" t="n">
        <v>1</v>
      </c>
      <c r="R22" t="inlineStr">
        <is>
          <t>07/24/2013</t>
        </is>
      </c>
      <c r="S22" t="inlineStr">
        <is>
          <t>07/24/2013</t>
        </is>
      </c>
      <c r="T22" t="inlineStr">
        <is>
          <t>07/24/2013</t>
        </is>
      </c>
      <c r="U22" t="inlineStr">
        <is>
          <t>Reported day</t>
        </is>
      </c>
      <c r="V22" t="inlineStr">
        <is>
          <t>Reported</t>
        </is>
      </c>
      <c r="W22" t="n">
        <v>15</v>
      </c>
      <c r="X22" t="n">
        <v>17</v>
      </c>
      <c r="Y22" t="inlineStr">
        <is>
          <t>Bidder range</t>
        </is>
      </c>
      <c r="Z22" t="inlineStr">
        <is>
          <t>Stated</t>
        </is>
      </c>
      <c r="AA22" t="inlineStr">
        <is>
          <t>USD</t>
        </is>
      </c>
      <c r="AB22" t="inlineStr">
        <is>
          <t>Yes</t>
        </is>
      </c>
      <c r="AD22" t="inlineStr">
        <is>
          <t>Fin: not stated; DD required: not stated; DD open: no; Excl: not stated</t>
        </is>
      </c>
      <c r="AK22" t="n">
        <v>33</v>
      </c>
      <c r="AM22" t="inlineStr">
        <is>
          <t>Mac-Gray</t>
        </is>
      </c>
    </row>
    <row r="23">
      <c r="A23" t="n">
        <v>21</v>
      </c>
      <c r="B23" t="inlineStr">
        <is>
          <t>07/25/2013</t>
        </is>
      </c>
      <c r="C23" t="inlineStr">
        <is>
          <t>Party C</t>
        </is>
      </c>
      <c r="D23" t="inlineStr">
        <is>
          <t>Bid</t>
        </is>
      </c>
      <c r="E23" t="n">
        <v>1</v>
      </c>
      <c r="F23" t="inlineStr">
        <is>
          <t>1</t>
        </is>
      </c>
      <c r="G23" t="inlineStr">
        <is>
          <t>Financial</t>
        </is>
      </c>
      <c r="H23" t="inlineStr">
        <is>
          <t>Written indication of interest at an all-cash price of $16.00 to $16.50 per share, superseding the 07/24/2013 oral range.</t>
        </is>
      </c>
      <c r="I23" t="inlineStr">
        <is>
          <t>Informal</t>
        </is>
      </c>
      <c r="J23" t="inlineStr">
        <is>
          <t>Heavy</t>
        </is>
      </c>
      <c r="K23" t="inlineStr">
        <is>
          <t>Stated: "Later on July 25, 2013, Party C submitted a written indication of interest at an all-cash purchase price of $16.00 to $16.50 per share." (p.34) Formality: Informal — preliminary indication. Conditions: Heavy by context.</t>
        </is>
      </c>
      <c r="M23" t="inlineStr">
        <is>
          <t>Q5; Q6</t>
        </is>
      </c>
      <c r="O23" t="inlineStr">
        <is>
          <t>R021</t>
        </is>
      </c>
      <c r="P23" t="inlineStr">
        <is>
          <t>Yes</t>
        </is>
      </c>
      <c r="Q23" t="n">
        <v>0</v>
      </c>
      <c r="R23" t="inlineStr">
        <is>
          <t>07/25/2013</t>
        </is>
      </c>
      <c r="S23" t="inlineStr">
        <is>
          <t>07/25/2013</t>
        </is>
      </c>
      <c r="T23" t="inlineStr">
        <is>
          <t>07/25/2013</t>
        </is>
      </c>
      <c r="U23" t="inlineStr">
        <is>
          <t>Reported day</t>
        </is>
      </c>
      <c r="V23" t="inlineStr">
        <is>
          <t>Reported</t>
        </is>
      </c>
      <c r="W23" t="n">
        <v>16</v>
      </c>
      <c r="X23" t="n">
        <v>16.5</v>
      </c>
      <c r="Y23" t="inlineStr">
        <is>
          <t>Bidder range</t>
        </is>
      </c>
      <c r="Z23" t="inlineStr">
        <is>
          <t>Stated</t>
        </is>
      </c>
      <c r="AA23" t="inlineStr">
        <is>
          <t>USD</t>
        </is>
      </c>
      <c r="AB23" t="inlineStr">
        <is>
          <t>Yes</t>
        </is>
      </c>
      <c r="AD23" t="inlineStr">
        <is>
          <t>Fin: not stated; DD required: not stated; DD open: no; Excl: not stated</t>
        </is>
      </c>
      <c r="AK23" t="n">
        <v>34</v>
      </c>
      <c r="AL23" t="inlineStr">
        <is>
          <t>supersedes R020</t>
        </is>
      </c>
      <c r="AM23" t="inlineStr">
        <is>
          <t>Mac-Gray</t>
        </is>
      </c>
    </row>
    <row r="24">
      <c r="A24" t="n">
        <v>22</v>
      </c>
      <c r="B24" t="inlineStr">
        <is>
          <t>07/25/2013</t>
        </is>
      </c>
      <c r="C24" t="inlineStr">
        <is>
          <t>Mac-Gray (Special Committee) / BofA Merrill Lynch</t>
        </is>
      </c>
      <c r="D24" t="inlineStr">
        <is>
          <t>Round opened</t>
        </is>
      </c>
      <c r="E24" t="n">
        <v>1</v>
      </c>
      <c r="F24" t="inlineStr">
        <is>
          <t>2</t>
        </is>
      </c>
      <c r="H24" t="inlineStr">
        <is>
          <t>Round 2 objective: management meetings with the four interested bidders (Party A if it signed a confidentiality agreement, Party B, Party C, CSC/Pamplona), staged diligence and revised indications of interest. The Committee reviewed the IOIs and found them lower than expected, expecting strategic parties to improve after diligence; authorized staged disclosure and management meetings, then a letter requesting revised written proposals (R025). Party A’s standing round-0 proposal (R006) was reviewed here, so Party A counts as a round-2 participant. Finality: Not final — revised indications, no finality announcement.</t>
        </is>
      </c>
      <c r="K24" t="inlineStr">
        <is>
          <t>Stated: "the Special Committee authorized and instructed BofA Merrill Lynch to proceed with the staged disclosure as discussed at this meeting and to reach out to each of the four interested bidders and arrange management meetings." (p.34); management presentations were held for Party B (08/06), Party C (08/08), CSC/Pamplona (08/12) and Party A (08/14) (p.34).</t>
        </is>
      </c>
      <c r="M24" t="inlineStr">
        <is>
          <t>Q1</t>
        </is>
      </c>
      <c r="O24" t="inlineStr">
        <is>
          <t>R022</t>
        </is>
      </c>
      <c r="P24" t="inlineStr">
        <is>
          <t>Yes</t>
        </is>
      </c>
      <c r="R24" t="inlineStr">
        <is>
          <t>07/25/2013</t>
        </is>
      </c>
      <c r="S24" t="inlineStr">
        <is>
          <t>07/25/2013</t>
        </is>
      </c>
      <c r="T24" t="inlineStr">
        <is>
          <t>07/25/2013</t>
        </is>
      </c>
      <c r="U24" t="inlineStr">
        <is>
          <t>Reported day</t>
        </is>
      </c>
      <c r="V24" t="inlineStr">
        <is>
          <t>Assigned: decision day</t>
        </is>
      </c>
      <c r="AG24" t="inlineStr">
        <is>
          <t>Not final</t>
        </is>
      </c>
      <c r="AK24" t="n">
        <v>33</v>
      </c>
      <c r="AM24" t="inlineStr">
        <is>
          <t>Mac-Gray</t>
        </is>
      </c>
    </row>
    <row r="25">
      <c r="A25" t="n">
        <v>23</v>
      </c>
      <c r="B25" t="inlineStr">
        <is>
          <t>08/05/2013</t>
        </is>
      </c>
      <c r="C25" t="inlineStr">
        <is>
          <t>Party A</t>
        </is>
      </c>
      <c r="D25" t="inlineStr">
        <is>
          <t>NDA signed</t>
        </is>
      </c>
      <c r="E25" t="n">
        <v>1</v>
      </c>
      <c r="F25" t="inlineStr">
        <is>
          <t>2</t>
        </is>
      </c>
      <c r="G25" t="inlineStr">
        <is>
          <t>Strategic</t>
        </is>
      </c>
      <c r="H25" t="inlineStr">
        <is>
          <t>After NDA negotiations resumed 07/27/2013 (the parties agreed on customer and employee non-solicitation provisions), Party A entered a confidentiality and standstill agreement and received the informational package to potentially improve its June 21 proposal. Negotiations had stalled 07/11–07/23/2013 on the non-solicitation terms.</t>
        </is>
      </c>
      <c r="K25" t="inlineStr">
        <is>
          <t>Stated: "Discussions with Party A resumed on July 27, 2103 and Party A and the Transaction Committee agreed to the terms of the customer and employee non-solicitation provisions. On August 5, 2013, Party A entered into a confidentiality and standstill agreement with Mac-Gray and was provided with an informational package for the purpose of providing Party A with data to potentially improve the terms of the Party A June 21 proposal." (p.34) (source typo "2103" retained).</t>
        </is>
      </c>
      <c r="M25" t="inlineStr">
        <is>
          <t>Q3</t>
        </is>
      </c>
      <c r="O25" t="inlineStr">
        <is>
          <t>R023</t>
        </is>
      </c>
      <c r="P25" t="inlineStr">
        <is>
          <t>Yes</t>
        </is>
      </c>
      <c r="Q25" t="n">
        <v>1</v>
      </c>
      <c r="R25" t="inlineStr">
        <is>
          <t>08/05/2013</t>
        </is>
      </c>
      <c r="S25" t="inlineStr">
        <is>
          <t>08/05/2013</t>
        </is>
      </c>
      <c r="T25" t="inlineStr">
        <is>
          <t>08/05/2013</t>
        </is>
      </c>
      <c r="U25" t="inlineStr">
        <is>
          <t>Reported day</t>
        </is>
      </c>
      <c r="V25" t="inlineStr">
        <is>
          <t>Reported</t>
        </is>
      </c>
      <c r="AK25" t="n">
        <v>34</v>
      </c>
      <c r="AM25" t="inlineStr">
        <is>
          <t>Mac-Gray</t>
        </is>
      </c>
    </row>
    <row r="26">
      <c r="A26" t="n">
        <v>24</v>
      </c>
      <c r="B26" t="inlineStr">
        <is>
          <t>08/06/2013–08/27/2013</t>
        </is>
      </c>
      <c r="C26" t="inlineStr">
        <is>
          <t>Party A; CSC/Pamplona (strategic) vs Party B; Party C (financial)</t>
        </is>
      </c>
      <c r="D26" t="inlineStr">
        <is>
          <t>Information access changed</t>
        </is>
      </c>
      <c r="E26" t="n">
        <v>1</v>
      </c>
      <c r="F26" t="inlineStr">
        <is>
          <t>2</t>
        </is>
      </c>
      <c r="H26" t="inlineStr">
        <is>
          <t>Differentiated access by bidder type, implementing the 07/25/2013 staging decision: Party B and Party C, as financial bidders, were given broad electronic data-site access; Party A and CSC/Pamplona, as strategic bidders, were given somewhat limited access, with customer data (including customer locations) reserved until later in the process; Party A and CSC/Pamplona also held synergy discussions with management. All four received management presentations.</t>
        </is>
      </c>
      <c r="K26" t="inlineStr">
        <is>
          <t>Stated: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 th Special Committee meeting." (p.34)</t>
        </is>
      </c>
      <c r="M26" t="inlineStr">
        <is>
          <t>Q1</t>
        </is>
      </c>
      <c r="O26" t="inlineStr">
        <is>
          <t>R024</t>
        </is>
      </c>
      <c r="P26" t="inlineStr">
        <is>
          <t>Yes</t>
        </is>
      </c>
      <c r="R26" t="inlineStr">
        <is>
          <t>08/06/2013</t>
        </is>
      </c>
      <c r="S26" t="inlineStr">
        <is>
          <t>08/27/2013</t>
        </is>
      </c>
      <c r="T26" t="inlineStr">
        <is>
          <t>08/06/2013</t>
        </is>
      </c>
      <c r="U26" t="inlineStr">
        <is>
          <t>Reported interval</t>
        </is>
      </c>
      <c r="V26" t="inlineStr">
        <is>
          <t>Assigned: bound</t>
        </is>
      </c>
      <c r="AK26" t="n">
        <v>34</v>
      </c>
      <c r="AM26" t="inlineStr">
        <is>
          <t>Mac-Gray</t>
        </is>
      </c>
    </row>
    <row r="27">
      <c r="A27" t="n">
        <v>25</v>
      </c>
      <c r="B27" t="inlineStr">
        <is>
          <t>08/27/2013</t>
        </is>
      </c>
      <c r="C27" t="inlineStr">
        <is>
          <t>Mac-Gray / BofA Merrill Lynch</t>
        </is>
      </c>
      <c r="D27" t="inlineStr">
        <is>
          <t>Deadline set</t>
        </is>
      </c>
      <c r="E27" t="n">
        <v>1</v>
      </c>
      <c r="F27" t="inlineStr">
        <is>
          <t>2</t>
        </is>
      </c>
      <c r="H27" t="inlineStr">
        <is>
          <t>Letter to each of Party A, Party B, Party C and CSC/Pamplona instructing revised written proposals no later than 09/09/2013 if the bidder wished to continue to an in-depth evaluation, addressing valuation, sources and structures of financing, regulatory approvals, other post-signing covenants and due-diligence focus areas. Authorized at the 08/15/2013 Special Committee meeting once diligence was substantially complete.</t>
        </is>
      </c>
      <c r="K27" t="inlineStr">
        <is>
          <t>Stated: "On August 27, 2013, BofA Merrill Lynch, as instructed by the Special Committee, sent a letter to each of Party A, Party B, Party C and CSC/Pamplona instructing such bidders to submit revised written proposals no later than September 9, 2013 if such bidders wished to proceed further in the process to pursue an in-depth evaluation of Mac-Gray with the objective of making a revised offer." (p.35) and the letter "requested that the revised proposals address, among other things, valuation, sources and structures of financing, regulatory approvals and other post-signing covenants and focus areas for due diligence." (p.35)</t>
        </is>
      </c>
      <c r="M27" t="inlineStr">
        <is>
          <t>Q2</t>
        </is>
      </c>
      <c r="O27" t="inlineStr">
        <is>
          <t>R025</t>
        </is>
      </c>
      <c r="P27" t="inlineStr">
        <is>
          <t>Yes</t>
        </is>
      </c>
      <c r="R27" t="inlineStr">
        <is>
          <t>08/27/2013</t>
        </is>
      </c>
      <c r="S27" t="inlineStr">
        <is>
          <t>08/27/2013</t>
        </is>
      </c>
      <c r="T27" t="inlineStr">
        <is>
          <t>08/27/2013</t>
        </is>
      </c>
      <c r="U27" t="inlineStr">
        <is>
          <t>Reported day</t>
        </is>
      </c>
      <c r="V27" t="inlineStr">
        <is>
          <t>Reported</t>
        </is>
      </c>
      <c r="AE27" t="inlineStr">
        <is>
          <t>09/09/2013</t>
        </is>
      </c>
      <c r="AK27" t="n">
        <v>35</v>
      </c>
      <c r="AM27" t="inlineStr">
        <is>
          <t>Mac-Gray</t>
        </is>
      </c>
    </row>
    <row r="28">
      <c r="A28" t="n">
        <v>26</v>
      </c>
      <c r="B28" t="inlineStr">
        <is>
          <t>09/09/2013</t>
        </is>
      </c>
      <c r="C28" t="inlineStr">
        <is>
          <t>Mac-Gray / BofA Merrill Lynch</t>
        </is>
      </c>
      <c r="D28" t="inlineStr">
        <is>
          <t>Deadline</t>
        </is>
      </c>
      <c r="E28" t="n">
        <v>1</v>
      </c>
      <c r="F28" t="inlineStr">
        <is>
          <t>2</t>
        </is>
      </c>
      <c r="H28" t="inlineStr">
        <is>
          <t>Revised-proposal due date reached. Treatment: Late bids accepted — Party A and Party C submitted revised oral indications on 09/10/2013 and the Special Committee reviewed all four revised indications on 09/11/2013. No extension is reported.</t>
        </is>
      </c>
      <c r="K28" t="inlineStr">
        <is>
          <t>Stated: "On September 10, 2013, Party A submitted a revised indication of interest with an all-cash purchase price of $18.00 to $19.00 per share, to be financed by outstanding credit facilities or affiliated equity sources." and "Also on September 10, 2013, in a telephone call to a representative of BofA Merrill Lynch, a representative of Party C indicated that it was submitting a revised oral indication of interest with an all-cash purchase price of $16.00 to $17.00 per share." (p.35); the Committee reviewed the revised indications on 09/11/2013 (p.35).</t>
        </is>
      </c>
      <c r="M28" t="inlineStr">
        <is>
          <t>Q2</t>
        </is>
      </c>
      <c r="O28" t="inlineStr">
        <is>
          <t>R026</t>
        </is>
      </c>
      <c r="P28" t="inlineStr">
        <is>
          <t>Yes</t>
        </is>
      </c>
      <c r="R28" t="inlineStr">
        <is>
          <t>09/09/2013</t>
        </is>
      </c>
      <c r="S28" t="inlineStr">
        <is>
          <t>09/09/2013</t>
        </is>
      </c>
      <c r="T28" t="inlineStr">
        <is>
          <t>09/09/2013</t>
        </is>
      </c>
      <c r="U28" t="inlineStr">
        <is>
          <t>Reported day</t>
        </is>
      </c>
      <c r="V28" t="inlineStr">
        <is>
          <t>Reported</t>
        </is>
      </c>
      <c r="AE28" t="inlineStr">
        <is>
          <t>09/09/2013</t>
        </is>
      </c>
      <c r="AF28" t="inlineStr">
        <is>
          <t>Late bids accepted</t>
        </is>
      </c>
      <c r="AK28" t="n">
        <v>35</v>
      </c>
      <c r="AM28" t="inlineStr">
        <is>
          <t>Mac-Gray</t>
        </is>
      </c>
    </row>
    <row r="29">
      <c r="A29" t="n">
        <v>27</v>
      </c>
      <c r="B29" t="inlineStr">
        <is>
          <t>09/09/2013</t>
        </is>
      </c>
      <c r="C29" t="inlineStr">
        <is>
          <t>CSC/Pamplona</t>
        </is>
      </c>
      <c r="D29" t="inlineStr">
        <is>
          <t>Bid</t>
        </is>
      </c>
      <c r="E29" t="n">
        <v>1</v>
      </c>
      <c r="F29" t="inlineStr">
        <is>
          <t>2</t>
        </is>
      </c>
      <c r="G29" t="inlineStr">
        <is>
          <t>Strategic</t>
        </is>
      </c>
      <c r="H29" t="inlineStr">
        <is>
          <t>Revised indication of interest at $19.50 per share, all cash; Pamplona committed to provide 100% of the capital required; requested two weeks of exclusive negotiations with Mac-Gray. Exclusivity requested (2 weeks); not yet granted.</t>
        </is>
      </c>
      <c r="I29" t="inlineStr">
        <is>
          <t>Informal</t>
        </is>
      </c>
      <c r="J29" t="inlineStr">
        <is>
          <t>Light</t>
        </is>
      </c>
      <c r="K29" t="inlineStr">
        <is>
          <t>Stated: "On September 9, 2013,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(p.35) Formality: Informal — revised indication, no markup or final-solicitation response. Conditions: Light — committed financing and no diligence condition stated, but diligence work continued into September.</t>
        </is>
      </c>
      <c r="M29" t="inlineStr">
        <is>
          <t>Q5; Q6</t>
        </is>
      </c>
      <c r="O29" t="inlineStr">
        <is>
          <t>R027</t>
        </is>
      </c>
      <c r="P29" t="inlineStr">
        <is>
          <t>Yes</t>
        </is>
      </c>
      <c r="Q29" t="n">
        <v>1</v>
      </c>
      <c r="R29" t="inlineStr">
        <is>
          <t>09/09/2013</t>
        </is>
      </c>
      <c r="S29" t="inlineStr">
        <is>
          <t>09/09/2013</t>
        </is>
      </c>
      <c r="T29" t="inlineStr">
        <is>
          <t>09/09/2013</t>
        </is>
      </c>
      <c r="U29" t="inlineStr">
        <is>
          <t>Reported day</t>
        </is>
      </c>
      <c r="V29" t="inlineStr">
        <is>
          <t>Reported</t>
        </is>
      </c>
      <c r="W29" t="n">
        <v>19.5</v>
      </c>
      <c r="X29" t="n">
        <v>19.5</v>
      </c>
      <c r="Y29" t="inlineStr">
        <is>
          <t>Point</t>
        </is>
      </c>
      <c r="Z29" t="inlineStr">
        <is>
          <t>Stated</t>
        </is>
      </c>
      <c r="AA29" t="inlineStr">
        <is>
          <t>USD</t>
        </is>
      </c>
      <c r="AB29" t="inlineStr">
        <is>
          <t>Yes</t>
        </is>
      </c>
      <c r="AD29" t="inlineStr">
        <is>
          <t>Fin: committed; DD required: not stated; DD open: yes; Excl: requested (2 wks)</t>
        </is>
      </c>
      <c r="AK29" t="n">
        <v>35</v>
      </c>
      <c r="AM29" t="inlineStr">
        <is>
          <t>Mac-Gray</t>
        </is>
      </c>
    </row>
    <row r="30">
      <c r="A30" t="n">
        <v>28</v>
      </c>
      <c r="B30" t="inlineStr">
        <is>
          <t>09/09/2013</t>
        </is>
      </c>
      <c r="C30" t="inlineStr">
        <is>
          <t>Party B</t>
        </is>
      </c>
      <c r="D30" t="inlineStr">
        <is>
          <t>Bid</t>
        </is>
      </c>
      <c r="E30" t="n">
        <v>1</v>
      </c>
      <c r="F30" t="inlineStr">
        <is>
          <t>2</t>
        </is>
      </c>
      <c r="G30" t="inlineStr">
        <is>
          <t>Financial</t>
        </is>
      </c>
      <c r="H30" t="inlineStr">
        <is>
          <t>Revised indication of interest at $18.50 per share, all cash, proposed to be financed with a combination of equity from affiliated funds and third-party debt; no firm financing commitment.</t>
        </is>
      </c>
      <c r="I30" t="inlineStr">
        <is>
          <t>Informal</t>
        </is>
      </c>
      <c r="J30" t="inlineStr">
        <is>
          <t>Heavy</t>
        </is>
      </c>
      <c r="K30" t="inlineStr">
        <is>
          <t>Stated: "On September 9, 2013,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 (p.35) Formality: Informal. Conditions: Heavy — financing not committed.</t>
        </is>
      </c>
      <c r="M30" t="inlineStr">
        <is>
          <t>Q5; Q6</t>
        </is>
      </c>
      <c r="O30" t="inlineStr">
        <is>
          <t>R028</t>
        </is>
      </c>
      <c r="P30" t="inlineStr">
        <is>
          <t>Yes</t>
        </is>
      </c>
      <c r="Q30" t="n">
        <v>1</v>
      </c>
      <c r="R30" t="inlineStr">
        <is>
          <t>09/09/2013</t>
        </is>
      </c>
      <c r="S30" t="inlineStr">
        <is>
          <t>09/09/2013</t>
        </is>
      </c>
      <c r="T30" t="inlineStr">
        <is>
          <t>09/09/2013</t>
        </is>
      </c>
      <c r="U30" t="inlineStr">
        <is>
          <t>Reported day</t>
        </is>
      </c>
      <c r="V30" t="inlineStr">
        <is>
          <t>Reported</t>
        </is>
      </c>
      <c r="W30" t="n">
        <v>18.5</v>
      </c>
      <c r="X30" t="n">
        <v>18.5</v>
      </c>
      <c r="Y30" t="inlineStr">
        <is>
          <t>Point</t>
        </is>
      </c>
      <c r="Z30" t="inlineStr">
        <is>
          <t>Stated</t>
        </is>
      </c>
      <c r="AA30" t="inlineStr">
        <is>
          <t>USD</t>
        </is>
      </c>
      <c r="AB30" t="inlineStr">
        <is>
          <t>Yes</t>
        </is>
      </c>
      <c r="AD30" t="inlineStr">
        <is>
          <t>Fin: not committed; DD required: not stated; DD open: yes; Excl: not stated</t>
        </is>
      </c>
      <c r="AK30" t="n">
        <v>35</v>
      </c>
      <c r="AM30" t="inlineStr">
        <is>
          <t>Mac-Gray</t>
        </is>
      </c>
    </row>
    <row r="31">
      <c r="A31" t="n">
        <v>29</v>
      </c>
      <c r="B31" t="inlineStr">
        <is>
          <t>09/10/2013</t>
        </is>
      </c>
      <c r="C31" t="inlineStr">
        <is>
          <t>Party A</t>
        </is>
      </c>
      <c r="D31" t="inlineStr">
        <is>
          <t>Bid</t>
        </is>
      </c>
      <c r="E31" t="n">
        <v>1</v>
      </c>
      <c r="F31" t="inlineStr">
        <is>
          <t>2</t>
        </is>
      </c>
      <c r="G31" t="inlineStr">
        <is>
          <t>Strategic</t>
        </is>
      </c>
      <c r="H31" t="inlineStr">
        <is>
          <t>Revised indication of interest at $18.00 to $19.00 per share, all cash, to be financed by outstanding credit facilities or affiliated equity sources; no firm financing commitment.</t>
        </is>
      </c>
      <c r="I31" t="inlineStr">
        <is>
          <t>Informal</t>
        </is>
      </c>
      <c r="J31" t="inlineStr">
        <is>
          <t>Heavy</t>
        </is>
      </c>
      <c r="K31" t="inlineStr">
        <is>
          <t>Stated: "On September 10, 2013, Party A submitted a revised indication of interest with an all-cash purchase price of $18.00 to $19.00 per share, to be financed by outstanding credit facilities or affiliated equity sources." and "Neither Party A’s nor Party C’s revised indication of interest included a firm financing commitment." (p.35) Formality: Informal. Conditions: Heavy — financing not committed.</t>
        </is>
      </c>
      <c r="M31" t="inlineStr">
        <is>
          <t>Q5; Q6</t>
        </is>
      </c>
      <c r="O31" t="inlineStr">
        <is>
          <t>R029</t>
        </is>
      </c>
      <c r="P31" t="inlineStr">
        <is>
          <t>Yes</t>
        </is>
      </c>
      <c r="Q31" t="n">
        <v>1</v>
      </c>
      <c r="R31" t="inlineStr">
        <is>
          <t>09/10/2013</t>
        </is>
      </c>
      <c r="S31" t="inlineStr">
        <is>
          <t>09/10/2013</t>
        </is>
      </c>
      <c r="T31" t="inlineStr">
        <is>
          <t>09/10/2013</t>
        </is>
      </c>
      <c r="U31" t="inlineStr">
        <is>
          <t>Reported day</t>
        </is>
      </c>
      <c r="V31" t="inlineStr">
        <is>
          <t>Reported</t>
        </is>
      </c>
      <c r="W31" t="n">
        <v>18</v>
      </c>
      <c r="X31" t="n">
        <v>19</v>
      </c>
      <c r="Y31" t="inlineStr">
        <is>
          <t>Bidder range</t>
        </is>
      </c>
      <c r="Z31" t="inlineStr">
        <is>
          <t>Stated</t>
        </is>
      </c>
      <c r="AA31" t="inlineStr">
        <is>
          <t>USD</t>
        </is>
      </c>
      <c r="AB31" t="inlineStr">
        <is>
          <t>Yes</t>
        </is>
      </c>
      <c r="AD31" t="inlineStr">
        <is>
          <t>Fin: not committed; DD required: not stated; DD open: yes; Excl: not stated</t>
        </is>
      </c>
      <c r="AK31" t="n">
        <v>35</v>
      </c>
      <c r="AM31" t="inlineStr">
        <is>
          <t>Mac-Gray</t>
        </is>
      </c>
    </row>
    <row r="32">
      <c r="A32" t="n">
        <v>30</v>
      </c>
      <c r="B32" t="inlineStr">
        <is>
          <t>09/10/2013</t>
        </is>
      </c>
      <c r="C32" t="inlineStr">
        <is>
          <t>Party C</t>
        </is>
      </c>
      <c r="D32" t="inlineStr">
        <is>
          <t>Bid</t>
        </is>
      </c>
      <c r="E32" t="n">
        <v>1</v>
      </c>
      <c r="F32" t="inlineStr">
        <is>
          <t>2</t>
        </is>
      </c>
      <c r="G32" t="inlineStr">
        <is>
          <t>Financial</t>
        </is>
      </c>
      <c r="H32" t="inlineStr">
        <is>
          <t>Revised oral indication of interest at $16.00 to $17.00 per share, all cash; no firm financing commitment.</t>
        </is>
      </c>
      <c r="I32" t="inlineStr">
        <is>
          <t>Informal</t>
        </is>
      </c>
      <c r="J32" t="inlineStr">
        <is>
          <t>Heavy</t>
        </is>
      </c>
      <c r="K32" t="inlineStr">
        <is>
          <t>Stated: "Also on September 10, 2013, in a telephone call to a representative of BofA Merrill Lynch, a representative of Party C indicated that it was submitting a revised oral indication of interest with an all-cash purchase price of $16.00 to $17.00 per share." (p.35) Formality: Informal. Conditions: Heavy — financing not committed.</t>
        </is>
      </c>
      <c r="M32" t="inlineStr">
        <is>
          <t>Q5; Q6</t>
        </is>
      </c>
      <c r="O32" t="inlineStr">
        <is>
          <t>R030</t>
        </is>
      </c>
      <c r="P32" t="inlineStr">
        <is>
          <t>Yes</t>
        </is>
      </c>
      <c r="Q32" t="n">
        <v>1</v>
      </c>
      <c r="R32" t="inlineStr">
        <is>
          <t>09/10/2013</t>
        </is>
      </c>
      <c r="S32" t="inlineStr">
        <is>
          <t>09/10/2013</t>
        </is>
      </c>
      <c r="T32" t="inlineStr">
        <is>
          <t>09/10/2013</t>
        </is>
      </c>
      <c r="U32" t="inlineStr">
        <is>
          <t>Reported day</t>
        </is>
      </c>
      <c r="V32" t="inlineStr">
        <is>
          <t>Reported</t>
        </is>
      </c>
      <c r="W32" t="n">
        <v>16</v>
      </c>
      <c r="X32" t="n">
        <v>17</v>
      </c>
      <c r="Y32" t="inlineStr">
        <is>
          <t>Bidder range</t>
        </is>
      </c>
      <c r="Z32" t="inlineStr">
        <is>
          <t>Stated</t>
        </is>
      </c>
      <c r="AA32" t="inlineStr">
        <is>
          <t>USD</t>
        </is>
      </c>
      <c r="AB32" t="inlineStr">
        <is>
          <t>Yes</t>
        </is>
      </c>
      <c r="AD32" t="inlineStr">
        <is>
          <t>Fin: not committed; DD required: not stated; DD open: yes; Excl: not stated</t>
        </is>
      </c>
      <c r="AK32" t="n">
        <v>35</v>
      </c>
      <c r="AM32" t="inlineStr">
        <is>
          <t>Mac-Gray</t>
        </is>
      </c>
    </row>
    <row r="33">
      <c r="A33" t="n">
        <v>31</v>
      </c>
      <c r="B33" t="inlineStr">
        <is>
          <t>09/11/2013–09/12/2013</t>
        </is>
      </c>
      <c r="C33" t="inlineStr">
        <is>
          <t>Stewart G. MacDonald, Jr. (CEO and stockholder)</t>
        </is>
      </c>
      <c r="D33" t="inlineStr">
        <is>
          <t>Material process update</t>
        </is>
      </c>
      <c r="E33" t="n">
        <v>1</v>
      </c>
      <c r="F33" t="inlineStr">
        <is>
          <t>3</t>
        </is>
      </c>
      <c r="H33" t="inlineStr">
        <is>
          <t>Rollover relationship resolved for Mr. MacDonald: on a 09/11/2013 call he was given a limited overview (no identities or prices) and said he was not interested in rolling over any shares; the Committee considered his perspective on price critical and had him fully briefed with identities on 09/12/2013, after which he supported continuing the process but wanted higher stockholder value. His voting agreement was later requested by CSC/Pamplona and became effective at signing.</t>
        </is>
      </c>
      <c r="K33" t="inlineStr">
        <is>
          <t>Stated: "During this call, Mr. MacDonald indicated that he had decided that he was not interested in rolling over any of his shares in any transaction." (p.35); "Although Mr. MacDonald voiced his general support for continuing with the process, he expressed his view that Mac-Gray should continue to seek a higher value for stockholders." (p.36)</t>
        </is>
      </c>
      <c r="M33" t="inlineStr">
        <is>
          <t>Q8</t>
        </is>
      </c>
      <c r="O33" t="inlineStr">
        <is>
          <t>R031</t>
        </is>
      </c>
      <c r="P33" t="inlineStr">
        <is>
          <t>Yes</t>
        </is>
      </c>
      <c r="R33" t="inlineStr">
        <is>
          <t>09/11/2013</t>
        </is>
      </c>
      <c r="S33" t="inlineStr">
        <is>
          <t>09/12/2013</t>
        </is>
      </c>
      <c r="T33" t="inlineStr">
        <is>
          <t>09/11/2013</t>
        </is>
      </c>
      <c r="U33" t="inlineStr">
        <is>
          <t>Reported interval</t>
        </is>
      </c>
      <c r="V33" t="inlineStr">
        <is>
          <t>Assigned: bound</t>
        </is>
      </c>
      <c r="AK33" t="n">
        <v>36</v>
      </c>
      <c r="AM33" t="inlineStr">
        <is>
          <t>Mac-Gray</t>
        </is>
      </c>
    </row>
    <row r="34">
      <c r="A34" t="n">
        <v>32</v>
      </c>
      <c r="B34" t="inlineStr">
        <is>
          <t>09/11/2013</t>
        </is>
      </c>
      <c r="C34" t="inlineStr">
        <is>
          <t>Mac-Gray (Special Committee) / BofA Merrill Lynch</t>
        </is>
      </c>
      <c r="D34" t="inlineStr">
        <is>
          <t>Round opened</t>
        </is>
      </c>
      <c r="E34" t="n">
        <v>1</v>
      </c>
      <c r="F34" t="inlineStr">
        <is>
          <t>3</t>
        </is>
      </c>
      <c r="H34" t="inlineStr">
        <is>
          <t>Round 3 objective: final indications of interest and a possible short exclusivity period. After reviewing the revised proposals and BofA’s view that bidders were unlikely to proceed without Mr. MacDonald’s support, the Committee instructed BofA to request final indications of interest by 09/18/2013 and to indicate Mac-Gray would consider a short exclusive negotiation with one bidder depending on price and deal certainty; BofA called all four bidders the same day. Due date 09/18/2013 (carried here; no separate deadline-set row). Finality: Announced as final — the target requested "final indications of interest" with a due date, and Party A responded as its "best and final offer".</t>
        </is>
      </c>
      <c r="K34" t="inlineStr">
        <is>
          <t>Stated: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(p.36)</t>
        </is>
      </c>
      <c r="M34" t="inlineStr">
        <is>
          <t>Q1</t>
        </is>
      </c>
      <c r="O34" t="inlineStr">
        <is>
          <t>R032</t>
        </is>
      </c>
      <c r="P34" t="inlineStr">
        <is>
          <t>Yes</t>
        </is>
      </c>
      <c r="R34" t="inlineStr">
        <is>
          <t>09/11/2013</t>
        </is>
      </c>
      <c r="S34" t="inlineStr">
        <is>
          <t>09/11/2013</t>
        </is>
      </c>
      <c r="T34" t="inlineStr">
        <is>
          <t>09/11/2013</t>
        </is>
      </c>
      <c r="U34" t="inlineStr">
        <is>
          <t>Reported day</t>
        </is>
      </c>
      <c r="V34" t="inlineStr">
        <is>
          <t>Assigned: decision day</t>
        </is>
      </c>
      <c r="AE34" t="inlineStr">
        <is>
          <t>09/18/2013</t>
        </is>
      </c>
      <c r="AG34" t="inlineStr">
        <is>
          <t>Announced as final</t>
        </is>
      </c>
      <c r="AK34" t="n">
        <v>35</v>
      </c>
      <c r="AM34" t="inlineStr">
        <is>
          <t>Mac-Gray</t>
        </is>
      </c>
    </row>
    <row r="35">
      <c r="A35" t="n">
        <v>33</v>
      </c>
      <c r="B35" t="inlineStr">
        <is>
          <t>09/18/2013</t>
        </is>
      </c>
      <c r="C35" t="inlineStr">
        <is>
          <t>Mac-Gray / BofA Merrill Lynch</t>
        </is>
      </c>
      <c r="D35" t="inlineStr">
        <is>
          <t>Deadline</t>
        </is>
      </c>
      <c r="E35" t="n">
        <v>1</v>
      </c>
      <c r="F35" t="inlineStr">
        <is>
          <t>3</t>
        </is>
      </c>
      <c r="H35" t="inlineStr">
        <is>
          <t>Final-indication due date reached. Treatment: Enforced — no extension and no late acceptance; the target proceeded the next day to select CSC/Pamplona for exclusivity on the bids in hand. Party C did not submit (R037).</t>
        </is>
      </c>
      <c r="K35" t="inlineStr">
        <is>
          <t>Stated: three final indications (CSC/Pamplona, Party A, Party B) were submitted 09/18/2013 and reviewed at the 09/19/2013 Special Committee meeting (pp.36–37); "Party C did not submit a revised indication of interest or reiterate its prior indication of interest of an all-cash purchase price of $16.00 to $17.00 per share nor did it specify any reasons in connection therewith" (p.36).</t>
        </is>
      </c>
      <c r="M35" t="inlineStr">
        <is>
          <t>Q2</t>
        </is>
      </c>
      <c r="O35" t="inlineStr">
        <is>
          <t>R033</t>
        </is>
      </c>
      <c r="P35" t="inlineStr">
        <is>
          <t>Yes</t>
        </is>
      </c>
      <c r="R35" t="inlineStr">
        <is>
          <t>09/18/2013</t>
        </is>
      </c>
      <c r="S35" t="inlineStr">
        <is>
          <t>09/18/2013</t>
        </is>
      </c>
      <c r="T35" t="inlineStr">
        <is>
          <t>09/18/2013</t>
        </is>
      </c>
      <c r="U35" t="inlineStr">
        <is>
          <t>Reported day</t>
        </is>
      </c>
      <c r="V35" t="inlineStr">
        <is>
          <t>Reported</t>
        </is>
      </c>
      <c r="AE35" t="inlineStr">
        <is>
          <t>09/18/2013</t>
        </is>
      </c>
      <c r="AF35" t="inlineStr">
        <is>
          <t>Enforced</t>
        </is>
      </c>
      <c r="AK35" t="n">
        <v>36</v>
      </c>
      <c r="AM35" t="inlineStr">
        <is>
          <t>Mac-Gray</t>
        </is>
      </c>
    </row>
    <row r="36">
      <c r="A36" t="n">
        <v>34</v>
      </c>
      <c r="B36" t="inlineStr">
        <is>
          <t>09/18/2013</t>
        </is>
      </c>
      <c r="C36" t="inlineStr">
        <is>
          <t>CSC/Pamplona</t>
        </is>
      </c>
      <c r="D36" t="inlineStr">
        <is>
          <t>Bid</t>
        </is>
      </c>
      <c r="E36" t="n">
        <v>1</v>
      </c>
      <c r="F36" t="inlineStr">
        <is>
          <t>3</t>
        </is>
      </c>
      <c r="G36" t="inlineStr">
        <is>
          <t>Strategic</t>
        </is>
      </c>
      <c r="H36" t="inlineStr">
        <is>
          <t>Final indication of interest at $20.75 per share, all cash; Pamplona reiterated its commitment to provide 100% of the capital required; requested two weeks of exclusive negotiations. Exclusivity requested (2 weeks); granted 09/24/2013 (R040).</t>
        </is>
      </c>
      <c r="I36" t="inlineStr">
        <is>
          <t>Formal</t>
        </is>
      </c>
      <c r="J36" t="inlineStr">
        <is>
          <t>Light</t>
        </is>
      </c>
      <c r="K36" t="inlineStr">
        <is>
          <t>Stated: "On September 18, 2013,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(p.36) Formality: Formal — response on the requested basis to the target’s final-indication solicitation (signal 2). Conditions: Light — committed financing, no diligence condition stated; diligence still open.</t>
        </is>
      </c>
      <c r="M36" t="inlineStr">
        <is>
          <t>Q5; Q6</t>
        </is>
      </c>
      <c r="O36" t="inlineStr">
        <is>
          <t>R034</t>
        </is>
      </c>
      <c r="P36" t="inlineStr">
        <is>
          <t>Yes</t>
        </is>
      </c>
      <c r="Q36" t="n">
        <v>1</v>
      </c>
      <c r="R36" t="inlineStr">
        <is>
          <t>09/18/2013</t>
        </is>
      </c>
      <c r="S36" t="inlineStr">
        <is>
          <t>09/18/2013</t>
        </is>
      </c>
      <c r="T36" t="inlineStr">
        <is>
          <t>09/18/2013</t>
        </is>
      </c>
      <c r="U36" t="inlineStr">
        <is>
          <t>Reported day</t>
        </is>
      </c>
      <c r="V36" t="inlineStr">
        <is>
          <t>Reported</t>
        </is>
      </c>
      <c r="W36" t="n">
        <v>20.75</v>
      </c>
      <c r="X36" t="n">
        <v>20.75</v>
      </c>
      <c r="Y36" t="inlineStr">
        <is>
          <t>Point</t>
        </is>
      </c>
      <c r="Z36" t="inlineStr">
        <is>
          <t>Stated</t>
        </is>
      </c>
      <c r="AA36" t="inlineStr">
        <is>
          <t>USD</t>
        </is>
      </c>
      <c r="AB36" t="inlineStr">
        <is>
          <t>Yes</t>
        </is>
      </c>
      <c r="AD36" t="inlineStr">
        <is>
          <t>Fin: committed; DD required: not stated; DD open: yes; Excl: requested (2 wks)</t>
        </is>
      </c>
      <c r="AK36" t="n">
        <v>36</v>
      </c>
      <c r="AM36" t="inlineStr">
        <is>
          <t>Mac-Gray</t>
        </is>
      </c>
    </row>
    <row r="37">
      <c r="A37" t="n">
        <v>35</v>
      </c>
      <c r="B37" t="inlineStr">
        <is>
          <t>09/18/2013</t>
        </is>
      </c>
      <c r="C37" t="inlineStr">
        <is>
          <t>Party A</t>
        </is>
      </c>
      <c r="D37" t="inlineStr">
        <is>
          <t>Bid</t>
        </is>
      </c>
      <c r="E37" t="n">
        <v>1</v>
      </c>
      <c r="F37" t="inlineStr">
        <is>
          <t>3</t>
        </is>
      </c>
      <c r="G37" t="inlineStr">
        <is>
          <t>Strategic</t>
        </is>
      </c>
      <c r="H37" t="inlineStr">
        <is>
          <t>Reiterated by telephone that its previous $18.00 to $19.00 per share all-cash indication was its best and final offer. No firm financing commitment was ever provided.</t>
        </is>
      </c>
      <c r="I37" t="inlineStr">
        <is>
          <t>Formal</t>
        </is>
      </c>
      <c r="J37" t="inlineStr">
        <is>
          <t>Heavy</t>
        </is>
      </c>
      <c r="K37" t="inlineStr">
        <is>
          <t>Stated: "Also on September 18, 2013, Party A reiterated in a telephone call to a representative of BofA Merrill Lynch that its previous indication of interest with an all-cash purchase price of $18.00 to $19.00 per share was its best and final offer." (p.36) Formality: Formal — best-and-final response to a final solicitation (signal 2). Conditions: Heavy — financing not committed.</t>
        </is>
      </c>
      <c r="M37" t="inlineStr">
        <is>
          <t>Q5; Q6</t>
        </is>
      </c>
      <c r="O37" t="inlineStr">
        <is>
          <t>R035</t>
        </is>
      </c>
      <c r="P37" t="inlineStr">
        <is>
          <t>Yes</t>
        </is>
      </c>
      <c r="Q37" t="n">
        <v>1</v>
      </c>
      <c r="R37" t="inlineStr">
        <is>
          <t>09/18/2013</t>
        </is>
      </c>
      <c r="S37" t="inlineStr">
        <is>
          <t>09/18/2013</t>
        </is>
      </c>
      <c r="T37" t="inlineStr">
        <is>
          <t>09/18/2013</t>
        </is>
      </c>
      <c r="U37" t="inlineStr">
        <is>
          <t>Reported day</t>
        </is>
      </c>
      <c r="V37" t="inlineStr">
        <is>
          <t>Reported</t>
        </is>
      </c>
      <c r="W37" t="n">
        <v>18</v>
      </c>
      <c r="X37" t="n">
        <v>19</v>
      </c>
      <c r="Y37" t="inlineStr">
        <is>
          <t>Bidder range</t>
        </is>
      </c>
      <c r="Z37" t="inlineStr">
        <is>
          <t>Stated</t>
        </is>
      </c>
      <c r="AA37" t="inlineStr">
        <is>
          <t>USD</t>
        </is>
      </c>
      <c r="AB37" t="inlineStr">
        <is>
          <t>Yes</t>
        </is>
      </c>
      <c r="AD37" t="inlineStr">
        <is>
          <t>Fin: not committed; DD required: not stated; DD open: yes; Excl: not stated</t>
        </is>
      </c>
      <c r="AK37" t="n">
        <v>36</v>
      </c>
      <c r="AL37" t="inlineStr">
        <is>
          <t>reiterates R029 as best and final</t>
        </is>
      </c>
      <c r="AM37" t="inlineStr">
        <is>
          <t>Mac-Gray</t>
        </is>
      </c>
    </row>
    <row r="38">
      <c r="A38" t="n">
        <v>36</v>
      </c>
      <c r="B38" t="inlineStr">
        <is>
          <t>09/18/2013</t>
        </is>
      </c>
      <c r="C38" t="inlineStr">
        <is>
          <t>Party B</t>
        </is>
      </c>
      <c r="D38" t="inlineStr">
        <is>
          <t>Bid</t>
        </is>
      </c>
      <c r="E38" t="n">
        <v>1</v>
      </c>
      <c r="F38" t="inlineStr">
        <is>
          <t>3</t>
        </is>
      </c>
      <c r="G38" t="inlineStr">
        <is>
          <t>Financial</t>
        </is>
      </c>
      <c r="H38" t="inlineStr">
        <is>
          <t>Revised indication: package valued by Party B at $21.50 per share, comprising $19.00 cash at closing plus options valued by Party B at $2.50 per share (10% of the new equity, strike price equal to Party B’s initial cost basis, vesting on achievement of the base-case management projections over five years excluding future acquisitions). No firm financing commitment.</t>
        </is>
      </c>
      <c r="I38" t="inlineStr">
        <is>
          <t>Formal</t>
        </is>
      </c>
      <c r="J38" t="inlineStr">
        <is>
          <t>Heavy</t>
        </is>
      </c>
      <c r="K38" t="inlineStr">
        <is>
          <t>Stated: "On September 18, 2013,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These options, which we refer to as the Party B options, would vest on the achievement of the base case management projections ( i.e. , over five years), excluding any future acquisitions. Party B’s proposal stated that it valued the Party B options at $2.50 of incremental value per share." (p.36) Formality: Formal — final-solicitation response. Conditions: Heavy — financing not committed; contingent equity consideration. All cash: No (options are equity).</t>
        </is>
      </c>
      <c r="M38" t="inlineStr">
        <is>
          <t>Q6</t>
        </is>
      </c>
      <c r="O38" t="inlineStr">
        <is>
          <t>R036</t>
        </is>
      </c>
      <c r="P38" t="inlineStr">
        <is>
          <t>Yes</t>
        </is>
      </c>
      <c r="Q38" t="n">
        <v>1</v>
      </c>
      <c r="R38" t="inlineStr">
        <is>
          <t>09/18/2013</t>
        </is>
      </c>
      <c r="S38" t="inlineStr">
        <is>
          <t>09/18/2013</t>
        </is>
      </c>
      <c r="T38" t="inlineStr">
        <is>
          <t>09/18/2013</t>
        </is>
      </c>
      <c r="U38" t="inlineStr">
        <is>
          <t>Reported day</t>
        </is>
      </c>
      <c r="V38" t="inlineStr">
        <is>
          <t>Reported</t>
        </is>
      </c>
      <c r="W38" t="n">
        <v>21.5</v>
      </c>
      <c r="X38" t="n">
        <v>21.5</v>
      </c>
      <c r="Y38" t="inlineStr">
        <is>
          <t>Point</t>
        </is>
      </c>
      <c r="Z38" t="inlineStr">
        <is>
          <t>Stated</t>
        </is>
      </c>
      <c r="AA38" t="inlineStr">
        <is>
          <t>USD</t>
        </is>
      </c>
      <c r="AB38" t="inlineStr">
        <is>
          <t>No</t>
        </is>
      </c>
      <c r="AC38" t="n">
        <v>19</v>
      </c>
      <c r="AD38" t="inlineStr">
        <is>
          <t>Fin: not committed; DD required: not stated; DD open: yes; Excl: not stated</t>
        </is>
      </c>
      <c r="AK38" t="n">
        <v>36</v>
      </c>
      <c r="AM38" t="inlineStr">
        <is>
          <t>Mac-Gray</t>
        </is>
      </c>
    </row>
    <row r="39">
      <c r="A39" t="n">
        <v>37</v>
      </c>
      <c r="B39" t="inlineStr">
        <is>
          <t>09/18/2013</t>
        </is>
      </c>
      <c r="C39" t="inlineStr">
        <is>
          <t>Party C</t>
        </is>
      </c>
      <c r="D39" t="inlineStr">
        <is>
          <t>Did not submit</t>
        </is>
      </c>
      <c r="E39" t="n">
        <v>1</v>
      </c>
      <c r="F39" t="inlineStr">
        <is>
          <t>3</t>
        </is>
      </c>
      <c r="G39" t="inlineStr">
        <is>
          <t>Financial</t>
        </is>
      </c>
      <c r="H39" t="inlineStr">
        <is>
          <t>In the final-indication solicitation Party C neither submitted a revised indication nor reiterated its prior $16.00–$17.00 indication, and it gave no reasons. Agency: Unknown (no communication reported). It had been a live participant through round 2 and continued diligence through 09/18.</t>
        </is>
      </c>
      <c r="K39" t="inlineStr">
        <is>
          <t>Stated: "Party C did not submit a revised indication of interest or reiterate its prior indication of interest of an all-cash purchase price of $16.00 to $17.00 per share nor did it specify any reasons in connection therewith." (p.36)</t>
        </is>
      </c>
      <c r="M39" t="inlineStr">
        <is>
          <t>Q4</t>
        </is>
      </c>
      <c r="O39" t="inlineStr">
        <is>
          <t>R037</t>
        </is>
      </c>
      <c r="P39" t="inlineStr">
        <is>
          <t>Yes</t>
        </is>
      </c>
      <c r="Q39" t="n">
        <v>1</v>
      </c>
      <c r="S39" t="inlineStr">
        <is>
          <t>09/18/2013</t>
        </is>
      </c>
      <c r="T39" t="inlineStr">
        <is>
          <t>09/18/2013</t>
        </is>
      </c>
      <c r="U39" t="inlineStr">
        <is>
          <t>Relative only</t>
        </is>
      </c>
      <c r="V39" t="inlineStr">
        <is>
          <t>Assigned: deadline</t>
        </is>
      </c>
      <c r="AH39" t="inlineStr">
        <is>
          <t>Unknown</t>
        </is>
      </c>
      <c r="AI39" t="inlineStr">
        <is>
          <t>Not stated</t>
        </is>
      </c>
      <c r="AJ39" t="inlineStr">
        <is>
          <t>Stated</t>
        </is>
      </c>
      <c r="AK39" t="n">
        <v>36</v>
      </c>
      <c r="AM39" t="inlineStr">
        <is>
          <t>Mac-Gray</t>
        </is>
      </c>
    </row>
    <row r="40">
      <c r="A40" t="n">
        <v>38</v>
      </c>
      <c r="B40" t="inlineStr">
        <is>
          <t>09/19/2013</t>
        </is>
      </c>
      <c r="C40" t="inlineStr">
        <is>
          <t>Mac-Gray (Special Committee) / CSC/Pamplona</t>
        </is>
      </c>
      <c r="D40" t="inlineStr">
        <is>
          <t>Exclusivity changed</t>
        </is>
      </c>
      <c r="E40" t="n">
        <v>1</v>
      </c>
      <c r="F40" t="inlineStr">
        <is>
          <t>3</t>
        </is>
      </c>
      <c r="H40" t="inlineStr">
        <is>
          <t>Authorized (not yet granted): after reviewing the three final indications, the Special Committee concluded the CSC/Pamplona proposal had the potential to deliver the most value with greater certainty and less risk than the alternatives, primarily given potential synergies, and authorized the Transaction Committee to tell CSC/Pamplona the Committee was prepared to move into exclusivity at $21.25 per share; negotiation of exclusivity terms was authorized. Mr. MacDonald indicated support for $21.25. Party B’s $21.50 face value was considered but not accepted given the contingent Party B options and financing risk.</t>
        </is>
      </c>
      <c r="K40" t="inlineStr">
        <is>
          <t>Stated: "the Special Committee concluded that the revised indication of interest submitted by CSC/Pamplona had the potential of delivering the most value to stockholders, provided greater certainty and involved less potential risk than the other indications." "the Special Committee also concluded that, primarily in view of potential synergies between Mac-Gray and CSC, CSC/Pamplona should be in a position to increase their offer price above $20.75." "The Special Committee then authorized the Transaction Committee to inform CSC/Pamplona that the Special Committee would be prepared to move into exclusivity at a price of $21.25 per share" (p.37).</t>
        </is>
      </c>
      <c r="M40" t="inlineStr">
        <is>
          <t>Q4; Q6</t>
        </is>
      </c>
      <c r="O40" t="inlineStr">
        <is>
          <t>R038</t>
        </is>
      </c>
      <c r="P40" t="inlineStr">
        <is>
          <t>Yes</t>
        </is>
      </c>
      <c r="R40" t="inlineStr">
        <is>
          <t>09/19/2013</t>
        </is>
      </c>
      <c r="S40" t="inlineStr">
        <is>
          <t>09/19/2013</t>
        </is>
      </c>
      <c r="T40" t="inlineStr">
        <is>
          <t>09/19/2013</t>
        </is>
      </c>
      <c r="U40" t="inlineStr">
        <is>
          <t>Reported day</t>
        </is>
      </c>
      <c r="V40" t="inlineStr">
        <is>
          <t>Reported</t>
        </is>
      </c>
      <c r="AK40" t="n">
        <v>37</v>
      </c>
      <c r="AM40" t="inlineStr">
        <is>
          <t>Mac-Gray</t>
        </is>
      </c>
    </row>
    <row r="41">
      <c r="A41" t="n">
        <v>39</v>
      </c>
      <c r="B41" t="inlineStr">
        <is>
          <t>09/21/2013</t>
        </is>
      </c>
      <c r="C41" t="inlineStr">
        <is>
          <t>CSC/Pamplona</t>
        </is>
      </c>
      <c r="D41" t="inlineStr">
        <is>
          <t>Bid</t>
        </is>
      </c>
      <c r="E41" t="n">
        <v>1</v>
      </c>
      <c r="F41" t="inlineStr">
        <is>
          <t>3</t>
        </is>
      </c>
      <c r="G41" t="inlineStr">
        <is>
          <t>Strategic</t>
        </is>
      </c>
      <c r="H41" t="inlineStr">
        <is>
          <t>Price increase: CSC/Pamplona confirmed it was willing to increase its all-cash price to $21.25 per share as a last and best offer, provided Mac-Gray agreed to a two-week exclusive negotiation; also requested a customary voting agreement covering shares owned by Mr. MacDonald and his immediate family. Exclusivity requested (2 weeks); granted 09/24/2013 (R040).</t>
        </is>
      </c>
      <c r="I41" t="inlineStr">
        <is>
          <t>Formal</t>
        </is>
      </c>
      <c r="J41" t="inlineStr">
        <is>
          <t>Light</t>
        </is>
      </c>
      <c r="K41" t="inlineStr">
        <is>
          <t>Stated: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The representative of CSC/Pamplona also requested that shares of Mac-Gray common stock owned beneficially and of record by Mr. MacDonald and his immediate family be subject to a customary voting agreement" (p.37). Formality: Formal — price confirmation while definitive terms were being finalized (signal 3). Conditions: Light — committed financing; diligence substantially complete; final documentation.</t>
        </is>
      </c>
      <c r="M41" t="inlineStr">
        <is>
          <t>Q5; Q6</t>
        </is>
      </c>
      <c r="O41" t="inlineStr">
        <is>
          <t>R039</t>
        </is>
      </c>
      <c r="P41" t="inlineStr">
        <is>
          <t>Yes</t>
        </is>
      </c>
      <c r="Q41" t="n">
        <v>0</v>
      </c>
      <c r="R41" t="inlineStr">
        <is>
          <t>09/21/2013</t>
        </is>
      </c>
      <c r="S41" t="inlineStr">
        <is>
          <t>09/21/2013</t>
        </is>
      </c>
      <c r="T41" t="inlineStr">
        <is>
          <t>09/21/2013</t>
        </is>
      </c>
      <c r="U41" t="inlineStr">
        <is>
          <t>Reported day</t>
        </is>
      </c>
      <c r="V41" t="inlineStr">
        <is>
          <t>Reported</t>
        </is>
      </c>
      <c r="W41" t="n">
        <v>21.25</v>
      </c>
      <c r="X41" t="n">
        <v>21.25</v>
      </c>
      <c r="Y41" t="inlineStr">
        <is>
          <t>Point</t>
        </is>
      </c>
      <c r="Z41" t="inlineStr">
        <is>
          <t>Stated</t>
        </is>
      </c>
      <c r="AA41" t="inlineStr">
        <is>
          <t>USD</t>
        </is>
      </c>
      <c r="AB41" t="inlineStr">
        <is>
          <t>Yes</t>
        </is>
      </c>
      <c r="AC41" t="n">
        <v>21.25</v>
      </c>
      <c r="AD41" t="inlineStr">
        <is>
          <t>Fin: committed; DD required: not stated; DD open: yes; Excl: requested (2 wks)</t>
        </is>
      </c>
      <c r="AK41" t="n">
        <v>37</v>
      </c>
      <c r="AL41" t="inlineStr">
        <is>
          <t>revises R034</t>
        </is>
      </c>
      <c r="AM41" t="inlineStr">
        <is>
          <t>Mac-Gray</t>
        </is>
      </c>
    </row>
    <row r="42">
      <c r="A42" t="n">
        <v>40</v>
      </c>
      <c r="B42" t="inlineStr">
        <is>
          <t>09/24/2013</t>
        </is>
      </c>
      <c r="C42" t="inlineStr">
        <is>
          <t>CSC / Pamplona / Mac-Gray</t>
        </is>
      </c>
      <c r="D42" t="inlineStr">
        <is>
          <t>Exclusivity changed</t>
        </is>
      </c>
      <c r="E42" t="n">
        <v>1</v>
      </c>
      <c r="F42" t="inlineStr">
        <is>
          <t>3</t>
        </is>
      </c>
      <c r="H42" t="inlineStr">
        <is>
          <t>Granted (executed): exclusivity agreement providing for exclusive negotiations until 5:00 p.m. ET on 10/12/2013, subject to CSC/Pamplona not adversely changing the agreed terms; negotiated terms included a $15 million CSC reverse termination fee payable to Mac-Gray if regulatory clearance were not obtained, agreement on certain post-signing covenants, no financing contingency and Pamplona’s commitment to fund 100% of capital needed for closing. CSC/Pamplona confirmed the $21.25 price and exclusivity request on 09/21/2013. Executing exclusivity caused every other live bidder to be dropped on this date (R041, R042, R037 earlier).</t>
        </is>
      </c>
      <c r="K42" t="inlineStr">
        <is>
          <t>Stated: "On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 (p.38)</t>
        </is>
      </c>
      <c r="M42" t="inlineStr">
        <is>
          <t>Q1</t>
        </is>
      </c>
      <c r="O42" t="inlineStr">
        <is>
          <t>R040</t>
        </is>
      </c>
      <c r="P42" t="inlineStr">
        <is>
          <t>Yes</t>
        </is>
      </c>
      <c r="R42" t="inlineStr">
        <is>
          <t>09/24/2013</t>
        </is>
      </c>
      <c r="S42" t="inlineStr">
        <is>
          <t>09/24/2013</t>
        </is>
      </c>
      <c r="T42" t="inlineStr">
        <is>
          <t>09/24/2013</t>
        </is>
      </c>
      <c r="U42" t="inlineStr">
        <is>
          <t>Reported day</t>
        </is>
      </c>
      <c r="V42" t="inlineStr">
        <is>
          <t>Assigned: decision day</t>
        </is>
      </c>
      <c r="AK42" t="n">
        <v>38</v>
      </c>
      <c r="AM42" t="inlineStr">
        <is>
          <t>Mac-Gray</t>
        </is>
      </c>
    </row>
    <row r="43">
      <c r="A43" t="n">
        <v>41</v>
      </c>
      <c r="B43" t="inlineStr">
        <is>
          <t>by 09/24/2013</t>
        </is>
      </c>
      <c r="C43" t="inlineStr">
        <is>
          <t>Party A</t>
        </is>
      </c>
      <c r="D43" t="inlineStr">
        <is>
          <t>Dropped by target</t>
        </is>
      </c>
      <c r="E43" t="n">
        <v>1</v>
      </c>
      <c r="F43" t="inlineStr">
        <is>
          <t>3</t>
        </is>
      </c>
      <c r="G43" t="inlineStr">
        <is>
          <t>Strategic</t>
        </is>
      </c>
      <c r="H43" t="inlineStr">
        <is>
          <t>Inferred: exclusivity — displaced when Mac-Gray executed exclusivity with CSC/Pamplona. Party A’s best-and-final $18.00–$19.00 offer remained below the exclusive bidder’s $21.25; agency: Target (executed exclusivity), no notice to Party A is separately reported. Closing inferred only; no motive beyond displacement is asserted here (its exit reason records the stated price relative to the selected offer).</t>
        </is>
      </c>
      <c r="K43" t="inlineStr">
        <is>
          <t>Stated execution: "CSC, Pamplona and Mac-Gray executed the exclusivity agreement" (p.38); Party A had last submitted its best and final offer on 09/18/2013 (p.36) and was not selected. Inferred closing at the exclusivity execution.</t>
        </is>
      </c>
      <c r="M43" t="inlineStr">
        <is>
          <t>Q4</t>
        </is>
      </c>
      <c r="O43" t="inlineStr">
        <is>
          <t>R041</t>
        </is>
      </c>
      <c r="P43" t="inlineStr">
        <is>
          <t>Yes</t>
        </is>
      </c>
      <c r="Q43" t="n">
        <v>1</v>
      </c>
      <c r="S43" t="inlineStr">
        <is>
          <t>09/24/2013</t>
        </is>
      </c>
      <c r="T43" t="inlineStr">
        <is>
          <t>09/24/2013</t>
        </is>
      </c>
      <c r="U43" t="inlineStr">
        <is>
          <t>Relative only</t>
        </is>
      </c>
      <c r="V43" t="inlineStr">
        <is>
          <t>Assigned: decision day</t>
        </is>
      </c>
      <c r="AH43" t="inlineStr">
        <is>
          <t>Target</t>
        </is>
      </c>
      <c r="AI43" t="inlineStr">
        <is>
          <t>Lower offer than rivals</t>
        </is>
      </c>
      <c r="AJ43" t="inlineStr">
        <is>
          <t>Inferred: exclusivity</t>
        </is>
      </c>
      <c r="AK43" t="n">
        <v>38</v>
      </c>
      <c r="AM43" t="inlineStr">
        <is>
          <t>Mac-Gray</t>
        </is>
      </c>
    </row>
    <row r="44">
      <c r="A44" t="n">
        <v>42</v>
      </c>
      <c r="B44" t="inlineStr">
        <is>
          <t>by 09/24/2013</t>
        </is>
      </c>
      <c r="C44" t="inlineStr">
        <is>
          <t>Party B</t>
        </is>
      </c>
      <c r="D44" t="inlineStr">
        <is>
          <t>Dropped by target</t>
        </is>
      </c>
      <c r="E44" t="n">
        <v>1</v>
      </c>
      <c r="F44" t="inlineStr">
        <is>
          <t>3</t>
        </is>
      </c>
      <c r="G44" t="inlineStr">
        <is>
          <t>Financial</t>
        </is>
      </c>
      <c r="H44" t="inlineStr">
        <is>
          <t>Inferred: exclusivity — displaced when Mac-Gray executed exclusivity with CSC/Pamplona. Party B’s $21.50 face value exceeded the $21.25 exclusive price but included Party B options and no firm financing commitment; the Committee’s stated selection basis was greater certainty and less risk. Agency: Target (executed exclusivity). Exit reason: Terms or process (contingent consideration and financing risk); see Questions.</t>
        </is>
      </c>
      <c r="K44" t="inlineStr">
        <is>
          <t>Stated execution: "CSC, Pamplona and Mac-Gray executed the exclusivity agreement" (p.38). Selection basis: "CSC/Pamplona had the potential of delivering the most value to stockholders, provided greater certainty and involved less potential risk than the other indications" (p.37).</t>
        </is>
      </c>
      <c r="M44" t="inlineStr">
        <is>
          <t>Q4</t>
        </is>
      </c>
      <c r="O44" t="inlineStr">
        <is>
          <t>R042</t>
        </is>
      </c>
      <c r="P44" t="inlineStr">
        <is>
          <t>Yes</t>
        </is>
      </c>
      <c r="Q44" t="n">
        <v>1</v>
      </c>
      <c r="S44" t="inlineStr">
        <is>
          <t>09/24/2013</t>
        </is>
      </c>
      <c r="T44" t="inlineStr">
        <is>
          <t>09/24/2013</t>
        </is>
      </c>
      <c r="U44" t="inlineStr">
        <is>
          <t>Relative only</t>
        </is>
      </c>
      <c r="V44" t="inlineStr">
        <is>
          <t>Assigned: decision day</t>
        </is>
      </c>
      <c r="AH44" t="inlineStr">
        <is>
          <t>Target</t>
        </is>
      </c>
      <c r="AI44" t="inlineStr">
        <is>
          <t>Terms or process</t>
        </is>
      </c>
      <c r="AJ44" t="inlineStr">
        <is>
          <t>Inferred: exclusivity</t>
        </is>
      </c>
      <c r="AK44" t="n">
        <v>38</v>
      </c>
      <c r="AM44" t="inlineStr">
        <is>
          <t>Mac-Gray</t>
        </is>
      </c>
    </row>
    <row r="45">
      <c r="A45" t="n">
        <v>43</v>
      </c>
      <c r="B45" t="inlineStr">
        <is>
          <t>10/07/2013</t>
        </is>
      </c>
      <c r="C45" t="inlineStr">
        <is>
          <t>Moab Partners, L.P. / CSC/Pamplona</t>
        </is>
      </c>
      <c r="D45" t="inlineStr">
        <is>
          <t>Material process update</t>
        </is>
      </c>
      <c r="E45" t="n">
        <v>1</v>
      </c>
      <c r="F45" t="inlineStr">
        <is>
          <t>3</t>
        </is>
      </c>
      <c r="H45" t="inlineStr">
        <is>
          <t>Rollover relationship resolved: after discussions with Pamplona beginning 09/25/2013 (facilitated after the 09/23/2013 briefing), it was determined that Moab would not roll over any shares in the transaction; Mr. Rothenberg was then given the details of the process and negotiations. No rollover, so no membership change in the bidding unit.</t>
        </is>
      </c>
      <c r="K45" t="inlineStr">
        <is>
          <t>Stated: "Mr. Rothenberg engaged in various discussions with representatives of Pamplona during this time to discuss a possible rollover of Moab shares. As a result of such discussions, it was determined that Moab would not rollover any Moab shares in the transaction." (p.38); confirmed "after discussions between Moab and representatives of Pamplona, it was determined that Moab would not rollover any Moab shares in the transaction" (p.39).</t>
        </is>
      </c>
      <c r="M45" t="inlineStr">
        <is>
          <t>Q8</t>
        </is>
      </c>
      <c r="O45" t="inlineStr">
        <is>
          <t>R043</t>
        </is>
      </c>
      <c r="P45" t="inlineStr">
        <is>
          <t>Yes</t>
        </is>
      </c>
      <c r="R45" t="inlineStr">
        <is>
          <t>10/07/2013</t>
        </is>
      </c>
      <c r="S45" t="inlineStr">
        <is>
          <t>10/07/2013</t>
        </is>
      </c>
      <c r="T45" t="inlineStr">
        <is>
          <t>10/07/2013</t>
        </is>
      </c>
      <c r="U45" t="inlineStr">
        <is>
          <t>Reported day</t>
        </is>
      </c>
      <c r="V45" t="inlineStr">
        <is>
          <t>Reported</t>
        </is>
      </c>
      <c r="AK45" t="n">
        <v>39</v>
      </c>
      <c r="AM45" t="inlineStr">
        <is>
          <t>Mac-Gray</t>
        </is>
      </c>
    </row>
    <row r="46">
      <c r="A46" t="n">
        <v>44</v>
      </c>
      <c r="B46" t="inlineStr">
        <is>
          <t>10/12/2013</t>
        </is>
      </c>
      <c r="C46" t="inlineStr">
        <is>
          <t>CSC / Pamplona / Mac-Gray</t>
        </is>
      </c>
      <c r="D46" t="inlineStr">
        <is>
          <t>Exclusivity changed</t>
        </is>
      </c>
      <c r="E46" t="n">
        <v>1</v>
      </c>
      <c r="F46" t="inlineStr">
        <is>
          <t>3</t>
        </is>
      </c>
      <c r="H46" t="inlineStr">
        <is>
          <t>Extended (executed): letter agreement extending exclusivity to 11:59 p.m. ET on 10/15/2013, after CSC/Pamplona requested more time on 10/09/2013 and the Special Committee authorized an extension only if CSC/Pamplona agreed to a Mac-Gray termination fee of not more than $11 million (about 3.2% of total equity value); CSC/Pamplona agreed to the $11 million fee on 10/11/2013, down from its proposed $15 million (about 4.4%), and Mac-Gray had proposed $10.5 million (about 3.0%).</t>
        </is>
      </c>
      <c r="K46" t="inlineStr">
        <is>
          <t>Stated: "On October 12, 2013, CSC, Pamplona and Mac-Gray executed a letter agreement extending exclusivity until 11:59 p.m. ET on October 15, 2013." (p.41); fee negotiation at pp.39–40 (including "authorized to extend the exclusivity agreement until 11:59 p.m. on ET on October 15, 2013 if CSC/Pamplona would agree to a Mac-Gray termination fee of not more than $11 million, which represented approximately 3.2% of the total equity value of the transaction", p.40).</t>
        </is>
      </c>
      <c r="M46" t="inlineStr">
        <is>
          <t>Q2</t>
        </is>
      </c>
      <c r="O46" t="inlineStr">
        <is>
          <t>R044</t>
        </is>
      </c>
      <c r="P46" t="inlineStr">
        <is>
          <t>Yes</t>
        </is>
      </c>
      <c r="R46" t="inlineStr">
        <is>
          <t>10/12/2013</t>
        </is>
      </c>
      <c r="S46" t="inlineStr">
        <is>
          <t>10/12/2013</t>
        </is>
      </c>
      <c r="T46" t="inlineStr">
        <is>
          <t>10/12/2013</t>
        </is>
      </c>
      <c r="U46" t="inlineStr">
        <is>
          <t>Reported day</t>
        </is>
      </c>
      <c r="V46" t="inlineStr">
        <is>
          <t>Reported</t>
        </is>
      </c>
      <c r="AK46" t="n">
        <v>41</v>
      </c>
      <c r="AM46" t="inlineStr">
        <is>
          <t>Mac-Gray</t>
        </is>
      </c>
    </row>
    <row r="47">
      <c r="A47" t="n">
        <v>45</v>
      </c>
      <c r="B47" t="inlineStr">
        <is>
          <t>10/14/2013</t>
        </is>
      </c>
      <c r="C47" t="inlineStr">
        <is>
          <t>Mac-Gray / CSC ServiceWorks / Spin Holdco / CSC Fenway / Pamplona</t>
        </is>
      </c>
      <c r="D47" t="inlineStr">
        <is>
          <t>Merger agreement signed</t>
        </is>
      </c>
      <c r="E47" t="n">
        <v>1</v>
      </c>
      <c r="F47" t="inlineStr">
        <is>
          <t>3</t>
        </is>
      </c>
      <c r="H47" t="inlineStr">
        <is>
          <t>Merger agreement dated and executed 10/14/2013: each common share converted into $21.25 in cash without interest; Mac-Gray termination fee $11 million (about 3.2% of equity value; heavily negotiated); Parent termination fee $15 million; no financing condition; Pamplona commitment letter for $594 million delivered, with Pamplona liability for damages capped at $50 million and the Buyer Entities’ liability unlimited; Moab voting agreement executed and the MacDonald voting agreements became effective; the Special Committee and Board approved after BofA’s oral opinion (written opinion dated 10/14/2013).</t>
        </is>
      </c>
      <c r="K47" t="inlineStr">
        <is>
          <t>Stated: "Later in the day, on October 14, 2013, the merger agreement was executed, the Pamplona commitment letter was delivered, Moab and Parent executed the Moab voting agreement and the Mac-Donald voting agreements became effective." (p.41); $21.25 per share (p.5); termination fees $11 million/$15 million (p.10); $594 million commitment (p.6).</t>
        </is>
      </c>
      <c r="M47" t="inlineStr">
        <is>
          <t>Q6</t>
        </is>
      </c>
      <c r="O47" t="inlineStr">
        <is>
          <t>R045</t>
        </is>
      </c>
      <c r="P47" t="inlineStr">
        <is>
          <t>Yes</t>
        </is>
      </c>
      <c r="R47" t="inlineStr">
        <is>
          <t>10/14/2013</t>
        </is>
      </c>
      <c r="S47" t="inlineStr">
        <is>
          <t>10/14/2013</t>
        </is>
      </c>
      <c r="T47" t="inlineStr">
        <is>
          <t>10/14/2013</t>
        </is>
      </c>
      <c r="U47" t="inlineStr">
        <is>
          <t>Reported day</t>
        </is>
      </c>
      <c r="V47" t="inlineStr">
        <is>
          <t>Reported</t>
        </is>
      </c>
      <c r="AK47" t="n">
        <v>41</v>
      </c>
      <c r="AM47" t="inlineStr">
        <is>
          <t>Mac-Gray</t>
        </is>
      </c>
    </row>
    <row r="48">
      <c r="A48" t="n">
        <v>46</v>
      </c>
      <c r="B48" t="inlineStr">
        <is>
          <t>10/15/2013</t>
        </is>
      </c>
      <c r="C48" t="inlineStr">
        <is>
          <t>Mac-Gray / CSC</t>
        </is>
      </c>
      <c r="D48" t="inlineStr">
        <is>
          <t>Merger announced</t>
        </is>
      </c>
      <c r="E48" t="n">
        <v>1</v>
      </c>
      <c r="F48" t="inlineStr">
        <is>
          <t>post</t>
        </is>
      </c>
      <c r="H48" t="inlineStr">
        <is>
          <t>Mac-Gray and CSC jointly announced the execution of the merger agreement before the U.S. stock markets opened. Public disclosure by joint press release.</t>
        </is>
      </c>
      <c r="K48" t="inlineStr">
        <is>
          <t>Stated: "On October 15, 2013, before the U.S. stock markets opened, Mac-Gray and CSC jointly announced the execution of the merger agreement." (p.41)</t>
        </is>
      </c>
      <c r="M48" t="inlineStr">
        <is>
          <t>Q1</t>
        </is>
      </c>
      <c r="O48" t="inlineStr">
        <is>
          <t>R046</t>
        </is>
      </c>
      <c r="P48" t="inlineStr">
        <is>
          <t>Yes</t>
        </is>
      </c>
      <c r="R48" t="inlineStr">
        <is>
          <t>10/15/2013</t>
        </is>
      </c>
      <c r="S48" t="inlineStr">
        <is>
          <t>10/15/2013</t>
        </is>
      </c>
      <c r="T48" t="inlineStr">
        <is>
          <t>10/15/2013</t>
        </is>
      </c>
      <c r="U48" t="inlineStr">
        <is>
          <t>Reported day</t>
        </is>
      </c>
      <c r="V48" t="inlineStr">
        <is>
          <t>Reported</t>
        </is>
      </c>
      <c r="AK48" t="n">
        <v>41</v>
      </c>
      <c r="AM48" t="inlineStr">
        <is>
          <t>Mac-Gray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17" customWidth="1" min="1" max="1"/>
    <col width="14" customWidth="1" min="2" max="2"/>
    <col width="14" customWidth="1" min="3" max="3"/>
    <col width="20" customWidth="1" min="4" max="4"/>
    <col width="14" customWidth="1" min="5" max="5"/>
    <col width="14" customWidth="1" min="6" max="6"/>
    <col width="15" customWidth="1" min="7" max="7"/>
    <col width="14" customWidth="1" min="8" max="8"/>
    <col width="16" customWidth="1" min="9" max="9"/>
    <col width="14" customWidth="1" min="10" max="10"/>
    <col width="22" customWidth="1" min="11" max="11"/>
    <col width="18" customWidth="1" min="12" max="12"/>
    <col width="14" customWidth="1" min="13" max="13"/>
    <col width="15" customWidth="1" min="14" max="14"/>
    <col width="17" customWidth="1" min="15" max="15"/>
  </cols>
  <sheetData>
    <row r="1">
      <c r="A1" s="20" t="inlineStr">
        <is>
          <t>What happened</t>
        </is>
      </c>
      <c r="B1" s="20" t="inlineStr">
        <is>
          <t>Type</t>
        </is>
      </c>
      <c r="C1" s="20" t="inlineStr">
        <is>
          <t>Formality</t>
        </is>
      </c>
      <c r="D1" s="20" t="inlineStr">
        <is>
          <t>Conditions level</t>
        </is>
      </c>
      <c r="E1" s="20" t="inlineStr">
        <is>
          <t>Include</t>
        </is>
      </c>
      <c r="F1" s="20" t="inlineStr">
        <is>
          <t>Date basis</t>
        </is>
      </c>
      <c r="G1" s="20" t="inlineStr">
        <is>
          <t>Date method</t>
        </is>
      </c>
      <c r="H1" s="20" t="inlineStr">
        <is>
          <t>Price kind</t>
        </is>
      </c>
      <c r="I1" s="20" t="inlineStr">
        <is>
          <t>Price origin</t>
        </is>
      </c>
      <c r="J1" s="20" t="inlineStr">
        <is>
          <t>All cash</t>
        </is>
      </c>
      <c r="K1" s="20" t="inlineStr">
        <is>
          <t>Deadline treatment</t>
        </is>
      </c>
      <c r="L1" s="20" t="inlineStr">
        <is>
          <t>Round finality</t>
        </is>
      </c>
      <c r="M1" s="20" t="inlineStr">
        <is>
          <t>Decided by</t>
        </is>
      </c>
      <c r="N1" s="20" t="inlineStr">
        <is>
          <t>Exit reason</t>
        </is>
      </c>
      <c r="O1" s="20" t="inlineStr">
        <is>
          <t>Outcome basis</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Enforced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Extended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Late bids accepted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Extended; Late bids accepted</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Passed without action</t>
        </is>
      </c>
      <c r="N6" t="inlineStr">
        <is>
          <t>Would not improve earlier offer</t>
        </is>
      </c>
      <c r="O6" t="inlineStr">
        <is>
          <t>Inferred: identity</t>
        </is>
      </c>
    </row>
    <row r="7">
      <c r="A7" t="inlineStr">
        <is>
          <t>Adviser engaged</t>
        </is>
      </c>
      <c r="F7" t="inlineStr">
        <is>
          <t>Undated</t>
        </is>
      </c>
      <c r="G7" t="inlineStr">
        <is>
          <t>Assigned: bound</t>
        </is>
      </c>
      <c r="K7" t="inlineStr">
        <is>
          <t>Unclear</t>
        </is>
      </c>
      <c r="N7" t="inlineStr">
        <is>
          <t>Lower offer than rivals</t>
        </is>
      </c>
    </row>
    <row r="8">
      <c r="A8" t="inlineStr">
        <is>
          <t>Adviser service observed</t>
        </is>
      </c>
      <c r="G8" t="inlineStr">
        <is>
          <t>Assigned: sequence</t>
        </is>
      </c>
      <c r="K8" t="inlineStr">
        <is>
          <t>No deadline stated</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2026-09-19T12:17:09Z</dcterms:created>
  <dcterms:modified xmlns:dcterms="http://purl.org/dc/terms/" xmlns:xsi="http://www.w3.org/2001/XMLSchema-instance" xsi:type="dcterms:W3CDTF">2026-09-19T12:17:09Z</dcterms:modified>
</cp:coreProperties>
</file>