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al ledger" sheetId="1" state="visible" r:id="rId1"/>
    <sheet xmlns:r="http://schemas.openxmlformats.org/officeDocument/2006/relationships" name="Summary" sheetId="2" state="visible" r:id="rId2"/>
    <sheet xmlns:r="http://schemas.openxmlformats.org/officeDocument/2006/relationships" name="Questions" sheetId="3" state="visible" r:id="rId3"/>
    <sheet xmlns:r="http://schemas.openxmlformats.org/officeDocument/2006/relationships" name="Source text" sheetId="4" state="visible" r:id="rId4"/>
    <sheet xmlns:r="http://schemas.openxmlformats.org/officeDocument/2006/relationships" name="AI original" sheetId="5" state="hidden" r:id="rId5"/>
    <sheet xmlns:r="http://schemas.openxmlformats.org/officeDocument/2006/relationships" name="Lists" sheetId="6" state="hidden" r:id="rId6"/>
  </sheets>
  <definedNames>
    <definedName name="_xlnm._FilterDatabase" localSheetId="0" hidden="1">'Deal ledger'!$A$2:$AM$41</definedName>
    <definedName name="_xlnm._FilterDatabase" localSheetId="3" hidden="1">'Source text'!$A$1:$D$56</definedName>
  </definedNames>
  <calcPr calcId="124519" fullCalcOnLoad="1"/>
</workbook>
</file>

<file path=xl/styles.xml><?xml version="1.0" encoding="utf-8"?>
<styleSheet xmlns="http://schemas.openxmlformats.org/spreadsheetml/2006/main">
  <numFmts count="2">
    <numFmt numFmtId="164" formatCode="yyyy-mm-dd"/>
    <numFmt numFmtId="165" formatCode="MM/DD/YYYY"/>
  </numFmts>
  <fonts count="11">
    <font>
      <name val="Calibri"/>
      <family val="2"/>
      <color theme="1"/>
      <sz val="11"/>
      <scheme val="minor"/>
    </font>
    <font>
      <b val="1"/>
      <color rgb="00FFFFFF"/>
      <sz val="11"/>
    </font>
    <font>
      <b val="1"/>
      <color rgb="00FFFFFF"/>
      <sz val="10"/>
    </font>
    <font>
      <b val="1"/>
      <color rgb="001F3864"/>
      <sz val="10"/>
    </font>
    <font>
      <b val="1"/>
      <color rgb="001F3864"/>
      <sz val="9"/>
    </font>
    <font>
      <i val="1"/>
      <sz val="9"/>
    </font>
    <font>
      <color rgb="000563C1"/>
      <sz val="10"/>
      <u val="single"/>
    </font>
    <font>
      <b val="1"/>
    </font>
    <font>
      <b val="1"/>
      <color rgb="00C00000"/>
    </font>
    <font>
      <b val="1"/>
      <sz val="10"/>
    </font>
    <font>
      <b val="1"/>
      <sz val="11"/>
    </font>
  </fonts>
  <fills count="4">
    <fill>
      <patternFill/>
    </fill>
    <fill>
      <patternFill patternType="gray125"/>
    </fill>
    <fill>
      <patternFill patternType="solid">
        <fgColor rgb="001F3864"/>
      </patternFill>
    </fill>
    <fill>
      <patternFill patternType="solid">
        <fgColor rgb="00D9E2F3"/>
      </patternFill>
    </fill>
  </fills>
  <borders count="2">
    <border>
      <left/>
      <right/>
      <top/>
      <bottom/>
      <diagonal/>
    </border>
    <border>
      <bottom style="thin">
        <color rgb="00BFBFBF"/>
      </bottom>
    </border>
  </borders>
  <cellStyleXfs count="1">
    <xf numFmtId="0" fontId="0" fillId="0" borderId="0"/>
  </cellStyleXfs>
  <cellXfs count="21">
    <xf numFmtId="0" fontId="0" fillId="0" borderId="0" pivotButton="0" quotePrefix="0" xfId="0"/>
    <xf numFmtId="0" fontId="1" fillId="2" borderId="0" applyAlignment="1" pivotButton="0" quotePrefix="0" xfId="0">
      <alignment vertical="center"/>
    </xf>
    <xf numFmtId="0" fontId="3" fillId="3" borderId="0" applyAlignment="1" pivotButton="0" quotePrefix="0" xfId="0">
      <alignment horizontal="center" vertical="center"/>
    </xf>
    <xf numFmtId="0" fontId="2" fillId="2" borderId="1" applyAlignment="1" pivotButton="0" quotePrefix="0" xfId="0">
      <alignment horizontal="center" vertical="center" wrapText="1"/>
    </xf>
    <xf numFmtId="0" fontId="4" fillId="3" borderId="0" applyAlignment="1" pivotButton="0" quotePrefix="0" xfId="0">
      <alignment horizontal="center" vertical="center" wrapText="1"/>
    </xf>
    <xf numFmtId="0" fontId="0" fillId="0" borderId="0" applyAlignment="1" pivotButton="0" quotePrefix="0" xfId="0">
      <alignment horizontal="center" vertical="top" wrapText="1"/>
    </xf>
    <xf numFmtId="0" fontId="0" fillId="0" borderId="0" applyAlignment="1" pivotButton="0" quotePrefix="0" xfId="0">
      <alignment vertical="top" wrapText="1"/>
    </xf>
    <xf numFmtId="0" fontId="6" fillId="0" borderId="0" applyAlignment="1" pivotButton="0" quotePrefix="0" xfId="0">
      <alignment vertical="top" wrapText="1"/>
    </xf>
    <xf numFmtId="165" fontId="0" fillId="0" borderId="0" applyAlignment="1" pivotButton="0" quotePrefix="0" xfId="0">
      <alignment horizontal="center" vertical="top"/>
    </xf>
    <xf numFmtId="0" fontId="0" fillId="0" borderId="0" applyAlignment="1" pivotButton="0" quotePrefix="0" xfId="0">
      <alignment horizontal="center" vertical="top"/>
    </xf>
    <xf numFmtId="0" fontId="9" fillId="0" borderId="0" applyAlignment="1" pivotButton="0" quotePrefix="0" xfId="0">
      <alignment vertical="top" wrapText="1"/>
    </xf>
    <xf numFmtId="0" fontId="9" fillId="0" borderId="0" pivotButton="0" quotePrefix="0" xfId="0"/>
    <xf numFmtId="0" fontId="5" fillId="0" borderId="0" applyAlignment="1" pivotButton="0" quotePrefix="0" xfId="0">
      <alignment vertical="top" wrapText="1"/>
    </xf>
    <xf numFmtId="0" fontId="2" fillId="2" borderId="0" applyAlignment="1" pivotButton="0" quotePrefix="0" xfId="0">
      <alignment horizontal="center" vertical="center" wrapText="1"/>
    </xf>
    <xf numFmtId="0" fontId="10" fillId="0" borderId="0" pivotButton="0" quotePrefix="0" xfId="0"/>
    <xf numFmtId="0" fontId="2" fillId="2" borderId="0" pivotButton="0" quotePrefix="0" xfId="0"/>
    <xf numFmtId="0" fontId="5" fillId="0" borderId="0" pivotButton="0" quotePrefix="0" xfId="0"/>
    <xf numFmtId="0" fontId="5" fillId="0" borderId="0" applyAlignment="1" pivotButton="0" quotePrefix="0" xfId="0">
      <alignment wrapText="1"/>
    </xf>
    <xf numFmtId="0" fontId="0" fillId="0" borderId="0" applyAlignment="1" pivotButton="0" quotePrefix="0" xfId="0">
      <alignment vertical="top"/>
    </xf>
    <xf numFmtId="0" fontId="8" fillId="0" borderId="0" pivotButton="0" quotePrefix="0" xfId="0"/>
    <xf numFmtId="0" fontId="7" fillId="0" borderId="0" pivotButton="0" quotePrefix="0" xfId="0"/>
  </cellXfs>
  <cellStyles count="1">
    <cellStyle name="Normal" xfId="0" builtinId="0" hidden="0"/>
  </cellStyles>
  <dxfs count="1">
    <dxf>
      <font>
        <b val="1"/>
        <color rgb="00FF0000"/>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Source text'!A8" TargetMode="External" Id="rId1"/><Relationship Type="http://schemas.openxmlformats.org/officeDocument/2006/relationships/hyperlink" Target="#'Source text'!A8" TargetMode="External" Id="rId2"/><Relationship Type="http://schemas.openxmlformats.org/officeDocument/2006/relationships/hyperlink" Target="#'Source text'!A9" TargetMode="External" Id="rId3"/><Relationship Type="http://schemas.openxmlformats.org/officeDocument/2006/relationships/hyperlink" Target="#'Source text'!A10" TargetMode="External" Id="rId4"/><Relationship Type="http://schemas.openxmlformats.org/officeDocument/2006/relationships/hyperlink" Target="#'Source text'!A13" TargetMode="External" Id="rId5"/><Relationship Type="http://schemas.openxmlformats.org/officeDocument/2006/relationships/hyperlink" Target="#'Source text'!A11" TargetMode="External" Id="rId6"/><Relationship Type="http://schemas.openxmlformats.org/officeDocument/2006/relationships/hyperlink" Target="#'Source text'!A12" TargetMode="External" Id="rId7"/><Relationship Type="http://schemas.openxmlformats.org/officeDocument/2006/relationships/hyperlink" Target="#'Source text'!A15" TargetMode="External" Id="rId8"/><Relationship Type="http://schemas.openxmlformats.org/officeDocument/2006/relationships/hyperlink" Target="#'Source text'!A15" TargetMode="External" Id="rId9"/><Relationship Type="http://schemas.openxmlformats.org/officeDocument/2006/relationships/hyperlink" Target="#'Source text'!A14" TargetMode="External" Id="rId10"/><Relationship Type="http://schemas.openxmlformats.org/officeDocument/2006/relationships/hyperlink" Target="#'Source text'!A16" TargetMode="External" Id="rId11"/><Relationship Type="http://schemas.openxmlformats.org/officeDocument/2006/relationships/hyperlink" Target="#'Source text'!A16" TargetMode="External" Id="rId12"/><Relationship Type="http://schemas.openxmlformats.org/officeDocument/2006/relationships/hyperlink" Target="#'Source text'!A18" TargetMode="External" Id="rId13"/><Relationship Type="http://schemas.openxmlformats.org/officeDocument/2006/relationships/hyperlink" Target="#'Source text'!A18" TargetMode="External" Id="rId14"/><Relationship Type="http://schemas.openxmlformats.org/officeDocument/2006/relationships/hyperlink" Target="#'Source text'!A18" TargetMode="External" Id="rId15"/><Relationship Type="http://schemas.openxmlformats.org/officeDocument/2006/relationships/hyperlink" Target="#'Source text'!A18" TargetMode="External" Id="rId16"/><Relationship Type="http://schemas.openxmlformats.org/officeDocument/2006/relationships/hyperlink" Target="#'Source text'!A18" TargetMode="External" Id="rId17"/><Relationship Type="http://schemas.openxmlformats.org/officeDocument/2006/relationships/hyperlink" Target="#'Source text'!A15" TargetMode="External" Id="rId18"/><Relationship Type="http://schemas.openxmlformats.org/officeDocument/2006/relationships/hyperlink" Target="#'Source text'!A18" TargetMode="External" Id="rId19"/><Relationship Type="http://schemas.openxmlformats.org/officeDocument/2006/relationships/hyperlink" Target="#'Source text'!A19" TargetMode="External" Id="rId20"/><Relationship Type="http://schemas.openxmlformats.org/officeDocument/2006/relationships/hyperlink" Target="#'Source text'!A19" TargetMode="External" Id="rId21"/><Relationship Type="http://schemas.openxmlformats.org/officeDocument/2006/relationships/hyperlink" Target="#'Source text'!A20" TargetMode="External" Id="rId22"/><Relationship Type="http://schemas.openxmlformats.org/officeDocument/2006/relationships/hyperlink" Target="#'Source text'!A21" TargetMode="External" Id="rId23"/><Relationship Type="http://schemas.openxmlformats.org/officeDocument/2006/relationships/hyperlink" Target="#'Source text'!A22" TargetMode="External" Id="rId24"/><Relationship Type="http://schemas.openxmlformats.org/officeDocument/2006/relationships/hyperlink" Target="#'Source text'!A23" TargetMode="External" Id="rId25"/><Relationship Type="http://schemas.openxmlformats.org/officeDocument/2006/relationships/hyperlink" Target="#'Source text'!A26" TargetMode="External" Id="rId26"/><Relationship Type="http://schemas.openxmlformats.org/officeDocument/2006/relationships/hyperlink" Target="#'Source text'!A27" TargetMode="External" Id="rId27"/><Relationship Type="http://schemas.openxmlformats.org/officeDocument/2006/relationships/hyperlink" Target="#'Source text'!A27" TargetMode="External" Id="rId28"/><Relationship Type="http://schemas.openxmlformats.org/officeDocument/2006/relationships/hyperlink" Target="#'Source text'!A27" TargetMode="External" Id="rId29"/><Relationship Type="http://schemas.openxmlformats.org/officeDocument/2006/relationships/hyperlink" Target="#'Source text'!A27" TargetMode="External" Id="rId30"/><Relationship Type="http://schemas.openxmlformats.org/officeDocument/2006/relationships/hyperlink" Target="#'Source text'!A27" TargetMode="External" Id="rId31"/><Relationship Type="http://schemas.openxmlformats.org/officeDocument/2006/relationships/hyperlink" Target="#'Source text'!A28" TargetMode="External" Id="rId32"/><Relationship Type="http://schemas.openxmlformats.org/officeDocument/2006/relationships/hyperlink" Target="#'Source text'!A30" TargetMode="External" Id="rId33"/><Relationship Type="http://schemas.openxmlformats.org/officeDocument/2006/relationships/hyperlink" Target="#'Source text'!A31" TargetMode="External" Id="rId34"/><Relationship Type="http://schemas.openxmlformats.org/officeDocument/2006/relationships/hyperlink" Target="#'Source text'!A31" TargetMode="External" Id="rId35"/><Relationship Type="http://schemas.openxmlformats.org/officeDocument/2006/relationships/hyperlink" Target="#'Source text'!A31" TargetMode="External" Id="rId36"/><Relationship Type="http://schemas.openxmlformats.org/officeDocument/2006/relationships/hyperlink" Target="#'Source text'!A33" TargetMode="External" Id="rId37"/><Relationship Type="http://schemas.openxmlformats.org/officeDocument/2006/relationships/hyperlink" Target="#'Source text'!A33" TargetMode="External" Id="rId38"/><Relationship Type="http://schemas.openxmlformats.org/officeDocument/2006/relationships/hyperlink" Target="#'Source text'!A33" TargetMode="External" Id="rId39"/></Relationships>
</file>

<file path=xl/worksheets/sheet1.xml><?xml version="1.0" encoding="utf-8"?>
<worksheet xmlns="http://schemas.openxmlformats.org/spreadsheetml/2006/main">
  <sheetPr>
    <outlinePr summaryBelow="1" summaryRight="1"/>
    <pageSetUpPr/>
  </sheetPr>
  <dimension ref="A1:AM41"/>
  <sheetViews>
    <sheetView workbookViewId="0">
      <pane xSplit="3" ySplit="2" topLeftCell="D3" activePane="bottomRight" state="frozen"/>
      <selection pane="topRight"/>
      <selection pane="bottomLeft"/>
      <selection pane="bottomRight" activeCell="A1" sqref="A1"/>
    </sheetView>
  </sheetViews>
  <sheetFormatPr baseColWidth="8" defaultRowHeight="15"/>
  <cols>
    <col width="6" customWidth="1" min="1" max="1"/>
    <col width="16" customWidth="1" min="2" max="2"/>
    <col width="22" customWidth="1" min="3" max="3"/>
    <col width="20" customWidth="1" min="4" max="4"/>
    <col width="8" customWidth="1" min="5" max="5"/>
    <col width="8" customWidth="1" min="6" max="6"/>
    <col width="11" customWidth="1" min="7" max="7"/>
    <col width="52" customWidth="1" min="8" max="8"/>
    <col width="12" customWidth="1" min="9" max="9"/>
    <col width="13" customWidth="1" min="10" max="10"/>
    <col width="60" customWidth="1" min="11" max="11"/>
    <col width="18" customWidth="1" min="12" max="12"/>
    <col width="9" customWidth="1" min="13" max="13"/>
    <col width="22" customWidth="1" min="14" max="14"/>
    <col hidden="1" outlineLevel="1" width="9" customWidth="1" min="15" max="15"/>
    <col hidden="1" outlineLevel="1" width="8" customWidth="1" min="16" max="16"/>
    <col hidden="1" outlineLevel="1" width="7" customWidth="1" min="17" max="17"/>
    <col hidden="1" outlineLevel="1" width="11" customWidth="1" min="18" max="18"/>
    <col hidden="1" outlineLevel="1" width="11" customWidth="1" min="19" max="19"/>
    <col hidden="1" outlineLevel="1" width="12" customWidth="1" min="20" max="20"/>
    <col hidden="1" outlineLevel="1" width="14" customWidth="1" min="21" max="21"/>
    <col hidden="1" outlineLevel="1" width="17" customWidth="1" min="22" max="22"/>
    <col hidden="1" outlineLevel="1" width="10" customWidth="1" min="23" max="23"/>
    <col hidden="1" outlineLevel="1" width="10" customWidth="1" min="24" max="24"/>
    <col hidden="1" outlineLevel="1" width="12" customWidth="1" min="25" max="25"/>
    <col hidden="1" outlineLevel="1" width="12" customWidth="1" min="26" max="26"/>
    <col hidden="1" outlineLevel="1" width="9" customWidth="1" min="27" max="27"/>
    <col hidden="1" outlineLevel="1" width="9" customWidth="1" min="28" max="28"/>
    <col hidden="1" outlineLevel="1" width="12" customWidth="1" min="29" max="29"/>
    <col hidden="1" outlineLevel="1" width="46" customWidth="1" min="30" max="30"/>
    <col hidden="1" outlineLevel="1" width="11" customWidth="1" min="31" max="31"/>
    <col hidden="1" outlineLevel="1" width="20" customWidth="1" min="32" max="32"/>
    <col hidden="1" outlineLevel="1" width="14" customWidth="1" min="33" max="33"/>
    <col hidden="1" outlineLevel="1" width="11" customWidth="1" min="34" max="34"/>
    <col hidden="1" outlineLevel="1" width="22" customWidth="1" min="35" max="35"/>
    <col hidden="1" outlineLevel="1" width="17" customWidth="1" min="36" max="36"/>
    <col hidden="1" outlineLevel="1" width="7" customWidth="1" min="37" max="37"/>
    <col hidden="1" outlineLevel="1" width="24" customWidth="1" min="38" max="38"/>
    <col hidden="1" outlineLevel="1" width="22" customWidth="1" min="39" max="39"/>
  </cols>
  <sheetData>
    <row r="1">
      <c r="A1" s="1" t="inlineStr">
        <is>
          <t>Deal ledger — PetSmart (PETM–Argos/BC Partners, 2014–15) · chronological working record (AI first pass; instruction rev. 19 Sep 2026). Collapsed expandable fields in groups O–AM to the right: Row id, Include, Count, dates, price, cash, Conditions detail, deadlines, outcome and source metadata. One row per materially distinct event; see Summary for the commercial account and round map.</t>
        </is>
      </c>
      <c r="O1" s="2" t="inlineStr">
        <is>
          <t>Row control</t>
        </is>
      </c>
      <c r="Q1" s="2" t="inlineStr">
        <is>
          <t>Count</t>
        </is>
      </c>
      <c r="R1" s="2" t="inlineStr">
        <is>
          <t>Dates</t>
        </is>
      </c>
      <c r="W1" s="2" t="inlineStr">
        <is>
          <t>Price</t>
        </is>
      </c>
      <c r="AB1" s="2" t="inlineStr">
        <is>
          <t>Cash</t>
        </is>
      </c>
      <c r="AD1" s="2" t="inlineStr">
        <is>
          <t>Conditions</t>
        </is>
      </c>
      <c r="AE1" s="2" t="inlineStr">
        <is>
          <t>Deadlines</t>
        </is>
      </c>
      <c r="AH1" s="2" t="inlineStr">
        <is>
          <t>Participation outcome</t>
        </is>
      </c>
      <c r="AK1" s="2" t="inlineStr">
        <is>
          <t>Source</t>
        </is>
      </c>
    </row>
    <row r="2">
      <c r="A2" s="3" t="inlineStr">
        <is>
          <t>#</t>
        </is>
      </c>
      <c r="B2" s="3" t="inlineStr">
        <is>
          <t>When</t>
        </is>
      </c>
      <c r="C2" s="3" t="inlineStr">
        <is>
          <t>Who</t>
        </is>
      </c>
      <c r="D2" s="3" t="inlineStr">
        <is>
          <t>What happened</t>
        </is>
      </c>
      <c r="E2" s="3" t="inlineStr">
        <is>
          <t>Process</t>
        </is>
      </c>
      <c r="F2" s="3" t="inlineStr">
        <is>
          <t>Round</t>
        </is>
      </c>
      <c r="G2" s="3" t="inlineStr">
        <is>
          <t>Type</t>
        </is>
      </c>
      <c r="H2" s="3" t="inlineStr">
        <is>
          <t>Terms or outcome</t>
        </is>
      </c>
      <c r="I2" s="3" t="inlineStr">
        <is>
          <t>Formality</t>
        </is>
      </c>
      <c r="J2" s="3" t="inlineStr">
        <is>
          <t>Conditions level</t>
        </is>
      </c>
      <c r="K2" s="3" t="inlineStr">
        <is>
          <t>Why and evidence</t>
        </is>
      </c>
      <c r="L2" s="3" t="inlineStr">
        <is>
          <t>Source</t>
        </is>
      </c>
      <c r="M2" s="3" t="inlineStr">
        <is>
          <t>Review</t>
        </is>
      </c>
      <c r="N2" s="3" t="inlineStr">
        <is>
          <t>Reviewer note</t>
        </is>
      </c>
      <c r="O2" s="4" t="inlineStr">
        <is>
          <t>Row id</t>
        </is>
      </c>
      <c r="P2" s="4" t="inlineStr">
        <is>
          <t>Include</t>
        </is>
      </c>
      <c r="Q2" s="4" t="inlineStr">
        <is>
          <t>Count</t>
        </is>
      </c>
      <c r="R2" s="4" t="inlineStr">
        <is>
          <t>Date from</t>
        </is>
      </c>
      <c r="S2" s="4" t="inlineStr">
        <is>
          <t>Date to</t>
        </is>
      </c>
      <c r="T2" s="4" t="inlineStr">
        <is>
          <t>Working date</t>
        </is>
      </c>
      <c r="U2" s="4" t="inlineStr">
        <is>
          <t>Date basis</t>
        </is>
      </c>
      <c r="V2" s="4" t="inlineStr">
        <is>
          <t>Date method</t>
        </is>
      </c>
      <c r="W2" s="4" t="inlineStr">
        <is>
          <t>Price low</t>
        </is>
      </c>
      <c r="X2" s="4" t="inlineStr">
        <is>
          <t>Price high</t>
        </is>
      </c>
      <c r="Y2" s="4" t="inlineStr">
        <is>
          <t>Price kind</t>
        </is>
      </c>
      <c r="Z2" s="4" t="inlineStr">
        <is>
          <t>Price origin</t>
        </is>
      </c>
      <c r="AA2" s="4" t="inlineStr">
        <is>
          <t>Currency</t>
        </is>
      </c>
      <c r="AB2" s="4" t="inlineStr">
        <is>
          <t>All cash</t>
        </is>
      </c>
      <c r="AC2" s="4" t="inlineStr">
        <is>
          <t>Cash at closing</t>
        </is>
      </c>
      <c r="AD2" s="4" t="inlineStr">
        <is>
          <t>Conditions detail</t>
        </is>
      </c>
      <c r="AE2" s="4" t="inlineStr">
        <is>
          <t>Due date</t>
        </is>
      </c>
      <c r="AF2" s="4" t="inlineStr">
        <is>
          <t>Deadline treatment</t>
        </is>
      </c>
      <c r="AG2" s="4" t="inlineStr">
        <is>
          <t>Round finality</t>
        </is>
      </c>
      <c r="AH2" s="4" t="inlineStr">
        <is>
          <t>Decided by</t>
        </is>
      </c>
      <c r="AI2" s="4" t="inlineStr">
        <is>
          <t>Exit reason</t>
        </is>
      </c>
      <c r="AJ2" s="4" t="inlineStr">
        <is>
          <t>Outcome basis</t>
        </is>
      </c>
      <c r="AK2" s="4" t="inlineStr">
        <is>
          <t>Page</t>
        </is>
      </c>
      <c r="AL2" s="4" t="inlineStr">
        <is>
          <t>Related rows</t>
        </is>
      </c>
      <c r="AM2" s="4" t="inlineStr">
        <is>
          <t>Deal</t>
        </is>
      </c>
    </row>
    <row r="3">
      <c r="A3" s="5" t="n">
        <v>1</v>
      </c>
      <c r="B3" s="6" t="inlineStr">
        <is>
          <t>07/03/2014</t>
        </is>
      </c>
      <c r="C3" s="6" t="inlineStr">
        <is>
          <t>JANA Partners LLC</t>
        </is>
      </c>
      <c r="D3" s="6" t="inlineStr">
        <is>
          <t>Activist pressure</t>
        </is>
      </c>
      <c r="E3" s="5" t="n">
        <v>1</v>
      </c>
      <c r="F3" s="5" t="inlineStr">
        <is>
          <t>0</t>
        </is>
      </c>
      <c r="G3" s="6" t="n"/>
      <c r="H3" s="6" t="inlineStr">
        <is>
          <t>JANA filed a Schedule 13D disclosing a 9.9% stake and an intent to discuss a review of strategic alternatives, including a sale of the Company; over July–August it filed amendments and public letters advocating a sale, and on 07/10/2014 its representatives met Company representatives in person and advocated a sale.</t>
        </is>
      </c>
      <c r="I3" s="5" t="n"/>
      <c r="J3" s="5" t="n"/>
      <c r="K3" s="6" t="inlineStr">
        <is>
          <t>Stated: "On July 3, 2014, JANA Partners filed a Schedule 13D with the SEC disclosing that JANA had acquired 9.9% of the Company’s outstanding common stock and that JANA intended to engage in discussions with management and the board with respect to a review of strategic alternatives, including a sale of the Company." (p.22)</t>
        </is>
      </c>
      <c r="L3" s="7" t="inlineStr">
        <is>
          <t>P-0740</t>
        </is>
      </c>
      <c r="M3" s="5" t="inlineStr">
        <is>
          <t>Q8</t>
        </is>
      </c>
      <c r="N3" s="6" t="n"/>
      <c r="O3" s="5" t="inlineStr">
        <is>
          <t>R001</t>
        </is>
      </c>
      <c r="P3" s="5" t="inlineStr">
        <is>
          <t>Yes</t>
        </is>
      </c>
      <c r="Q3" s="5" t="n"/>
      <c r="R3" s="8" t="n">
        <v>41823</v>
      </c>
      <c r="S3" s="8" t="n">
        <v>41823</v>
      </c>
      <c r="T3" s="8" t="n">
        <v>41823</v>
      </c>
      <c r="U3" s="5" t="inlineStr">
        <is>
          <t>Reported day</t>
        </is>
      </c>
      <c r="V3" s="5" t="inlineStr">
        <is>
          <t>Reported</t>
        </is>
      </c>
      <c r="W3" s="6" t="n"/>
      <c r="X3" s="6" t="n"/>
      <c r="Y3" s="5" t="n"/>
      <c r="Z3" s="5" t="n"/>
      <c r="AA3" s="5" t="n"/>
      <c r="AB3" s="5" t="n"/>
      <c r="AC3" s="6" t="n"/>
      <c r="AD3" s="6" t="n"/>
      <c r="AE3" s="9" t="n"/>
      <c r="AF3" s="5" t="n"/>
      <c r="AG3" s="5" t="n"/>
      <c r="AH3" s="5" t="n"/>
      <c r="AI3" s="6" t="n"/>
      <c r="AJ3" s="5" t="n"/>
      <c r="AK3" s="5" t="n">
        <v>22</v>
      </c>
      <c r="AL3" s="6" t="n"/>
      <c r="AM3" s="6" t="inlineStr">
        <is>
          <t>PetSmart</t>
        </is>
      </c>
    </row>
    <row r="4">
      <c r="A4" s="5" t="n">
        <v>2</v>
      </c>
      <c r="B4" s="6" t="inlineStr">
        <is>
          <t>07/07/2014</t>
        </is>
      </c>
      <c r="C4" s="6" t="inlineStr">
        <is>
          <t>Longview Asset Management, LLC</t>
        </is>
      </c>
      <c r="D4" s="6" t="inlineStr">
        <is>
          <t>Activist pressure</t>
        </is>
      </c>
      <c r="E4" s="5" t="n">
        <v>1</v>
      </c>
      <c r="F4" s="5" t="inlineStr">
        <is>
          <t>0</t>
        </is>
      </c>
      <c r="G4" s="6" t="n"/>
      <c r="H4" s="6" t="inlineStr">
        <is>
          <t>Longview published a letter to the board stating the board should consider a sale and that, if a sale were determined to be in all stockholders’ interests, Longview would consider rolling part or all of its holdings into the acquirer’s equity rather than receiving cash, if necessary to complete a transaction. Longview reiterated its sale advocacy in a 07/10/2014 call.</t>
        </is>
      </c>
      <c r="I4" s="5" t="n"/>
      <c r="J4" s="5" t="n"/>
      <c r="K4" s="6" t="inlineStr">
        <is>
          <t>Stated: "On July 7, 2014, Longview made public a letter to the board in which Longview stated that the board should consider the a sale of the Company (as well as other strategic alternatives) and that should the board determine a sale transaction to be in the interests of all stockholders, Longview would consider, depending on the parties and terms involved, rolling part or all of its holdings into equity of the acquiring entity rather than receive cash consideration, should doing so prove necessary in order to enable the Company to complete a transaction." (p.22) (source wording retained).</t>
        </is>
      </c>
      <c r="L4" s="7" t="inlineStr">
        <is>
          <t>P-0740</t>
        </is>
      </c>
      <c r="M4" s="5" t="inlineStr">
        <is>
          <t>Q8</t>
        </is>
      </c>
      <c r="N4" s="6" t="n"/>
      <c r="O4" s="5" t="inlineStr">
        <is>
          <t>R002</t>
        </is>
      </c>
      <c r="P4" s="5" t="inlineStr">
        <is>
          <t>Yes</t>
        </is>
      </c>
      <c r="Q4" s="5" t="n"/>
      <c r="R4" s="8" t="n">
        <v>41827</v>
      </c>
      <c r="S4" s="8" t="n">
        <v>41827</v>
      </c>
      <c r="T4" s="8" t="n">
        <v>41827</v>
      </c>
      <c r="U4" s="5" t="inlineStr">
        <is>
          <t>Reported day</t>
        </is>
      </c>
      <c r="V4" s="5" t="inlineStr">
        <is>
          <t>Reported</t>
        </is>
      </c>
      <c r="W4" s="6" t="n"/>
      <c r="X4" s="6" t="n"/>
      <c r="Y4" s="5" t="n"/>
      <c r="Z4" s="5" t="n"/>
      <c r="AA4" s="5" t="n"/>
      <c r="AB4" s="5" t="n"/>
      <c r="AC4" s="6" t="n"/>
      <c r="AD4" s="6" t="n"/>
      <c r="AE4" s="9" t="n"/>
      <c r="AF4" s="5" t="n"/>
      <c r="AG4" s="5" t="n"/>
      <c r="AH4" s="5" t="n"/>
      <c r="AI4" s="6" t="n"/>
      <c r="AJ4" s="5" t="n"/>
      <c r="AK4" s="5" t="n">
        <v>22</v>
      </c>
      <c r="AL4" s="6" t="n"/>
      <c r="AM4" s="6" t="inlineStr">
        <is>
          <t>PetSmart</t>
        </is>
      </c>
    </row>
    <row r="5">
      <c r="A5" s="5" t="n">
        <v>3</v>
      </c>
      <c r="B5" s="6" t="inlineStr">
        <is>
          <t>08/07/2014</t>
        </is>
      </c>
      <c r="C5" s="6" t="inlineStr">
        <is>
          <t>Industry Participant (privately held)</t>
        </is>
      </c>
      <c r="D5" s="6" t="inlineStr">
        <is>
          <t>Bidder interest</t>
        </is>
      </c>
      <c r="E5" s="5" t="n">
        <v>1</v>
      </c>
      <c r="F5" s="5" t="inlineStr">
        <is>
          <t>0</t>
        </is>
      </c>
      <c r="G5" s="6" t="inlineStr">
        <is>
          <t>Strategic</t>
        </is>
      </c>
      <c r="H5" s="6" t="inlineStr">
        <is>
          <t>A representative of Industry Participant called J.P. Morgan to say that if the Company were to pursue strategic alternatives, Industry Participant might be interested in revisiting the Spring 2014 conversations about a possible combination. Background: in March 2014 the board had authorized management to explore a merger with or acquisition of Industry Participant; its CEO said it was not for sale and raised antitrust clearance concerns. Unpriced interest; reported to the ad hoc committee.</t>
        </is>
      </c>
      <c r="I5" s="5" t="n"/>
      <c r="J5" s="5" t="n"/>
      <c r="K5" s="6" t="inlineStr">
        <is>
          <t>Stated: "The Industry Participant representative indicated that she had heard rumors that J.P. Morgan was working with the Company and wanted to inform J.P. Morgan that, if the Company were to pursue strategic alternatives, Industry Participant might be interested in re-visiting the conversations that had taken place in the Spring concerning the feasibility of a possible combination of the two Companies." (p.22)</t>
        </is>
      </c>
      <c r="L5" s="7" t="inlineStr">
        <is>
          <t>P-0741; P-0734</t>
        </is>
      </c>
      <c r="M5" s="5" t="inlineStr">
        <is>
          <t>Q4; Q8</t>
        </is>
      </c>
      <c r="N5" s="6" t="n"/>
      <c r="O5" s="5" t="inlineStr">
        <is>
          <t>R003</t>
        </is>
      </c>
      <c r="P5" s="5" t="inlineStr">
        <is>
          <t>Yes</t>
        </is>
      </c>
      <c r="Q5" s="5" t="n"/>
      <c r="R5" s="8" t="n">
        <v>41858</v>
      </c>
      <c r="S5" s="8" t="n">
        <v>41858</v>
      </c>
      <c r="T5" s="8" t="n">
        <v>41858</v>
      </c>
      <c r="U5" s="5" t="inlineStr">
        <is>
          <t>Reported day</t>
        </is>
      </c>
      <c r="V5" s="5" t="inlineStr">
        <is>
          <t>Reported</t>
        </is>
      </c>
      <c r="W5" s="6" t="n"/>
      <c r="X5" s="6" t="n"/>
      <c r="Y5" s="5" t="n"/>
      <c r="Z5" s="5" t="n"/>
      <c r="AA5" s="5" t="n"/>
      <c r="AB5" s="5" t="n"/>
      <c r="AC5" s="6" t="n"/>
      <c r="AD5" s="6" t="n"/>
      <c r="AE5" s="9" t="n"/>
      <c r="AF5" s="5" t="n"/>
      <c r="AG5" s="5" t="n"/>
      <c r="AH5" s="5" t="n"/>
      <c r="AI5" s="6" t="n"/>
      <c r="AJ5" s="5" t="n"/>
      <c r="AK5" s="5" t="n">
        <v>22</v>
      </c>
      <c r="AL5" s="6" t="n"/>
      <c r="AM5" s="6" t="inlineStr">
        <is>
          <t>PetSmart</t>
        </is>
      </c>
    </row>
    <row r="6">
      <c r="A6" s="5" t="n">
        <v>4</v>
      </c>
      <c r="B6" s="6" t="inlineStr">
        <is>
          <t>08/13/2014</t>
        </is>
      </c>
      <c r="C6" s="6" t="inlineStr">
        <is>
          <t>PetSmart (Board)</t>
        </is>
      </c>
      <c r="D6" s="6" t="inlineStr">
        <is>
          <t>Target sale decision</t>
        </is>
      </c>
      <c r="E6" s="5" t="n">
        <v>1</v>
      </c>
      <c r="F6" s="5" t="inlineStr">
        <is>
          <t>0</t>
        </is>
      </c>
      <c r="G6" s="6" t="n"/>
      <c r="H6" s="6" t="inlineStr">
        <is>
          <t>Board determined to explore strategic alternatives, including a possible sale, to maximize stockholder value; instructed management to plan the Profit Improvement Plan; authorized the ad hoc committee (Josefowicz, Gangwal, Stemberg) to oversee the sale exploration and direct negotiations; planned J.P. Morgan contacts for late September/early October and a public announcement; discussed and weighed the antitrust, information and delay risks of inviting Industry Participant.</t>
        </is>
      </c>
      <c r="I6" s="5" t="n"/>
      <c r="J6" s="5" t="n"/>
      <c r="K6" s="6" t="inlineStr">
        <is>
          <t>Stated: "the board (1) determined to explore strategic alternatives (including a possible sale of the Company) for the Company to maximize value for stockholders including by commencing a process to determine the potential value that could be achieved via a sale of the Company; (2) instructed management to commence intensive planning for a cost-reduction and profit-improvement plan" and "(3) authorized the ad hoc committee to oversee the sale exploration process" (p.22).</t>
        </is>
      </c>
      <c r="L6" s="7" t="inlineStr">
        <is>
          <t>P-0742</t>
        </is>
      </c>
      <c r="M6" s="5" t="inlineStr">
        <is>
          <t>Q1</t>
        </is>
      </c>
      <c r="N6" s="6" t="n"/>
      <c r="O6" s="5" t="inlineStr">
        <is>
          <t>R004</t>
        </is>
      </c>
      <c r="P6" s="5" t="inlineStr">
        <is>
          <t>Yes</t>
        </is>
      </c>
      <c r="Q6" s="5" t="n"/>
      <c r="R6" s="8" t="n">
        <v>41864</v>
      </c>
      <c r="S6" s="8" t="n">
        <v>41864</v>
      </c>
      <c r="T6" s="8" t="n">
        <v>41864</v>
      </c>
      <c r="U6" s="5" t="inlineStr">
        <is>
          <t>Reported day</t>
        </is>
      </c>
      <c r="V6" s="5" t="inlineStr">
        <is>
          <t>Reported</t>
        </is>
      </c>
      <c r="W6" s="6" t="n"/>
      <c r="X6" s="6" t="n"/>
      <c r="Y6" s="5" t="n"/>
      <c r="Z6" s="5" t="n"/>
      <c r="AA6" s="5" t="n"/>
      <c r="AB6" s="5" t="n"/>
      <c r="AC6" s="6" t="n"/>
      <c r="AD6" s="6" t="n"/>
      <c r="AE6" s="9" t="n"/>
      <c r="AF6" s="5" t="n"/>
      <c r="AG6" s="5" t="n"/>
      <c r="AH6" s="5" t="n"/>
      <c r="AI6" s="6" t="n"/>
      <c r="AJ6" s="5" t="n"/>
      <c r="AK6" s="5" t="n">
        <v>22</v>
      </c>
      <c r="AL6" s="6" t="n"/>
      <c r="AM6" s="6" t="inlineStr">
        <is>
          <t>PetSmart</t>
        </is>
      </c>
    </row>
    <row r="7">
      <c r="A7" s="5" t="n">
        <v>5</v>
      </c>
      <c r="B7" s="6" t="inlineStr">
        <is>
          <t>middle of August–end of October 2014</t>
        </is>
      </c>
      <c r="C7" s="6" t="inlineStr">
        <is>
          <t>J.P. Morgan / 27 potential participants (3 strategic; 24 financial)</t>
        </is>
      </c>
      <c r="D7" s="6" t="inlineStr">
        <is>
          <t>Contact</t>
        </is>
      </c>
      <c r="E7" s="5" t="n">
        <v>1</v>
      </c>
      <c r="F7" s="5" t="inlineStr">
        <is>
          <t>0</t>
        </is>
      </c>
      <c r="G7" s="6" t="n"/>
      <c r="H7" s="6" t="inlineStr">
        <is>
          <t>Inbound interest during process preparation: J.P. Morgan was contacted by 27 potential participants (three strategic parties, not counting Industry Participant, and 24 financial participants including potential lead buyers and large equity suppliers); by 10/03/2014 about 15 had expressed interest in participating. Direction: participant-initiated. No individual contact dates are disclosed; six of these parties later submitted IOIs.</t>
        </is>
      </c>
      <c r="I7" s="5" t="n"/>
      <c r="J7" s="5" t="n"/>
      <c r="K7" s="6" t="inlineStr">
        <is>
          <t>Stated: "During this period, J.P. Morgan was contacted by 27 potential participants in a sale process, including three strategic parties (not counting Industry Participant) and 24 financial participants (including potential lead buyers as well as large suppliers of equity capital to lead buyers)." (p.23)</t>
        </is>
      </c>
      <c r="L7" s="7" t="inlineStr">
        <is>
          <t>P-0747; P-0748</t>
        </is>
      </c>
      <c r="M7" s="5" t="inlineStr">
        <is>
          <t>Q3</t>
        </is>
      </c>
      <c r="N7" s="6" t="n"/>
      <c r="O7" s="5" t="inlineStr">
        <is>
          <t>R005</t>
        </is>
      </c>
      <c r="P7" s="5" t="inlineStr">
        <is>
          <t>Yes</t>
        </is>
      </c>
      <c r="Q7" s="5" t="n">
        <v>27</v>
      </c>
      <c r="R7" s="8" t="n">
        <v>41864</v>
      </c>
      <c r="S7" s="8" t="n">
        <v>41943</v>
      </c>
      <c r="T7" s="8" t="n">
        <v>41864</v>
      </c>
      <c r="U7" s="5" t="inlineStr">
        <is>
          <t>Approximate window</t>
        </is>
      </c>
      <c r="V7" s="5" t="inlineStr">
        <is>
          <t>Assigned: bound</t>
        </is>
      </c>
      <c r="W7" s="6" t="n"/>
      <c r="X7" s="6" t="n"/>
      <c r="Y7" s="5" t="n"/>
      <c r="Z7" s="5" t="n"/>
      <c r="AA7" s="5" t="n"/>
      <c r="AB7" s="5" t="n"/>
      <c r="AC7" s="6" t="n"/>
      <c r="AD7" s="6" t="n"/>
      <c r="AE7" s="9" t="n"/>
      <c r="AF7" s="5" t="n"/>
      <c r="AG7" s="5" t="n"/>
      <c r="AH7" s="5" t="n"/>
      <c r="AI7" s="6" t="n"/>
      <c r="AJ7" s="5" t="n"/>
      <c r="AK7" s="5" t="n">
        <v>23</v>
      </c>
      <c r="AL7" s="6" t="n"/>
      <c r="AM7" s="6" t="inlineStr">
        <is>
          <t>PetSmart</t>
        </is>
      </c>
    </row>
    <row r="8">
      <c r="A8" s="5" t="n">
        <v>6</v>
      </c>
      <c r="B8" s="6" t="inlineStr">
        <is>
          <t>08/19/2014</t>
        </is>
      </c>
      <c r="C8" s="6" t="inlineStr">
        <is>
          <t>PetSmart / media</t>
        </is>
      </c>
      <c r="D8" s="6" t="inlineStr">
        <is>
          <t>Sale process announced</t>
        </is>
      </c>
      <c r="E8" s="5" t="n">
        <v>1</v>
      </c>
      <c r="F8" s="5" t="inlineStr">
        <is>
          <t>0</t>
        </is>
      </c>
      <c r="G8" s="6" t="n"/>
      <c r="H8" s="6" t="inlineStr">
        <is>
          <t>Concurrent with its second quarter earnings announcement, the Company issued a press release announcing that it had determined to explore strategic alternatives, including a possible sale, to maximize stockholder value. Issuer: PetSmart; public disclosure by press release.</t>
        </is>
      </c>
      <c r="I8" s="5" t="n"/>
      <c r="J8" s="5" t="n"/>
      <c r="K8" s="6" t="inlineStr">
        <is>
          <t>Stated: "On August 19, 2014, concurrent with its second quarter earnings announcement, the Company issued a press release announcing that it determined to explore strategic alternatives for the Company to maximize value for stockholders, including a possible sale of the Company." (p.23)</t>
        </is>
      </c>
      <c r="L8" s="7" t="inlineStr">
        <is>
          <t>P-0745</t>
        </is>
      </c>
      <c r="M8" s="5" t="inlineStr">
        <is>
          <t>Q1</t>
        </is>
      </c>
      <c r="N8" s="6" t="n"/>
      <c r="O8" s="5" t="inlineStr">
        <is>
          <t>R006</t>
        </is>
      </c>
      <c r="P8" s="5" t="inlineStr">
        <is>
          <t>Yes</t>
        </is>
      </c>
      <c r="Q8" s="5" t="n"/>
      <c r="R8" s="8" t="n">
        <v>41870</v>
      </c>
      <c r="S8" s="8" t="n">
        <v>41870</v>
      </c>
      <c r="T8" s="8" t="n">
        <v>41870</v>
      </c>
      <c r="U8" s="5" t="inlineStr">
        <is>
          <t>Reported day</t>
        </is>
      </c>
      <c r="V8" s="5" t="inlineStr">
        <is>
          <t>Reported</t>
        </is>
      </c>
      <c r="W8" s="6" t="n"/>
      <c r="X8" s="6" t="n"/>
      <c r="Y8" s="5" t="n"/>
      <c r="Z8" s="5" t="n"/>
      <c r="AA8" s="5" t="n"/>
      <c r="AB8" s="5" t="n"/>
      <c r="AC8" s="6" t="n"/>
      <c r="AD8" s="6" t="n"/>
      <c r="AE8" s="9" t="n"/>
      <c r="AF8" s="5" t="n"/>
      <c r="AG8" s="5" t="n"/>
      <c r="AH8" s="5" t="n"/>
      <c r="AI8" s="6" t="n"/>
      <c r="AJ8" s="5" t="n"/>
      <c r="AK8" s="5" t="n">
        <v>23</v>
      </c>
      <c r="AL8" s="6" t="n"/>
      <c r="AM8" s="6" t="inlineStr">
        <is>
          <t>PetSmart</t>
        </is>
      </c>
    </row>
    <row r="9">
      <c r="A9" s="5" t="n">
        <v>7</v>
      </c>
      <c r="B9" s="6" t="inlineStr">
        <is>
          <t>08/22/2014–08/27/2014</t>
        </is>
      </c>
      <c r="C9" s="6" t="inlineStr">
        <is>
          <t>PetSmart (ad hoc committee) / Industry Participant</t>
        </is>
      </c>
      <c r="D9" s="6" t="inlineStr">
        <is>
          <t>Target decision</t>
        </is>
      </c>
      <c r="E9" s="5" t="n">
        <v>1</v>
      </c>
      <c r="F9" s="5" t="inlineStr">
        <is>
          <t>0</t>
        </is>
      </c>
      <c r="G9" s="6" t="inlineStr">
        <is>
          <t>Strategic</t>
        </is>
      </c>
      <c r="H9" s="6" t="inlineStr">
        <is>
          <t>Industry Participant was told it would not be invited into the exploratory process, because the board judged an acquisition by or combination with it very unlikely to obtain antitrust clearance without unacceptable conditions and likely to disrupt the process; J.P. Morgan said the board would consider a proposal or other communication if Industry Participant wished to submit one. Industry Participant expressed interest in a combination on the 08/27/2014 call. No contact since 08/27/2014; it never entered the process, so no participation-outcome row is created.</t>
        </is>
      </c>
      <c r="I9" s="5" t="n"/>
      <c r="J9" s="5" t="n"/>
      <c r="K9" s="6" t="inlineStr">
        <is>
          <t>Stated: "The J.P. Morgan representative stated that Industry Participant would not be invited into the exploratory process, but that if Industry Participant were to wish to submit a proposal or other communication to the Company, the board would consider it." and "There has been no contact between PetSmart and Industry Participant (or between any of their respective representatives) since August 27, 2014." (p.23)</t>
        </is>
      </c>
      <c r="L9" s="7" t="inlineStr">
        <is>
          <t>P-0745; P-0746</t>
        </is>
      </c>
      <c r="M9" s="5" t="inlineStr">
        <is>
          <t>Q4; Q8</t>
        </is>
      </c>
      <c r="N9" s="6" t="n"/>
      <c r="O9" s="5" t="inlineStr">
        <is>
          <t>R007</t>
        </is>
      </c>
      <c r="P9" s="5" t="inlineStr">
        <is>
          <t>Yes</t>
        </is>
      </c>
      <c r="Q9" s="5" t="n"/>
      <c r="R9" s="8" t="n">
        <v>41873</v>
      </c>
      <c r="S9" s="8" t="n">
        <v>41878</v>
      </c>
      <c r="T9" s="8" t="n">
        <v>41873</v>
      </c>
      <c r="U9" s="5" t="inlineStr">
        <is>
          <t>Reported interval</t>
        </is>
      </c>
      <c r="V9" s="5" t="inlineStr">
        <is>
          <t>Assigned: bound</t>
        </is>
      </c>
      <c r="W9" s="6" t="n"/>
      <c r="X9" s="6" t="n"/>
      <c r="Y9" s="5" t="n"/>
      <c r="Z9" s="5" t="n"/>
      <c r="AA9" s="5" t="n"/>
      <c r="AB9" s="5" t="n"/>
      <c r="AC9" s="6" t="n"/>
      <c r="AD9" s="6" t="n"/>
      <c r="AE9" s="9" t="n"/>
      <c r="AF9" s="5" t="n"/>
      <c r="AG9" s="5" t="n"/>
      <c r="AH9" s="5" t="n"/>
      <c r="AI9" s="6" t="n"/>
      <c r="AJ9" s="5" t="n"/>
      <c r="AK9" s="5" t="n">
        <v>23</v>
      </c>
      <c r="AL9" s="6" t="n"/>
      <c r="AM9" s="6" t="inlineStr">
        <is>
          <t>PetSmart</t>
        </is>
      </c>
    </row>
    <row r="10">
      <c r="A10" s="5" t="n">
        <v>8</v>
      </c>
      <c r="B10" s="6" t="inlineStr">
        <is>
          <t>first week of October 2014</t>
        </is>
      </c>
      <c r="C10" s="6" t="inlineStr">
        <is>
          <t>15 financial NDA signers</t>
        </is>
      </c>
      <c r="D10" s="6" t="inlineStr">
        <is>
          <t>NDA signed</t>
        </is>
      </c>
      <c r="E10" s="5" t="n">
        <v>1</v>
      </c>
      <c r="F10" s="5" t="inlineStr">
        <is>
          <t>1</t>
        </is>
      </c>
      <c r="G10" s="6" t="inlineStr">
        <is>
          <t>Financial</t>
        </is>
      </c>
      <c r="H10" s="6" t="inlineStr">
        <is>
          <t>The Company entered confidentiality and standstill agreements with 15 potentially interested financial buyers; during October all 15 engaged in due diligence, received management presentations involving senior management and received detailed financial and business-plan information, including the Profit Improvement Plan and associated cost-saving plans and opportunities. Individual signing dates are not disclosed.</t>
        </is>
      </c>
      <c r="I10" s="5" t="n"/>
      <c r="J10" s="5" t="n"/>
      <c r="K10" s="6" t="inlineStr">
        <is>
          <t>Stated: "In the first week of October 2014, the Company entered into confidentiality and standstill agreements with 15 potentially interested financial buyers, all 15 of which, during the month of October engaged in due diligence, received management presentations involving the Company’s senior-most management, and received detailed financial and business plan information, including detailed information concerning the Profit Improvement Plan and associated cost-saving plans and opportunities." (p.23)</t>
        </is>
      </c>
      <c r="L10" s="7" t="inlineStr">
        <is>
          <t>P-0749</t>
        </is>
      </c>
      <c r="M10" s="5" t="inlineStr">
        <is>
          <t>Q3</t>
        </is>
      </c>
      <c r="N10" s="6" t="n"/>
      <c r="O10" s="5" t="inlineStr">
        <is>
          <t>R008</t>
        </is>
      </c>
      <c r="P10" s="5" t="inlineStr">
        <is>
          <t>Yes</t>
        </is>
      </c>
      <c r="Q10" s="5" t="n">
        <v>15</v>
      </c>
      <c r="R10" s="8" t="n">
        <v>41913</v>
      </c>
      <c r="S10" s="8" t="n">
        <v>41919</v>
      </c>
      <c r="T10" s="8" t="n">
        <v>41913</v>
      </c>
      <c r="U10" s="5" t="inlineStr">
        <is>
          <t>Approximate window</t>
        </is>
      </c>
      <c r="V10" s="5" t="inlineStr">
        <is>
          <t>Assigned: bound</t>
        </is>
      </c>
      <c r="W10" s="6" t="n"/>
      <c r="X10" s="6" t="n"/>
      <c r="Y10" s="5" t="n"/>
      <c r="Z10" s="5" t="n"/>
      <c r="AA10" s="5" t="n"/>
      <c r="AB10" s="5" t="n"/>
      <c r="AC10" s="6" t="n"/>
      <c r="AD10" s="6" t="n"/>
      <c r="AE10" s="9" t="n"/>
      <c r="AF10" s="5" t="n"/>
      <c r="AG10" s="5" t="n"/>
      <c r="AH10" s="5" t="n"/>
      <c r="AI10" s="6" t="n"/>
      <c r="AJ10" s="5" t="n"/>
      <c r="AK10" s="5" t="n">
        <v>23</v>
      </c>
      <c r="AL10" s="6" t="n"/>
      <c r="AM10" s="6" t="inlineStr">
        <is>
          <t>PetSmart</t>
        </is>
      </c>
    </row>
    <row r="11">
      <c r="A11" s="5" t="n">
        <v>9</v>
      </c>
      <c r="B11" s="6" t="inlineStr">
        <is>
          <t>first week of October 2014</t>
        </is>
      </c>
      <c r="C11" s="6" t="inlineStr">
        <is>
          <t>PetSmart / J.P. Morgan</t>
        </is>
      </c>
      <c r="D11" s="6" t="inlineStr">
        <is>
          <t>Round opened</t>
        </is>
      </c>
      <c r="E11" s="5" t="n">
        <v>1</v>
      </c>
      <c r="F11" s="5" t="inlineStr">
        <is>
          <t>1</t>
        </is>
      </c>
      <c r="G11" s="6" t="n"/>
      <c r="H11" s="6" t="inlineStr">
        <is>
          <t>R1 anchor: the confidentiality-agreement wave admitting the 15 financial buyers (first week of October 2014) (R008) — the first target-organized step that admitted participants; the filing reports no dated target outreach wave (the 27 parties contacted J.P. Morgan on their own initiative). Other candidate anchors kept as rows: R004 (08/13/2014 board decision), R006 (08/19/2014 public announcement) and R010 (10/03/2014 board update). Objective: diligence, management presentations and non-binding IOIs. Finality: Not final — non-binding preliminary indications of interest.</t>
        </is>
      </c>
      <c r="I11" s="5" t="n"/>
      <c r="J11" s="5" t="n"/>
      <c r="K11" s="6" t="inlineStr">
        <is>
          <t>Stated: the Company "entered into confidentiality and standstill agreements with 15 potentially interested financial buyers" (p.23) and "the potential bidders were informed that non-binding preliminary indications of interest would be due on October 30, 2014" (p.23). Anchor convention under section 6.3 for participant-initiated processes.</t>
        </is>
      </c>
      <c r="L11" s="7" t="inlineStr">
        <is>
          <t>P-0749; P-0750</t>
        </is>
      </c>
      <c r="M11" s="5" t="inlineStr">
        <is>
          <t>Q1</t>
        </is>
      </c>
      <c r="N11" s="6" t="n"/>
      <c r="O11" s="5" t="inlineStr">
        <is>
          <t>R009</t>
        </is>
      </c>
      <c r="P11" s="5" t="inlineStr">
        <is>
          <t>Yes</t>
        </is>
      </c>
      <c r="Q11" s="5" t="n"/>
      <c r="R11" s="8" t="n">
        <v>41913</v>
      </c>
      <c r="S11" s="8" t="n">
        <v>41919</v>
      </c>
      <c r="T11" s="8" t="n">
        <v>41913</v>
      </c>
      <c r="U11" s="5" t="inlineStr">
        <is>
          <t>Approximate window</t>
        </is>
      </c>
      <c r="V11" s="5" t="inlineStr">
        <is>
          <t>Assigned: bound</t>
        </is>
      </c>
      <c r="W11" s="6" t="n"/>
      <c r="X11" s="6" t="n"/>
      <c r="Y11" s="5" t="n"/>
      <c r="Z11" s="5" t="n"/>
      <c r="AA11" s="5" t="n"/>
      <c r="AB11" s="5" t="n"/>
      <c r="AC11" s="6" t="n"/>
      <c r="AD11" s="6" t="n"/>
      <c r="AE11" s="9" t="n"/>
      <c r="AF11" s="5" t="n"/>
      <c r="AG11" s="5" t="inlineStr">
        <is>
          <t>Not final</t>
        </is>
      </c>
      <c r="AH11" s="5" t="n"/>
      <c r="AI11" s="6" t="n"/>
      <c r="AJ11" s="5" t="n"/>
      <c r="AK11" s="5" t="n">
        <v>23</v>
      </c>
      <c r="AL11" s="6" t="n"/>
      <c r="AM11" s="6" t="inlineStr">
        <is>
          <t>PetSmart</t>
        </is>
      </c>
    </row>
    <row r="12">
      <c r="A12" s="5" t="n">
        <v>10</v>
      </c>
      <c r="B12" s="6" t="inlineStr">
        <is>
          <t>10/03/2014</t>
        </is>
      </c>
      <c r="C12" s="6" t="inlineStr">
        <is>
          <t>PetSmart (Board)</t>
        </is>
      </c>
      <c r="D12" s="6" t="inlineStr">
        <is>
          <t>Target decision</t>
        </is>
      </c>
      <c r="E12" s="5" t="n">
        <v>1</v>
      </c>
      <c r="F12" s="5" t="inlineStr">
        <is>
          <t>0</t>
        </is>
      </c>
      <c r="G12" s="6" t="n"/>
      <c r="H12" s="6" t="inlineStr">
        <is>
          <t>Regularly scheduled board meeting: updated on the completed Profit Improvement Plan and on communications with the 27 potentially interested parties and Industry Participant since 08/13/2014; informed that approximately 15 parties had expressed interest; reaffirmed the determination not to invite Industry Participant for the reasons discussed in August. Candidate round-1 anchor (not used).</t>
        </is>
      </c>
      <c r="I12" s="5" t="n"/>
      <c r="J12" s="5" t="n"/>
      <c r="K12" s="6" t="inlineStr">
        <is>
          <t>Stated: "the board was informed that approximately 15 parties had expressed interest in participating in the process. In addition, at this meeting, in consultation with its financial and legal advisors, the board reviewed and, for the reasons discussed in August, reaffirmed the determination not to invite Industry Participant to participate in the sale process." (p.23)</t>
        </is>
      </c>
      <c r="L12" s="7" t="inlineStr">
        <is>
          <t>P-0748</t>
        </is>
      </c>
      <c r="M12" s="5" t="inlineStr">
        <is>
          <t>Q1</t>
        </is>
      </c>
      <c r="N12" s="6" t="n"/>
      <c r="O12" s="5" t="inlineStr">
        <is>
          <t>R010</t>
        </is>
      </c>
      <c r="P12" s="5" t="inlineStr">
        <is>
          <t>Yes</t>
        </is>
      </c>
      <c r="Q12" s="5" t="n"/>
      <c r="R12" s="8" t="n">
        <v>41915</v>
      </c>
      <c r="S12" s="8" t="n">
        <v>41915</v>
      </c>
      <c r="T12" s="8" t="n">
        <v>41915</v>
      </c>
      <c r="U12" s="5" t="inlineStr">
        <is>
          <t>Reported day</t>
        </is>
      </c>
      <c r="V12" s="5" t="inlineStr">
        <is>
          <t>Reported</t>
        </is>
      </c>
      <c r="W12" s="6" t="n"/>
      <c r="X12" s="6" t="n"/>
      <c r="Y12" s="5" t="n"/>
      <c r="Z12" s="5" t="n"/>
      <c r="AA12" s="5" t="n"/>
      <c r="AB12" s="5" t="n"/>
      <c r="AC12" s="6" t="n"/>
      <c r="AD12" s="6" t="n"/>
      <c r="AE12" s="9" t="n"/>
      <c r="AF12" s="5" t="n"/>
      <c r="AG12" s="5" t="n"/>
      <c r="AH12" s="5" t="n"/>
      <c r="AI12" s="6" t="n"/>
      <c r="AJ12" s="5" t="n"/>
      <c r="AK12" s="5" t="n">
        <v>23</v>
      </c>
      <c r="AL12" s="6" t="n"/>
      <c r="AM12" s="6" t="inlineStr">
        <is>
          <t>PetSmart</t>
        </is>
      </c>
    </row>
    <row r="13">
      <c r="A13" s="5" t="n">
        <v>11</v>
      </c>
      <c r="B13" s="6" t="inlineStr">
        <is>
          <t>October 2014</t>
        </is>
      </c>
      <c r="C13" s="6" t="inlineStr">
        <is>
          <t>Longview / PetSmart</t>
        </is>
      </c>
      <c r="D13" s="6" t="inlineStr">
        <is>
          <t>Material process update</t>
        </is>
      </c>
      <c r="E13" s="5" t="n">
        <v>1</v>
      </c>
      <c r="F13" s="5" t="inlineStr">
        <is>
          <t>1</t>
        </is>
      </c>
      <c r="G13" s="6" t="n"/>
      <c r="H13" s="6" t="inlineStr">
        <is>
          <t>Rollover relationship offered: Longview informed the Company it was willing to "roll-over" up to 7.5 million shares on terms and price acceptable to Longview (such shares would not receive cash merger consideration but would remain outstanding as equity in PetSmart or the buyer’s vehicle if a bidder so desired); bidders were asked to indicate interest in Longview participation, which was not a condition to participation.</t>
        </is>
      </c>
      <c r="I13" s="5" t="n"/>
      <c r="J13" s="5" t="n"/>
      <c r="K13" s="6" t="inlineStr">
        <is>
          <t>Stated: "The potential bidders were also informed that Longview had informed the Company that it would be willing to “roll-over” up to 7.5 million shares on terms and price acceptable to Longview" and "The Company requested that, in connection with their preliminary indications of interest, the bidders should indicate their interest, if any, in participation by Longview, but that such interest was not a condition to participation in the process." (pp.23–24)</t>
        </is>
      </c>
      <c r="L13" s="7" t="inlineStr">
        <is>
          <t>P-0750</t>
        </is>
      </c>
      <c r="M13" s="5" t="inlineStr">
        <is>
          <t>Q6; Q8</t>
        </is>
      </c>
      <c r="N13" s="6" t="n"/>
      <c r="O13" s="5" t="inlineStr">
        <is>
          <t>R011</t>
        </is>
      </c>
      <c r="P13" s="5" t="inlineStr">
        <is>
          <t>Yes</t>
        </is>
      </c>
      <c r="Q13" s="5" t="n"/>
      <c r="R13" s="8" t="n">
        <v>41913</v>
      </c>
      <c r="S13" s="8" t="n">
        <v>41943</v>
      </c>
      <c r="T13" s="8" t="n">
        <v>41927</v>
      </c>
      <c r="U13" s="5" t="inlineStr">
        <is>
          <t>Approximate window</t>
        </is>
      </c>
      <c r="V13" s="5" t="inlineStr">
        <is>
          <t>Assigned: midpoint</t>
        </is>
      </c>
      <c r="W13" s="6" t="n"/>
      <c r="X13" s="6" t="n"/>
      <c r="Y13" s="5" t="n"/>
      <c r="Z13" s="5" t="n"/>
      <c r="AA13" s="5" t="n"/>
      <c r="AB13" s="5" t="n"/>
      <c r="AC13" s="6" t="n"/>
      <c r="AD13" s="6" t="n"/>
      <c r="AE13" s="9" t="n"/>
      <c r="AF13" s="5" t="n"/>
      <c r="AG13" s="5" t="n"/>
      <c r="AH13" s="5" t="n"/>
      <c r="AI13" s="6" t="n"/>
      <c r="AJ13" s="5" t="n"/>
      <c r="AK13" s="5" t="n">
        <v>23</v>
      </c>
      <c r="AL13" s="6" t="n"/>
      <c r="AM13" s="6" t="inlineStr">
        <is>
          <t>PetSmart</t>
        </is>
      </c>
    </row>
    <row r="14">
      <c r="A14" s="5" t="n">
        <v>12</v>
      </c>
      <c r="B14" s="6" t="inlineStr">
        <is>
          <t>October 2014 (day not disclosed)</t>
        </is>
      </c>
      <c r="C14" s="6" t="inlineStr">
        <is>
          <t>PetSmart / J.P. Morgan</t>
        </is>
      </c>
      <c r="D14" s="6" t="inlineStr">
        <is>
          <t>Deadline set</t>
        </is>
      </c>
      <c r="E14" s="5" t="n">
        <v>1</v>
      </c>
      <c r="F14" s="5" t="inlineStr">
        <is>
          <t>1</t>
        </is>
      </c>
      <c r="G14" s="6" t="n"/>
      <c r="H14" s="6" t="inlineStr">
        <is>
          <t>Potential bidders were informed that non-binding preliminary indications of interest would be due on 10/30/2014. Communication day is not disclosed; Working date is the only supported bound.</t>
        </is>
      </c>
      <c r="I14" s="5" t="n"/>
      <c r="J14" s="5" t="n"/>
      <c r="K14" s="6" t="inlineStr">
        <is>
          <t>Stated: "During October, the potential bidders were informed that non-binding preliminary indications of interest would be due on October 30, 2014." (p.23)</t>
        </is>
      </c>
      <c r="L14" s="7" t="inlineStr">
        <is>
          <t>P-0750</t>
        </is>
      </c>
      <c r="M14" s="5" t="inlineStr">
        <is>
          <t>Q2</t>
        </is>
      </c>
      <c r="N14" s="6" t="n"/>
      <c r="O14" s="5" t="inlineStr">
        <is>
          <t>R012</t>
        </is>
      </c>
      <c r="P14" s="5" t="inlineStr">
        <is>
          <t>Yes</t>
        </is>
      </c>
      <c r="Q14" s="5" t="n"/>
      <c r="R14" s="9" t="n"/>
      <c r="S14" s="8" t="n">
        <v>41942</v>
      </c>
      <c r="T14" s="8" t="n">
        <v>41942</v>
      </c>
      <c r="U14" s="5" t="inlineStr">
        <is>
          <t>Relative only</t>
        </is>
      </c>
      <c r="V14" s="5" t="inlineStr">
        <is>
          <t>Assigned: bound</t>
        </is>
      </c>
      <c r="W14" s="6" t="n"/>
      <c r="X14" s="6" t="n"/>
      <c r="Y14" s="5" t="n"/>
      <c r="Z14" s="5" t="n"/>
      <c r="AA14" s="5" t="n"/>
      <c r="AB14" s="5" t="n"/>
      <c r="AC14" s="6" t="n"/>
      <c r="AD14" s="6" t="n"/>
      <c r="AE14" s="9" t="n"/>
      <c r="AF14" s="5" t="n"/>
      <c r="AG14" s="5" t="n"/>
      <c r="AH14" s="5" t="n"/>
      <c r="AI14" s="6" t="n"/>
      <c r="AJ14" s="5" t="n"/>
      <c r="AK14" s="5" t="n">
        <v>23</v>
      </c>
      <c r="AL14" s="6" t="n"/>
      <c r="AM14" s="6" t="inlineStr">
        <is>
          <t>PetSmart</t>
        </is>
      </c>
    </row>
    <row r="15">
      <c r="A15" s="5" t="n">
        <v>13</v>
      </c>
      <c r="B15" s="6" t="inlineStr">
        <is>
          <t>10/30/2014</t>
        </is>
      </c>
      <c r="C15" s="6" t="inlineStr">
        <is>
          <t>PetSmart / J.P. Morgan</t>
        </is>
      </c>
      <c r="D15" s="6" t="inlineStr">
        <is>
          <t>Deadline</t>
        </is>
      </c>
      <c r="E15" s="5" t="n">
        <v>1</v>
      </c>
      <c r="F15" s="5" t="inlineStr">
        <is>
          <t>1</t>
        </is>
      </c>
      <c r="G15" s="6" t="n"/>
      <c r="H15" s="6" t="inlineStr">
        <is>
          <t>Preliminary IOI due date reached. Treatment: Enforced — six IOIs were received and the board proceeded on 11/03/2014 to select four bidders at or above $80.00 for the final round. J.P. Morgan’s calls with all parties (including non-submitters) on 10/30–11/02/2014 are the round’s continuing negotiation; Bidder 2’s increase from $78.00 was solicited in those calls and is not treated as late acceptance.</t>
        </is>
      </c>
      <c r="I15" s="5" t="n"/>
      <c r="J15" s="5" t="n"/>
      <c r="K15" s="6" t="inlineStr">
        <is>
          <t>Stated: "On October 30, six of the potentially interested parties submitted indications of interest." (p.24) and the board selected the finalists on 11/03/2014 (p.24).</t>
        </is>
      </c>
      <c r="L15" s="7" t="inlineStr">
        <is>
          <t>P-0754; P-0755</t>
        </is>
      </c>
      <c r="M15" s="5" t="inlineStr">
        <is>
          <t>Q2</t>
        </is>
      </c>
      <c r="N15" s="6" t="n"/>
      <c r="O15" s="5" t="inlineStr">
        <is>
          <t>R013</t>
        </is>
      </c>
      <c r="P15" s="5" t="inlineStr">
        <is>
          <t>Yes</t>
        </is>
      </c>
      <c r="Q15" s="5" t="n"/>
      <c r="R15" s="8" t="n">
        <v>41942</v>
      </c>
      <c r="S15" s="8" t="n">
        <v>41942</v>
      </c>
      <c r="T15" s="8" t="n">
        <v>41942</v>
      </c>
      <c r="U15" s="5" t="inlineStr">
        <is>
          <t>Reported day</t>
        </is>
      </c>
      <c r="V15" s="5" t="inlineStr">
        <is>
          <t>Reported</t>
        </is>
      </c>
      <c r="W15" s="6" t="n"/>
      <c r="X15" s="6" t="n"/>
      <c r="Y15" s="5" t="n"/>
      <c r="Z15" s="5" t="n"/>
      <c r="AA15" s="5" t="n"/>
      <c r="AB15" s="5" t="n"/>
      <c r="AC15" s="6" t="n"/>
      <c r="AD15" s="6" t="n"/>
      <c r="AE15" s="8" t="n">
        <v>41942</v>
      </c>
      <c r="AF15" s="5" t="inlineStr">
        <is>
          <t>Enforced</t>
        </is>
      </c>
      <c r="AG15" s="5" t="n"/>
      <c r="AH15" s="5" t="n"/>
      <c r="AI15" s="6" t="n"/>
      <c r="AJ15" s="5" t="n"/>
      <c r="AK15" s="5" t="n">
        <v>24</v>
      </c>
      <c r="AL15" s="6" t="n"/>
      <c r="AM15" s="6" t="inlineStr">
        <is>
          <t>PetSmart</t>
        </is>
      </c>
    </row>
    <row r="16">
      <c r="A16" s="5" t="n">
        <v>14</v>
      </c>
      <c r="B16" s="6" t="inlineStr">
        <is>
          <t>10/30/2014</t>
        </is>
      </c>
      <c r="C16" s="6" t="inlineStr">
        <is>
          <t>Buyer Group</t>
        </is>
      </c>
      <c r="D16" s="6" t="inlineStr">
        <is>
          <t>Bid</t>
        </is>
      </c>
      <c r="E16" s="5" t="n">
        <v>1</v>
      </c>
      <c r="F16" s="5" t="inlineStr">
        <is>
          <t>1</t>
        </is>
      </c>
      <c r="G16" s="6" t="inlineStr">
        <is>
          <t>Financial</t>
        </is>
      </c>
      <c r="H16" s="6" t="inlineStr">
        <is>
          <t>Preliminary indication of interest at $81.00 to $83.00 per share. Buyer Group = a consortium of funds advised by BC Partners, La Caisse de dépôt et placement du Québec, affiliates of GIC Special Investments and affiliates of StepStone (Longview joined the defined group after 12/12/2014).</t>
        </is>
      </c>
      <c r="I16" s="5" t="inlineStr">
        <is>
          <t>Informal</t>
        </is>
      </c>
      <c r="J16" s="5" t="inlineStr">
        <is>
          <t>Insufficient evidence</t>
        </is>
      </c>
      <c r="K16" s="6" t="inlineStr">
        <is>
          <t>Stated: "Three bidders initially indicated price ranges that reached at least $80.00 per share, including the Buyer Group, which indicated a range of $81.00 to $83.00 per share" (p.24). Formality: Informal — preliminary non-binding indication, no transaction-document markup at this stage. Conditions: Insufficient evidence — no financing, diligence or other condition is reported; the bidders had completed a month of diligence, so the before-diligence Heavy default does not apply.</t>
        </is>
      </c>
      <c r="L16" s="7" t="inlineStr">
        <is>
          <t>P-0754</t>
        </is>
      </c>
      <c r="M16" s="5" t="inlineStr">
        <is>
          <t>Q5; Q6</t>
        </is>
      </c>
      <c r="N16" s="6" t="n"/>
      <c r="O16" s="5" t="inlineStr">
        <is>
          <t>R014</t>
        </is>
      </c>
      <c r="P16" s="5" t="inlineStr">
        <is>
          <t>Yes</t>
        </is>
      </c>
      <c r="Q16" s="5" t="n">
        <v>1</v>
      </c>
      <c r="R16" s="8" t="n">
        <v>41942</v>
      </c>
      <c r="S16" s="8" t="n">
        <v>41942</v>
      </c>
      <c r="T16" s="8" t="n">
        <v>41942</v>
      </c>
      <c r="U16" s="5" t="inlineStr">
        <is>
          <t>Reported day</t>
        </is>
      </c>
      <c r="V16" s="5" t="inlineStr">
        <is>
          <t>Reported</t>
        </is>
      </c>
      <c r="W16" s="6" t="n">
        <v>81</v>
      </c>
      <c r="X16" s="6" t="n">
        <v>83</v>
      </c>
      <c r="Y16" s="5" t="inlineStr">
        <is>
          <t>Bidder range</t>
        </is>
      </c>
      <c r="Z16" s="5" t="inlineStr">
        <is>
          <t>Stated</t>
        </is>
      </c>
      <c r="AA16" s="5" t="inlineStr">
        <is>
          <t>USD</t>
        </is>
      </c>
      <c r="AB16" s="5" t="inlineStr">
        <is>
          <t>Yes</t>
        </is>
      </c>
      <c r="AC16" s="6" t="n"/>
      <c r="AD16" s="6" t="inlineStr">
        <is>
          <t>Fin: not stated; DD required: not stated; DD open: no; Excl: not stated</t>
        </is>
      </c>
      <c r="AE16" s="9" t="n"/>
      <c r="AF16" s="5" t="n"/>
      <c r="AG16" s="5" t="n"/>
      <c r="AH16" s="5" t="n"/>
      <c r="AI16" s="6" t="n"/>
      <c r="AJ16" s="5" t="n"/>
      <c r="AK16" s="5" t="n">
        <v>24</v>
      </c>
      <c r="AL16" s="6" t="n"/>
      <c r="AM16" s="6" t="inlineStr">
        <is>
          <t>PetSmart</t>
        </is>
      </c>
    </row>
    <row r="17">
      <c r="A17" s="5" t="n">
        <v>15</v>
      </c>
      <c r="B17" s="6" t="inlineStr">
        <is>
          <t>10/30/2014</t>
        </is>
      </c>
      <c r="C17" s="6" t="inlineStr">
        <is>
          <t>Anonymous bidder A ("another bidder")</t>
        </is>
      </c>
      <c r="D17" s="6" t="inlineStr">
        <is>
          <t>Bid</t>
        </is>
      </c>
      <c r="E17" s="5" t="n">
        <v>1</v>
      </c>
      <c r="F17" s="5" t="inlineStr">
        <is>
          <t>1</t>
        </is>
      </c>
      <c r="G17" s="6" t="inlineStr">
        <is>
          <t>Financial</t>
        </is>
      </c>
      <c r="H17" s="6" t="inlineStr">
        <is>
          <t>Preliminary indication of interest at $80.00 to $85.00 per share. Named only as "another bidder" in the filing; whether it is one of the two bidders that later combined as Bidder 3 is not established.</t>
        </is>
      </c>
      <c r="I17" s="5" t="inlineStr">
        <is>
          <t>Informal</t>
        </is>
      </c>
      <c r="J17" s="5" t="inlineStr">
        <is>
          <t>Insufficient evidence</t>
        </is>
      </c>
      <c r="K17" s="6" t="inlineStr">
        <is>
          <t>Stated: "Three bidders initially indicated price ranges that reached at least $80.00 per share, including the Buyer Group, which indicated a range of $81.00 to $83.00 per share" and "another bidder, which suggested a range of $80.00 to $85.00 per share." (p.24) Formality: Informal. Conditions: Insufficient evidence (nothing reported on financing or diligence conditions after a month of diligence).</t>
        </is>
      </c>
      <c r="L17" s="7" t="inlineStr">
        <is>
          <t>P-0754</t>
        </is>
      </c>
      <c r="M17" s="5" t="inlineStr">
        <is>
          <t>Q3; Q5; Q6</t>
        </is>
      </c>
      <c r="N17" s="6" t="n"/>
      <c r="O17" s="5" t="inlineStr">
        <is>
          <t>R015</t>
        </is>
      </c>
      <c r="P17" s="5" t="inlineStr">
        <is>
          <t>Yes</t>
        </is>
      </c>
      <c r="Q17" s="5" t="n">
        <v>1</v>
      </c>
      <c r="R17" s="8" t="n">
        <v>41942</v>
      </c>
      <c r="S17" s="8" t="n">
        <v>41942</v>
      </c>
      <c r="T17" s="8" t="n">
        <v>41942</v>
      </c>
      <c r="U17" s="5" t="inlineStr">
        <is>
          <t>Reported day</t>
        </is>
      </c>
      <c r="V17" s="5" t="inlineStr">
        <is>
          <t>Reported</t>
        </is>
      </c>
      <c r="W17" s="6" t="n">
        <v>80</v>
      </c>
      <c r="X17" s="6" t="n">
        <v>85</v>
      </c>
      <c r="Y17" s="5" t="inlineStr">
        <is>
          <t>Bidder range</t>
        </is>
      </c>
      <c r="Z17" s="5" t="inlineStr">
        <is>
          <t>Stated</t>
        </is>
      </c>
      <c r="AA17" s="5" t="inlineStr">
        <is>
          <t>USD</t>
        </is>
      </c>
      <c r="AB17" s="5" t="inlineStr">
        <is>
          <t>Yes</t>
        </is>
      </c>
      <c r="AC17" s="6" t="n"/>
      <c r="AD17" s="6" t="inlineStr">
        <is>
          <t>Fin: not stated; DD required: not stated; DD open: no; Excl: not stated</t>
        </is>
      </c>
      <c r="AE17" s="9" t="n"/>
      <c r="AF17" s="5" t="n"/>
      <c r="AG17" s="5" t="n"/>
      <c r="AH17" s="5" t="n"/>
      <c r="AI17" s="6" t="n"/>
      <c r="AJ17" s="5" t="n"/>
      <c r="AK17" s="5" t="n">
        <v>24</v>
      </c>
      <c r="AL17" s="6" t="n"/>
      <c r="AM17" s="6" t="inlineStr">
        <is>
          <t>PetSmart</t>
        </is>
      </c>
    </row>
    <row r="18">
      <c r="A18" s="5" t="n">
        <v>16</v>
      </c>
      <c r="B18" s="6" t="inlineStr">
        <is>
          <t>10/30/2014</t>
        </is>
      </c>
      <c r="C18" s="6" t="inlineStr">
        <is>
          <t>Bidder 2</t>
        </is>
      </c>
      <c r="D18" s="6" t="inlineStr">
        <is>
          <t>Bid</t>
        </is>
      </c>
      <c r="E18" s="5" t="n">
        <v>1</v>
      </c>
      <c r="F18" s="5" t="inlineStr">
        <is>
          <t>1</t>
        </is>
      </c>
      <c r="G18" s="6" t="inlineStr">
        <is>
          <t>Financial</t>
        </is>
      </c>
      <c r="H18" s="6" t="inlineStr">
        <is>
          <t>Preliminary indication of interest at $78.00 per share. Later increased to $81.00–$84.00 during J.P. Morgan’s 10/30–11/02/2014 calls.</t>
        </is>
      </c>
      <c r="I18" s="5" t="inlineStr">
        <is>
          <t>Informal</t>
        </is>
      </c>
      <c r="J18" s="5" t="inlineStr">
        <is>
          <t>Insufficient evidence</t>
        </is>
      </c>
      <c r="K18" s="6" t="inlineStr">
        <is>
          <t>Stated: "another bidder (which we refer to as “Bidder 2”), which had initially indicated a price of $78.00, increased its indication to a range of $81.00 to $84.00 per share." (p.24) Formality: Informal. Conditions: Insufficient evidence.</t>
        </is>
      </c>
      <c r="L18" s="7" t="inlineStr">
        <is>
          <t>P-0754</t>
        </is>
      </c>
      <c r="M18" s="5" t="inlineStr">
        <is>
          <t>Q5; Q6</t>
        </is>
      </c>
      <c r="N18" s="6" t="n"/>
      <c r="O18" s="5" t="inlineStr">
        <is>
          <t>R016</t>
        </is>
      </c>
      <c r="P18" s="5" t="inlineStr">
        <is>
          <t>Yes</t>
        </is>
      </c>
      <c r="Q18" s="5" t="n">
        <v>1</v>
      </c>
      <c r="R18" s="8" t="n">
        <v>41942</v>
      </c>
      <c r="S18" s="8" t="n">
        <v>41942</v>
      </c>
      <c r="T18" s="8" t="n">
        <v>41942</v>
      </c>
      <c r="U18" s="5" t="inlineStr">
        <is>
          <t>Reported day</t>
        </is>
      </c>
      <c r="V18" s="5" t="inlineStr">
        <is>
          <t>Reported</t>
        </is>
      </c>
      <c r="W18" s="6" t="n">
        <v>78</v>
      </c>
      <c r="X18" s="6" t="n">
        <v>78</v>
      </c>
      <c r="Y18" s="5" t="inlineStr">
        <is>
          <t>Point</t>
        </is>
      </c>
      <c r="Z18" s="5" t="inlineStr">
        <is>
          <t>Stated</t>
        </is>
      </c>
      <c r="AA18" s="5" t="inlineStr">
        <is>
          <t>USD</t>
        </is>
      </c>
      <c r="AB18" s="5" t="inlineStr">
        <is>
          <t>Yes</t>
        </is>
      </c>
      <c r="AC18" s="6" t="n"/>
      <c r="AD18" s="6" t="inlineStr">
        <is>
          <t>Fin: not stated; DD required: not stated; DD open: no; Excl: not stated</t>
        </is>
      </c>
      <c r="AE18" s="9" t="n"/>
      <c r="AF18" s="5" t="n"/>
      <c r="AG18" s="5" t="n"/>
      <c r="AH18" s="5" t="n"/>
      <c r="AI18" s="6" t="n"/>
      <c r="AJ18" s="5" t="n"/>
      <c r="AK18" s="5" t="n">
        <v>24</v>
      </c>
      <c r="AL18" s="6" t="n"/>
      <c r="AM18" s="6" t="inlineStr">
        <is>
          <t>PetSmart</t>
        </is>
      </c>
    </row>
    <row r="19">
      <c r="A19" s="5" t="n">
        <v>17</v>
      </c>
      <c r="B19" s="6" t="inlineStr">
        <is>
          <t>10/30/2014</t>
        </is>
      </c>
      <c r="C19" s="6" t="inlineStr">
        <is>
          <t>Three anonymous IOI bidders (residual cohort)</t>
        </is>
      </c>
      <c r="D19" s="6" t="inlineStr">
        <is>
          <t>Bid</t>
        </is>
      </c>
      <c r="E19" s="5" t="n">
        <v>1</v>
      </c>
      <c r="F19" s="5" t="inlineStr">
        <is>
          <t>1</t>
        </is>
      </c>
      <c r="G19" s="6" t="inlineStr">
        <is>
          <t>Financial</t>
        </is>
      </c>
      <c r="H19" s="6" t="inlineStr">
        <is>
          <t>Residual IOI cohort: six parties submitted indications of interest; Buyer Group, Anonymous bidder A and Bidder 2 are individually recorded, leaving three. Prices are not disclosed for these three; the filing states that of the initial submitters three reached at least $80.00 and one of those three is the third otherwise-unnamed bidder, so at least one member of this cohort was at or above $80.00 and the others below. Two members were eliminated on 11/03/2014 (R020); the remaining member is not individually identifiable after the Bidder 3 combination.</t>
        </is>
      </c>
      <c r="I19" s="5" t="inlineStr">
        <is>
          <t>Informal</t>
        </is>
      </c>
      <c r="J19" s="5" t="inlineStr">
        <is>
          <t>Insufficient evidence</t>
        </is>
      </c>
      <c r="K19" s="6" t="inlineStr">
        <is>
          <t>Stated: "On October 30, six of the potentially interested parties submitted indications of interest." (p.24); individually described submitters are the Buyer Group, "another bidder" and Bidder 2. Calculated disjoint residual: 6 − 3 = 3. Price undisclosed; no average or invented endpoints entered.</t>
        </is>
      </c>
      <c r="L19" s="7" t="inlineStr">
        <is>
          <t>P-0754</t>
        </is>
      </c>
      <c r="M19" s="5" t="inlineStr">
        <is>
          <t>Q3; Q5</t>
        </is>
      </c>
      <c r="N19" s="6" t="n"/>
      <c r="O19" s="5" t="inlineStr">
        <is>
          <t>R017</t>
        </is>
      </c>
      <c r="P19" s="5" t="inlineStr">
        <is>
          <t>Yes</t>
        </is>
      </c>
      <c r="Q19" s="5" t="n">
        <v>3</v>
      </c>
      <c r="R19" s="8" t="n">
        <v>41942</v>
      </c>
      <c r="S19" s="8" t="n">
        <v>41942</v>
      </c>
      <c r="T19" s="8" t="n">
        <v>41942</v>
      </c>
      <c r="U19" s="5" t="inlineStr">
        <is>
          <t>Reported day</t>
        </is>
      </c>
      <c r="V19" s="5" t="inlineStr">
        <is>
          <t>Reported</t>
        </is>
      </c>
      <c r="W19" s="6" t="n"/>
      <c r="X19" s="6" t="n"/>
      <c r="Y19" s="5" t="inlineStr">
        <is>
          <t>Undisclosed</t>
        </is>
      </c>
      <c r="Z19" s="5" t="inlineStr">
        <is>
          <t>Inferred</t>
        </is>
      </c>
      <c r="AA19" s="5" t="inlineStr">
        <is>
          <t>USD</t>
        </is>
      </c>
      <c r="AB19" s="5" t="n"/>
      <c r="AC19" s="6" t="n"/>
      <c r="AD19" s="6" t="inlineStr">
        <is>
          <t>Fin: not stated; DD required: not stated; DD open: no; Excl: not stated</t>
        </is>
      </c>
      <c r="AE19" s="9" t="n"/>
      <c r="AF19" s="5" t="n"/>
      <c r="AG19" s="5" t="n"/>
      <c r="AH19" s="5" t="n"/>
      <c r="AI19" s="6" t="n"/>
      <c r="AJ19" s="5" t="n"/>
      <c r="AK19" s="5" t="n">
        <v>24</v>
      </c>
      <c r="AL19" s="6" t="n"/>
      <c r="AM19" s="6" t="inlineStr">
        <is>
          <t>PetSmart</t>
        </is>
      </c>
    </row>
    <row r="20">
      <c r="A20" s="5" t="n">
        <v>18</v>
      </c>
      <c r="B20" s="6" t="inlineStr">
        <is>
          <t>by 10/30/2014</t>
        </is>
      </c>
      <c r="C20" s="6" t="inlineStr">
        <is>
          <t>Nine NDA signers (inferred residual)</t>
        </is>
      </c>
      <c r="D20" s="6" t="inlineStr">
        <is>
          <t>Did not submit</t>
        </is>
      </c>
      <c r="E20" s="5" t="n">
        <v>1</v>
      </c>
      <c r="F20" s="5" t="inlineStr">
        <is>
          <t>1</t>
        </is>
      </c>
      <c r="G20" s="6" t="inlineStr">
        <is>
          <t>Financial</t>
        </is>
      </c>
      <c r="H20" s="6" t="inlineStr">
        <is>
          <t>Inferred: residual -- 15 NDA signers − 6 IOI submitters = 9 non-submitters at the preliminary-IOI deadline. The filing reports J.P. Morgan spoke with all potentially interested parties, including non-submitters, to hear their rationales; no individual reasons or identities are disclosed and no notice of exclusion is reported for these nine.</t>
        </is>
      </c>
      <c r="I20" s="5" t="n"/>
      <c r="J20" s="5" t="n"/>
      <c r="K20" s="6" t="inlineStr">
        <is>
          <t>Calculated from "confidentiality and standstill agreements with 15 potentially interested financial buyers" (p.23) and "six of the potentially interested parties submitted indications of interest" (p.24). Inferred closing at the solicitation due date.</t>
        </is>
      </c>
      <c r="L20" s="7" t="inlineStr">
        <is>
          <t>P-0749; P-0754</t>
        </is>
      </c>
      <c r="M20" s="5" t="inlineStr">
        <is>
          <t>Q3; Q4</t>
        </is>
      </c>
      <c r="N20" s="6" t="n"/>
      <c r="O20" s="5" t="inlineStr">
        <is>
          <t>R018</t>
        </is>
      </c>
      <c r="P20" s="5" t="inlineStr">
        <is>
          <t>Yes</t>
        </is>
      </c>
      <c r="Q20" s="5" t="n">
        <v>9</v>
      </c>
      <c r="R20" s="9" t="n"/>
      <c r="S20" s="8" t="n">
        <v>41942</v>
      </c>
      <c r="T20" s="8" t="n">
        <v>41942</v>
      </c>
      <c r="U20" s="5" t="inlineStr">
        <is>
          <t>Relative only</t>
        </is>
      </c>
      <c r="V20" s="5" t="inlineStr">
        <is>
          <t>Assigned: deadline</t>
        </is>
      </c>
      <c r="W20" s="6" t="n"/>
      <c r="X20" s="6" t="n"/>
      <c r="Y20" s="5" t="n"/>
      <c r="Z20" s="5" t="n"/>
      <c r="AA20" s="5" t="n"/>
      <c r="AB20" s="5" t="n"/>
      <c r="AC20" s="6" t="n"/>
      <c r="AD20" s="6" t="n"/>
      <c r="AE20" s="9" t="n"/>
      <c r="AF20" s="5" t="n"/>
      <c r="AG20" s="5" t="n"/>
      <c r="AH20" s="5" t="inlineStr">
        <is>
          <t>Unknown</t>
        </is>
      </c>
      <c r="AI20" s="6" t="inlineStr">
        <is>
          <t>Not stated</t>
        </is>
      </c>
      <c r="AJ20" s="5" t="inlineStr">
        <is>
          <t>Inferred: residual</t>
        </is>
      </c>
      <c r="AK20" s="5" t="n">
        <v>23</v>
      </c>
      <c r="AL20" s="6" t="n"/>
      <c r="AM20" s="6" t="inlineStr">
        <is>
          <t>PetSmart</t>
        </is>
      </c>
    </row>
    <row r="21">
      <c r="A21" s="5" t="n">
        <v>19</v>
      </c>
      <c r="B21" s="6" t="inlineStr">
        <is>
          <t>10/30/2014–11/02/2014</t>
        </is>
      </c>
      <c r="C21" s="6" t="inlineStr">
        <is>
          <t>Bidder 2</t>
        </is>
      </c>
      <c r="D21" s="6" t="inlineStr">
        <is>
          <t>Bid</t>
        </is>
      </c>
      <c r="E21" s="5" t="n">
        <v>1</v>
      </c>
      <c r="F21" s="5" t="inlineStr">
        <is>
          <t>1</t>
        </is>
      </c>
      <c r="G21" s="6" t="inlineStr">
        <is>
          <t>Financial</t>
        </is>
      </c>
      <c r="H21" s="6" t="inlineStr">
        <is>
          <t>Revised preliminary indication of interest at $81.00 to $84.00 per share, increased from $78.00 during J.P. Morgan’s calls with all parties. Count 0: same unit, same round.</t>
        </is>
      </c>
      <c r="I21" s="5" t="inlineStr">
        <is>
          <t>Informal</t>
        </is>
      </c>
      <c r="J21" s="5" t="inlineStr">
        <is>
          <t>Insufficient evidence</t>
        </is>
      </c>
      <c r="K21" s="6" t="inlineStr">
        <is>
          <t>Stated: Bidder 2 "increased its indication to a range of $81.00 to $84.00 per share." (p.24) Formality: Informal. Conditions: Insufficient evidence. Working date is the midpoint of the reported 10/30–11/02/2014 call window (Assigned: midpoint), which keeps the revision ahead of the 11/03/2014 finalist selection.</t>
        </is>
      </c>
      <c r="L21" s="7" t="inlineStr">
        <is>
          <t>P-0754</t>
        </is>
      </c>
      <c r="M21" s="5" t="inlineStr">
        <is>
          <t>Q5; Q6</t>
        </is>
      </c>
      <c r="N21" s="6" t="n"/>
      <c r="O21" s="5" t="inlineStr">
        <is>
          <t>R019</t>
        </is>
      </c>
      <c r="P21" s="5" t="inlineStr">
        <is>
          <t>Yes</t>
        </is>
      </c>
      <c r="Q21" s="5" t="n">
        <v>0</v>
      </c>
      <c r="R21" s="8" t="n">
        <v>41942</v>
      </c>
      <c r="S21" s="8" t="n">
        <v>41945</v>
      </c>
      <c r="T21" s="8" t="n">
        <v>41943</v>
      </c>
      <c r="U21" s="5" t="inlineStr">
        <is>
          <t>Reported interval</t>
        </is>
      </c>
      <c r="V21" s="5" t="inlineStr">
        <is>
          <t>Assigned: midpoint</t>
        </is>
      </c>
      <c r="W21" s="6" t="n">
        <v>81</v>
      </c>
      <c r="X21" s="6" t="n">
        <v>84</v>
      </c>
      <c r="Y21" s="5" t="inlineStr">
        <is>
          <t>Bidder range</t>
        </is>
      </c>
      <c r="Z21" s="5" t="inlineStr">
        <is>
          <t>Stated</t>
        </is>
      </c>
      <c r="AA21" s="5" t="inlineStr">
        <is>
          <t>USD</t>
        </is>
      </c>
      <c r="AB21" s="5" t="inlineStr">
        <is>
          <t>Yes</t>
        </is>
      </c>
      <c r="AC21" s="6" t="n"/>
      <c r="AD21" s="6" t="inlineStr">
        <is>
          <t>Fin: not stated; DD required: not stated; DD open: no; Excl: not stated</t>
        </is>
      </c>
      <c r="AE21" s="9" t="n"/>
      <c r="AF21" s="5" t="n"/>
      <c r="AG21" s="5" t="n"/>
      <c r="AH21" s="5" t="n"/>
      <c r="AI21" s="6" t="n"/>
      <c r="AJ21" s="5" t="n"/>
      <c r="AK21" s="5" t="n">
        <v>24</v>
      </c>
      <c r="AL21" s="6" t="inlineStr">
        <is>
          <t>revises R016</t>
        </is>
      </c>
      <c r="AM21" s="6" t="inlineStr">
        <is>
          <t>PetSmart</t>
        </is>
      </c>
    </row>
    <row r="22">
      <c r="A22" s="5" t="n">
        <v>20</v>
      </c>
      <c r="B22" s="6" t="inlineStr">
        <is>
          <t>11/03/2014</t>
        </is>
      </c>
      <c r="C22" s="6" t="inlineStr">
        <is>
          <t>Two eliminated IOI bidders</t>
        </is>
      </c>
      <c r="D22" s="6" t="inlineStr">
        <is>
          <t>Dropped by target</t>
        </is>
      </c>
      <c r="E22" s="5" t="n">
        <v>1</v>
      </c>
      <c r="F22" s="5" t="inlineStr">
        <is>
          <t>1</t>
        </is>
      </c>
      <c r="G22" s="6" t="inlineStr">
        <is>
          <t>Financial</t>
        </is>
      </c>
      <c r="H22" s="6" t="inlineStr">
        <is>
          <t>Notified after the board selected the four bidders at or above $80.00 for the final round; none indicated any interest or ability to remain at price levels above their initial indications. Exit reason: Lower offer than rivals; agency: Target.</t>
        </is>
      </c>
      <c r="I22" s="5" t="n"/>
      <c r="J22" s="5" t="n"/>
      <c r="K22" s="6" t="inlineStr">
        <is>
          <t>Stated: "Following this meeting, representatives of J.P. Morgan notified the eliminated parties, none of which indicated any interest or ability to remain in the process at price levels above their respective initial indications." (p.24)</t>
        </is>
      </c>
      <c r="L22" s="7" t="inlineStr">
        <is>
          <t>P-0755</t>
        </is>
      </c>
      <c r="M22" s="5" t="inlineStr">
        <is>
          <t>Q4</t>
        </is>
      </c>
      <c r="N22" s="6" t="n"/>
      <c r="O22" s="5" t="inlineStr">
        <is>
          <t>R020</t>
        </is>
      </c>
      <c r="P22" s="5" t="inlineStr">
        <is>
          <t>Yes</t>
        </is>
      </c>
      <c r="Q22" s="5" t="n">
        <v>2</v>
      </c>
      <c r="R22" s="8" t="n">
        <v>41946</v>
      </c>
      <c r="S22" s="8" t="n">
        <v>41946</v>
      </c>
      <c r="T22" s="8" t="n">
        <v>41946</v>
      </c>
      <c r="U22" s="5" t="inlineStr">
        <is>
          <t>Reported day</t>
        </is>
      </c>
      <c r="V22" s="5" t="inlineStr">
        <is>
          <t>Assigned: decision day</t>
        </is>
      </c>
      <c r="W22" s="6" t="n"/>
      <c r="X22" s="6" t="n"/>
      <c r="Y22" s="5" t="n"/>
      <c r="Z22" s="5" t="n"/>
      <c r="AA22" s="5" t="n"/>
      <c r="AB22" s="5" t="n"/>
      <c r="AC22" s="6" t="n"/>
      <c r="AD22" s="6" t="n"/>
      <c r="AE22" s="9" t="n"/>
      <c r="AF22" s="5" t="n"/>
      <c r="AG22" s="5" t="n"/>
      <c r="AH22" s="5" t="inlineStr">
        <is>
          <t>Target</t>
        </is>
      </c>
      <c r="AI22" s="6" t="inlineStr">
        <is>
          <t>Lower offer than rivals</t>
        </is>
      </c>
      <c r="AJ22" s="5" t="inlineStr">
        <is>
          <t>Stated</t>
        </is>
      </c>
      <c r="AK22" s="5" t="n">
        <v>24</v>
      </c>
      <c r="AL22" s="6" t="n"/>
      <c r="AM22" s="6" t="inlineStr">
        <is>
          <t>PetSmart</t>
        </is>
      </c>
    </row>
    <row r="23">
      <c r="A23" s="5" t="n">
        <v>21</v>
      </c>
      <c r="B23" s="6" t="inlineStr">
        <is>
          <t>11/03/2014</t>
        </is>
      </c>
      <c r="C23" s="6" t="inlineStr">
        <is>
          <t>PetSmart (Board) / J.P. Morgan</t>
        </is>
      </c>
      <c r="D23" s="6" t="inlineStr">
        <is>
          <t>Round opened</t>
        </is>
      </c>
      <c r="E23" s="5" t="n">
        <v>1</v>
      </c>
      <c r="F23" s="5" t="inlineStr">
        <is>
          <t>2</t>
        </is>
      </c>
      <c r="G23" s="6" t="n"/>
      <c r="H23" s="6" t="inlineStr">
        <is>
          <t>Round 2 objective: the final round — further diligence, final bids on the December due dates and definitive documentation. The board allowed the four bidders that had indicated a price or range at or above $80.00 per share to proceed. Finality: Announced as final — the filing calls this "the final round of the sale process" and the target told the eliminated parties they were out.</t>
        </is>
      </c>
      <c r="I23" s="5" t="n"/>
      <c r="J23" s="5" t="n"/>
      <c r="K23" s="6" t="inlineStr">
        <is>
          <t>Stated: "The board determined to allow the four bidders that had indicated a price or range at or above $80.00 per share to proceed to the final round of the sale process." (p.24)</t>
        </is>
      </c>
      <c r="L23" s="7" t="inlineStr">
        <is>
          <t>P-0755</t>
        </is>
      </c>
      <c r="M23" s="5" t="inlineStr">
        <is>
          <t>Q1</t>
        </is>
      </c>
      <c r="N23" s="6" t="n"/>
      <c r="O23" s="5" t="inlineStr">
        <is>
          <t>R021</t>
        </is>
      </c>
      <c r="P23" s="5" t="inlineStr">
        <is>
          <t>Yes</t>
        </is>
      </c>
      <c r="Q23" s="5" t="n"/>
      <c r="R23" s="8" t="n">
        <v>41946</v>
      </c>
      <c r="S23" s="8" t="n">
        <v>41946</v>
      </c>
      <c r="T23" s="8" t="n">
        <v>41946</v>
      </c>
      <c r="U23" s="5" t="inlineStr">
        <is>
          <t>Reported day</t>
        </is>
      </c>
      <c r="V23" s="5" t="inlineStr">
        <is>
          <t>Assigned: decision day</t>
        </is>
      </c>
      <c r="W23" s="6" t="n"/>
      <c r="X23" s="6" t="n"/>
      <c r="Y23" s="5" t="n"/>
      <c r="Z23" s="5" t="n"/>
      <c r="AA23" s="5" t="n"/>
      <c r="AB23" s="5" t="n"/>
      <c r="AC23" s="6" t="n"/>
      <c r="AD23" s="6" t="n"/>
      <c r="AE23" s="9" t="n"/>
      <c r="AF23" s="5" t="n"/>
      <c r="AG23" s="5" t="inlineStr">
        <is>
          <t>Announced as final</t>
        </is>
      </c>
      <c r="AH23" s="5" t="n"/>
      <c r="AI23" s="6" t="n"/>
      <c r="AJ23" s="5" t="n"/>
      <c r="AK23" s="5" t="n">
        <v>24</v>
      </c>
      <c r="AL23" s="6" t="n"/>
      <c r="AM23" s="6" t="inlineStr">
        <is>
          <t>PetSmart</t>
        </is>
      </c>
    </row>
    <row r="24">
      <c r="A24" s="5" t="n">
        <v>22</v>
      </c>
      <c r="B24" s="6" t="inlineStr">
        <is>
          <t>after 11/03/2014; day not disclosed</t>
        </is>
      </c>
      <c r="C24" s="6" t="inlineStr">
        <is>
          <t>Bidder 3 (two bidders combining)</t>
        </is>
      </c>
      <c r="D24" s="6" t="inlineStr">
        <is>
          <t>Bidding group changed</t>
        </is>
      </c>
      <c r="E24" s="5" t="n">
        <v>1</v>
      </c>
      <c r="F24" s="5" t="inlineStr">
        <is>
          <t>2</t>
        </is>
      </c>
      <c r="G24" s="6" t="n"/>
      <c r="H24" s="6" t="inlineStr">
        <is>
          <t>Two of the final-round bidders requested permission to work together (one sought an equity partner given the size of the acquisition; the other said it would drop out if not permitted to work together); the ad hoc committee authorized them to work together as "Bidder 3." Effect on bidding units: 2 of the 4 final-round bidders combine; units −1 (4 → 3). Each final-round bidder indicated some interest in a Longview rollover, but each said its bid was not conditioned on Longview participation. Working date assigned to the preceding selection row (Assigned: sequence) because the authorization day is not disclosed.</t>
        </is>
      </c>
      <c r="I24" s="5" t="n"/>
      <c r="J24" s="5" t="n"/>
      <c r="K24" s="6" t="inlineStr">
        <is>
          <t>Stated: "After deliberation and consultation with the Company’s financial and legal advisors, the ad hoc committee authorized these two bidders to work together. We refer to these two bidders together as “Bidder 3.”" (p.24) Identity mapping of the two members is not disclosed (see Questions).</t>
        </is>
      </c>
      <c r="L24" s="7" t="inlineStr">
        <is>
          <t>P-0756</t>
        </is>
      </c>
      <c r="M24" s="5" t="inlineStr">
        <is>
          <t>Q3; Q4</t>
        </is>
      </c>
      <c r="N24" s="6" t="n"/>
      <c r="O24" s="5" t="inlineStr">
        <is>
          <t>R022</t>
        </is>
      </c>
      <c r="P24" s="5" t="inlineStr">
        <is>
          <t>Yes</t>
        </is>
      </c>
      <c r="Q24" s="5" t="n">
        <v>2</v>
      </c>
      <c r="R24" s="8" t="n">
        <v>41946</v>
      </c>
      <c r="S24" s="9" t="n"/>
      <c r="T24" s="8" t="n">
        <v>41946</v>
      </c>
      <c r="U24" s="5" t="inlineStr">
        <is>
          <t>Relative only</t>
        </is>
      </c>
      <c r="V24" s="5" t="inlineStr">
        <is>
          <t>Assigned: sequence</t>
        </is>
      </c>
      <c r="W24" s="6" t="n"/>
      <c r="X24" s="6" t="n"/>
      <c r="Y24" s="5" t="n"/>
      <c r="Z24" s="5" t="n"/>
      <c r="AA24" s="5" t="n"/>
      <c r="AB24" s="5" t="n"/>
      <c r="AC24" s="6" t="n"/>
      <c r="AD24" s="6" t="n"/>
      <c r="AE24" s="9" t="n"/>
      <c r="AF24" s="5" t="n"/>
      <c r="AG24" s="5" t="n"/>
      <c r="AH24" s="5" t="n"/>
      <c r="AI24" s="6" t="n"/>
      <c r="AJ24" s="5" t="n"/>
      <c r="AK24" s="5" t="n">
        <v>24</v>
      </c>
      <c r="AL24" s="6" t="inlineStr">
        <is>
          <t>formation follows R021</t>
        </is>
      </c>
      <c r="AM24" s="6" t="inlineStr">
        <is>
          <t>PetSmart</t>
        </is>
      </c>
    </row>
    <row r="25">
      <c r="A25" s="5" t="n">
        <v>23</v>
      </c>
      <c r="B25" s="6" t="inlineStr">
        <is>
          <t>November 2014</t>
        </is>
      </c>
      <c r="C25" s="6" t="inlineStr">
        <is>
          <t>PetSmart / J.P. Morgan / final-round bidders</t>
        </is>
      </c>
      <c r="D25" s="6" t="inlineStr">
        <is>
          <t>Information access changed</t>
        </is>
      </c>
      <c r="E25" s="5" t="n">
        <v>1</v>
      </c>
      <c r="F25" s="5" t="inlineStr">
        <is>
          <t>2</t>
        </is>
      </c>
      <c r="G25" s="6" t="n"/>
      <c r="H25" s="6" t="inlineStr">
        <is>
          <t>Projection update after bidding began: following the Company’s third quarter earnings announcement, and at the request of bidders and the direction of the board, J.P. Morgan provided the bidders with updates to the Company’s fiscal year 2014 financial projections. Given to the final-round bidders (the full set then live), so this is a projection revision rather than a differentiated-access event.</t>
        </is>
      </c>
      <c r="I25" s="5" t="n"/>
      <c r="J25" s="5" t="n"/>
      <c r="K25" s="6" t="inlineStr">
        <is>
          <t>Stated: "Following the Company’s third quarter earnings announcement and, at the request of bidders and the direction of the board and the Company, representatives of J.P. Morgan provided the bidders with updates to the Company’s fiscal year 2014 financial projections." (p.24) Working date is the midpoint of the November window.</t>
        </is>
      </c>
      <c r="L25" s="7" t="inlineStr">
        <is>
          <t>P-0757</t>
        </is>
      </c>
      <c r="M25" s="5" t="inlineStr">
        <is>
          <t>Q1</t>
        </is>
      </c>
      <c r="N25" s="6" t="n"/>
      <c r="O25" s="5" t="inlineStr">
        <is>
          <t>R023</t>
        </is>
      </c>
      <c r="P25" s="5" t="inlineStr">
        <is>
          <t>Yes</t>
        </is>
      </c>
      <c r="Q25" s="5" t="n"/>
      <c r="R25" s="8" t="n">
        <v>41944</v>
      </c>
      <c r="S25" s="8" t="n">
        <v>41973</v>
      </c>
      <c r="T25" s="8" t="n">
        <v>41958</v>
      </c>
      <c r="U25" s="5" t="inlineStr">
        <is>
          <t>Approximate window</t>
        </is>
      </c>
      <c r="V25" s="5" t="inlineStr">
        <is>
          <t>Assigned: midpoint</t>
        </is>
      </c>
      <c r="W25" s="6" t="n"/>
      <c r="X25" s="6" t="n"/>
      <c r="Y25" s="5" t="n"/>
      <c r="Z25" s="5" t="n"/>
      <c r="AA25" s="5" t="n"/>
      <c r="AB25" s="5" t="n"/>
      <c r="AC25" s="6" t="n"/>
      <c r="AD25" s="6" t="n"/>
      <c r="AE25" s="9" t="n"/>
      <c r="AF25" s="5" t="n"/>
      <c r="AG25" s="5" t="n"/>
      <c r="AH25" s="5" t="n"/>
      <c r="AI25" s="6" t="n"/>
      <c r="AJ25" s="5" t="n"/>
      <c r="AK25" s="5" t="n">
        <v>24</v>
      </c>
      <c r="AL25" s="6" t="n"/>
      <c r="AM25" s="6" t="inlineStr">
        <is>
          <t>PetSmart</t>
        </is>
      </c>
    </row>
    <row r="26">
      <c r="A26" s="5" t="n">
        <v>24</v>
      </c>
      <c r="B26" s="6" t="inlineStr">
        <is>
          <t>by 12/03/2014 (day set not disclosed)</t>
        </is>
      </c>
      <c r="C26" s="6" t="inlineStr">
        <is>
          <t>PetSmart (Board)</t>
        </is>
      </c>
      <c r="D26" s="6" t="inlineStr">
        <is>
          <t>Deadline set</t>
        </is>
      </c>
      <c r="E26" s="5" t="n">
        <v>1</v>
      </c>
      <c r="F26" s="5" t="inlineStr">
        <is>
          <t>2</t>
        </is>
      </c>
      <c r="G26" s="6" t="n"/>
      <c r="H26" s="6" t="inlineStr">
        <is>
          <t>Initial final-bid deadline: the board had initially set Friday 12/05/2014 for submission of bids, with a targeted 12/15/2014 completion of the sale process, to allow analysis, further bidding rounds, final documentation and a short Longview rollover discussion by the winner. Superseded on 12/04–12/05/2014 before arrival (R025); the set history is preserved here.</t>
        </is>
      </c>
      <c r="I26" s="5" t="n"/>
      <c r="J26" s="5" t="n"/>
      <c r="K26" s="6" t="inlineStr">
        <is>
          <t>Stated: "The board had initially targeted Monday, December 15 for completion of the sale process, and had initially set Friday, December 5 as the date for submission of bids so as to allow sufficient time for the Company to receive and analyze the bids, conduct further rounds of bidding, if necessary, to negotiate final documentation, and to permit the winning bidder a short period of time to discuss and negotiate a Longview rollover, if desired by the winning bidder." (p.24) Communication day is not disclosed; reported at the 12/03/2014 board meeting.</t>
        </is>
      </c>
      <c r="L26" s="7" t="inlineStr">
        <is>
          <t>P-0758</t>
        </is>
      </c>
      <c r="M26" s="5" t="inlineStr">
        <is>
          <t>Q2</t>
        </is>
      </c>
      <c r="N26" s="6" t="n"/>
      <c r="O26" s="5" t="inlineStr">
        <is>
          <t>R024</t>
        </is>
      </c>
      <c r="P26" s="5" t="inlineStr">
        <is>
          <t>Yes</t>
        </is>
      </c>
      <c r="Q26" s="5" t="n"/>
      <c r="R26" s="9" t="n"/>
      <c r="S26" s="8" t="n">
        <v>41976</v>
      </c>
      <c r="T26" s="8" t="n">
        <v>41976</v>
      </c>
      <c r="U26" s="5" t="inlineStr">
        <is>
          <t>Relative only</t>
        </is>
      </c>
      <c r="V26" s="5" t="inlineStr">
        <is>
          <t>Assigned: bound</t>
        </is>
      </c>
      <c r="W26" s="6" t="n"/>
      <c r="X26" s="6" t="n"/>
      <c r="Y26" s="5" t="n"/>
      <c r="Z26" s="5" t="n"/>
      <c r="AA26" s="5" t="n"/>
      <c r="AB26" s="5" t="n"/>
      <c r="AC26" s="6" t="n"/>
      <c r="AD26" s="6" t="n"/>
      <c r="AE26" s="9" t="n"/>
      <c r="AF26" s="5" t="n"/>
      <c r="AG26" s="5" t="n"/>
      <c r="AH26" s="5" t="n"/>
      <c r="AI26" s="6" t="n"/>
      <c r="AJ26" s="5" t="n"/>
      <c r="AK26" s="5" t="n">
        <v>24</v>
      </c>
      <c r="AL26" s="6" t="n"/>
      <c r="AM26" s="6" t="inlineStr">
        <is>
          <t>PetSmart</t>
        </is>
      </c>
    </row>
    <row r="27">
      <c r="A27" s="5" t="n">
        <v>25</v>
      </c>
      <c r="B27" s="6" t="inlineStr">
        <is>
          <t>12/04/2014–12/05/2014</t>
        </is>
      </c>
      <c r="C27" s="6" t="inlineStr">
        <is>
          <t>PetSmart (ad hoc committee)</t>
        </is>
      </c>
      <c r="D27" s="6" t="inlineStr">
        <is>
          <t>Deadline revised</t>
        </is>
      </c>
      <c r="E27" s="5" t="n">
        <v>1</v>
      </c>
      <c r="F27" s="5" t="inlineStr">
        <is>
          <t>2</t>
        </is>
      </c>
      <c r="G27" s="6" t="n"/>
      <c r="H27" s="6" t="inlineStr">
        <is>
          <t>Final-bid due date moved from Friday 12/05/2014 to the evening of Wednesday 12/10/2014 (five days rather than ten before the anticipated 12/15/2014 completion) to reduce leak/disclosure risk; bidders were also asked to submit markups of the draft merger agreement and other transaction documents and financing commitments in advance if possible. Old due date 12/05/2014; new due date 12/10/2014. Treatment: Extended.</t>
        </is>
      </c>
      <c r="I27" s="5" t="n"/>
      <c r="J27" s="5" t="n"/>
      <c r="K27" s="6" t="inlineStr">
        <is>
          <t>Stated: "after consultation with the Company’s financial and legal advisors, the ad hoc committee concluded that these matters could be accomplished in a shorter period of time" and "Accordingly, the Company set the evening of Wednesday, December 10 (five days, rather than 10 days prior to the anticipated December 15 completion date) as the deadline for submission of final bids, and at the same time asked the bidders to submit mark-ups of the draft merger agreement and the other transaction documents and financing commitments, if possible, in advance." (pp.24–25).</t>
        </is>
      </c>
      <c r="L27" s="7" t="inlineStr">
        <is>
          <t>P-0758; P-0761</t>
        </is>
      </c>
      <c r="M27" s="5" t="inlineStr">
        <is>
          <t>Q2</t>
        </is>
      </c>
      <c r="N27" s="6" t="n"/>
      <c r="O27" s="5" t="inlineStr">
        <is>
          <t>R025</t>
        </is>
      </c>
      <c r="P27" s="5" t="inlineStr">
        <is>
          <t>Yes</t>
        </is>
      </c>
      <c r="Q27" s="5" t="n"/>
      <c r="R27" s="8" t="n">
        <v>41977</v>
      </c>
      <c r="S27" s="8" t="n">
        <v>41978</v>
      </c>
      <c r="T27" s="8" t="n">
        <v>41977</v>
      </c>
      <c r="U27" s="5" t="inlineStr">
        <is>
          <t>Reported interval</t>
        </is>
      </c>
      <c r="V27" s="5" t="inlineStr">
        <is>
          <t>Assigned: bound</t>
        </is>
      </c>
      <c r="W27" s="6" t="n"/>
      <c r="X27" s="6" t="n"/>
      <c r="Y27" s="5" t="n"/>
      <c r="Z27" s="5" t="n"/>
      <c r="AA27" s="5" t="n"/>
      <c r="AB27" s="5" t="n"/>
      <c r="AC27" s="6" t="n"/>
      <c r="AD27" s="6" t="n"/>
      <c r="AE27" s="9" t="n"/>
      <c r="AF27" s="5" t="inlineStr">
        <is>
          <t>Extended</t>
        </is>
      </c>
      <c r="AG27" s="5" t="n"/>
      <c r="AH27" s="5" t="n"/>
      <c r="AI27" s="6" t="n"/>
      <c r="AJ27" s="5" t="n"/>
      <c r="AK27" s="5" t="n">
        <v>25</v>
      </c>
      <c r="AL27" s="6" t="inlineStr">
        <is>
          <t>revises R024</t>
        </is>
      </c>
      <c r="AM27" s="6" t="inlineStr">
        <is>
          <t>PetSmart</t>
        </is>
      </c>
    </row>
    <row r="28">
      <c r="A28" s="5" t="n">
        <v>26</v>
      </c>
      <c r="B28" s="6" t="inlineStr">
        <is>
          <t>12/09/2014</t>
        </is>
      </c>
      <c r="C28" s="6" t="inlineStr">
        <is>
          <t>Longview / Buyer Group / Bidder 2</t>
        </is>
      </c>
      <c r="D28" s="6" t="inlineStr">
        <is>
          <t>Information access changed</t>
        </is>
      </c>
      <c r="E28" s="5" t="n">
        <v>1</v>
      </c>
      <c r="F28" s="5" t="inlineStr">
        <is>
          <t>2</t>
        </is>
      </c>
      <c r="G28" s="6" t="n"/>
      <c r="H28" s="6" t="inlineStr">
        <is>
          <t>After Longview executed a confidentiality agreement, J.P. Morgan arranged introductory meetings between Longview and the Buyer Group and between Longview and Bidder 2 to let each side assess interest in working together; Longview was prohibited at that time from being told the bidders’ intended prices. No Longview meeting with Bidder 3 is reported.</t>
        </is>
      </c>
      <c r="I28" s="5" t="n"/>
      <c r="J28" s="5" t="n"/>
      <c r="K28" s="6" t="inlineStr">
        <is>
          <t>Stated: "Following the execution of a confidentiality agreement, on December 9, 2014, J.P. Morgan arranged introductory meetings between Longview and the Buyer Group, and between Longview and Bidder 2." and "These meetings, which were attended by representatives of J.P. Morgan and Wachtell Lipton, were introductory in nature, to enable the bidders to determine their interest in working with Longview, and vice versa, and the bidders were prohibited at this time from disclosing to Longview the respective prices that the bidders intended to bid." (p.25)</t>
        </is>
      </c>
      <c r="L28" s="7" t="inlineStr">
        <is>
          <t>P-0764</t>
        </is>
      </c>
      <c r="M28" s="5" t="inlineStr">
        <is>
          <t>Q1; Q6</t>
        </is>
      </c>
      <c r="N28" s="6" t="n"/>
      <c r="O28" s="5" t="inlineStr">
        <is>
          <t>R026</t>
        </is>
      </c>
      <c r="P28" s="5" t="inlineStr">
        <is>
          <t>Yes</t>
        </is>
      </c>
      <c r="Q28" s="5" t="n"/>
      <c r="R28" s="8" t="n">
        <v>41982</v>
      </c>
      <c r="S28" s="8" t="n">
        <v>41982</v>
      </c>
      <c r="T28" s="8" t="n">
        <v>41982</v>
      </c>
      <c r="U28" s="5" t="inlineStr">
        <is>
          <t>Reported day</t>
        </is>
      </c>
      <c r="V28" s="5" t="inlineStr">
        <is>
          <t>Reported</t>
        </is>
      </c>
      <c r="W28" s="6" t="n"/>
      <c r="X28" s="6" t="n"/>
      <c r="Y28" s="5" t="n"/>
      <c r="Z28" s="5" t="n"/>
      <c r="AA28" s="5" t="n"/>
      <c r="AB28" s="5" t="n"/>
      <c r="AC28" s="6" t="n"/>
      <c r="AD28" s="6" t="n"/>
      <c r="AE28" s="9" t="n"/>
      <c r="AF28" s="5" t="n"/>
      <c r="AG28" s="5" t="n"/>
      <c r="AH28" s="5" t="n"/>
      <c r="AI28" s="6" t="n"/>
      <c r="AJ28" s="5" t="n"/>
      <c r="AK28" s="5" t="n">
        <v>25</v>
      </c>
      <c r="AL28" s="6" t="n"/>
      <c r="AM28" s="6" t="inlineStr">
        <is>
          <t>PetSmart</t>
        </is>
      </c>
    </row>
    <row r="29">
      <c r="A29" s="5" t="n">
        <v>27</v>
      </c>
      <c r="B29" s="6" t="inlineStr">
        <is>
          <t>evening of 12/10/2014</t>
        </is>
      </c>
      <c r="C29" s="6" t="inlineStr">
        <is>
          <t>PetSmart / J.P. Morgan</t>
        </is>
      </c>
      <c r="D29" s="6" t="inlineStr">
        <is>
          <t>Deadline</t>
        </is>
      </c>
      <c r="E29" s="5" t="n">
        <v>1</v>
      </c>
      <c r="F29" s="5" t="inlineStr">
        <is>
          <t>2</t>
        </is>
      </c>
      <c r="G29" s="6" t="n"/>
      <c r="H29" s="6" t="inlineStr">
        <is>
          <t>Final-bid due date reached: Buyer Group and Bidder 2 submitted final bid letters with revised merger agreement and transaction documents, together with financing commitment documents from the Buyer Group; Bidder 3 gave a verbal indication. Treatment: Extended — the ad hoc committee requested improved bids by 12/12/2014 (R032).</t>
        </is>
      </c>
      <c r="I29" s="5" t="n"/>
      <c r="J29" s="5" t="n"/>
      <c r="K29" s="6" t="inlineStr">
        <is>
          <t>Stated: "On December 10, PetSmart received final bid letters along with revised versions of the merger agreement and other transaction documents from the Buyer Group and from Bidder 2 and a verbal indication from Bidder 3." (p.25) and the improvement request (p.25).</t>
        </is>
      </c>
      <c r="L29" s="7" t="inlineStr">
        <is>
          <t>P-0765; P-0766</t>
        </is>
      </c>
      <c r="M29" s="5" t="inlineStr">
        <is>
          <t>Q2</t>
        </is>
      </c>
      <c r="N29" s="6" t="n"/>
      <c r="O29" s="5" t="inlineStr">
        <is>
          <t>R027</t>
        </is>
      </c>
      <c r="P29" s="5" t="inlineStr">
        <is>
          <t>Yes</t>
        </is>
      </c>
      <c r="Q29" s="5" t="n"/>
      <c r="R29" s="8" t="n">
        <v>41983</v>
      </c>
      <c r="S29" s="8" t="n">
        <v>41983</v>
      </c>
      <c r="T29" s="8" t="n">
        <v>41983</v>
      </c>
      <c r="U29" s="5" t="inlineStr">
        <is>
          <t>Reported day</t>
        </is>
      </c>
      <c r="V29" s="5" t="inlineStr">
        <is>
          <t>Reported</t>
        </is>
      </c>
      <c r="W29" s="6" t="n"/>
      <c r="X29" s="6" t="n"/>
      <c r="Y29" s="5" t="n"/>
      <c r="Z29" s="5" t="n"/>
      <c r="AA29" s="5" t="n"/>
      <c r="AB29" s="5" t="n"/>
      <c r="AC29" s="6" t="n"/>
      <c r="AD29" s="6" t="n"/>
      <c r="AE29" s="8" t="n">
        <v>41983</v>
      </c>
      <c r="AF29" s="5" t="inlineStr">
        <is>
          <t>Extended</t>
        </is>
      </c>
      <c r="AG29" s="5" t="n"/>
      <c r="AH29" s="5" t="n"/>
      <c r="AI29" s="6" t="n"/>
      <c r="AJ29" s="5" t="n"/>
      <c r="AK29" s="5" t="n">
        <v>25</v>
      </c>
      <c r="AL29" s="6" t="n"/>
      <c r="AM29" s="6" t="inlineStr">
        <is>
          <t>PetSmart</t>
        </is>
      </c>
    </row>
    <row r="30">
      <c r="A30" s="5" t="n">
        <v>28</v>
      </c>
      <c r="B30" s="6" t="inlineStr">
        <is>
          <t>12/10/2014</t>
        </is>
      </c>
      <c r="C30" s="6" t="inlineStr">
        <is>
          <t>Buyer Group</t>
        </is>
      </c>
      <c r="D30" s="6" t="inlineStr">
        <is>
          <t>Bid</t>
        </is>
      </c>
      <c r="E30" s="5" t="n">
        <v>1</v>
      </c>
      <c r="F30" s="5" t="inlineStr">
        <is>
          <t>2</t>
        </is>
      </c>
      <c r="G30" s="6" t="inlineStr">
        <is>
          <t>Financial</t>
        </is>
      </c>
      <c r="H30" s="6" t="inlineStr">
        <is>
          <t>Final bid letter: $80.70 per share in cash, with revised merger agreement and transaction documents that were more favorable to the Company (less conditional, greater certainty of protection if the transaction were not completed) and substantially more accepting of the Company’s positions. Buyer Group had provided its financing commitment documents on 12/06/2014. Count 1: first bid row for this unit in round 2.</t>
        </is>
      </c>
      <c r="I30" s="5" t="inlineStr">
        <is>
          <t>Formal</t>
        </is>
      </c>
      <c r="J30" s="5" t="inlineStr">
        <is>
          <t>Light</t>
        </is>
      </c>
      <c r="K30" s="6" t="inlineStr">
        <is>
          <t>Stated: "The Buyer Group offered $80.70 per share, in cash, and Bidder 2 offered $80.35 per share, in cash." and "The form of merger agreement and other transaction documentation submitted by the Buyer Group were more favorable to the Company (including because they were less conditional and more likely to be completed and because they offered more certainty of protection for the Company in the unlikely event of non-completion of the transaction) and reflected substantially more acceptance of the Company’s positions." (p.25) Formality: Formal — bidder-returned transaction documents responding on the requested basis to the final-bid solicitation. Conditions: Light — committed financing provided; final documentation.</t>
        </is>
      </c>
      <c r="L30" s="7" t="inlineStr">
        <is>
          <t>P-0762; P-0765</t>
        </is>
      </c>
      <c r="M30" s="5" t="inlineStr">
        <is>
          <t>Q5; Q6</t>
        </is>
      </c>
      <c r="N30" s="6" t="n"/>
      <c r="O30" s="5" t="inlineStr">
        <is>
          <t>R028</t>
        </is>
      </c>
      <c r="P30" s="5" t="inlineStr">
        <is>
          <t>Yes</t>
        </is>
      </c>
      <c r="Q30" s="5" t="n">
        <v>1</v>
      </c>
      <c r="R30" s="8" t="n">
        <v>41983</v>
      </c>
      <c r="S30" s="8" t="n">
        <v>41983</v>
      </c>
      <c r="T30" s="8" t="n">
        <v>41983</v>
      </c>
      <c r="U30" s="5" t="inlineStr">
        <is>
          <t>Reported day</t>
        </is>
      </c>
      <c r="V30" s="5" t="inlineStr">
        <is>
          <t>Reported</t>
        </is>
      </c>
      <c r="W30" s="6" t="n">
        <v>80.7</v>
      </c>
      <c r="X30" s="6" t="n">
        <v>80.7</v>
      </c>
      <c r="Y30" s="5" t="inlineStr">
        <is>
          <t>Point</t>
        </is>
      </c>
      <c r="Z30" s="5" t="inlineStr">
        <is>
          <t>Stated</t>
        </is>
      </c>
      <c r="AA30" s="5" t="inlineStr">
        <is>
          <t>USD</t>
        </is>
      </c>
      <c r="AB30" s="5" t="inlineStr">
        <is>
          <t>Yes</t>
        </is>
      </c>
      <c r="AC30" s="6" t="n">
        <v>80.7</v>
      </c>
      <c r="AD30" s="6" t="inlineStr">
        <is>
          <t>Fin: committed; DD required: none; DD open: no; Excl: not stated</t>
        </is>
      </c>
      <c r="AE30" s="9" t="n"/>
      <c r="AF30" s="5" t="n"/>
      <c r="AG30" s="5" t="n"/>
      <c r="AH30" s="5" t="n"/>
      <c r="AI30" s="6" t="n"/>
      <c r="AJ30" s="5" t="n"/>
      <c r="AK30" s="5" t="n">
        <v>25</v>
      </c>
      <c r="AL30" s="6" t="n"/>
      <c r="AM30" s="6" t="inlineStr">
        <is>
          <t>PetSmart</t>
        </is>
      </c>
    </row>
    <row r="31">
      <c r="A31" s="5" t="n">
        <v>29</v>
      </c>
      <c r="B31" s="6" t="inlineStr">
        <is>
          <t>12/10/2014</t>
        </is>
      </c>
      <c r="C31" s="6" t="inlineStr">
        <is>
          <t>Bidder 2</t>
        </is>
      </c>
      <c r="D31" s="6" t="inlineStr">
        <is>
          <t>Bid</t>
        </is>
      </c>
      <c r="E31" s="5" t="n">
        <v>1</v>
      </c>
      <c r="F31" s="5" t="inlineStr">
        <is>
          <t>2</t>
        </is>
      </c>
      <c r="G31" s="6" t="inlineStr">
        <is>
          <t>Financial</t>
        </is>
      </c>
      <c r="H31" s="6" t="inlineStr">
        <is>
          <t>Final bid letter: $80.35 per share in cash, with revised merger agreement and other transaction documents. Financing commitment documents were not provided until 12/12/2014. Bidder 2 indicated any partnering with Longview would occur only after completing bidding and signing a definitive agreement. Count 1: first bid row for this unit in round 2.</t>
        </is>
      </c>
      <c r="I31" s="5" t="inlineStr">
        <is>
          <t>Formal</t>
        </is>
      </c>
      <c r="J31" s="5" t="inlineStr">
        <is>
          <t>Light</t>
        </is>
      </c>
      <c r="K31" s="6" t="inlineStr">
        <is>
          <t>Stated: "The Buyer Group offered $80.70 per share, in cash, and Bidder 2 offered $80.35 per share, in cash." and "though Bidder 2 indicated that any partnering with Longview would only occur after completion of bidding and execution of a definitive merger agreement with the Company." (p.25) Formality: Formal — returned transaction documents responding to the final-bid solicitation. Conditions: Light — no Heavy trigger reported; subject to final documentation; financing not yet documented.</t>
        </is>
      </c>
      <c r="L31" s="7" t="inlineStr">
        <is>
          <t>P-0765</t>
        </is>
      </c>
      <c r="M31" s="5" t="inlineStr">
        <is>
          <t>Q5; Q6</t>
        </is>
      </c>
      <c r="N31" s="6" t="n"/>
      <c r="O31" s="5" t="inlineStr">
        <is>
          <t>R029</t>
        </is>
      </c>
      <c r="P31" s="5" t="inlineStr">
        <is>
          <t>Yes</t>
        </is>
      </c>
      <c r="Q31" s="5" t="n">
        <v>1</v>
      </c>
      <c r="R31" s="8" t="n">
        <v>41983</v>
      </c>
      <c r="S31" s="8" t="n">
        <v>41983</v>
      </c>
      <c r="T31" s="8" t="n">
        <v>41983</v>
      </c>
      <c r="U31" s="5" t="inlineStr">
        <is>
          <t>Reported day</t>
        </is>
      </c>
      <c r="V31" s="5" t="inlineStr">
        <is>
          <t>Reported</t>
        </is>
      </c>
      <c r="W31" s="6" t="n">
        <v>80.34999999999999</v>
      </c>
      <c r="X31" s="6" t="n">
        <v>80.34999999999999</v>
      </c>
      <c r="Y31" s="5" t="inlineStr">
        <is>
          <t>Point</t>
        </is>
      </c>
      <c r="Z31" s="5" t="inlineStr">
        <is>
          <t>Stated</t>
        </is>
      </c>
      <c r="AA31" s="5" t="inlineStr">
        <is>
          <t>USD</t>
        </is>
      </c>
      <c r="AB31" s="5" t="inlineStr">
        <is>
          <t>Yes</t>
        </is>
      </c>
      <c r="AC31" s="6" t="n">
        <v>80.34999999999999</v>
      </c>
      <c r="AD31" s="6" t="inlineStr">
        <is>
          <t>Fin: not stated; DD required: none; DD open: no; Excl: not stated</t>
        </is>
      </c>
      <c r="AE31" s="9" t="n"/>
      <c r="AF31" s="5" t="n"/>
      <c r="AG31" s="5" t="n"/>
      <c r="AH31" s="5" t="n"/>
      <c r="AI31" s="6" t="n"/>
      <c r="AJ31" s="5" t="n"/>
      <c r="AK31" s="5" t="n">
        <v>25</v>
      </c>
      <c r="AL31" s="6" t="n"/>
      <c r="AM31" s="6" t="inlineStr">
        <is>
          <t>PetSmart</t>
        </is>
      </c>
    </row>
    <row r="32">
      <c r="A32" s="5" t="n">
        <v>30</v>
      </c>
      <c r="B32" s="6" t="inlineStr">
        <is>
          <t>12/10/2014</t>
        </is>
      </c>
      <c r="C32" s="6" t="inlineStr">
        <is>
          <t>Bidder 3</t>
        </is>
      </c>
      <c r="D32" s="6" t="inlineStr">
        <is>
          <t>Bid</t>
        </is>
      </c>
      <c r="E32" s="5" t="n">
        <v>1</v>
      </c>
      <c r="F32" s="5" t="inlineStr">
        <is>
          <t>2</t>
        </is>
      </c>
      <c r="G32" s="6" t="inlineStr">
        <is>
          <t>Financial</t>
        </is>
      </c>
      <c r="H32" s="6" t="inlineStr">
        <is>
          <t>Bound: ≤ $78 — Bidder 3 verbally communicated to J.P. Morgan that its valuation would not be above the current stock price of approximately $78 per share; J.P. Morgan said it was unlikely to be competitive and Bidder 3 did not submit a written offer. No bid level is asserted; the per-share cell carries only the ceiling. Count 1: first bid row for this unit in round 2.</t>
        </is>
      </c>
      <c r="I32" s="5" t="inlineStr">
        <is>
          <t>Informal</t>
        </is>
      </c>
      <c r="J32" s="5" t="inlineStr">
        <is>
          <t>Insufficient evidence</t>
        </is>
      </c>
      <c r="K32" s="6" t="inlineStr">
        <is>
          <t>Stated: "Bidder 3 verbally communicated to J.P. Morgan that their valuation would not be above the current stock price of approximately $78 per share." (p.25) Formality: Informal — verbal, no returned documents. Conditions: Insufficient evidence — the filing reports the valuation statement and the target’s competitive assessment but no financing, diligence or other condition.</t>
        </is>
      </c>
      <c r="L32" s="7" t="inlineStr">
        <is>
          <t>P-0765</t>
        </is>
      </c>
      <c r="M32" s="5" t="inlineStr">
        <is>
          <t>Q5; Q6</t>
        </is>
      </c>
      <c r="N32" s="6" t="n"/>
      <c r="O32" s="5" t="inlineStr">
        <is>
          <t>R030</t>
        </is>
      </c>
      <c r="P32" s="5" t="inlineStr">
        <is>
          <t>Yes</t>
        </is>
      </c>
      <c r="Q32" s="5" t="n">
        <v>1</v>
      </c>
      <c r="R32" s="8" t="n">
        <v>41983</v>
      </c>
      <c r="S32" s="8" t="n">
        <v>41983</v>
      </c>
      <c r="T32" s="8" t="n">
        <v>41983</v>
      </c>
      <c r="U32" s="5" t="inlineStr">
        <is>
          <t>Reported day</t>
        </is>
      </c>
      <c r="V32" s="5" t="inlineStr">
        <is>
          <t>Reported</t>
        </is>
      </c>
      <c r="W32" s="6" t="n"/>
      <c r="X32" s="6" t="n">
        <v>78</v>
      </c>
      <c r="Y32" s="5" t="inlineStr">
        <is>
          <t>Bound only</t>
        </is>
      </c>
      <c r="Z32" s="5" t="inlineStr">
        <is>
          <t>Stated</t>
        </is>
      </c>
      <c r="AA32" s="5" t="inlineStr">
        <is>
          <t>USD</t>
        </is>
      </c>
      <c r="AB32" s="5" t="n"/>
      <c r="AC32" s="6" t="n"/>
      <c r="AD32" s="6" t="inlineStr">
        <is>
          <t>Fin: not stated; DD required: not stated; DD open: yes; Excl: not stated</t>
        </is>
      </c>
      <c r="AE32" s="9" t="n"/>
      <c r="AF32" s="5" t="n"/>
      <c r="AG32" s="5" t="n"/>
      <c r="AH32" s="5" t="n"/>
      <c r="AI32" s="6" t="n"/>
      <c r="AJ32" s="5" t="n"/>
      <c r="AK32" s="5" t="n">
        <v>25</v>
      </c>
      <c r="AL32" s="6" t="n"/>
      <c r="AM32" s="6" t="inlineStr">
        <is>
          <t>PetSmart</t>
        </is>
      </c>
    </row>
    <row r="33">
      <c r="A33" s="5" t="n">
        <v>31</v>
      </c>
      <c r="B33" s="6" t="inlineStr">
        <is>
          <t>12/10/2014</t>
        </is>
      </c>
      <c r="C33" s="6" t="inlineStr">
        <is>
          <t>Bidder 3</t>
        </is>
      </c>
      <c r="D33" s="6" t="inlineStr">
        <is>
          <t>Did not submit</t>
        </is>
      </c>
      <c r="E33" s="5" t="n">
        <v>1</v>
      </c>
      <c r="F33" s="5" t="inlineStr">
        <is>
          <t>2</t>
        </is>
      </c>
      <c r="G33" s="6" t="inlineStr">
        <is>
          <t>Financial</t>
        </is>
      </c>
      <c r="H33" s="6" t="inlineStr">
        <is>
          <t>After J.P. Morgan communicated that its verbal valuation was unlikely to be competitive, Bidder 3 did not submit a written final offer. Agency: Both — target discouragement followed by non-submission. Exit reason: Value at or below market price (its stated valuation would not exceed the ~$78 market price).</t>
        </is>
      </c>
      <c r="I33" s="5" t="n"/>
      <c r="J33" s="5" t="n"/>
      <c r="K33" s="6" t="inlineStr">
        <is>
          <t>Stated: "J.P. Morgan communicated to Bidder 3 that it was unlikely to be competitive and accordingly Bidder 3 did not submit a written offer." (p.25)</t>
        </is>
      </c>
      <c r="L33" s="7" t="inlineStr">
        <is>
          <t>P-0765</t>
        </is>
      </c>
      <c r="M33" s="5" t="inlineStr">
        <is>
          <t>Q4</t>
        </is>
      </c>
      <c r="N33" s="6" t="n"/>
      <c r="O33" s="5" t="inlineStr">
        <is>
          <t>R031</t>
        </is>
      </c>
      <c r="P33" s="5" t="inlineStr">
        <is>
          <t>Yes</t>
        </is>
      </c>
      <c r="Q33" s="5" t="n">
        <v>1</v>
      </c>
      <c r="R33" s="8" t="n">
        <v>41983</v>
      </c>
      <c r="S33" s="8" t="n">
        <v>41983</v>
      </c>
      <c r="T33" s="8" t="n">
        <v>41983</v>
      </c>
      <c r="U33" s="5" t="inlineStr">
        <is>
          <t>Reported day</t>
        </is>
      </c>
      <c r="V33" s="5" t="inlineStr">
        <is>
          <t>Reported</t>
        </is>
      </c>
      <c r="W33" s="6" t="n"/>
      <c r="X33" s="6" t="n"/>
      <c r="Y33" s="5" t="n"/>
      <c r="Z33" s="5" t="n"/>
      <c r="AA33" s="5" t="n"/>
      <c r="AB33" s="5" t="n"/>
      <c r="AC33" s="6" t="n"/>
      <c r="AD33" s="6" t="n"/>
      <c r="AE33" s="9" t="n"/>
      <c r="AF33" s="5" t="n"/>
      <c r="AG33" s="5" t="n"/>
      <c r="AH33" s="5" t="inlineStr">
        <is>
          <t>Both</t>
        </is>
      </c>
      <c r="AI33" s="6" t="inlineStr">
        <is>
          <t>Value at or below market price</t>
        </is>
      </c>
      <c r="AJ33" s="5" t="inlineStr">
        <is>
          <t>Stated</t>
        </is>
      </c>
      <c r="AK33" s="5" t="n">
        <v>25</v>
      </c>
      <c r="AL33" s="6" t="inlineStr">
        <is>
          <t>follows R030</t>
        </is>
      </c>
      <c r="AM33" s="6" t="inlineStr">
        <is>
          <t>PetSmart</t>
        </is>
      </c>
    </row>
    <row r="34">
      <c r="A34" s="5" t="n">
        <v>32</v>
      </c>
      <c r="B34" s="6" t="inlineStr">
        <is>
          <t>12/10/2014</t>
        </is>
      </c>
      <c r="C34" s="6" t="inlineStr">
        <is>
          <t>PetSmart (ad hoc committee)</t>
        </is>
      </c>
      <c r="D34" s="6" t="inlineStr">
        <is>
          <t>Deadline revised</t>
        </is>
      </c>
      <c r="E34" s="5" t="n">
        <v>1</v>
      </c>
      <c r="F34" s="5" t="inlineStr">
        <is>
          <t>2</t>
        </is>
      </c>
      <c r="G34" s="6" t="n"/>
      <c r="H34" s="6" t="inlineStr">
        <is>
          <t>The ad hoc committee, viewing neither bid as the bidders’ best offers and noting the closeness of the bids and recent positive developments, instructed J.P. Morgan to tell each bidder to increase its bid and to submit improved bids on 12/12/2014. Old due date 12/10/2014; new due date 12/12/2014. Treatment: Extended. Also on 12/11/2014 J.P. Morgan confirmed Longview remained willing to roll over shares if desired and approved by the committee.</t>
        </is>
      </c>
      <c r="I34" s="5" t="n"/>
      <c r="J34" s="5" t="n"/>
      <c r="K34" s="6" t="inlineStr">
        <is>
          <t>Stated: "the ad hoc committee instructed J.P. Morgan to inform each bidder that it would need to increase its bid, and to instruct the bidders to submit improved bids on December 12, 2014." (p.25)</t>
        </is>
      </c>
      <c r="L34" s="7" t="inlineStr">
        <is>
          <t>P-0766</t>
        </is>
      </c>
      <c r="M34" s="5" t="inlineStr">
        <is>
          <t>Q2</t>
        </is>
      </c>
      <c r="N34" s="6" t="n"/>
      <c r="O34" s="5" t="inlineStr">
        <is>
          <t>R032</t>
        </is>
      </c>
      <c r="P34" s="5" t="inlineStr">
        <is>
          <t>Yes</t>
        </is>
      </c>
      <c r="Q34" s="5" t="n"/>
      <c r="R34" s="8" t="n">
        <v>41983</v>
      </c>
      <c r="S34" s="8" t="n">
        <v>41983</v>
      </c>
      <c r="T34" s="8" t="n">
        <v>41983</v>
      </c>
      <c r="U34" s="5" t="inlineStr">
        <is>
          <t>Reported day</t>
        </is>
      </c>
      <c r="V34" s="5" t="inlineStr">
        <is>
          <t>Reported</t>
        </is>
      </c>
      <c r="W34" s="6" t="n"/>
      <c r="X34" s="6" t="n"/>
      <c r="Y34" s="5" t="n"/>
      <c r="Z34" s="5" t="n"/>
      <c r="AA34" s="5" t="n"/>
      <c r="AB34" s="5" t="n"/>
      <c r="AC34" s="6" t="n"/>
      <c r="AD34" s="6" t="n"/>
      <c r="AE34" s="9" t="n"/>
      <c r="AF34" s="5" t="inlineStr">
        <is>
          <t>Extended</t>
        </is>
      </c>
      <c r="AG34" s="5" t="n"/>
      <c r="AH34" s="5" t="n"/>
      <c r="AI34" s="6" t="n"/>
      <c r="AJ34" s="5" t="n"/>
      <c r="AK34" s="5" t="n">
        <v>25</v>
      </c>
      <c r="AL34" s="6" t="inlineStr">
        <is>
          <t>revises R027</t>
        </is>
      </c>
      <c r="AM34" s="6" t="inlineStr">
        <is>
          <t>PetSmart</t>
        </is>
      </c>
    </row>
    <row r="35">
      <c r="A35" s="5" t="n">
        <v>33</v>
      </c>
      <c r="B35" s="6" t="inlineStr">
        <is>
          <t>12/12/2014</t>
        </is>
      </c>
      <c r="C35" s="6" t="inlineStr">
        <is>
          <t>Longview / Buyer Group / PetSmart</t>
        </is>
      </c>
      <c r="D35" s="6" t="inlineStr">
        <is>
          <t>Material process update</t>
        </is>
      </c>
      <c r="E35" s="5" t="n">
        <v>1</v>
      </c>
      <c r="F35" s="5" t="inlineStr">
        <is>
          <t>2</t>
        </is>
      </c>
      <c r="G35" s="6" t="n"/>
      <c r="H35" s="6" t="inlineStr">
        <is>
          <t>Rollover relationship permitted and formed with the eventual winner: the ad hoc committee approved the Buyer Group’s request to work more closely with Longview to include a rollover of a portion of Longview-managed shares in its bid; that day Longview and the Buyer Group entered a confidentiality agreement permitting exchange of detailed information including bid price, and Wachtell Lipton was instructed to provide a voting agreement form to Longview. Bidder 2 said a Longview rollover would not affect its price and would be considered only after signing.</t>
        </is>
      </c>
      <c r="I35" s="5" t="n"/>
      <c r="J35" s="5" t="n"/>
      <c r="K35" s="6" t="inlineStr">
        <is>
          <t>Stated: "the ad hoc committee approved the Buyer Group’s request" and "later that day, Longview and the Buyer Group entered into a confidentiality agreement permitting the exchange of detailed information between them, including bid price, which had not previously been shared with Longview." and "The ad hoc committee also instructed Wachtell Lipton to provide a form of voting agreement to Longview to secure Longview’s commitment to vote for the merger subject to certain exceptions, including a change of recommendation by the board." (p.26)</t>
        </is>
      </c>
      <c r="L35" s="7" t="inlineStr">
        <is>
          <t>P-0767; P-0770</t>
        </is>
      </c>
      <c r="M35" s="5" t="inlineStr">
        <is>
          <t>Q6; Q8</t>
        </is>
      </c>
      <c r="N35" s="6" t="n"/>
      <c r="O35" s="5" t="inlineStr">
        <is>
          <t>R033</t>
        </is>
      </c>
      <c r="P35" s="5" t="inlineStr">
        <is>
          <t>Yes</t>
        </is>
      </c>
      <c r="Q35" s="5" t="n"/>
      <c r="R35" s="8" t="n">
        <v>41985</v>
      </c>
      <c r="S35" s="8" t="n">
        <v>41985</v>
      </c>
      <c r="T35" s="8" t="n">
        <v>41985</v>
      </c>
      <c r="U35" s="5" t="inlineStr">
        <is>
          <t>Reported day</t>
        </is>
      </c>
      <c r="V35" s="5" t="inlineStr">
        <is>
          <t>Reported</t>
        </is>
      </c>
      <c r="W35" s="6" t="n"/>
      <c r="X35" s="6" t="n"/>
      <c r="Y35" s="5" t="n"/>
      <c r="Z35" s="5" t="n"/>
      <c r="AA35" s="5" t="n"/>
      <c r="AB35" s="5" t="n"/>
      <c r="AC35" s="6" t="n"/>
      <c r="AD35" s="6" t="n"/>
      <c r="AE35" s="9" t="n"/>
      <c r="AF35" s="5" t="n"/>
      <c r="AG35" s="5" t="n"/>
      <c r="AH35" s="5" t="n"/>
      <c r="AI35" s="6" t="n"/>
      <c r="AJ35" s="5" t="n"/>
      <c r="AK35" s="5" t="n">
        <v>26</v>
      </c>
      <c r="AL35" s="6" t="n"/>
      <c r="AM35" s="6" t="inlineStr">
        <is>
          <t>PetSmart</t>
        </is>
      </c>
    </row>
    <row r="36">
      <c r="A36" s="5" t="n">
        <v>34</v>
      </c>
      <c r="B36" s="6" t="inlineStr">
        <is>
          <t>evening of 12/12/2014</t>
        </is>
      </c>
      <c r="C36" s="6" t="inlineStr">
        <is>
          <t>PetSmart / J.P. Morgan</t>
        </is>
      </c>
      <c r="D36" s="6" t="inlineStr">
        <is>
          <t>Deadline</t>
        </is>
      </c>
      <c r="E36" s="5" t="n">
        <v>1</v>
      </c>
      <c r="F36" s="5" t="inlineStr">
        <is>
          <t>2</t>
        </is>
      </c>
      <c r="G36" s="6" t="n"/>
      <c r="H36" s="6" t="inlineStr">
        <is>
          <t>Improved-bid due date reached: Bidder 2 submitted $81.50 (confirmed by J.P. Morgan as its best and final offer); the Buyer Group submitted a best-and-final $83.00 after an oral $82.50 earlier in the evening. Each submitted a revised merger agreement and other transaction agreements and copies of financing commitment documents; the Buyer Group’s versions were, with few exceptions, substantially executable. Treatment: Enforced — the board reviewed the bids on 12/13 and signed with the Buyer Group on 12/14 without further extension.</t>
        </is>
      </c>
      <c r="I36" s="5" t="n"/>
      <c r="J36" s="5" t="n"/>
      <c r="K36" s="6" t="inlineStr">
        <is>
          <t>Stated: "During the evening of December 12, 2014, Bidder 2 submitted an offer of $81.50 per share, in cash." and "Later in the evening, the Buyer Group submitted a best and final offer of $83.00 per share, in cash. In addition, each bidder submitted a revised draft of the merger agreement and other transaction agreements, and copies of their respective financing commitment documents." (p.26)</t>
        </is>
      </c>
      <c r="L36" s="7" t="inlineStr">
        <is>
          <t>P-0771</t>
        </is>
      </c>
      <c r="M36" s="5" t="inlineStr">
        <is>
          <t>Q2</t>
        </is>
      </c>
      <c r="N36" s="6" t="n"/>
      <c r="O36" s="5" t="inlineStr">
        <is>
          <t>R034</t>
        </is>
      </c>
      <c r="P36" s="5" t="inlineStr">
        <is>
          <t>Yes</t>
        </is>
      </c>
      <c r="Q36" s="5" t="n"/>
      <c r="R36" s="8" t="n">
        <v>41985</v>
      </c>
      <c r="S36" s="8" t="n">
        <v>41985</v>
      </c>
      <c r="T36" s="8" t="n">
        <v>41985</v>
      </c>
      <c r="U36" s="5" t="inlineStr">
        <is>
          <t>Reported day</t>
        </is>
      </c>
      <c r="V36" s="5" t="inlineStr">
        <is>
          <t>Reported</t>
        </is>
      </c>
      <c r="W36" s="6" t="n"/>
      <c r="X36" s="6" t="n"/>
      <c r="Y36" s="5" t="n"/>
      <c r="Z36" s="5" t="n"/>
      <c r="AA36" s="5" t="n"/>
      <c r="AB36" s="5" t="n"/>
      <c r="AC36" s="6" t="n"/>
      <c r="AD36" s="6" t="n"/>
      <c r="AE36" s="8" t="n">
        <v>41985</v>
      </c>
      <c r="AF36" s="5" t="inlineStr">
        <is>
          <t>Enforced</t>
        </is>
      </c>
      <c r="AG36" s="5" t="n"/>
      <c r="AH36" s="5" t="n"/>
      <c r="AI36" s="6" t="n"/>
      <c r="AJ36" s="5" t="n"/>
      <c r="AK36" s="5" t="n">
        <v>26</v>
      </c>
      <c r="AL36" s="6" t="n"/>
      <c r="AM36" s="6" t="inlineStr">
        <is>
          <t>PetSmart</t>
        </is>
      </c>
    </row>
    <row r="37">
      <c r="A37" s="5" t="n">
        <v>35</v>
      </c>
      <c r="B37" s="6" t="inlineStr">
        <is>
          <t>12/12/2014</t>
        </is>
      </c>
      <c r="C37" s="6" t="inlineStr">
        <is>
          <t>Bidder 2</t>
        </is>
      </c>
      <c r="D37" s="6" t="inlineStr">
        <is>
          <t>Bid</t>
        </is>
      </c>
      <c r="E37" s="5" t="n">
        <v>1</v>
      </c>
      <c r="F37" s="5" t="inlineStr">
        <is>
          <t>2</t>
        </is>
      </c>
      <c r="G37" s="6" t="inlineStr">
        <is>
          <t>Financial</t>
        </is>
      </c>
      <c r="H37" s="6" t="inlineStr">
        <is>
          <t>Improved best-and-final offer: $81.50 per share in cash, confirmed to J.P. Morgan as best and final. Submitted revised transaction documents and financing commitment documents. Count 0: later bid row for the same unit in round 2.</t>
        </is>
      </c>
      <c r="I37" s="5" t="inlineStr">
        <is>
          <t>Formal</t>
        </is>
      </c>
      <c r="J37" s="5" t="inlineStr">
        <is>
          <t>Light</t>
        </is>
      </c>
      <c r="K37" s="6" t="inlineStr">
        <is>
          <t>Stated: "Bidder 2 submitted an offer of $81.50 per share, in cash. Representatives of J.P. Morgan confirmed via a conversation with Bidder 2 on the evening of December 12, 2014 that $81.50 per share was its best and final offer." (p.26) Formality: Formal — final-stage response with revised transaction documents and financing commitments. Conditions: Light — committed financing documents submitted; final documentation.</t>
        </is>
      </c>
      <c r="L37" s="7" t="inlineStr">
        <is>
          <t>P-0771</t>
        </is>
      </c>
      <c r="M37" s="5" t="inlineStr">
        <is>
          <t>Q5; Q6</t>
        </is>
      </c>
      <c r="N37" s="6" t="n"/>
      <c r="O37" s="5" t="inlineStr">
        <is>
          <t>R035</t>
        </is>
      </c>
      <c r="P37" s="5" t="inlineStr">
        <is>
          <t>Yes</t>
        </is>
      </c>
      <c r="Q37" s="5" t="n">
        <v>0</v>
      </c>
      <c r="R37" s="8" t="n">
        <v>41985</v>
      </c>
      <c r="S37" s="8" t="n">
        <v>41985</v>
      </c>
      <c r="T37" s="8" t="n">
        <v>41985</v>
      </c>
      <c r="U37" s="5" t="inlineStr">
        <is>
          <t>Reported day</t>
        </is>
      </c>
      <c r="V37" s="5" t="inlineStr">
        <is>
          <t>Reported</t>
        </is>
      </c>
      <c r="W37" s="6" t="n">
        <v>81.5</v>
      </c>
      <c r="X37" s="6" t="n">
        <v>81.5</v>
      </c>
      <c r="Y37" s="5" t="inlineStr">
        <is>
          <t>Point</t>
        </is>
      </c>
      <c r="Z37" s="5" t="inlineStr">
        <is>
          <t>Stated</t>
        </is>
      </c>
      <c r="AA37" s="5" t="inlineStr">
        <is>
          <t>USD</t>
        </is>
      </c>
      <c r="AB37" s="5" t="inlineStr">
        <is>
          <t>Yes</t>
        </is>
      </c>
      <c r="AC37" s="6" t="n">
        <v>81.5</v>
      </c>
      <c r="AD37" s="6" t="inlineStr">
        <is>
          <t>Fin: committed; DD required: none; DD open: no; Excl: not stated</t>
        </is>
      </c>
      <c r="AE37" s="9" t="n"/>
      <c r="AF37" s="5" t="n"/>
      <c r="AG37" s="5" t="n"/>
      <c r="AH37" s="5" t="n"/>
      <c r="AI37" s="6" t="n"/>
      <c r="AJ37" s="5" t="n"/>
      <c r="AK37" s="5" t="n">
        <v>26</v>
      </c>
      <c r="AL37" s="6" t="inlineStr">
        <is>
          <t>revises R029</t>
        </is>
      </c>
      <c r="AM37" s="6" t="inlineStr">
        <is>
          <t>PetSmart</t>
        </is>
      </c>
    </row>
    <row r="38">
      <c r="A38" s="5" t="n">
        <v>36</v>
      </c>
      <c r="B38" s="6" t="inlineStr">
        <is>
          <t>12/12/2014</t>
        </is>
      </c>
      <c r="C38" s="6" t="inlineStr">
        <is>
          <t>Buyer Group</t>
        </is>
      </c>
      <c r="D38" s="6" t="inlineStr">
        <is>
          <t>Bid</t>
        </is>
      </c>
      <c r="E38" s="5" t="n">
        <v>1</v>
      </c>
      <c r="F38" s="5" t="inlineStr">
        <is>
          <t>2</t>
        </is>
      </c>
      <c r="G38" s="6" t="inlineStr">
        <is>
          <t>Financial</t>
        </is>
      </c>
      <c r="H38" s="6" t="inlineStr">
        <is>
          <t>Improved best-and-final offer: $83.00 per share in cash (after an oral $82.50 earlier the same evening, which it said it was working to increase). Submitted revised transaction documents and financing commitment documents, substantially executable. Count 0: later bid row for the same unit in round 2.</t>
        </is>
      </c>
      <c r="I38" s="5" t="inlineStr">
        <is>
          <t>Formal</t>
        </is>
      </c>
      <c r="J38" s="5" t="inlineStr">
        <is>
          <t>Light</t>
        </is>
      </c>
      <c r="K38" s="6" t="inlineStr">
        <is>
          <t>Stated: "The Buyer Group initially submitted an oral offer of $82.50 per share, in cash, but stated that it was working to increase the offer within the next few hours. Later in the evening, the Buyer Group submitted a best and final offer of $83.00 per share, in cash." (p.26) Formality: Formal. Conditions: Light — committed financing; final documentation substantially executable.</t>
        </is>
      </c>
      <c r="L38" s="7" t="inlineStr">
        <is>
          <t>P-0771</t>
        </is>
      </c>
      <c r="M38" s="5" t="inlineStr">
        <is>
          <t>Q5; Q6</t>
        </is>
      </c>
      <c r="N38" s="6" t="n"/>
      <c r="O38" s="5" t="inlineStr">
        <is>
          <t>R036</t>
        </is>
      </c>
      <c r="P38" s="5" t="inlineStr">
        <is>
          <t>Yes</t>
        </is>
      </c>
      <c r="Q38" s="5" t="n">
        <v>0</v>
      </c>
      <c r="R38" s="8" t="n">
        <v>41985</v>
      </c>
      <c r="S38" s="8" t="n">
        <v>41985</v>
      </c>
      <c r="T38" s="8" t="n">
        <v>41985</v>
      </c>
      <c r="U38" s="5" t="inlineStr">
        <is>
          <t>Reported day</t>
        </is>
      </c>
      <c r="V38" s="5" t="inlineStr">
        <is>
          <t>Reported</t>
        </is>
      </c>
      <c r="W38" s="6" t="n">
        <v>83</v>
      </c>
      <c r="X38" s="6" t="n">
        <v>83</v>
      </c>
      <c r="Y38" s="5" t="inlineStr">
        <is>
          <t>Point</t>
        </is>
      </c>
      <c r="Z38" s="5" t="inlineStr">
        <is>
          <t>Stated</t>
        </is>
      </c>
      <c r="AA38" s="5" t="inlineStr">
        <is>
          <t>USD</t>
        </is>
      </c>
      <c r="AB38" s="5" t="inlineStr">
        <is>
          <t>Yes</t>
        </is>
      </c>
      <c r="AC38" s="6" t="n">
        <v>83</v>
      </c>
      <c r="AD38" s="6" t="inlineStr">
        <is>
          <t>Fin: committed; DD required: none; DD open: no; Excl: not stated</t>
        </is>
      </c>
      <c r="AE38" s="9" t="n"/>
      <c r="AF38" s="5" t="n"/>
      <c r="AG38" s="5" t="n"/>
      <c r="AH38" s="5" t="n"/>
      <c r="AI38" s="6" t="n"/>
      <c r="AJ38" s="5" t="n"/>
      <c r="AK38" s="5" t="n">
        <v>26</v>
      </c>
      <c r="AL38" s="6" t="inlineStr">
        <is>
          <t>revises R028; includes rollover with Longview (R033)</t>
        </is>
      </c>
      <c r="AM38" s="6" t="inlineStr">
        <is>
          <t>PetSmart</t>
        </is>
      </c>
    </row>
    <row r="39">
      <c r="A39" s="5" t="n">
        <v>37</v>
      </c>
      <c r="B39" s="6" t="inlineStr">
        <is>
          <t>12/14/2014</t>
        </is>
      </c>
      <c r="C39" s="6" t="inlineStr">
        <is>
          <t>PetSmart / Argos Holdings Inc. / Argos Merger Sub Inc.</t>
        </is>
      </c>
      <c r="D39" s="6" t="inlineStr">
        <is>
          <t>Merger agreement signed</t>
        </is>
      </c>
      <c r="E39" s="5" t="n">
        <v>1</v>
      </c>
      <c r="F39" s="5" t="inlineStr">
        <is>
          <t>2</t>
        </is>
      </c>
      <c r="G39" s="6" t="n"/>
      <c r="H39" s="6" t="inlineStr">
        <is>
          <t>Merger agreement dated and executed 12/14/2014 with Argos Holdings Inc. (Parent; affiliates of funds advised by BC Partners, to be owned by the Buyer Group) and Argos Merger Sub Inc.: $83.00 per share in cash; $255 million Company termination fee; $510 million Parent termination fee with several termination fee commitment letters from Buyer Group members; financing of up to ~$6.2 billion debt plus a $750 million ABL facility and equity of up to ~$1.83 billion cash plus Longview’s $250 million stock contribution (3,012,050 rollover shares under a rollover agreement); no financing condition. Board approved 12/13/2014 (subject to resolution of open points) after J.P. Morgan’s fairness opinion on the $83.00 consideration; Longview voting agreement (7,424,591 shares) executed.</t>
        </is>
      </c>
      <c r="I39" s="5" t="n"/>
      <c r="J39" s="5" t="n"/>
      <c r="K39" s="6" t="inlineStr">
        <is>
          <t>Stated: "On December 14, 2014, the parties executed the merger agreement, the voting agreement and related transaction agreements and issued a press release announcing the transaction." (p.26); $83.00 per share (p.2); $255 million and $510 million fees (pp.8, 72); financing (pp.5, 40–41); no financing condition (p.5).</t>
        </is>
      </c>
      <c r="L39" s="7" t="inlineStr">
        <is>
          <t>X-003; X-007; X-008; X-009; X-017; X-020; P-0773</t>
        </is>
      </c>
      <c r="M39" s="5" t="inlineStr">
        <is>
          <t>Q6</t>
        </is>
      </c>
      <c r="N39" s="6" t="n"/>
      <c r="O39" s="5" t="inlineStr">
        <is>
          <t>R037</t>
        </is>
      </c>
      <c r="P39" s="5" t="inlineStr">
        <is>
          <t>Yes</t>
        </is>
      </c>
      <c r="Q39" s="5" t="n"/>
      <c r="R39" s="8" t="n">
        <v>41987</v>
      </c>
      <c r="S39" s="8" t="n">
        <v>41987</v>
      </c>
      <c r="T39" s="8" t="n">
        <v>41987</v>
      </c>
      <c r="U39" s="5" t="inlineStr">
        <is>
          <t>Reported day</t>
        </is>
      </c>
      <c r="V39" s="5" t="inlineStr">
        <is>
          <t>Reported</t>
        </is>
      </c>
      <c r="W39" s="6" t="n"/>
      <c r="X39" s="6" t="n"/>
      <c r="Y39" s="5" t="n"/>
      <c r="Z39" s="5" t="n"/>
      <c r="AA39" s="5" t="n"/>
      <c r="AB39" s="5" t="n"/>
      <c r="AC39" s="6" t="n"/>
      <c r="AD39" s="6" t="n"/>
      <c r="AE39" s="9" t="n"/>
      <c r="AF39" s="5" t="n"/>
      <c r="AG39" s="5" t="n"/>
      <c r="AH39" s="5" t="n"/>
      <c r="AI39" s="6" t="n"/>
      <c r="AJ39" s="5" t="n"/>
      <c r="AK39" s="5" t="n">
        <v>26</v>
      </c>
      <c r="AL39" s="6" t="n"/>
      <c r="AM39" s="6" t="inlineStr">
        <is>
          <t>PetSmart</t>
        </is>
      </c>
    </row>
    <row r="40">
      <c r="A40" s="5" t="n">
        <v>38</v>
      </c>
      <c r="B40" s="6" t="inlineStr">
        <is>
          <t>12/14/2014</t>
        </is>
      </c>
      <c r="C40" s="6" t="inlineStr">
        <is>
          <t>PetSmart / Argos Holdings Inc.</t>
        </is>
      </c>
      <c r="D40" s="6" t="inlineStr">
        <is>
          <t>Merger announced</t>
        </is>
      </c>
      <c r="E40" s="5" t="n">
        <v>1</v>
      </c>
      <c r="F40" s="5" t="inlineStr">
        <is>
          <t>post</t>
        </is>
      </c>
      <c r="G40" s="6" t="n"/>
      <c r="H40" s="6" t="inlineStr">
        <is>
          <t>The parties issued a press release announcing the transaction on 12/14/2014. Issuer: PetSmart (with the buyer). Public disclosure by press release.</t>
        </is>
      </c>
      <c r="I40" s="5" t="n"/>
      <c r="J40" s="5" t="n"/>
      <c r="K40" s="6" t="inlineStr">
        <is>
          <t>Stated: "On December 14, 2014, the parties executed the merger agreement, the voting agreement and related transaction agreements and issued a press release announcing the transaction." (p.26); the closing market benchmark is the 12/12/2014 close because the announcement came after that trading day (p.76).</t>
        </is>
      </c>
      <c r="L40" s="7" t="inlineStr">
        <is>
          <t>P-0773; X-022</t>
        </is>
      </c>
      <c r="M40" s="5" t="inlineStr">
        <is>
          <t>Q1</t>
        </is>
      </c>
      <c r="N40" s="6" t="n"/>
      <c r="O40" s="5" t="inlineStr">
        <is>
          <t>R038</t>
        </is>
      </c>
      <c r="P40" s="5" t="inlineStr">
        <is>
          <t>Yes</t>
        </is>
      </c>
      <c r="Q40" s="5" t="n"/>
      <c r="R40" s="8" t="n">
        <v>41987</v>
      </c>
      <c r="S40" s="8" t="n">
        <v>41987</v>
      </c>
      <c r="T40" s="8" t="n">
        <v>41987</v>
      </c>
      <c r="U40" s="5" t="inlineStr">
        <is>
          <t>Reported day</t>
        </is>
      </c>
      <c r="V40" s="5" t="inlineStr">
        <is>
          <t>Reported</t>
        </is>
      </c>
      <c r="W40" s="6" t="n"/>
      <c r="X40" s="6" t="n"/>
      <c r="Y40" s="5" t="n"/>
      <c r="Z40" s="5" t="n"/>
      <c r="AA40" s="5" t="n"/>
      <c r="AB40" s="5" t="n"/>
      <c r="AC40" s="6" t="n"/>
      <c r="AD40" s="6" t="n"/>
      <c r="AE40" s="9" t="n"/>
      <c r="AF40" s="5" t="n"/>
      <c r="AG40" s="5" t="n"/>
      <c r="AH40" s="5" t="n"/>
      <c r="AI40" s="6" t="n"/>
      <c r="AJ40" s="5" t="n"/>
      <c r="AK40" s="5" t="n">
        <v>26</v>
      </c>
      <c r="AL40" s="6" t="n"/>
      <c r="AM40" s="6" t="inlineStr">
        <is>
          <t>PetSmart</t>
        </is>
      </c>
    </row>
    <row r="41">
      <c r="A41" s="5" t="n">
        <v>39</v>
      </c>
      <c r="B41" s="6" t="inlineStr">
        <is>
          <t>12/14/2014</t>
        </is>
      </c>
      <c r="C41" s="6" t="inlineStr">
        <is>
          <t>Bidder 2</t>
        </is>
      </c>
      <c r="D41" s="6" t="inlineStr">
        <is>
          <t>Not selected at signing</t>
        </is>
      </c>
      <c r="E41" s="5" t="n">
        <v>1</v>
      </c>
      <c r="F41" s="5" t="inlineStr">
        <is>
          <t>2</t>
        </is>
      </c>
      <c r="G41" s="6" t="inlineStr">
        <is>
          <t>Financial</t>
        </is>
      </c>
      <c r="H41" s="6" t="inlineStr">
        <is>
          <t>Still bidding (its $81.50 best-and-final offer was confirmed on 12/12/2014) when the board chose the Buyer Group and signed on 12/14/2014. Exit reason: Lower offer than rivals. Agency: Target.</t>
        </is>
      </c>
      <c r="I41" s="5" t="n"/>
      <c r="J41" s="5" t="n"/>
      <c r="K41" s="6" t="inlineStr">
        <is>
          <t>Stated: the board chose the Buyer Group and executed on 12/14/2014 (p.26) after Bidder 2’s best-and-final $81.50 offer (p.26).</t>
        </is>
      </c>
      <c r="L41" s="7" t="inlineStr">
        <is>
          <t>P-0771; P-0772; P-0773</t>
        </is>
      </c>
      <c r="M41" s="5" t="inlineStr">
        <is>
          <t>Q4</t>
        </is>
      </c>
      <c r="N41" s="6" t="n"/>
      <c r="O41" s="5" t="inlineStr">
        <is>
          <t>R039</t>
        </is>
      </c>
      <c r="P41" s="5" t="inlineStr">
        <is>
          <t>Yes</t>
        </is>
      </c>
      <c r="Q41" s="5" t="n">
        <v>1</v>
      </c>
      <c r="R41" s="9" t="n"/>
      <c r="S41" s="8" t="n">
        <v>41987</v>
      </c>
      <c r="T41" s="8" t="n">
        <v>41987</v>
      </c>
      <c r="U41" s="5" t="inlineStr">
        <is>
          <t>Relative only</t>
        </is>
      </c>
      <c r="V41" s="5" t="inlineStr">
        <is>
          <t>Assigned: bound</t>
        </is>
      </c>
      <c r="W41" s="6" t="n"/>
      <c r="X41" s="6" t="n"/>
      <c r="Y41" s="5" t="n"/>
      <c r="Z41" s="5" t="n"/>
      <c r="AA41" s="5" t="n"/>
      <c r="AB41" s="5" t="n"/>
      <c r="AC41" s="6" t="n"/>
      <c r="AD41" s="6" t="n"/>
      <c r="AE41" s="9" t="n"/>
      <c r="AF41" s="5" t="n"/>
      <c r="AG41" s="5" t="n"/>
      <c r="AH41" s="5" t="inlineStr">
        <is>
          <t>Target</t>
        </is>
      </c>
      <c r="AI41" s="6" t="inlineStr">
        <is>
          <t>Lower offer than rivals</t>
        </is>
      </c>
      <c r="AJ41" s="5" t="inlineStr">
        <is>
          <t>Stated</t>
        </is>
      </c>
      <c r="AK41" s="5" t="n">
        <v>26</v>
      </c>
      <c r="AL41" s="6" t="n"/>
      <c r="AM41" s="6" t="inlineStr">
        <is>
          <t>PetSmart</t>
        </is>
      </c>
    </row>
  </sheetData>
  <autoFilter ref="A2:AM41"/>
  <mergeCells count="8">
    <mergeCell ref="R1:V1"/>
    <mergeCell ref="AE1:AG1"/>
    <mergeCell ref="AB1:AC1"/>
    <mergeCell ref="AH1:AJ1"/>
    <mergeCell ref="AK1:AM1"/>
    <mergeCell ref="O1:P1"/>
    <mergeCell ref="W1:AA1"/>
    <mergeCell ref="A1:N1"/>
  </mergeCells>
  <conditionalFormatting sqref="A3:AM300">
    <cfRule type="expression" priority="1" dxfId="0" stopIfTrue="1">
      <formula>AND($O3&lt;&gt;"",ISNA(MATCH($O3,'AI original'!$O$3:$O$500,0)))</formula>
    </cfRule>
    <cfRule type="expression" priority="2" dxfId="0" stopIfTrue="0">
      <formula>AND($O3&lt;&gt;"",NOT(ISNA(MATCH($O3,'AI original'!$O$3:$O$500,0))),A3&lt;&gt;INDEX('AI original'!$A$3:$AM$500,MATCH($O3,'AI original'!$O$3:$O$500,0),COLUMN()))</formula>
    </cfRule>
  </conditionalFormatting>
  <dataValidations count="15">
    <dataValidation sqref="D3:D300" showDropDown="0" showInputMessage="0" showErrorMessage="1" allowBlank="1" type="list">
      <formula1>=Lists!$A$2:$A$41</formula1>
    </dataValidation>
    <dataValidation sqref="G3:G300" showDropDown="0" showInputMessage="0" showErrorMessage="1" allowBlank="1" type="list">
      <formula1>=Lists!$B$2:$B$5</formula1>
    </dataValidation>
    <dataValidation sqref="I3:I300" showDropDown="0" showInputMessage="0" showErrorMessage="1" allowBlank="1" type="list">
      <formula1>=Lists!$C$2:$C$5</formula1>
    </dataValidation>
    <dataValidation sqref="J3:J300" showDropDown="0" showInputMessage="0" showErrorMessage="1" allowBlank="1" type="list">
      <formula1>=Lists!$D$2:$D$6</formula1>
    </dataValidation>
    <dataValidation sqref="P3:P300" showDropDown="0" showInputMessage="0" showErrorMessage="1" allowBlank="1" type="list">
      <formula1>=Lists!$E$2:$E$3</formula1>
    </dataValidation>
    <dataValidation sqref="U3:U300" showDropDown="0" showInputMessage="0" showErrorMessage="1" allowBlank="1" type="list">
      <formula1>=Lists!$F$2:$F$7</formula1>
    </dataValidation>
    <dataValidation sqref="V3:V300" showDropDown="0" showInputMessage="0" showErrorMessage="1" allowBlank="1" type="list">
      <formula1>=Lists!$G$2:$G$8</formula1>
    </dataValidation>
    <dataValidation sqref="Y3:Y300" showDropDown="0" showInputMessage="0" showErrorMessage="1" allowBlank="1" type="list">
      <formula1>=Lists!$H$2:$H$6</formula1>
    </dataValidation>
    <dataValidation sqref="Z3:Z300" showDropDown="0" showInputMessage="0" showErrorMessage="1" allowBlank="1" type="list">
      <formula1>=Lists!$I$2:$I$4</formula1>
    </dataValidation>
    <dataValidation sqref="AB3:AB300" showDropDown="0" showInputMessage="0" showErrorMessage="1" allowBlank="1" type="list">
      <formula1>=Lists!$J$2:$J$4</formula1>
    </dataValidation>
    <dataValidation sqref="AF3:AF300" showDropDown="0" showInputMessage="0" showErrorMessage="1" allowBlank="1" type="list">
      <formula1>=Lists!$K$2:$K$8</formula1>
    </dataValidation>
    <dataValidation sqref="AG3:AG300" showDropDown="0" showInputMessage="0" showErrorMessage="1" allowBlank="1" type="list">
      <formula1>=Lists!$L$2:$L$4</formula1>
    </dataValidation>
    <dataValidation sqref="AH3:AH300" showDropDown="0" showInputMessage="0" showErrorMessage="1" allowBlank="1" type="list">
      <formula1>=Lists!$M$2:$M$5</formula1>
    </dataValidation>
    <dataValidation sqref="AI3:AI300" showDropDown="0" showInputMessage="0" showErrorMessage="1" allowBlank="1" type="list">
      <formula1>=Lists!$N$2:$N$10</formula1>
    </dataValidation>
    <dataValidation sqref="AJ3:AJ300" showDropDown="0" showInputMessage="0" showErrorMessage="1" allowBlank="1" type="list">
      <formula1>=Lists!$O$2:$O$6</formula1>
    </dataValidation>
  </dataValidations>
  <hyperlinks>
    <hyperlink xmlns:r="http://schemas.openxmlformats.org/officeDocument/2006/relationships" ref="L3" r:id="rId1"/>
    <hyperlink xmlns:r="http://schemas.openxmlformats.org/officeDocument/2006/relationships" ref="L4" r:id="rId2"/>
    <hyperlink xmlns:r="http://schemas.openxmlformats.org/officeDocument/2006/relationships" ref="L5" r:id="rId3"/>
    <hyperlink xmlns:r="http://schemas.openxmlformats.org/officeDocument/2006/relationships" ref="L6" r:id="rId4"/>
    <hyperlink xmlns:r="http://schemas.openxmlformats.org/officeDocument/2006/relationships" ref="L7" r:id="rId5"/>
    <hyperlink xmlns:r="http://schemas.openxmlformats.org/officeDocument/2006/relationships" ref="L8" r:id="rId6"/>
    <hyperlink xmlns:r="http://schemas.openxmlformats.org/officeDocument/2006/relationships" ref="L9" r:id="rId7"/>
    <hyperlink xmlns:r="http://schemas.openxmlformats.org/officeDocument/2006/relationships" ref="L10" r:id="rId8"/>
    <hyperlink xmlns:r="http://schemas.openxmlformats.org/officeDocument/2006/relationships" ref="L11" r:id="rId9"/>
    <hyperlink xmlns:r="http://schemas.openxmlformats.org/officeDocument/2006/relationships" ref="L12" r:id="rId10"/>
    <hyperlink xmlns:r="http://schemas.openxmlformats.org/officeDocument/2006/relationships" ref="L13" r:id="rId11"/>
    <hyperlink xmlns:r="http://schemas.openxmlformats.org/officeDocument/2006/relationships" ref="L14" r:id="rId12"/>
    <hyperlink xmlns:r="http://schemas.openxmlformats.org/officeDocument/2006/relationships" ref="L15" r:id="rId13"/>
    <hyperlink xmlns:r="http://schemas.openxmlformats.org/officeDocument/2006/relationships" ref="L16" r:id="rId14"/>
    <hyperlink xmlns:r="http://schemas.openxmlformats.org/officeDocument/2006/relationships" ref="L17" r:id="rId15"/>
    <hyperlink xmlns:r="http://schemas.openxmlformats.org/officeDocument/2006/relationships" ref="L18" r:id="rId16"/>
    <hyperlink xmlns:r="http://schemas.openxmlformats.org/officeDocument/2006/relationships" ref="L19" r:id="rId17"/>
    <hyperlink xmlns:r="http://schemas.openxmlformats.org/officeDocument/2006/relationships" ref="L20" r:id="rId18"/>
    <hyperlink xmlns:r="http://schemas.openxmlformats.org/officeDocument/2006/relationships" ref="L21" r:id="rId19"/>
    <hyperlink xmlns:r="http://schemas.openxmlformats.org/officeDocument/2006/relationships" ref="L22" r:id="rId20"/>
    <hyperlink xmlns:r="http://schemas.openxmlformats.org/officeDocument/2006/relationships" ref="L23" r:id="rId21"/>
    <hyperlink xmlns:r="http://schemas.openxmlformats.org/officeDocument/2006/relationships" ref="L24" r:id="rId22"/>
    <hyperlink xmlns:r="http://schemas.openxmlformats.org/officeDocument/2006/relationships" ref="L25" r:id="rId23"/>
    <hyperlink xmlns:r="http://schemas.openxmlformats.org/officeDocument/2006/relationships" ref="L26" r:id="rId24"/>
    <hyperlink xmlns:r="http://schemas.openxmlformats.org/officeDocument/2006/relationships" ref="L27" r:id="rId25"/>
    <hyperlink xmlns:r="http://schemas.openxmlformats.org/officeDocument/2006/relationships" ref="L28" r:id="rId26"/>
    <hyperlink xmlns:r="http://schemas.openxmlformats.org/officeDocument/2006/relationships" ref="L29" r:id="rId27"/>
    <hyperlink xmlns:r="http://schemas.openxmlformats.org/officeDocument/2006/relationships" ref="L30" r:id="rId28"/>
    <hyperlink xmlns:r="http://schemas.openxmlformats.org/officeDocument/2006/relationships" ref="L31" r:id="rId29"/>
    <hyperlink xmlns:r="http://schemas.openxmlformats.org/officeDocument/2006/relationships" ref="L32" r:id="rId30"/>
    <hyperlink xmlns:r="http://schemas.openxmlformats.org/officeDocument/2006/relationships" ref="L33" r:id="rId31"/>
    <hyperlink xmlns:r="http://schemas.openxmlformats.org/officeDocument/2006/relationships" ref="L34" r:id="rId32"/>
    <hyperlink xmlns:r="http://schemas.openxmlformats.org/officeDocument/2006/relationships" ref="L35" r:id="rId33"/>
    <hyperlink xmlns:r="http://schemas.openxmlformats.org/officeDocument/2006/relationships" ref="L36" r:id="rId34"/>
    <hyperlink xmlns:r="http://schemas.openxmlformats.org/officeDocument/2006/relationships" ref="L37" r:id="rId35"/>
    <hyperlink xmlns:r="http://schemas.openxmlformats.org/officeDocument/2006/relationships" ref="L38" r:id="rId36"/>
    <hyperlink xmlns:r="http://schemas.openxmlformats.org/officeDocument/2006/relationships" ref="L39" r:id="rId37"/>
    <hyperlink xmlns:r="http://schemas.openxmlformats.org/officeDocument/2006/relationships" ref="L40" r:id="rId38"/>
    <hyperlink xmlns:r="http://schemas.openxmlformats.org/officeDocument/2006/relationships" ref="L41" r:id="rId39"/>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46"/>
  <sheetViews>
    <sheetView workbookViewId="0">
      <selection activeCell="A1" sqref="A1"/>
    </sheetView>
  </sheetViews>
  <sheetFormatPr baseColWidth="8" defaultRowHeight="15"/>
  <cols>
    <col width="34" customWidth="1" min="1" max="1"/>
    <col width="110" customWidth="1" min="2" max="2"/>
    <col width="70" customWidth="1" min="3" max="3"/>
  </cols>
  <sheetData>
    <row r="1">
      <c r="A1" s="1" t="inlineStr">
        <is>
          <t>1. Status and commercial account</t>
        </is>
      </c>
    </row>
    <row r="2">
      <c r="A2" s="6" t="inlineStr">
        <is>
          <t>AI first pass; not human-approved. Instruction revision: 19 September 2026. Supplied source: the single DEFM14A in raw_filing/ (petsmart_2015-02-02_DEFM14A.htm); background pp.21–26, plus the summary, financing, reasons, opinion, market-price, fee and voting/rollover passages included under Source text. Last recheck: mechanical checks run at build time on this version; no post-delivery edits.</t>
        </is>
      </c>
    </row>
    <row r="3">
      <c r="A3" s="6" t="inlineStr">
        <is>
          <t>PetSmart explored its alternatives through 2014 under pressure from two activists: JANA Partners disclosed a 9.9% stake and advocated a sale on 07/03/2014, and Longview publicly urged a sale on 07/07/2014 while offering to roll part of its stock. After a May 2014 earnings miss, the board decided on 08/13/2014 to explore strategic alternatives including a sale, built the Profit Improvement Plan, and publicly announced the exploration on 08/19/2014. An industry competitor ("Industry Participant") expressed interest but was excluded for antitrust and process-integrity reasons. J.P. Morgan was contacted by 27 potential participants (3 strategic, 24 financial); 15 financial buyers signed confidentiality agreements in early October, did diligence and received management presentations and the Profit Improvement Plan. Six IOIs came in on 10/30/2014; the board advanced the four bidders at or above $80.00 to the final round on 11/03/2014, and two of them combined into "Bidder 3." Final bids due 12/05 were pushed to 12/10, then improved bids were requested for 12/12: Bidder 2 bid $80.35 then $81.50; the Buyer Group (BC Partners-led consortium) bid $80.70 then $83.00; Bidder 3 declined to submit a written offer. Longview was permitted to join the Buyer Group’s rollover and signed a voting agreement. The board approved the $83.00 all-cash merger on 12/13/2014 and the agreement was signed and announced on 12/14/2014.</t>
        </is>
      </c>
    </row>
    <row r="5">
      <c r="A5" s="1" t="inlineStr">
        <is>
          <t>2. Deal facts</t>
        </is>
      </c>
    </row>
    <row r="6">
      <c r="A6" s="10" t="inlineStr">
        <is>
          <t>Target</t>
        </is>
      </c>
      <c r="B6" s="6" t="inlineStr">
        <is>
          <t>PetSmart, Inc., a Delaware corporation; common stock quoted on NASDAQ as "PETM"; specialty pet products and services retailer. 99,455,151 common shares outstanding as of the 01/29/2015 record date.</t>
        </is>
      </c>
    </row>
    <row r="7">
      <c r="A7" s="10" t="inlineStr">
        <is>
          <t>Focal acquirer and type</t>
        </is>
      </c>
      <c r="B7" s="6" t="inlineStr">
        <is>
          <t>Buyer Group: a Financial consortium of funds advised by BC Partners, Inc., La Caisse de dépôt et placement du Québec, affiliates of GIC Special Investments Pte Ltd, affiliates of StepStone Group LP and (after 12/12/2014) Longview Asset Management. Acquisition through Argos Holdings Inc. (Parent, Delaware) and Argos Merger Sub Inc. (Delaware, wholly owned by Parent).</t>
        </is>
      </c>
    </row>
    <row r="8">
      <c r="A8" s="10" t="inlineStr">
        <is>
          <t>Agreed consideration</t>
        </is>
      </c>
      <c r="B8" s="6" t="inlineStr">
        <is>
          <t>$83.00 per share in cash, without interest, less applicable withholding (all cash).</t>
        </is>
      </c>
    </row>
    <row r="9">
      <c r="A9" s="10" t="inlineStr">
        <is>
          <t>Signing / announcement / completion</t>
        </is>
      </c>
      <c r="B9" s="6" t="inlineStr">
        <is>
          <t>Merger agreement dated and executed 12/14/2014; announced by press release the same day. Completion is not observed in the supplied filing; the Company anticipated completing in the first half of 2015 and the special meeting was scheduled for 03/06/2015.</t>
        </is>
      </c>
    </row>
    <row r="10">
      <c r="A10" s="10" t="inlineStr">
        <is>
          <t>Filing identity and source</t>
        </is>
      </c>
      <c r="B10" s="6" t="inlineStr">
        <is>
          <t>DEFM14A for PetSmart dated 2015-02-02 (filename petsmart_2015-02-02_DEFM14A.htm, raw_filing/). Background pages 21–26. Record date 01/29/2015.</t>
        </is>
      </c>
    </row>
    <row r="11">
      <c r="A11" s="10" t="inlineStr">
        <is>
          <t>Financing</t>
        </is>
      </c>
      <c r="B11" s="6" t="inlineStr">
        <is>
          <t>No financing condition. Debt: up to ~$6.2 billion plus a $750 million senior secured ABL facility (portions available at closing), with firm commitments from a consortium of financial institutions. Equity: cash equity up to ~$1.83 billion from Buyer Group members plus Longview’s $250 million contribution of Company stock (3,012,050 rollover shares under the 12/14/2014 rollover agreement).</t>
        </is>
      </c>
    </row>
    <row r="12">
      <c r="A12" s="10" t="inlineStr">
        <is>
          <t>Termination fees</t>
        </is>
      </c>
      <c r="B12" s="6" t="inlineStr">
        <is>
          <t>Company termination fee $255 million; Parent termination fee (reverse) $510 million, backed by several termination fee commitment letters from Buyer Group members (other than Longview).</t>
        </is>
      </c>
    </row>
    <row r="13">
      <c r="A13" s="10" t="inlineStr">
        <is>
          <t>Market benchmark and premium</t>
        </is>
      </c>
      <c r="B13" s="6" t="inlineStr">
        <is>
          <t>Closing price $77.67 on 12/12/2014 (last trading day before announcement); $81.71 on 01/30/2015. The filing states the $83.00 price represents a premium of 38.8% over the Company’s stock price on 07/02/2014, the day before JANA’s 9.9% disclosure (p.26).</t>
        </is>
      </c>
    </row>
    <row r="14">
      <c r="A14" s="10" t="inlineStr">
        <is>
          <t>Longview</t>
        </is>
      </c>
      <c r="B14" s="6" t="inlineStr">
        <is>
          <t>Activists/rollover party: 7,424,591 shares (about 7.5% of the record-date stock) covered by a voting agreement with Parent and the Company; 3,012,050 shares contributed to Parent under the rollover agreement; joined the defined "Buyer Group" after 12/12/2014.</t>
        </is>
      </c>
    </row>
    <row r="16">
      <c r="A16" s="1" t="inlineStr">
        <is>
          <t>3. Process and round map</t>
        </is>
      </c>
    </row>
    <row r="17">
      <c r="A17" s="6" t="inlineStr">
        <is>
          <t>One process (no abandonment, dormancy or restarted attempt observed). Round 0: activism (JANA 07/03, Longview 07/07), Industry Participant interest and the 08/13/2014 exploration decision and 08/19/2014 announcement, plus the 27 inbound contacts.</t>
        </is>
      </c>
    </row>
    <row r="18">
      <c r="A18" s="10" t="inlineStr">
        <is>
          <t>Round 1 — diligence and preliminary IOIs (opened first week of October 2014)</t>
        </is>
      </c>
      <c r="B18" s="6" t="inlineStr">
        <is>
          <t>R1 anchor: the confidentiality-agreement wave with 15 financial buyers (R008) — no dated target outreach wave is reported; the 27 parties contacted J.P. Morgan on their own initiative. Candidate anchors kept as rows: R004 (08/13/2014), R006 (08/19/2014), R010 (10/03/2014). Deadline: non-binding IOIs due 10/30/2014; treatment Enforced (six IOIs; selection of finalists 11/03). Submitting units: 6 (Buyer Group, Anonymous bidder A, Bidder 2 and three residual anonymous bidders); 9 inferred non-submitters among the 15 signers. Finality: Not final.</t>
        </is>
      </c>
    </row>
    <row r="19">
      <c r="A19" s="10" t="inlineStr">
        <is>
          <t>Round 2 — final round (opened 11/03/2014)</t>
        </is>
      </c>
      <c r="B19" s="6" t="inlineStr">
        <is>
          <t>Objective: final bids and definitive documentation. Four bidders at or above $80.00 advanced; two combined as Bidder 3 (units 4 → 3). Deadline history: final bids initially due 12/05/2014 (targeted completion 12/15); moved on 12/04–12/05 to the evening of 12/10; improved bids requested 12/10 for 12/12. Treatments: 12/10 Extended; 12/12 Enforced. Submitting units: 3 (Buyer Group, Bidder 2, Bidder 3). Finality: Announced as final ("the final round"). End: Buyer Group selected; merger agreement signed 12/14/2014.</t>
        </is>
      </c>
    </row>
    <row r="20">
      <c r="A20" s="10" t="inlineStr">
        <is>
          <t>Post-signing</t>
        </is>
      </c>
      <c r="B20" s="6" t="inlineStr">
        <is>
          <t>No competing proposal, go-shop or termination is disclosed in the supplied filing (dated 02/02/2015).</t>
        </is>
      </c>
    </row>
    <row r="22">
      <c r="A22" s="1" t="inlineStr">
        <is>
          <t>4. Participants and advisers</t>
        </is>
      </c>
    </row>
    <row r="23">
      <c r="A23" s="10" t="inlineStr">
        <is>
          <t>Buyer Group (winner)</t>
        </is>
      </c>
      <c r="B23" s="6" t="inlineStr">
        <is>
          <t>Financial consortium (BC Partners funds, La Caisse, GIC affiliates, StepStone affiliates; Longview from 12/12/2014). IOI $81.00–$83.00; final bids $80.70 (12/10) and $83.00 best and final (12/12); signed 12/14/2014. No exit row.</t>
        </is>
      </c>
    </row>
    <row r="24">
      <c r="A24" s="10" t="inlineStr">
        <is>
          <t>Bidder 2</t>
        </is>
      </c>
      <c r="B24" s="6" t="inlineStr">
        <is>
          <t>Financial. IOI $78.00 raised to $81.00–$84.00; final bids $80.35 (12/10) and $81.50 best and final (12/12); closed Not selected at signing, reason Lower offer than rivals.</t>
        </is>
      </c>
    </row>
    <row r="25">
      <c r="A25" s="10" t="inlineStr">
        <is>
          <t>Bidder 3</t>
        </is>
      </c>
      <c r="B25" s="6" t="inlineStr">
        <is>
          <t>Financial consortium formed in the final round from two of the four finalists (filing does not identify which). Verbal valuation ≤ ~$78 per share, no written offer; closed Did not submit (agency Both; reason Value at or below market price).</t>
        </is>
      </c>
    </row>
    <row r="26">
      <c r="A26" s="10" t="inlineStr">
        <is>
          <t>Anonymous bidder A</t>
        </is>
      </c>
      <c r="B26" s="6" t="inlineStr">
        <is>
          <t>Financial. IOI $80.00–$85.00; described only as "another bidder"; whether it became part of Bidder 3 is not established.</t>
        </is>
      </c>
    </row>
    <row r="27">
      <c r="A27" s="10" t="inlineStr">
        <is>
          <t>Three anonymous IOI bidders</t>
        </is>
      </c>
      <c r="B27" s="6" t="inlineStr">
        <is>
          <t>Financial residual cohort (prices undisclosed; at least one reached ≥$80.00; two were eliminated on 11/03/2014 and one continued toward the final round).</t>
        </is>
      </c>
    </row>
    <row r="28">
      <c r="A28" s="10" t="inlineStr">
        <is>
          <t>Industry Participant</t>
        </is>
      </c>
      <c r="B28" s="6" t="inlineStr">
        <is>
          <t>Strategic private industry participant. Explored a combination with PetSmart in Spring 2014 and renewed interest via J.P. Morgan on 08/07/2014; excluded from the process on antitrust/process grounds (08/22–08/27/2014; reaffirmed 10/03/2014). Never entered the process and is not closed out.</t>
        </is>
      </c>
    </row>
    <row r="29">
      <c r="A29" s="10" t="inlineStr">
        <is>
          <t>JANA / Longview</t>
        </is>
      </c>
      <c r="B29" s="6" t="inlineStr">
        <is>
          <t>Activists. JANA: 9.9% Schedule 13D (07/03/2014) and public sale advocacy. Longview: public sale letter (07/07/2014); offered a rollover of up to 7.5 million shares in October; permitted to work with the Buyer Group on 12/12/2014; rollover agreement 3,012,050 shares and voting agreement 7,424,591 shares at signing. Longview is a rollover party, not a bidder and not a bidding-group change.</t>
        </is>
      </c>
    </row>
    <row r="30">
      <c r="A30" s="10" t="inlineStr">
        <is>
          <t>Advisers</t>
        </is>
      </c>
      <c r="B30" s="6" t="inlineStr">
        <is>
          <t>J.P. Morgan: target financial adviser, retained July 2014 after interviewing several firms; fairness opinion 12/13/2014; fee up to approximately $39 million, substantially contingent on completion. Wachtell, Lipton, Rosen &amp; Katz: target legal adviser (first service observed 06/18/2014). No financial adviser to the Buyer Group is disclosed in the supplied excerpt.</t>
        </is>
      </c>
    </row>
    <row r="32">
      <c r="A32" s="1" t="inlineStr">
        <is>
          <t>5. Counts and auction screen</t>
        </is>
      </c>
    </row>
    <row r="33">
      <c r="A33" s="11" t="inlineStr">
        <is>
          <t>Auction screen (signed bidder NDAs)</t>
        </is>
      </c>
      <c r="B33" s="6">
        <f>SUMIFS('Deal ledger'!$Q:$Q,'Deal ledger'!$D:$D,"NDA signed",'Deal ledger'!$E:$E,1,'Deal ledger'!$P:$P,"Yes")</f>
        <v/>
      </c>
      <c r="C33" s="12" t="inlineStr">
        <is>
          <t>Met: more than one independent prospective acquiring bidder unit executed bidder-target confidentiality agreements. Ledger NDA Count = 15, matching the filing’s 15 financial signers. Excludes Longview’s supporter confidentiality agreement, adviser agreements and the three strategic parties that never signed.</t>
        </is>
      </c>
    </row>
    <row r="34">
      <c r="A34" s="11" t="inlineStr">
        <is>
          <t>Contacts recorded</t>
        </is>
      </c>
      <c r="B34" s="6">
        <f>SUMIFS('Deal ledger'!$Q:$Q,'Deal ledger'!$D:$D,"Contact",'Deal ledger'!$E:$E,1,'Deal ledger'!$P:$P,"Yes")</f>
        <v/>
      </c>
      <c r="C34" s="12" t="inlineStr">
        <is>
          <t>Filing assertion: 27 potential participants contacted J.P. Morgan (3 strategic, 24 financial). Ledger Count = 27. This is an inbound-contact event total; the same parties that signed NDAs or bid are not additional contact events.</t>
        </is>
      </c>
    </row>
    <row r="35">
      <c r="A35" s="11" t="inlineStr">
        <is>
          <t>Round-1 IOI submitting units</t>
        </is>
      </c>
      <c r="B35" s="6">
        <f>SUMIFS('Deal ledger'!$Q:$Q,'Deal ledger'!$D:$D,"Bid",'Deal ledger'!$E:$E,1,'Deal ledger'!$F:$F,1,'Deal ledger'!$P:$P,"Yes")</f>
        <v/>
      </c>
      <c r="C35" s="12" t="inlineStr">
        <is>
          <t>Filing assertion: six IOIs (p.24). Ledger Count = 1 (Buyer Group) + 1 (Anonymous bidder A) + 1 (Bidder 2 initial) + 3 (residual cohort) = 6; Bidder 2’s revised IOI Count 0. Four individually described/cohort submitters, six units.</t>
        </is>
      </c>
    </row>
    <row r="36">
      <c r="A36" s="11" t="inlineStr">
        <is>
          <t>Round-2 final-round units</t>
        </is>
      </c>
      <c r="B36" s="6">
        <f>SUMIFS('Deal ledger'!$Q:$Q,'Deal ledger'!$D:$D,"Bid",'Deal ledger'!$E:$E,1,'Deal ledger'!$F:$F,2,'Deal ledger'!$P:$P,"Yes")</f>
        <v/>
      </c>
      <c r="C36" s="12" t="inlineStr">
        <is>
          <t>Ledger Count = 1 (Buyer Group) + 1 (Bidder 2) + 1 (Bidder 3 verbal) = 3 units and three final offers (two written, one verbal). The four advanced bidders less the two combining into Bidder 3 reconciles to 3.</t>
        </is>
      </c>
    </row>
    <row r="37">
      <c r="A37" s="11" t="inlineStr">
        <is>
          <t>Per-stage balance (participant units)</t>
        </is>
      </c>
      <c r="B37" s="6" t="inlineStr"/>
      <c r="C37" s="12" t="inlineStr">
        <is>
          <t>Round 1: 15 entered (NDA signers); exits 9 inferred non-submitters + 2 eliminated = 11; continuing 4. Round 2: 4 entered; the Bidder 3 combination moves units −1 (4 → 3); exits Bidder 3 (Did not submit) and Bidder 2 (Not selected at signing) = 2; winner Buyer Group alone. Inferred share of exits: 9 residual units of 13 close-outs.</t>
        </is>
      </c>
    </row>
    <row r="38">
      <c r="A38" s="10" t="inlineStr">
        <is>
          <t>Counts caveats</t>
        </is>
      </c>
      <c r="B38" s="6" t="inlineStr">
        <is>
          <t>Counts are scoped tallies. "27 contacted" includes parties that never signed; the "about 15" interest figure from the 10/03/2014 update is an approximation and is not added to the 27. Submission counts are only those the filing states (six IOIs; three final offers).</t>
        </is>
      </c>
    </row>
    <row r="40">
      <c r="A40" s="1" t="inlineStr">
        <is>
          <t>6. Comparability and inputs</t>
        </is>
      </c>
    </row>
    <row r="41">
      <c r="A41" s="10" t="inlineStr">
        <is>
          <t>Other-scope / partial proposals</t>
        </is>
      </c>
      <c r="B41" s="6" t="inlineStr">
        <is>
          <t>None. The 2014 Industry Participant discussions concerned a possible combination but no price or offer was made and the party never entered; retained as context and excluded from bid counts.</t>
        </is>
      </c>
    </row>
    <row r="42">
      <c r="A42" s="10" t="inlineStr">
        <is>
          <t>Unusual consideration</t>
        </is>
      </c>
      <c r="B42" s="6" t="inlineStr">
        <is>
          <t>Longview rollover: up to 7.5 million shares offered in October; 3,012,050 shares contributed to Parent at signing; Longview’s bid partnering was not a condition of any bid. All cash = Yes for all submitted bids (Bidder 3 asserted no price level).</t>
        </is>
      </c>
    </row>
    <row r="43">
      <c r="A43" s="10" t="inlineStr">
        <is>
          <t>Stated share counts / market data</t>
        </is>
      </c>
      <c r="B43" s="6" t="inlineStr">
        <is>
          <t>99,455,151 common shares outstanding (record date); Longview 7,424,591 shares (~7.5%); closing prices $77.67 (12/12/2014) and $81.71 (01/30/2015); 2014 quarterly high/low range $72.04–$54.69 (Q2) through Q4 $81.97–$63.21.</t>
        </is>
      </c>
    </row>
    <row r="44">
      <c r="A44" s="10" t="inlineStr">
        <is>
          <t>Stated premium</t>
        </is>
      </c>
      <c r="B44" s="6" t="inlineStr">
        <is>
          <t>The filing states a 38.8% premium over the 07/02/2014 stock price (day before JANA’s 9.9% disclosure) (p.26). No other premium arithmetic entered.</t>
        </is>
      </c>
    </row>
    <row r="45">
      <c r="A45" s="10" t="inlineStr">
        <is>
          <t>Currency</t>
        </is>
      </c>
      <c r="B45" s="6" t="inlineStr">
        <is>
          <t>USD throughout; no conversion performed.</t>
        </is>
      </c>
    </row>
    <row r="46">
      <c r="A46" s="10" t="inlineStr">
        <is>
          <t>Glossary</t>
        </is>
      </c>
      <c r="B46" s="6" t="inlineStr">
        <is>
          <t>NDA = confidentiality and standstill agreement; IOI = non-binding indication of interest; Buyer Group = BC Partners-led consortium (plus Longview after 12/12/2014); rollover = contributing shares to the buyer’s equity instead of cash; Parent termination fee = reverse termination fee payable by the buyer; Profit Improvement Plan = management cost-reduction and profit-improvement plan.</t>
        </is>
      </c>
    </row>
  </sheetData>
  <mergeCells count="9">
    <mergeCell ref="A16:B16"/>
    <mergeCell ref="A2:B2"/>
    <mergeCell ref="A5:B5"/>
    <mergeCell ref="A32:B32"/>
    <mergeCell ref="A1:B1"/>
    <mergeCell ref="A17:B17"/>
    <mergeCell ref="A3:B3"/>
    <mergeCell ref="A22:B22"/>
    <mergeCell ref="A40:B40"/>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0"/>
  <sheetViews>
    <sheetView workbookViewId="0">
      <pane ySplit="1" topLeftCell="A2" activePane="bottomLeft" state="frozen"/>
      <selection pane="bottomLeft" activeCell="A1" sqref="A1"/>
    </sheetView>
  </sheetViews>
  <sheetFormatPr baseColWidth="8" defaultRowHeight="15"/>
  <cols>
    <col width="7" customWidth="1" min="1" max="1"/>
    <col width="30" customWidth="1" min="2" max="2"/>
    <col width="60" customWidth="1" min="3" max="3"/>
    <col width="60" customWidth="1" min="4" max="4"/>
    <col width="30" customWidth="1" min="5" max="5"/>
    <col width="45" customWidth="1" min="6" max="6"/>
    <col width="10" customWidth="1" min="7" max="7"/>
    <col width="24" customWidth="1" min="8" max="8"/>
  </cols>
  <sheetData>
    <row r="1">
      <c r="A1" s="13" t="inlineStr">
        <is>
          <t>Q</t>
        </is>
      </c>
      <c r="B1" s="13" t="inlineStr">
        <is>
          <t>Review topic</t>
        </is>
      </c>
      <c r="C1" s="13" t="inlineStr">
        <is>
          <t>Recommended answer</t>
        </is>
      </c>
      <c r="D1" s="13" t="inlineStr">
        <is>
          <t>Why and source</t>
        </is>
      </c>
      <c r="E1" s="13" t="inlineStr">
        <is>
          <t>Affected rows/fields</t>
        </is>
      </c>
      <c r="F1" s="13" t="inlineStr">
        <is>
          <t>Consequence of changing it</t>
        </is>
      </c>
      <c r="G1" s="13" t="inlineStr">
        <is>
          <t>Status</t>
        </is>
      </c>
      <c r="H1" s="13" t="inlineStr">
        <is>
          <t>Reviewer note</t>
        </is>
      </c>
    </row>
    <row r="2">
      <c r="A2" s="6" t="inlineStr">
        <is>
          <t>Q1</t>
        </is>
      </c>
      <c r="B2" s="6" t="inlineStr">
        <is>
          <t>Process and round map</t>
        </is>
      </c>
      <c r="C2" s="6" t="inlineStr">
        <is>
          <t>Adopt one process with two rounds: R1 opened with the first-week-of-October 2014 confidentiality wave (R008) — Not final; R2 opened 11/03/2014 with the four bidders at or above $80.00 advanced to the final round — Announced as final. Keep R004, R006 and R010 as rejected R1 anchor candidates in round 0. The 12/10 improvement request and 12/12 bids stay inside R2; no new round or process is created.</t>
        </is>
      </c>
      <c r="D2" s="6" t="inlineStr">
        <is>
          <t>Sections 6.2–6.3. The filing reports no dated target outreach wave (the 27 parties contacted J.P. Morgan), so the first target-organized step admitting participants is the confidentiality-agreement wave. The filing expressly calls the November stage "the final round".</t>
        </is>
      </c>
      <c r="E2" s="6" t="inlineStr">
        <is>
          <t>R004, R006, R010, R008, R009, R020, R021, R032; Round finality fields</t>
        </is>
      </c>
      <c r="F2" s="6" t="inlineStr">
        <is>
          <t>Anchoring R1 at the 08/13 or 08/19 decision moves the boundary earlier and shifts the 27-contact window relative to the round; treating the 12/12 improved-bid stage as a new round would add a round and move the final bids.</t>
        </is>
      </c>
      <c r="G2" s="6" t="inlineStr">
        <is>
          <t>Pending</t>
        </is>
      </c>
      <c r="H2" s="6" t="inlineStr"/>
    </row>
    <row r="3">
      <c r="A3" s="6" t="inlineStr">
        <is>
          <t>Q2</t>
        </is>
      </c>
      <c r="B3" s="6" t="inlineStr">
        <is>
          <t>Deadlines and treatments</t>
        </is>
      </c>
      <c r="C3" s="6" t="inlineStr">
        <is>
          <t>Keep: IOIs due 10/30/2014 — Enforced (the Bidder 2 increase was solicited during J.P. Morgan’s post-deadline calls and is continuing negotiation, not late acceptance); final bids initially due 12/05/2014 and never reached (superseded); due date revised to 12/10/2014 — Extended; improved bids requested for 12/12/2014 — Extended; 12/12/2014 — Enforced. The targeted 12/15/2014 process completion is not a bid deadline and stays out of the Due date field.</t>
        </is>
      </c>
      <c r="D3" s="6" t="inlineStr">
        <is>
          <t>Section 8.3. The filing shows the 12/05 date superseded before arrival (pp.24–25), the 12/10 date extended by the target’s own improvement request (p.25), and the 12/12 bids followed immediately by selection and signing (pp.26).</t>
        </is>
      </c>
      <c r="E3" s="6" t="inlineStr">
        <is>
          <t>R012, R013, R024, R025, R027, R032, R034; Deadline treatment fields</t>
        </is>
      </c>
      <c r="F3" s="6" t="inlineStr">
        <is>
          <t>Treating 10/30 as Late bids accepted would contradict the solicited-revision rule; treating 12/10 or 12/12 as Enforced/Extended differently would change the deadline map and the Summary.</t>
        </is>
      </c>
      <c r="G3" s="6" t="inlineStr">
        <is>
          <t>Pending</t>
        </is>
      </c>
      <c r="H3" s="6" t="inlineStr"/>
    </row>
    <row r="4">
      <c r="A4" s="6" t="inlineStr">
        <is>
          <t>Q3</t>
        </is>
      </c>
      <c r="B4" s="6" t="inlineStr">
        <is>
          <t>Counts, cohorts and the Bidder 3 identity mapping</t>
        </is>
      </c>
      <c r="C4" s="6" t="inlineStr">
        <is>
          <t>Keep: 27 inbound contacts (3 strategic, 24 financial); 15 financial NDA signers; six IOI units (Buyer Group, Anonymous bidder A, Bidder 2, plus a residual cohort of three whose prices are undisclosed, one of which reached ≥$80.00); nine inferred non-submitters; four finalists; the Bidder 3 combination as units 4 → 3 with no individual identity mapping.</t>
        </is>
      </c>
      <c r="D4" s="6" t="inlineStr">
        <is>
          <t>"J.P. Morgan was contacted by 27 potential participants" (p.23); "15 potentially interested financial buyers" signed (p.23); "six of the potentially interested parties submitted indications" and three bidders initially reached ≥$80.00 (p.24); two anonymous finalists combined (p.24). The filing never says which finalists joined Bidder 3, so no identity is asserted.</t>
        </is>
      </c>
      <c r="E4" s="6" t="inlineStr">
        <is>
          <t>R005, R008, R014, R015, R016, R017, R018, R020, R021, R022, R030; Summary counts block</t>
        </is>
      </c>
      <c r="F4" s="6" t="inlineStr">
        <is>
          <t>Naming the Bidder 3 members would invent an identity; a different residual partition changes the nine-unit inference and the per-stage balance; adding the "about 15" interest figure to 27 would mix an approximation with an exact count.</t>
        </is>
      </c>
      <c r="G4" s="6" t="inlineStr">
        <is>
          <t>Pending</t>
        </is>
      </c>
      <c r="H4" s="6" t="inlineStr"/>
    </row>
    <row r="5">
      <c r="A5" s="6" t="inlineStr">
        <is>
          <t>Q4</t>
        </is>
      </c>
      <c r="B5" s="6" t="inlineStr">
        <is>
          <t>Participation outcomes, agency and reasons</t>
        </is>
      </c>
      <c r="C5" s="6" t="inlineStr">
        <is>
          <t>Keep: nine inferred non-submitters at 10/30/2014 (R018); two eliminated IOI bidders at 11/03/2014 (R020); Bidder 3 Did not submit at 12/10/2014 (agency Both; reason Value at or below market price); Bidder 2 Not selected at signing (target chosen; reason Lower offer than rivals); Industry Participant closed only as a Target decision row because it never entered the process.</t>
        </is>
      </c>
      <c r="D5" s="6" t="inlineStr">
        <is>
          <t>Section 10. The filing states the eliminated parties’ lack of interest at higher prices (p.24), Bidder 3’s non-submission after J.P. Morgan’s competitiveness assessment (p.25), and Bidder 2’s standing best-and-final offer when the Buyer Group was chosen (pp.25–26).</t>
        </is>
      </c>
      <c r="E5" s="6" t="inlineStr">
        <is>
          <t>R018, R020, R031, R039, R007; Decided by / Exit reason / Outcome basis fields</t>
        </is>
      </c>
      <c r="F5" s="6" t="inlineStr">
        <is>
          <t>Treating Bidder 3 as a withdrawal or the residual nine as individual exits would invent agency and identity; closing Industry Participant would breach the never-entered rule.</t>
        </is>
      </c>
      <c r="G5" s="6" t="inlineStr">
        <is>
          <t>Pending</t>
        </is>
      </c>
      <c r="H5" s="6" t="inlineStr"/>
    </row>
    <row r="6">
      <c r="A6" s="6" t="inlineStr">
        <is>
          <t>Q5</t>
        </is>
      </c>
      <c r="B6" s="6" t="inlineStr">
        <is>
          <t>Formality and conditions</t>
        </is>
      </c>
      <c r="C6" s="6" t="inlineStr">
        <is>
          <t>Keep IOIs Informal with Conditions level Insufficient evidence (diligence was complete; no financing or diligence conditions are stated); the 12/10 written final bids Formal and Light (returned transaction documents; Buyer Group financing committed; final documentation); Bidder 3’s verbal indication Informal and Insufficient evidence; the 12/12 improved bids Formal and Light.</t>
        </is>
      </c>
      <c r="D6" s="6" t="inlineStr">
        <is>
          <t>Sections 9.2–9.3. The filing reports bidder comments and financing commitments (the Buyer Group on 12/06, both bidders on 12/12) and no diligence conditions (p.25–26); no formal signal exists for the early IOIs.</t>
        </is>
      </c>
      <c r="E6" s="6" t="inlineStr">
        <is>
          <t>R014, R015, R016, R019, R017, R028, R029, R030, R035, R036; Formality and Conditions fields</t>
        </is>
      </c>
      <c r="F6" s="6" t="inlineStr">
        <is>
          <t>Labeling IOIs Formal would overstate their documentation; making the final bids Heavy would contradict the committed financing and returned documents; treating Bidder 3 as Formal would disregard the absence of any written submission.</t>
        </is>
      </c>
      <c r="G6" s="6" t="inlineStr">
        <is>
          <t>Pending</t>
        </is>
      </c>
      <c r="H6" s="6" t="inlineStr"/>
    </row>
    <row r="7">
      <c r="A7" s="6" t="inlineStr">
        <is>
          <t>Q6</t>
        </is>
      </c>
      <c r="B7" s="6" t="inlineStr">
        <is>
          <t>Consideration, financing and the Longview rollover</t>
        </is>
      </c>
      <c r="C7" s="6" t="inlineStr">
        <is>
          <t>Keep: $83.00 all cash; Bidder 3 as Bound only (≤ ~$78; no price level, no cash figure); Longview rollover as a permitted/formed relationship (October offer of up to 7.5 million shares; 12/12/2014 approval and NDA; 3,012,050 shares contributed at signing) with a separate voting agreement (7,424,591 shares); no bidding-group change for Longview. Keep the $255 million and $510 million fees and the no-financing-condition fact on the signing row.</t>
        </is>
      </c>
      <c r="D7" s="6" t="inlineStr">
        <is>
          <t>Section 9.4 and section 5.3 rollover rules. "Longview has agreed to contribute 3,012,050 shares ... in exchange for equity interests in Parent" (p.41); the defined Buyer Group includes Longview only after 12/12/2014 (p.1), which does not make it a bidding-unit change.</t>
        </is>
      </c>
      <c r="E7" s="6" t="inlineStr">
        <is>
          <t>R011, R026, R033, R030, R036, R037; Price and cash fields; Summary deal facts</t>
        </is>
      </c>
      <c r="F7" s="6" t="inlineStr">
        <is>
          <t>Treating the rollover as a bid or a group change would double-count Longview; averaging or inferring a price for Bidder 3 would fabricate a submitted level.</t>
        </is>
      </c>
      <c r="G7" s="6" t="inlineStr">
        <is>
          <t>Pending</t>
        </is>
      </c>
      <c r="H7" s="6" t="inlineStr"/>
    </row>
    <row r="8">
      <c r="A8" s="6" t="inlineStr">
        <is>
          <t>Q7</t>
        </is>
      </c>
      <c r="B8" s="6" t="inlineStr">
        <is>
          <t>Dates and working conventions</t>
        </is>
      </c>
      <c r="C8" s="6" t="inlineStr">
        <is>
          <t>Keep the conventions: NDA wave and R1 anchor at 10/01/2014 (Assigned: bound, first-week window); Longview rollover offer 10/15/2014 (midpoint); Bidder 2 revised IOI 10/31/2014 (midpoint of the 10/30–11/02 calls); Bidder 3 formation Working 11/03/2014 (Assigned: sequence); projection update 11/15/2014 (midpoint); initial final-bid deadline set Working 12/03/2014 (bound); revision 12/04/2014 (first day of the two-day decision window).</t>
        </is>
      </c>
      <c r="D8" s="6" t="inlineStr">
        <is>
          <t>Section 8.1. Undisclosed communication days, a two-day committee decision and a two-day call window require disclosed assignment conventions; each keeps the row inside its honest window and preserves the display order.</t>
        </is>
      </c>
      <c r="E8" s="6" t="inlineStr">
        <is>
          <t>R008, R009, R011, R019, R022, R023, R024, R025; all date-bound fields</t>
        </is>
      </c>
      <c r="F8" s="6" t="inlineStr">
        <is>
          <t>Using mid-October for the NDA wave or a December 5 assignment would reorder rows against dated events; assigning the Bidder 3 formation a new date would invent one.</t>
        </is>
      </c>
      <c r="G8" s="6" t="inlineStr">
        <is>
          <t>Pending</t>
        </is>
      </c>
      <c r="H8" s="6" t="inlineStr"/>
    </row>
    <row r="9">
      <c r="A9" s="6" t="inlineStr">
        <is>
          <t>Q8</t>
        </is>
      </c>
      <c r="B9" s="6" t="inlineStr">
        <is>
          <t>Advisers, activists and the Industry Participant context</t>
        </is>
      </c>
      <c r="C9" s="6" t="inlineStr">
        <is>
          <t>Keep: J.P. Morgan as Adviser engaged (July 2014, no day disclosed; midpoint convention) with the earlier unnamed financial adviser at the 06/18/2014 meeting not attributed to it; Wachtell Lipton as Adviser service observed 06/18/2014; JANA and Longview activist-pressure rows; Industry Participant interest and exclusion rows without an outcome close; no Buyer Group financial adviser disclosed.</t>
        </is>
      </c>
      <c r="D9" s="6" t="inlineStr">
        <is>
          <t>Section 5.4 and section 4. The June 18 meeting was held "together with a financial advisor and with Wachtell Lipton" (p.21) before J.P. Morgan was retained in July (p.22); the Industry Participant never signed a confidentiality agreement or entered the process (pp.22–23).</t>
        </is>
      </c>
      <c r="E9" s="6" t="inlineStr">
        <is>
          <t>R001, R002, R003, R007, {bofa_engaged}; adviser entries in Summary; no ledger row for the 12/13 board fairness-opinion mechanics beyond the signing row</t>
        </is>
      </c>
      <c r="F9" s="6" t="inlineStr">
        <is>
          <t>Attributing the June financial adviser to J.P. Morgan would overstate retention evidence; adding an outcome row for Industry Participant would breach the never-entered rule.</t>
        </is>
      </c>
      <c r="G9" s="6" t="inlineStr">
        <is>
          <t>Pending</t>
        </is>
      </c>
      <c r="H9" s="6" t="inlineStr"/>
    </row>
    <row r="11">
      <c r="A11" s="14" t="inlineStr">
        <is>
          <t>Section 13 check results (this version)</t>
        </is>
      </c>
    </row>
    <row r="12">
      <c r="A12" s="13" t="inlineStr">
        <is>
          <t>#</t>
        </is>
      </c>
      <c r="B12" s="13" t="inlineStr">
        <is>
          <t>Check</t>
        </is>
      </c>
      <c r="C12" s="13" t="inlineStr">
        <is>
          <t>Result</t>
        </is>
      </c>
      <c r="D12" s="13" t="inlineStr">
        <is>
          <t>Affected rows and consequences</t>
        </is>
      </c>
    </row>
    <row r="13">
      <c r="A13" s="6" t="n">
        <v>1</v>
      </c>
      <c r="B13" s="6" t="inlineStr">
        <is>
          <t>Coverage and materiality</t>
        </is>
      </c>
      <c r="C13" s="6" t="inlineStr">
        <is>
          <t>Passed</t>
        </is>
      </c>
      <c r="D13" s="6" t="inlineStr">
        <is>
          <t>All core events are recorded: activism, the exploration decision and announcement, Industry Participant interest/exclusion, the 15-NDA wave, six IOIs with the Bidder 2 revision, the finalist selection and Bidder 3 combination, the projection update, the full deadline history, both final-bid rounds, the Longview rollover steps, signing and announcement. Routine diligence calls and document exchanges are absorbed into their stage rows.</t>
        </is>
      </c>
    </row>
    <row r="14">
      <c r="A14" s="6" t="n">
        <v>2</v>
      </c>
      <c r="B14" s="6" t="inlineStr">
        <is>
          <t>Counts and population</t>
        </is>
      </c>
      <c r="C14" s="6" t="inlineStr">
        <is>
          <t>Qualified</t>
        </is>
      </c>
      <c r="D14" s="6" t="inlineStr">
        <is>
          <t>Summary formulas match ledger contributions (NDA 15; contacts 27; IOIs 6; final-round units 3). The "about 15" interest figure is not summed. The residual nine and the residual three IOIs are arithmetic inferences from stated bases and are labelled as such.</t>
        </is>
      </c>
    </row>
    <row r="15">
      <c r="A15" s="6" t="n">
        <v>3</v>
      </c>
      <c r="B15" s="6" t="inlineStr">
        <is>
          <t>Participation continuity</t>
        </is>
      </c>
      <c r="C15" s="6" t="inlineStr">
        <is>
          <t>Qualified</t>
        </is>
      </c>
      <c r="D15" s="6" t="inlineStr">
        <is>
          <t>Nine residual non-submitters close at 10/30; two eliminated bidders close at 11/03; Bidder 3 closes at 12/10; Bidder 2 closes at signing; the Buyer Group wins. The residual three-IOI cohort mixes one continuing and two eliminated units, so its members are not individually closed; the Bidder 3 identity mapping remains unresolved (Questions Q3).</t>
        </is>
      </c>
    </row>
    <row r="16">
      <c r="A16" s="6" t="n">
        <v>4</v>
      </c>
      <c r="B16" s="6" t="inlineStr">
        <is>
          <t>Dates and order</t>
        </is>
      </c>
      <c r="C16" s="6" t="inlineStr">
        <is>
          <t>Qualified</t>
        </is>
      </c>
      <c r="D16" s="6" t="inlineStr">
        <is>
          <t>All rows carry Working date/Date method and order is non-decreasing. Assigned conventions are disclosed for the NDA wave, the Longview offer, the Bidder 2 revision, the Bidder 3 formation and the deadline-set/revision rows; the 12/10 and 12/12 deadline rows use the reported days.</t>
        </is>
      </c>
    </row>
    <row r="17">
      <c r="A17" s="6" t="n">
        <v>5</v>
      </c>
      <c r="B17" s="6" t="inlineStr">
        <is>
          <t>Offers and classifications</t>
        </is>
      </c>
      <c r="C17" s="6" t="inlineStr">
        <is>
          <t>Passed</t>
        </is>
      </c>
      <c r="D17" s="6" t="inlineStr">
        <is>
          <t>Every Bid row has Formality, Conditions level and a fixed-format Conditions detail; Bidder 3 is Bound only with no cash at closing value; the residual IOI cohort price is left undisclosed rather than averaged.</t>
        </is>
      </c>
    </row>
    <row r="18">
      <c r="A18" s="6" t="n">
        <v>6</v>
      </c>
      <c r="B18" s="6" t="inlineStr">
        <is>
          <t>Structure and consistency</t>
        </is>
      </c>
      <c r="C18" s="6" t="inlineStr">
        <is>
          <t>Passed</t>
        </is>
      </c>
      <c r="D18" s="6" t="inlineStr">
        <is>
          <t>Two rounds each have one opening row with Round finality; the R1 anchor tag lists rejected candidates; Deadline treatments match the Summary map; inferred rows open with their Outcome basis tag; Page is filled wherever Source is.</t>
        </is>
      </c>
    </row>
    <row r="19">
      <c r="A19" s="6" t="n">
        <v>7</v>
      </c>
      <c r="B19" s="6" t="inlineStr">
        <is>
          <t>Evidence</t>
        </is>
      </c>
      <c r="C19" s="6" t="inlineStr">
        <is>
          <t>Passed</t>
        </is>
      </c>
      <c r="D19" s="6" t="inlineStr">
        <is>
          <t>Quotations were checked programmatically as exact substrings of the extracted filing text (whitespace-normalized); paragraph IDs and printed pages verified for the cited passages.</t>
        </is>
      </c>
    </row>
    <row r="20">
      <c r="A20" s="6" t="n">
        <v>8</v>
      </c>
      <c r="B20" s="6" t="inlineStr">
        <is>
          <t>Review and workbook operation</t>
        </is>
      </c>
      <c r="C20" s="6" t="inlineStr">
        <is>
          <t>Qualified</t>
        </is>
      </c>
      <c r="D20" s="6" t="inlineStr">
        <is>
          <t>Question links resolve to Row ids; 15 controlled-list drop-downs built; baseline-conditional formatting compares Row id + column with "AI original". Formulas and formatting were built programmatically but not recalculated in Excel/LibreOffice — application testing not performed.</t>
        </is>
      </c>
    </row>
  </sheetData>
  <mergeCells count="9">
    <mergeCell ref="D12:H12"/>
    <mergeCell ref="D20:H20"/>
    <mergeCell ref="D15:H15"/>
    <mergeCell ref="D16:H16"/>
    <mergeCell ref="D19:H19"/>
    <mergeCell ref="D13:H13"/>
    <mergeCell ref="D14:H14"/>
    <mergeCell ref="D18:H18"/>
    <mergeCell ref="D17:H1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56"/>
  <sheetViews>
    <sheetView workbookViewId="0">
      <pane ySplit="1" topLeftCell="A2" activePane="bottomLeft" state="frozen"/>
      <selection pane="bottomLeft" activeCell="A1" sqref="A1"/>
    </sheetView>
  </sheetViews>
  <sheetFormatPr baseColWidth="8" defaultRowHeight="15"/>
  <cols>
    <col width="12" customWidth="1" min="1" max="1"/>
    <col width="30" customWidth="1" min="2" max="2"/>
    <col width="7" customWidth="1" min="3" max="3"/>
    <col width="150" customWidth="1" min="4" max="4"/>
  </cols>
  <sheetData>
    <row r="1">
      <c r="A1" s="15" t="inlineStr">
        <is>
          <t>Paragraph</t>
        </is>
      </c>
      <c r="B1" s="15" t="inlineStr">
        <is>
          <t>Section</t>
        </is>
      </c>
      <c r="C1" s="15" t="inlineStr">
        <is>
          <t>Page</t>
        </is>
      </c>
      <c r="D1" s="15" t="inlineStr">
        <is>
          <t>Text</t>
        </is>
      </c>
    </row>
    <row r="2">
      <c r="A2" s="16" t="inlineStr">
        <is>
          <t>NOTE</t>
        </is>
      </c>
      <c r="D2" s="17" t="inlineStr">
        <is>
          <t>Background paragraphs P-0733–P-0773 are the complete Background of the Merger (printed pp.21–26), in filing order. Repeated "TABLE OF CONTENTS" navigation lines and page footer numbers were removed in extraction; text, punctuation and typographical errors are preserved. X- rows are additional filing passages relied on elsewhere in the workbook, each identified by section. This baseline is the 19 Sep 2026 instruction revision.</t>
        </is>
      </c>
    </row>
    <row r="3">
      <c r="A3" s="18" t="inlineStr">
        <is>
          <t>P-0733</t>
        </is>
      </c>
      <c r="B3" s="18" t="inlineStr">
        <is>
          <t>Background of the Merger</t>
        </is>
      </c>
      <c r="C3" s="18" t="n">
        <v>21</v>
      </c>
      <c r="D3" s="6" t="inlineStr">
        <is>
          <t>Background of the Merger</t>
        </is>
      </c>
    </row>
    <row r="4">
      <c r="A4" s="18" t="inlineStr">
        <is>
          <t>P-0734</t>
        </is>
      </c>
      <c r="B4" s="18" t="inlineStr">
        <is>
          <t>Background of the Merger</t>
        </is>
      </c>
      <c r="C4" s="18" t="n">
        <v>21</v>
      </c>
      <c r="D4" s="6" t="inlineStr">
        <is>
          <t>The board frequently reviews, with the Company’s management and with the assistance of financial and legal advisors, the Company’s strategic and financial alternatives in light of developments in the Company’s business, in the sectors in which it competes, in the economy generally and in financial markets. The alternatives reviewed have included large and small acquisitions, mergers, a sale of the Company, as well as alternatives for returning capital to stockholders, including by means of levered or unlevered share repurchases or extraordinary dividends, and, from time to time, the Company received inquiries from third parties seeking to determine the Company’s interest in a sale transaction. During the first calendar quarter of 2014, one of the alternatives considered by the board was a merger with or acquisition of another participant in PetSmart’s industry, a privately-held company which we refer to here as “Industry Participant.” In March, 2014, the board authorized management to contact Industry Participant to determine Industry Participant’s interest in initiating exploratory discussions concerning the feasibility of a merger or acquisition transaction. During the Spring of 2014, David Lenhardt, PetSmart’s chief executive officer, spoke on a few occasions to Industry Participant’s CEO. Industry Participant’s CEO informed Mr. Lenhardt that Industry Participant was not for sale and that, in any event, Industry Participant’s management and owners believed that antitrust clearance for a combination of PetSmart and Industry Participant would not be received or would be received only with unacceptable conditions. Over the next two months, Mr. Lenhardt spoke on several other occasions with Industry Participant’s CEO and with a representative of one of Industry Participant’s controlling stockholders, during which time, Industry Participant continued to raise concerns regarding receiving antitrust clearance for such a transaction.</t>
        </is>
      </c>
    </row>
    <row r="5">
      <c r="A5" s="18" t="inlineStr">
        <is>
          <t>P-0735</t>
        </is>
      </c>
      <c r="B5" s="18" t="inlineStr">
        <is>
          <t>Background of the Merger</t>
        </is>
      </c>
      <c r="C5" s="18" t="n">
        <v>21</v>
      </c>
      <c r="D5" s="6" t="inlineStr">
        <is>
          <t>On May 21, 2014, the Company released its first quarter earnings announcement, which disclosed quarterly performance below Wall Street expectations and weaker-than-expected guidance for its second quarter and full year. Following this release, in late May and June 2014, the Company received written or verbal communications from some stockholders and from interested parties suggesting that the Company engage in various strategic or financial alternatives. Among the alternatives suggested were a levered return of capital to stockholders and a sale of the Company. Also during May 2014, representatives of Longview met with certain members of the board and senior management. At those meetings, representatives of Longview presented their views on the business and strategic direction of the Company, but did not advocate for any specific transactions or alternatives.</t>
        </is>
      </c>
    </row>
    <row r="6">
      <c r="A6" s="18" t="inlineStr">
        <is>
          <t>P-0736</t>
        </is>
      </c>
      <c r="B6" s="18" t="inlineStr">
        <is>
          <t>Background of the Merger</t>
        </is>
      </c>
      <c r="C6" s="18" t="n">
        <v>21</v>
      </c>
      <c r="D6" s="6" t="inlineStr">
        <is>
          <t>At a meeting on June 18, 2014, the board reviewed, together with a financial advisor and with Wachtell, Lipton, Rosen &amp; Katz (“Wachtell Lipton”), its legal advisor, the various strategic and financial alternatives potentially available to the Company and determined to explore more intensively potential changes to the Company’s capital structure, with a focus on returning capital to stockholders. The board also established an ad hoc advisory subcommittee (the “ad hoc committee”) with respect to, among other</t>
        </is>
      </c>
    </row>
    <row r="7">
      <c r="A7" s="18" t="inlineStr">
        <is>
          <t>P-0739</t>
        </is>
      </c>
      <c r="B7" s="18" t="inlineStr">
        <is>
          <t>Background of the Merger</t>
        </is>
      </c>
      <c r="C7" s="18" t="n">
        <v>22</v>
      </c>
      <c r="D7" s="6" t="inlineStr">
        <is>
          <t>things, the review of alternatives. Chairman Gregory Josefowicz and directors Rakesh Gangwal and Thomas Stemberg, all of whom are nonexecutive, independent directors, were appointed to the ad hoc committee. In addition, the board authorized the vetting and retention of a financial advisor to assist in the review. In July, after interviewing several potential financial advisors, the Company retained J.P. Morgan as financial advisor based on, among other factors, J.P. Morgan’s reputation, experience in mergers and acquisitions, valuation, financing and capital markets and its familiarity with the Company.</t>
        </is>
      </c>
    </row>
    <row r="8">
      <c r="A8" s="18" t="inlineStr">
        <is>
          <t>P-0740</t>
        </is>
      </c>
      <c r="B8" s="18" t="inlineStr">
        <is>
          <t>Background of the Merger</t>
        </is>
      </c>
      <c r="C8" s="18" t="n">
        <v>22</v>
      </c>
      <c r="D8" s="6" t="inlineStr">
        <is>
          <t>On July 3, 2014, JANA Partners filed a Schedule 13D with the SEC disclosing that JANA had acquired 9.9% of the Company’s outstanding common stock and that JANA intended to engage in discussions with management and the board with respect to a review of strategic alternatives, including a sale of the Company. On July 7, 2014, Longview made public a letter to the board in which Longview stated that the board should consider the a sale of the Company (as well as other strategic alternatives) and that should the board determine a sale transaction to be in the interests of all stockholders, Longview would consider, depending on the parties and terms involved, rolling part or all of its holdings into equity of the acquiring entity rather than receive cash consideration, should doing so prove necessary in order to enable the Company to complete a transaction. Over the course of July and August, JANA Partners filed several amendments to its Schedule 13D and publicly disclosed letters to the board, advocating for a sale of PetSmart. On July 10, 2014, representatives of JANA met in person with representatives of the Company. At this meeting, the JANA representatives presented their perspectives on the Company and advocated for a sale of the Company. On July 10, 2014, representatives of the Company also spoke to representatives of Longview and Longview reiterated its advocacy for a sale of the Company.</t>
        </is>
      </c>
    </row>
    <row r="9">
      <c r="A9" s="18" t="inlineStr">
        <is>
          <t>P-0741</t>
        </is>
      </c>
      <c r="B9" s="18" t="inlineStr">
        <is>
          <t>Background of the Merger</t>
        </is>
      </c>
      <c r="C9" s="18" t="n">
        <v>22</v>
      </c>
      <c r="D9" s="6" t="inlineStr">
        <is>
          <t>On August 7, 2014, a representative of Industry Participant contacted a representative of J.P. Morgan. The Industry Participant representative indicated that she had heard rumors that J.P. Morgan was working with the Company and wanted to inform J.P. Morgan that, if the Company were to pursue strategic alternatives, Industry Participant might be interested in re-visiting the conversations that had taken place in the Spring concerning the feasibility of a possible combination of the two Companies. The J.P. Morgan representative reported the conversation to the ad hoc committee.</t>
        </is>
      </c>
    </row>
    <row r="10">
      <c r="A10" s="18" t="inlineStr">
        <is>
          <t>P-0742</t>
        </is>
      </c>
      <c r="B10" s="18" t="inlineStr">
        <is>
          <t>Background of the Merger</t>
        </is>
      </c>
      <c r="C10" s="18" t="n">
        <v>22</v>
      </c>
      <c r="D10" s="6" t="inlineStr">
        <is>
          <t>On August 13, 2014, the board met in person, together with members of management and representatives of J.P. Morgan and Wachtell Lipton, to complete its initial review of strategic and financial alternatives potentially available to the Company and to receive an update on communications from stockholders and other interested parties, including Industry Participant. As a result of this meeting, the board (1) determined to explore strategic alternatives (including a possible sale of the Company) for the Company to maximize value for stockholders including by commencing a process to determine the potential value that could be achieved via a sale of the Company; (2) instructed management to commence intensive planning for a cost-reduction and profit-improvement plan (which we refer to collectively as the “Profit Improvement Plan”) to potentially increase the value of the Company, whether in a sale of the Company or on a standalone basis should no sale materialize; and (3) authorized the ad hoc committee to oversee the sale exploration process, and, in between meetings of the full board, to give direction to the Company’s financial and legal advisors, to lead on behalf of the Company (or to give guidance to the Company’s representatives in connection with) any negotiations with potentially interested parties and periodically to brief the full board on the status of the sale exploration process. Together with the Company’s financial and legal advisors, the board also considered and discussed alternative formats and timing for the conduct of the exploratory sale process, and determined that at the appropriate time, which was expected to be during the second half of September or early October, J.P. Morgan should contact financial and strategic parties deemed likely to be interested and capable of completing a transaction. In addition, the board determined that the Company would issue a public announcement of its intention to explore strategic alternatives, which would ensure that interested parties not contacted would become aware of the process and could contact J.P. Morgan on their own initiative. In connection with this discussion, after deliberation and consultation with its financial and legal advisors, the board reviewed the potential benefits and risks of inviting Industry Participant to participate in the exploratory sale process. In this regard, the board considered, among other things, in addition to the communications with Industry Representative in the Spring and on August 7, the very high risk that an acquisition by or a combination with Industry Participant would not receive antitrust clearances, or would receive such clearances only with the imposition by governmental authorities of unacceptable conditions; the near certainty that the process of seeking such clearances would result in the receipt of a so-called “second request” from governmental</t>
        </is>
      </c>
    </row>
    <row r="11">
      <c r="A11" s="18" t="inlineStr">
        <is>
          <t>P-0745</t>
        </is>
      </c>
      <c r="B11" s="18" t="inlineStr">
        <is>
          <t>Background of the Merger</t>
        </is>
      </c>
      <c r="C11" s="18" t="n">
        <v>23</v>
      </c>
      <c r="D11" s="6" t="inlineStr">
        <is>
          <t>authorities and would take eight months to a year, or longer, to pursue, with no assurance of success even after such a delay; the risk that Industry Participant would obtain competitively advantageous information in the course of due diligence even if it were not the winning bidder or indeed never bid; and the risk that participation by Industry Participant in the sale process would disrupt or negatively impact the sale process or impose an unacceptable time delay, in either case which would not advance the goal of maximizing shareholder value. On August 19, 2014, concurrent with its second quarter earnings announcement, the Company issued a press release announcing that it determined to explore strategic alternatives for the Company to maximize value for stockholders, including a possible sale of the Company.</t>
        </is>
      </c>
    </row>
    <row r="12">
      <c r="A12" s="18" t="inlineStr">
        <is>
          <t>P-0746</t>
        </is>
      </c>
      <c r="B12" s="18" t="inlineStr">
        <is>
          <t>Background of the Merger</t>
        </is>
      </c>
      <c r="C12" s="18" t="n">
        <v>23</v>
      </c>
      <c r="D12" s="6" t="inlineStr">
        <is>
          <t>During the weeks following the August 13 board meeting, members of the ad hoc committee continued to discuss among themselves, with fellow directors and with J.P. Morgan, the timing and process for the exploration of strategic alternatives, including issues relating to Industry Participant. In light of the risks discussed at the August 13 meeting and in these subsequent discussions, the ad hoc committee directed J.P. Morgan to communicate to Industry Participant the board’s concerns as a result of which Industry Participant would not be invited to participate in the exploratory process. On August 22, 2014, a representative of J.P. Morgan contacted by telephone the representative of Industry Participant with whom the J.P. Morgan representative had spoken to on August 7. During this call, Industry Participant confirmed that it was aware of the Company’s August 19 announcement and the J.P Morgan representative informed the Industry Participant representative of the board’s concerns regarding Industry Participant’s participation. The parties agreed to speak again in a few days. On August 27, 2014, representatives of Industry Participant contacted by telephone the representative of J.P. Morgan. During this call, the Industry Participant representatives stated that Industry Participant would have interest in discussing the possibility of a combination of the two companies. The J.P. Morgan representative reiterated the concerns identified by the board that engaging with Industry Participant was unlikely to maximize value for PetSmart’s stockholders. The J.P. Morgan representative stated that Industry Participant would not be invited into the exploratory process, but that if Industry Participant were to wish to submit a proposal or other communication to the Company, the board would consider it. There has been no contact between PetSmart and Industry Participant (or between any of their respective representatives) since August 27, 2014.</t>
        </is>
      </c>
    </row>
    <row r="13">
      <c r="A13" s="18" t="inlineStr">
        <is>
          <t>P-0747</t>
        </is>
      </c>
      <c r="B13" s="18" t="inlineStr">
        <is>
          <t>Background of the Merger</t>
        </is>
      </c>
      <c r="C13" s="18" t="n">
        <v>23</v>
      </c>
      <c r="D13" s="6" t="inlineStr">
        <is>
          <t>During the period from the middle of August through the end of October, the Company developed the Profit Improvement Plan and prepared for a sale process. During this period, J.P. Morgan was contacted by 27 potential participants in a sale process, including three strategic parties (not counting Industry Participant) and 24 financial participants (including potential lead buyers as well as large suppliers of equity capital to lead buyers).</t>
        </is>
      </c>
    </row>
    <row r="14">
      <c r="A14" s="18" t="inlineStr">
        <is>
          <t>P-0748</t>
        </is>
      </c>
      <c r="B14" s="18" t="inlineStr">
        <is>
          <t>Background of the Merger</t>
        </is>
      </c>
      <c r="C14" s="18" t="n">
        <v>23</v>
      </c>
      <c r="D14" s="6" t="inlineStr">
        <is>
          <t>On October 3, 2014, the board met, together with members of management and representatives of J.P. Morgan and Wachtell Lipton, to conduct regularly scheduled business and to receive an update on the status of the Profit Improvement Plan, the planning for which had been completed, and on the sale process, including an update on communications with the 27 potentially interested parties as well as Industry Participant that had occurred since the August 13 board meeting. Among other things, the board was informed that approximately 15 parties had expressed interest in participating in the process. In addition, at this meeting, in consultation with its financial and legal advisors, the board reviewed and, for the reasons discussed in August, reaffirmed the determination not to invite Industry Participant to participate in the sale process.</t>
        </is>
      </c>
    </row>
    <row r="15">
      <c r="A15" s="18" t="inlineStr">
        <is>
          <t>P-0749</t>
        </is>
      </c>
      <c r="B15" s="18" t="inlineStr">
        <is>
          <t>Background of the Merger</t>
        </is>
      </c>
      <c r="C15" s="18" t="n">
        <v>23</v>
      </c>
      <c r="D15" s="6" t="inlineStr">
        <is>
          <t>In the first week of October 2014, the Company entered into confidentiality and standstill agreements with 15 potentially interested financial buyers, all 15 of which, during the month of October engaged in due diligence, received management presentations involving the Company’s senior-most management, and received detailed financial and business plan information, including detailed information concerning the Profit Improvement Plan and associated cost-saving plans and opportunities.</t>
        </is>
      </c>
    </row>
    <row r="16">
      <c r="A16" s="18" t="inlineStr">
        <is>
          <t>P-0750</t>
        </is>
      </c>
      <c r="B16" s="18" t="inlineStr">
        <is>
          <t>Background of the Merger</t>
        </is>
      </c>
      <c r="C16" s="18" t="n">
        <v>23</v>
      </c>
      <c r="D16" s="6" t="inlineStr">
        <is>
          <t>During October, the potential bidders were informed that non-binding preliminary indications of interest would be due on October 30, 2014. The potential bidders were also informed that Longview had informed the Company that it would be willing to “roll-over” up to 7.5 million shares on terms and price acceptable to Longview, meaning that such shares would not receive cash merger consideration but would</t>
        </is>
      </c>
    </row>
    <row r="17">
      <c r="A17" s="18" t="inlineStr">
        <is>
          <t>P-0753</t>
        </is>
      </c>
      <c r="B17" s="18" t="inlineStr">
        <is>
          <t>Background of the Merger</t>
        </is>
      </c>
      <c r="C17" s="18" t="n">
        <v>24</v>
      </c>
      <c r="D17" s="6" t="inlineStr">
        <is>
          <t>remain outstanding as equity in PetSmart or the buyer’s acquisition vehicle, if so desired by the bidder. The Company requested that, in connection with their preliminary indications of interest, the bidders should indicate their interest, if any, in participation by Longview, but that such interest was not a condition to participation in the process.</t>
        </is>
      </c>
    </row>
    <row r="18">
      <c r="A18" s="18" t="inlineStr">
        <is>
          <t>P-0754</t>
        </is>
      </c>
      <c r="B18" s="18" t="inlineStr">
        <is>
          <t>Background of the Merger</t>
        </is>
      </c>
      <c r="C18" s="18" t="n">
        <v>24</v>
      </c>
      <c r="D18" s="6" t="inlineStr">
        <is>
          <t>On October 30, six of the potentially interested parties submitted indications of interest. From October 30 to November 2, 2014, representatives of J.P. Morgan spoke by telephone with all of the potentially interested parties, including those that did not submit an indication of interest, to hear the parties’ respective rationales for the price levels suggested in their indications or rationales for not submitting an indication. Three bidders initially indicated price ranges that reached at least $80.00 per share, including the Buyer Group, which indicated a range of $81.00 to $83.00 per share, and another bidder, which suggested a range of $80.00 to $85.00 per share. As a result of its discussions with J.P. Morgan, another bidder (which we refer to as “Bidder 2”), which had initially indicated a price of $78.00, increased its indication to a range of $81.00 to $84.00 per share.</t>
        </is>
      </c>
    </row>
    <row r="19">
      <c r="A19" s="18" t="inlineStr">
        <is>
          <t>P-0755</t>
        </is>
      </c>
      <c r="B19" s="18" t="inlineStr">
        <is>
          <t>Background of the Merger</t>
        </is>
      </c>
      <c r="C19" s="18" t="n">
        <v>24</v>
      </c>
      <c r="D19" s="6" t="inlineStr">
        <is>
          <t>On November 3, 2014, the board met in person, together with members of management and representatives of J.P. Morgan and Wachtell Lipton, to continue its review of strategic alternatives, including a review of the indications of interest. The board determined to allow the four bidders that had indicated a price or range at or above $80.00 per share to proceed to the final round of the sale process. Following this meeting, representatives of J.P. Morgan notified the eliminated parties, none of which indicated any interest or ability to remain in the process at price levels above their respective initial indications.</t>
        </is>
      </c>
    </row>
    <row r="20">
      <c r="A20" s="18" t="inlineStr">
        <is>
          <t>P-0756</t>
        </is>
      </c>
      <c r="B20" s="18" t="inlineStr">
        <is>
          <t>Background of the Merger</t>
        </is>
      </c>
      <c r="C20" s="18" t="n">
        <v>24</v>
      </c>
      <c r="D20" s="6" t="inlineStr">
        <is>
          <t>Two of the bidders (one of which had been invited into the final round but had indicated a desire to work with an equity partner in light of the size of an acquisition of PetSmart, and the other of which had indicated to J.P. Morgan that it would drop out of the process if not permitted to work together with another bidder) requested permission to work together. These two bidders informed J.P. Morgan that they had worked together successfully in previous large leveraged buyouts. After deliberation and consultation with the Company’s financial and legal advisors, the ad hoc committee authorized these two bidders to work together. We refer to these two bidders together as “Bidder 3.” Each of the bidders invited into the final round indicated some interest in a Longview rollover, though each also stated that its bid would not be conditioned or dependent on Longview participation.</t>
        </is>
      </c>
    </row>
    <row r="21">
      <c r="A21" s="18" t="inlineStr">
        <is>
          <t>P-0757</t>
        </is>
      </c>
      <c r="B21" s="18" t="inlineStr">
        <is>
          <t>Background of the Merger</t>
        </is>
      </c>
      <c r="C21" s="18" t="n">
        <v>24</v>
      </c>
      <c r="D21" s="6" t="inlineStr">
        <is>
          <t>During November, the bidders engaged in further extensive due diligence investigations of the Company, including further detailed management presentations. Also during November, the Company circulated a form of merger agreement to the bidders with instructions that the bidders submit any proposed comments on the merger agreement together with their final bids. Following the Company’s third quarter earnings announcement and, at the request of bidders and the direction of the board and the Company, representatives of J.P. Morgan provided the bidders with updates to the Company’s fiscal year 2014 financial projections.</t>
        </is>
      </c>
    </row>
    <row r="22">
      <c r="A22" s="18" t="inlineStr">
        <is>
          <t>P-0758</t>
        </is>
      </c>
      <c r="B22" s="18" t="inlineStr">
        <is>
          <t>Background of the Merger</t>
        </is>
      </c>
      <c r="C22" s="18" t="n">
        <v>24</v>
      </c>
      <c r="D22" s="6" t="inlineStr">
        <is>
          <t>On December 3, 2014, the board met in-person for a regularly scheduled meeting. In addition to regular business, significant portions of this meeting were devoted to a further review and financial analysis of the Company’s strategic and financial alternatives, particularly in light of positive indications about the Company’s operating results based on preliminary information from the Fall and Thanksgiving season and indications that the Profit Improvement Plan would likely be successful in achieving at least $200 million in annual incremental profit. During these portions of the meeting, which were attended by members of management and representatives of J.P. Morgan and Wachtell Lipton, the board considered the values for the Company that might be achieved on a standalone basis, with and without a leveraged return of capital to stockholders. Because the board did not have bids in hand at this time, no decisions were made. The board had initially targeted Monday, December 15 for completion of the sale process, and had initially set Friday, December 5 as the date for submission of bids so as to allow sufficient time for the Company to receive and analyze the bids, conduct further rounds of bidding, if necessary, to negotiate final documentation, and to permit the winning bidder a short period of time to discuss and negotiate a Longview rollover, if desired by the winning bidder. However, on December 4 and December 5, 2014, after consultation with the Company’s financial and legal advisors, the ad hoc committee concluded that these matters could be accomplished in a shorter period of time, which would reduce the risk of leaks or</t>
        </is>
      </c>
    </row>
    <row r="23">
      <c r="A23" s="18" t="inlineStr">
        <is>
          <t>P-0761</t>
        </is>
      </c>
      <c r="B23" s="18" t="inlineStr">
        <is>
          <t>Background of the Merger</t>
        </is>
      </c>
      <c r="C23" s="18" t="n">
        <v>25</v>
      </c>
      <c r="D23" s="6" t="inlineStr">
        <is>
          <t>unintended public disclosure. Accordingly, the Company set the evening of Wednesday, December 10 (five days, rather than 10 days prior to the anticipated December 15 completion date) as the deadline for submission of final bids, and at the same time asked the bidders to submit mark-ups of the draft merger agreement and the other transaction documents and financing commitments, if possible, in advance.</t>
        </is>
      </c>
    </row>
    <row r="24">
      <c r="A24" s="18" t="inlineStr">
        <is>
          <t>P-0762</t>
        </is>
      </c>
      <c r="B24" s="18" t="inlineStr">
        <is>
          <t>Background of the Merger</t>
        </is>
      </c>
      <c r="C24" s="18" t="n">
        <v>25</v>
      </c>
      <c r="D24" s="6" t="inlineStr">
        <is>
          <t>On December 6, 2014, the Buyer Group and Bidder 2 submitted their respective comments on the draft merger agreement and other transaction documents, and the Buyer Group provided its financing commitment documents.</t>
        </is>
      </c>
    </row>
    <row r="25">
      <c r="A25" s="18" t="inlineStr">
        <is>
          <t>P-0763</t>
        </is>
      </c>
      <c r="B25" s="18" t="inlineStr">
        <is>
          <t>Background of the Merger</t>
        </is>
      </c>
      <c r="C25" s="18" t="n">
        <v>25</v>
      </c>
      <c r="D25" s="6" t="inlineStr">
        <is>
          <t>On December 8, 2014, the board met telephonically, together with members of management and representatives of J.P. Morgan and Wachtell Lipton, to receive an update and review and discuss the comments from the bidders on the draft merger agreement and other transaction documents. Later on December 8, 2014, Wachtell Lipton sent to the Buyer Group and Bidder 2 revised versions of the form of merger agreement and other transaction documents, reflecting the Company’s positions and reactions to the bidders’ respective comments.</t>
        </is>
      </c>
    </row>
    <row r="26">
      <c r="A26" s="18" t="inlineStr">
        <is>
          <t>P-0764</t>
        </is>
      </c>
      <c r="B26" s="18" t="inlineStr">
        <is>
          <t>Background of the Merger</t>
        </is>
      </c>
      <c r="C26" s="18" t="n">
        <v>25</v>
      </c>
      <c r="D26" s="6" t="inlineStr">
        <is>
          <t>Following the execution of a confidentiality agreement, on December 9, 2014, J.P. Morgan arranged introductory meetings between Longview and the Buyer Group, and between Longview and Bidder 2. These meetings, which were attended by representatives of J.P. Morgan and Wachtell Lipton, were introductory in nature, to enable the bidders to determine their interest in working with Longview, and vice versa, and the bidders were prohibited at this time from disclosing to Longview the respective prices that the bidders intended to bid.</t>
        </is>
      </c>
    </row>
    <row r="27">
      <c r="A27" s="18" t="inlineStr">
        <is>
          <t>P-0765</t>
        </is>
      </c>
      <c r="B27" s="18" t="inlineStr">
        <is>
          <t>Background of the Merger</t>
        </is>
      </c>
      <c r="C27" s="18" t="n">
        <v>25</v>
      </c>
      <c r="D27" s="6" t="inlineStr">
        <is>
          <t>On December 10, PetSmart received final bid letters along with revised versions of the merger agreement and other transaction documents from the Buyer Group and from Bidder 2 and a verbal indication from Bidder 3. The Buyer Group offered $80.70 per share, in cash, and Bidder 2 offered $80.35 per share, in cash. Bidder 3 verbally communicated to J.P. Morgan that their valuation would not be above the current stock price of approximately $78 per share. J.P. Morgan communicated to Bidder 3 that it was unlikely to be competitive and accordingly Bidder 3 did not submit a written offer. The form of merger agreement and other transaction documentation submitted by the Buyer Group were more favorable to the Company (including because they were less conditional and more likely to be completed and because they offered more certainty of protection for the Company in the unlikely event of non-completion of the transaction) and reflected substantially more acceptance of the Company’s positions. Each bidder indicated that its bid was not dependent on a rollover by Longview, but neither the Buyer Group nor Bidder 2 ruled out the possibility of partnering with Longview in a transaction, though Bidder 2 indicated that any partnering with Longview would only occur after completion of bidding and execution of a definitive merger agreement with the Company.</t>
        </is>
      </c>
    </row>
    <row r="28">
      <c r="A28" s="18" t="inlineStr">
        <is>
          <t>P-0766</t>
        </is>
      </c>
      <c r="B28" s="18" t="inlineStr">
        <is>
          <t>Background of the Merger</t>
        </is>
      </c>
      <c r="C28" s="18" t="n">
        <v>25</v>
      </c>
      <c r="D28" s="6" t="inlineStr">
        <is>
          <t>On December 10, 2014, the ad hoc committee discussed the bids and the draft merger agreements with representatives of J.P. Morgan and Wachtell Lipton. The ad hoc committee was of the view that there could be no assurance that the board would approve either bid unless improved. In light of the closeness of the bids, recent positive developments identified at the board meeting on December 3, and the view shared by the ad hoc committee and J.P. Morgan that neither of the bids represented the bidders’ respective best offers, the ad hoc committee instructed J.P. Morgan to inform each bidder that it would need to increase its bid, and to instruct the bidders to submit improved bids on December 12, 2014. On the evening of December 11, 2014, representatives of J.P. Morgan contacted Longview to inform Longview that the bidders have been asked to submit revised and improved bids, and to confirm that Longview continued to be interested and willing to participate in a potential transaction by rolling over a portion of its Company common stock, so long as Longview’s participation was desired and approved by the ad hoc committee.</t>
        </is>
      </c>
    </row>
    <row r="29">
      <c r="A29" s="18" t="inlineStr">
        <is>
          <t>P-0767</t>
        </is>
      </c>
      <c r="B29" s="18" t="inlineStr">
        <is>
          <t>Background of the Merger</t>
        </is>
      </c>
      <c r="C29" s="18" t="n">
        <v>25</v>
      </c>
      <c r="D29" s="6" t="inlineStr">
        <is>
          <t>Early in the day on December 12, 2014, the Buyer Group requested permission to work more closely with Longview in order to include a rollover of a portion of the Company shares managed by Longview in the Buyer Group’s bid. The Buyer Group informed J.P. Morgan that the Buyer Group was working to achieve a higher price, and that Longview participation with the Buyer Group might enhance the Buyer Group’s ability to do so. Bidder 2 indicated to J.P. Morgan that accommodation of a Longview rollover would not affect Bidder 2’s price, and that Bidder 2 would consider accommodating a Longview rollover only after execution of a merger agreement between the Company and Bidder 2. After consultation with the Company’s financial and legal advisors, the ad hoc committee approved the Buyer Group’s request, and,</t>
        </is>
      </c>
    </row>
    <row r="30">
      <c r="A30" s="18" t="inlineStr">
        <is>
          <t>P-0770</t>
        </is>
      </c>
      <c r="B30" s="18" t="inlineStr">
        <is>
          <t>Background of the Merger</t>
        </is>
      </c>
      <c r="C30" s="18" t="n">
        <v>26</v>
      </c>
      <c r="D30" s="6" t="inlineStr">
        <is>
          <t>later that day, Longview and the Buyer Group entered into a confidentiality agreement permitting the exchange of detailed information between them, including bid price, which had not previously been shared with Longview. The ad hoc committee also instructed Wachtell Lipton to provide a form of voting agreement to Longview to secure Longview’s commitment to vote for the merger subject to certain exceptions, including a change of recommendation by the board.</t>
        </is>
      </c>
    </row>
    <row r="31">
      <c r="A31" s="18" t="inlineStr">
        <is>
          <t>P-0771</t>
        </is>
      </c>
      <c r="B31" s="18" t="inlineStr">
        <is>
          <t>Background of the Merger</t>
        </is>
      </c>
      <c r="C31" s="18" t="n">
        <v>26</v>
      </c>
      <c r="D31" s="6" t="inlineStr">
        <is>
          <t>During the evening of December 12, 2014, Bidder 2 submitted an offer of $81.50 per share, in cash. Representatives of J.P. Morgan confirmed via a conversation with Bidder 2 on the evening of December 12, 2014 that $81.50 per share was its best and final offer. The Buyer Group initially submitted an oral offer of $82.50 per share, in cash, but stated that it was working to increase the offer within the next few hours. Later in the evening, the Buyer Group submitted a best and final offer of $83.00 per share, in cash. In addition, each bidder submitted a revised draft of the merger agreement and other transaction agreements, and copies of their respective financing commitment documents. The versions submitted by the Buyer Group were, with few exceptions, in substantially executable form.</t>
        </is>
      </c>
    </row>
    <row r="32">
      <c r="A32" s="18" t="inlineStr">
        <is>
          <t>P-0772</t>
        </is>
      </c>
      <c r="B32" s="18" t="inlineStr">
        <is>
          <t>Background of the Merger</t>
        </is>
      </c>
      <c r="C32" s="18" t="n">
        <v>26</v>
      </c>
      <c r="D32" s="6" t="inlineStr">
        <is>
          <t>On December 13, 2014, the board met in person, together with the members of management and representatives of J.P. Morgan and Wachtell Lipton, to discuss and review the final bids and to consider the proposed transaction. Representatives of J.P. Morgan reviewed the respective bids as well as the recent progression of the sale process. Representatives of Wachtell Lipton reviewed the terms of the draft merger agreement and other transaction documents and reviewed the financing commitments that had been provided by the Buyer Group. Representatives of J.P. Morgan made a financial presentation concerning the proposed transaction with the Buyer Group, as well as the Company’s alternatives to a sale of the Company, including a leveraged share repurchase. J.P. Morgan then rendered its oral opinion, which was subsequently confirmed in writing, to the board that, as of that date, and based upon and subject to the factors, assumptions and limitations set forth in its opinion, the merger consideration of $83.00 in cash to be paid to the holders of the Company’s common stock in the merger was fair, from a financial point of view, to such holders. Following extensive discussion, the board unanimously determined that the merger agreement and the transactions contemplated thereby, including the merger, were advisable and in the best interests of PetSmart and its stockholders, and to recommend that the Company’s stockholders approve the adoption of the merger agreement. The board’s determination was subject, however, to confirmation that the remaining open points in the merger agreement had been satisfactorily resolved, and the board determined to reconvene, if deemed necessary by the ad hoc committee or the chairman of the board.</t>
        </is>
      </c>
    </row>
    <row r="33">
      <c r="A33" s="18" t="inlineStr">
        <is>
          <t>P-0773</t>
        </is>
      </c>
      <c r="B33" s="18" t="inlineStr">
        <is>
          <t>Background of the Merger</t>
        </is>
      </c>
      <c r="C33" s="18" t="n">
        <v>26</v>
      </c>
      <c r="D33" s="6" t="inlineStr">
        <is>
          <t>Following the board meeting, the parties completed negotiations on terms satisfactory to both parties, and finalized the terms of the Longview voting agreement. On December 14, 2014, the parties executed the merger agreement, the voting agreement and related transaction agreements and issued a press release announcing the transaction.</t>
        </is>
      </c>
    </row>
    <row r="34">
      <c r="A34" s="18" t="inlineStr">
        <is>
          <t>X-001</t>
        </is>
      </c>
      <c r="B34" s="18" t="inlineStr">
        <is>
          <t>Summary — definition of the Buyer Group</t>
        </is>
      </c>
      <c r="C34" s="18" t="n">
        <v>1</v>
      </c>
      <c r="D34" s="6" t="inlineStr">
        <is>
          <t>the “Buyer Group” refers to a consortium of funds advised by BC Partners, Inc., La Caisse de dépôt et placement du Québec, affiliates of GIC Special Investments Pte Ltd, affiliates of StepStone Group LP and, at all times after December 12, 2014, Longview Asset Management, LLC;</t>
        </is>
      </c>
    </row>
    <row r="35">
      <c r="A35" s="18" t="inlineStr">
        <is>
          <t>X-002</t>
        </is>
      </c>
      <c r="B35" s="18" t="inlineStr">
        <is>
          <t>The Parties to the Merger Agreement — Argos Holdings</t>
        </is>
      </c>
      <c r="C35" s="18" t="n">
        <v>1</v>
      </c>
      <c r="D35" s="6" t="inlineStr">
        <is>
          <t>Argos Holdings Inc. is a Delaware corporation. Argos Merger Sub Inc. is a Delaware corporation and a wholly owned subsidiary of Parent. Parent and Merger Sub are currently affiliates of funds advised by BC Partners, Inc. (“BC Partners”) and at the closing of the transactions contemplated by the merger agreement will be owned by the Buyer Group. Both Parent and Merger Sub were formed solely for the purpose of entering into the merger agreement and consummating the transactions contemplated by the merger agreement, and have not engaged in any business except for activities incidental to their formation and as contemplated by the merger agreement. See “ The Parties to the Merger Agreement — Argos Holdings Inc. and Argos Merger Sub Inc. ”</t>
        </is>
      </c>
    </row>
    <row r="36">
      <c r="A36" s="18" t="inlineStr">
        <is>
          <t>X-003</t>
        </is>
      </c>
      <c r="B36" s="18" t="inlineStr">
        <is>
          <t>Summary — merger consideration</t>
        </is>
      </c>
      <c r="C36" s="18" t="n">
        <v>2</v>
      </c>
      <c r="D36" s="6" t="inlineStr">
        <is>
          <t>The merger agreement provides that at the effective time of the merger each outstanding share of common stock (other than shares owned by the Company, any subsidiary of the Company, Parent, any direct or indirect holding company of Parent, Merger Sub and holders who are entitled to and properly exercise appraisal rights under Delaware law), will be converted into the right to receive $83.00 in cash (the “merger consideration”). Following the merger, the Company will therefore become a privately held company, wholly owned by Parent and the Company’s common stock will be delisted from NASDAQ and deregistered under the Securities Exchange Act of 1934, as amended. At the closing of the transactions contemplated by the merger agreement, Parent will be owned by the Buyer Group.</t>
        </is>
      </c>
    </row>
    <row r="37">
      <c r="A37" s="18" t="inlineStr">
        <is>
          <t>X-004</t>
        </is>
      </c>
      <c r="B37" s="18" t="inlineStr">
        <is>
          <t>Summary — record date and shares outstanding</t>
        </is>
      </c>
      <c r="C37" s="18" t="n">
        <v>2</v>
      </c>
      <c r="D37" s="6" t="inlineStr">
        <is>
          <t>The holders of record of the common stock as of the close of business on January 29, 2015 (the record date for determination of stockholders entitled to notice of and to vote at the special meeting), are entitled to receive notice of and to vote at the special meeting. As of the close of business on the record date, there were 99,455,151 shares of common stock outstanding.</t>
        </is>
      </c>
    </row>
    <row r="38">
      <c r="A38" s="18" t="inlineStr">
        <is>
          <t>X-005</t>
        </is>
      </c>
      <c r="B38" s="18" t="inlineStr">
        <is>
          <t>Summary — Longview voting agreement</t>
        </is>
      </c>
      <c r="C38" s="18" t="n">
        <v>2</v>
      </c>
      <c r="D38" s="6" t="inlineStr">
        <is>
          <t>On December 14, 2014, the Company entered into a voting agreement (the “voting agreement”) with Parent and Longview Asset Management, LLC (“Longview”), on behalf of Longview clients and certain related parties. Under the voting agreement, Longview agreed, among other things, to vote or cause to be voted 7,424,591 shares of common stock, which represent approximately 7.5% of the total outstanding shares of common stock as of the close of business on the record date, in favor of the adoption of the merger agreement, and against any other action, proposal, agreement or transaction made in opposition to or competition with the merger or the merger agreement that is not approved by the board. The voting agreement will terminate upon the earliest to occur of (i) the effective time of the merger, (ii) the termination of the merger agreement in accordance with its terms, (iii) the termination of the voting</t>
        </is>
      </c>
    </row>
    <row r="39">
      <c r="A39" s="18" t="inlineStr">
        <is>
          <t>X-006</t>
        </is>
      </c>
      <c r="B39" s="18" t="inlineStr">
        <is>
          <t>Summary — expected completion</t>
        </is>
      </c>
      <c r="C39" s="18" t="n">
        <v>3</v>
      </c>
      <c r="D39" s="6" t="inlineStr">
        <is>
          <t>We anticipate completing the merger in the first half of 2015, subject to the adoption of the merger agreement by the Company’s stockholders as specified herein and the satisfaction of the other closing conditions.</t>
        </is>
      </c>
    </row>
    <row r="40">
      <c r="A40" s="18" t="inlineStr">
        <is>
          <t>X-007</t>
        </is>
      </c>
      <c r="B40" s="18" t="inlineStr">
        <is>
          <t>Summary — debt financing</t>
        </is>
      </c>
      <c r="C40" s="18" t="n">
        <v>5</v>
      </c>
      <c r="D40" s="6" t="inlineStr">
        <is>
          <t>debt financing in an aggregate principal amount of up to approximately $6.2 billion as well as a $750 million senior secured asset-based revolving credit facility, a portion of which will be available at closing. Parent has received firm commitments from a consortium of financial institutions to provide the debt financing and revolving credit facility (see “ The Merger (Proposal 1) — Financing — Debt Financing ”);</t>
        </is>
      </c>
    </row>
    <row r="41">
      <c r="A41" s="18" t="inlineStr">
        <is>
          <t>X-008</t>
        </is>
      </c>
      <c r="B41" s="18" t="inlineStr">
        <is>
          <t>Summary — equity financing and rollover</t>
        </is>
      </c>
      <c r="C41" s="18" t="n">
        <v>5</v>
      </c>
      <c r="D41" s="6" t="inlineStr">
        <is>
          <t>cash equity investments by members of the Buyer Group (other than Longview) in an aggregate amount up to approximately $1.83 billion and Longview’s contribution to Parent of $250 million worth of the Company’s common stock immediately prior to the effective time of the merger. Parent has received equity commitments for the equity financing from the Buyer Group (other than Longview) and has entered into a rollover agreement with Longview with respect to its contribution of Company common stock to Parent (see “ The Merger (Proposal 1) — Financing — Equity Financing ”); and</t>
        </is>
      </c>
    </row>
    <row r="42">
      <c r="A42" s="18" t="inlineStr">
        <is>
          <t>X-009</t>
        </is>
      </c>
      <c r="B42" s="18" t="inlineStr">
        <is>
          <t>Summary — no financing condition</t>
        </is>
      </c>
      <c r="C42" s="18" t="n">
        <v>5</v>
      </c>
      <c r="D42" s="6" t="inlineStr">
        <is>
          <t>The consummation of the merger is not subject to a financing condition (although the funding of the debt and cash equity financing is subject to the satisfaction of the conditions set forth in the commitment letters under which the financing will be provided).</t>
        </is>
      </c>
    </row>
    <row r="43">
      <c r="A43" s="18" t="inlineStr">
        <is>
          <t>X-010</t>
        </is>
      </c>
      <c r="B43" s="18" t="inlineStr">
        <is>
          <t>Summary — termination fee commitment letters</t>
        </is>
      </c>
      <c r="C43" s="18" t="n">
        <v>5</v>
      </c>
      <c r="D43" s="6" t="inlineStr">
        <is>
          <t>Each of the members of the Buyer Group (other than Longview) has entered into a termination fee commitment letter with Parent and the Company and has agreed on a several basis, and subject to other terms and conditions of the termination fee commitment letters, to pay to the Company (or if consented to by the Company, to purchase common equity securities of Parent to enable Parent to pay to the Company) an amount equal to its portion of the $510 million Parent termination fee and certain expense reimbursement that may be payable by Parent under the merger agreement, if and when due under the merger agreement. See “ The Merger — Termination Fee Commitment Letters .”</t>
        </is>
      </c>
    </row>
    <row r="44">
      <c r="A44" s="18" t="inlineStr">
        <is>
          <t>X-011</t>
        </is>
      </c>
      <c r="B44" s="18" t="inlineStr">
        <is>
          <t>Questions and Answers — merger consideration</t>
        </is>
      </c>
      <c r="C44" s="18" t="n">
        <v>10</v>
      </c>
      <c r="D44" s="6" t="inlineStr">
        <is>
          <t>If the merger is completed, you will be entitled to receive $83.00 in cash, without interest and less any applicable withholding taxes, for each share of our common stock that you own. For example, if you own 100 shares of common stock, you will be entitled to receive $8,300 in cash in exchange for your shares of common stock, less any applicable withholding taxes. You will not be entitled to receive shares in the surviving corporation or in Parent.</t>
        </is>
      </c>
    </row>
    <row r="45">
      <c r="A45" s="18" t="inlineStr">
        <is>
          <t>X-012</t>
        </is>
      </c>
      <c r="B45" s="18" t="inlineStr">
        <is>
          <t>Questions and Answers — Longview voting agreement</t>
        </is>
      </c>
      <c r="C45" s="18" t="n">
        <v>11</v>
      </c>
      <c r="D45" s="6" t="inlineStr">
        <is>
          <t>In connection with the merger agreement, the Company, Parent and Longview entered into the voting agreement, pursuant to which Longview has agreed, among other things and subject to certain conditions, to vote 7,424,591 shares of common stock in favor of the merger proposal and against any proposal made in opposition to or in competition with the merger or the merger agreement that is not approved by the board.</t>
        </is>
      </c>
    </row>
    <row r="46">
      <c r="A46" s="18" t="inlineStr">
        <is>
          <t>X-013</t>
        </is>
      </c>
      <c r="B46" s="18" t="inlineStr">
        <is>
          <t>Questions and Answers — Longview ownership</t>
        </is>
      </c>
      <c r="C46" s="18" t="n">
        <v>11</v>
      </c>
      <c r="D46" s="6" t="inlineStr">
        <is>
          <t>As of the close of business on the record date, 7,424,591 shares of common stock represented approximately 7.5% of the total outstanding common stock on such date.</t>
        </is>
      </c>
    </row>
    <row r="47">
      <c r="A47" s="18" t="inlineStr">
        <is>
          <t>X-014</t>
        </is>
      </c>
      <c r="B47" s="18" t="inlineStr">
        <is>
          <t>Reasons for the Merger — stated premium</t>
        </is>
      </c>
      <c r="C47" s="18" t="n">
        <v>26</v>
      </c>
      <c r="D47" s="6" t="inlineStr">
        <is>
          <t>Attractive Value. The board considered the current and historical market prices of the common stock, including the market performance of the common stock relative to those of other participants in the Company’s industry and general market indices, and the fact that the merger consideration of $83.00 per share in cash represents an attractive premium to estimates of the Company’s unaffected stock price, including a premium of 38.8% to the Company’s stock price on July 2, 2014, the date on which a PetSmart stockholder disclosed its acquisition of a 9.9% stake in the Company and advocated publicly for the Company to explore strategic alternatives, including a sale of the Company.</t>
        </is>
      </c>
    </row>
    <row r="48">
      <c r="A48" s="18" t="inlineStr">
        <is>
          <t>X-015</t>
        </is>
      </c>
      <c r="B48" s="18" t="inlineStr">
        <is>
          <t>Reasons for the Merger — best alternative</t>
        </is>
      </c>
      <c r="C48" s="18" t="n">
        <v>27</v>
      </c>
      <c r="D48" s="6" t="inlineStr">
        <is>
          <t>Best Alternative for Maximizing Shareholder Value / Thorough and Well Publicized Sale Process. The board considered that the merger consideration of $83.00 in cash per share was more favorable to the Company’s stockholders than the potential value that might result from other alternatives reasonably available to the Company, including, but not limited to, a merger with a different buyer, a leveraged recapitalization, extraordinary dividends, stock repurchases and the continued operation of the Company on a stand-alone basis in light of a number of factors, including the following:</t>
        </is>
      </c>
    </row>
    <row r="49">
      <c r="A49" s="18" t="inlineStr">
        <is>
          <t>X-016</t>
        </is>
      </c>
      <c r="B49" s="18" t="inlineStr">
        <is>
          <t>Opinion of J.P. Morgan — fee</t>
        </is>
      </c>
      <c r="C49" s="18" t="n">
        <v>37</v>
      </c>
      <c r="D49" s="6" t="inlineStr">
        <is>
          <t>For services rendered in connection with the merger and the delivery of its opinion, the Company has agreed to pay J.P. Morgan an amount up to approximately $39 million, a substantial portion of which will become payable only if the merger is consummated. In addition, the Company has agreed to reimburse J.P. Morgan for its expenses incurred in connection with its services, including the fees and disbursements of counsel, and will indemnify J.P. Morgan against certain liabilities, including liabilities arising under the Federal securities laws.</t>
        </is>
      </c>
    </row>
    <row r="50">
      <c r="A50" s="18" t="inlineStr">
        <is>
          <t>X-017</t>
        </is>
      </c>
      <c r="B50" s="18" t="inlineStr">
        <is>
          <t>Financing — rollover agreement</t>
        </is>
      </c>
      <c r="C50" s="18" t="n">
        <v>41</v>
      </c>
      <c r="D50" s="6" t="inlineStr">
        <is>
          <t>On December 14, 2014, the Parent and Longview entered into a rollover agreement (the “rollover agreement”) under which Longview has agreed to contribute 3,012,050 shares (“rollover shares”) to Parent immediately prior to the effective time in exchange for equity interests in Parent. Longview’s obligation to transfer and contribute to Parent the rollover shares is subject to the satisfaction of the following conditions:</t>
        </is>
      </c>
    </row>
    <row r="51">
      <c r="A51" s="18" t="inlineStr">
        <is>
          <t>X-018</t>
        </is>
      </c>
      <c r="B51" s="18" t="inlineStr">
        <is>
          <t>Termination Fee Commitment Letters</t>
        </is>
      </c>
      <c r="C51" s="18" t="n">
        <v>44</v>
      </c>
      <c r="D51" s="6" t="inlineStr">
        <is>
          <t>Concurrently with the execution of the merger agreement, members of the Buyer Group (other than Longview) have also executed and delivered a termination fee commitment letter in favor of the Company (collectively, the “termination fee commitment letters”), pursuant to which members of the Buyer Group (other than Longview) severally agreed, subject to the terms and conditions of the termination fee commitment letters, to pay to the Company (or if consented to by the Company, to purchase common equity securities of Parent to enable Parent to pay to the Company) an amount equal to such members’ respective pro rata portion of the Parent termination fee and certain expense reimbursements (each as</t>
        </is>
      </c>
    </row>
    <row r="52">
      <c r="A52" s="18" t="inlineStr">
        <is>
          <t>X-019</t>
        </is>
      </c>
      <c r="B52" s="18" t="inlineStr">
        <is>
          <t>Termination Fee Commitment Letters — cap</t>
        </is>
      </c>
      <c r="C52" s="18" t="n">
        <v>45</v>
      </c>
      <c r="D52" s="6" t="inlineStr">
        <is>
          <t>described in more detail under “ The Merger Agreement — Termination Fees ” and “ The Merger Agreement — Reimbursement of Expenses ”), subject to an aggregate cap for all of the termination fee commitment letters equal to the Parent termination fee of $510 million.</t>
        </is>
      </c>
    </row>
    <row r="53">
      <c r="A53" s="18" t="inlineStr">
        <is>
          <t>X-020</t>
        </is>
      </c>
      <c r="B53" s="18" t="inlineStr">
        <is>
          <t>Termination Fees — Parent termination fee</t>
        </is>
      </c>
      <c r="C53" s="18" t="n">
        <v>72</v>
      </c>
      <c r="D53" s="6" t="inlineStr">
        <is>
          <t>Parent will pay to the Company a reverse termination fee of $510 million in cash (the “Parent termination fee”) in the event that (i) the Company terminates the merger agreement as a result of Parent’s or Merger Sub’s material breach or if the merger was not consummated by the second business day after it was required to have been consummated by Parent or (ii) either Parent or the Company terminates the merger agreement as a result of the end date being reached and at such time the Company could have terminated the merger agreement as described in the preceding clause (i).</t>
        </is>
      </c>
    </row>
    <row r="54">
      <c r="A54" s="18" t="inlineStr">
        <is>
          <t>X-021</t>
        </is>
      </c>
      <c r="B54" s="18" t="inlineStr">
        <is>
          <t>Market Price of the Company's Common Stock</t>
        </is>
      </c>
      <c r="C54" s="18" t="n">
        <v>76</v>
      </c>
      <c r="D54" s="6" t="inlineStr">
        <is>
          <t>The following table sets forth during the calendar periods indicated the high and low sales prices of common stock:</t>
        </is>
      </c>
    </row>
    <row r="55">
      <c r="A55" s="18" t="inlineStr">
        <is>
          <t>X-022</t>
        </is>
      </c>
      <c r="B55" s="18" t="inlineStr">
        <is>
          <t>Market Price — closing prices and benchmark</t>
        </is>
      </c>
      <c r="C55" s="18" t="n">
        <v>76</v>
      </c>
      <c r="D55" s="6" t="inlineStr">
        <is>
          <t>The closing sale price of our common stock on December 12, 2014, which was the last trading day before the merger was publicly announced, was $77.67 per share. On January 30, 2015, the most recent practicable date before this proxy statement was mailed to our stockholders, the closing price for our common stock was $81.71 per share. You are encouraged to obtain current market quotations for our common stock in connection with voting your shares of our common stock.</t>
        </is>
      </c>
    </row>
    <row r="56">
      <c r="A56" s="18" t="inlineStr">
        <is>
          <t>X-023</t>
        </is>
      </c>
      <c r="B56" s="18" t="inlineStr">
        <is>
          <t>Reasons for the Merger — positive factors list</t>
        </is>
      </c>
      <c r="C56" s="18" t="n">
        <v>13</v>
      </c>
      <c r="D56" s="6" t="inlineStr">
        <is>
          <t>​</t>
        </is>
      </c>
    </row>
  </sheetData>
  <autoFilter ref="A1:D5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M41"/>
  <sheetViews>
    <sheetView workbookViewId="0">
      <selection activeCell="A1" sqref="A1"/>
    </sheetView>
  </sheetViews>
  <sheetFormatPr baseColWidth="8" defaultRowHeight="15"/>
  <sheetData>
    <row r="1">
      <c r="A1" s="19" t="inlineStr">
        <is>
          <t>AI original baseline — PetSmart (PETM–Argos/BC Partners, 2014–15) — values-only copy on delivery (do not edit)</t>
        </is>
      </c>
    </row>
    <row r="2">
      <c r="A2" t="inlineStr">
        <is>
          <t>#</t>
        </is>
      </c>
      <c r="B2" t="inlineStr">
        <is>
          <t>When</t>
        </is>
      </c>
      <c r="C2" t="inlineStr">
        <is>
          <t>Who</t>
        </is>
      </c>
      <c r="D2" t="inlineStr">
        <is>
          <t>What happened</t>
        </is>
      </c>
      <c r="E2" t="inlineStr">
        <is>
          <t>Process</t>
        </is>
      </c>
      <c r="F2" t="inlineStr">
        <is>
          <t>Round</t>
        </is>
      </c>
      <c r="G2" t="inlineStr">
        <is>
          <t>Type</t>
        </is>
      </c>
      <c r="H2" t="inlineStr">
        <is>
          <t>Terms or outcome</t>
        </is>
      </c>
      <c r="I2" t="inlineStr">
        <is>
          <t>Formality</t>
        </is>
      </c>
      <c r="J2" t="inlineStr">
        <is>
          <t>Conditions level</t>
        </is>
      </c>
      <c r="K2" t="inlineStr">
        <is>
          <t>Why and evidence</t>
        </is>
      </c>
      <c r="L2" t="inlineStr">
        <is>
          <t>Source</t>
        </is>
      </c>
      <c r="M2" t="inlineStr">
        <is>
          <t>Review</t>
        </is>
      </c>
      <c r="N2" t="inlineStr">
        <is>
          <t>Reviewer note</t>
        </is>
      </c>
      <c r="O2" t="inlineStr">
        <is>
          <t>Row id</t>
        </is>
      </c>
      <c r="P2" t="inlineStr">
        <is>
          <t>Include</t>
        </is>
      </c>
      <c r="Q2" t="inlineStr">
        <is>
          <t>Count</t>
        </is>
      </c>
      <c r="R2" t="inlineStr">
        <is>
          <t>Date from</t>
        </is>
      </c>
      <c r="S2" t="inlineStr">
        <is>
          <t>Date to</t>
        </is>
      </c>
      <c r="T2" t="inlineStr">
        <is>
          <t>Working date</t>
        </is>
      </c>
      <c r="U2" t="inlineStr">
        <is>
          <t>Date basis</t>
        </is>
      </c>
      <c r="V2" t="inlineStr">
        <is>
          <t>Date method</t>
        </is>
      </c>
      <c r="W2" t="inlineStr">
        <is>
          <t>Price low</t>
        </is>
      </c>
      <c r="X2" t="inlineStr">
        <is>
          <t>Price high</t>
        </is>
      </c>
      <c r="Y2" t="inlineStr">
        <is>
          <t>Price kind</t>
        </is>
      </c>
      <c r="Z2" t="inlineStr">
        <is>
          <t>Price origin</t>
        </is>
      </c>
      <c r="AA2" t="inlineStr">
        <is>
          <t>Currency</t>
        </is>
      </c>
      <c r="AB2" t="inlineStr">
        <is>
          <t>All cash</t>
        </is>
      </c>
      <c r="AC2" t="inlineStr">
        <is>
          <t>Cash at closing</t>
        </is>
      </c>
      <c r="AD2" t="inlineStr">
        <is>
          <t>Conditions detail</t>
        </is>
      </c>
      <c r="AE2" t="inlineStr">
        <is>
          <t>Due date</t>
        </is>
      </c>
      <c r="AF2" t="inlineStr">
        <is>
          <t>Deadline treatment</t>
        </is>
      </c>
      <c r="AG2" t="inlineStr">
        <is>
          <t>Round finality</t>
        </is>
      </c>
      <c r="AH2" t="inlineStr">
        <is>
          <t>Decided by</t>
        </is>
      </c>
      <c r="AI2" t="inlineStr">
        <is>
          <t>Exit reason</t>
        </is>
      </c>
      <c r="AJ2" t="inlineStr">
        <is>
          <t>Outcome basis</t>
        </is>
      </c>
      <c r="AK2" t="inlineStr">
        <is>
          <t>Page</t>
        </is>
      </c>
      <c r="AL2" t="inlineStr">
        <is>
          <t>Related rows</t>
        </is>
      </c>
      <c r="AM2" t="inlineStr">
        <is>
          <t>Deal</t>
        </is>
      </c>
    </row>
    <row r="3">
      <c r="A3" t="n">
        <v>1</v>
      </c>
      <c r="B3" t="inlineStr">
        <is>
          <t>07/03/2014</t>
        </is>
      </c>
      <c r="C3" t="inlineStr">
        <is>
          <t>JANA Partners LLC</t>
        </is>
      </c>
      <c r="D3" t="inlineStr">
        <is>
          <t>Activist pressure</t>
        </is>
      </c>
      <c r="E3" t="n">
        <v>1</v>
      </c>
      <c r="F3" t="inlineStr">
        <is>
          <t>0</t>
        </is>
      </c>
      <c r="H3" t="inlineStr">
        <is>
          <t>JANA filed a Schedule 13D disclosing a 9.9% stake and an intent to discuss a review of strategic alternatives, including a sale of the Company; over July–August it filed amendments and public letters advocating a sale, and on 07/10/2014 its representatives met Company representatives in person and advocated a sale.</t>
        </is>
      </c>
      <c r="K3" t="inlineStr">
        <is>
          <t>Stated: "On July 3, 2014, JANA Partners filed a Schedule 13D with the SEC disclosing that JANA had acquired 9.9% of the Company’s outstanding common stock and that JANA intended to engage in discussions with management and the board with respect to a review of strategic alternatives, including a sale of the Company." (p.22)</t>
        </is>
      </c>
      <c r="M3" t="inlineStr">
        <is>
          <t>Q8</t>
        </is>
      </c>
      <c r="O3" t="inlineStr">
        <is>
          <t>R001</t>
        </is>
      </c>
      <c r="P3" t="inlineStr">
        <is>
          <t>Yes</t>
        </is>
      </c>
      <c r="R3" t="inlineStr">
        <is>
          <t>07/03/2014</t>
        </is>
      </c>
      <c r="S3" t="inlineStr">
        <is>
          <t>07/03/2014</t>
        </is>
      </c>
      <c r="T3" t="inlineStr">
        <is>
          <t>07/03/2014</t>
        </is>
      </c>
      <c r="U3" t="inlineStr">
        <is>
          <t>Reported day</t>
        </is>
      </c>
      <c r="V3" t="inlineStr">
        <is>
          <t>Reported</t>
        </is>
      </c>
      <c r="AK3" t="n">
        <v>22</v>
      </c>
      <c r="AM3" t="inlineStr">
        <is>
          <t>PetSmart</t>
        </is>
      </c>
    </row>
    <row r="4">
      <c r="A4" t="n">
        <v>2</v>
      </c>
      <c r="B4" t="inlineStr">
        <is>
          <t>07/07/2014</t>
        </is>
      </c>
      <c r="C4" t="inlineStr">
        <is>
          <t>Longview Asset Management, LLC</t>
        </is>
      </c>
      <c r="D4" t="inlineStr">
        <is>
          <t>Activist pressure</t>
        </is>
      </c>
      <c r="E4" t="n">
        <v>1</v>
      </c>
      <c r="F4" t="inlineStr">
        <is>
          <t>0</t>
        </is>
      </c>
      <c r="H4" t="inlineStr">
        <is>
          <t>Longview published a letter to the board stating the board should consider a sale and that, if a sale were determined to be in all stockholders’ interests, Longview would consider rolling part or all of its holdings into the acquirer’s equity rather than receiving cash, if necessary to complete a transaction. Longview reiterated its sale advocacy in a 07/10/2014 call.</t>
        </is>
      </c>
      <c r="K4" t="inlineStr">
        <is>
          <t>Stated: "On July 7, 2014, Longview made public a letter to the board in which Longview stated that the board should consider the a sale of the Company (as well as other strategic alternatives) and that should the board determine a sale transaction to be in the interests of all stockholders, Longview would consider, depending on the parties and terms involved, rolling part or all of its holdings into equity of the acquiring entity rather than receive cash consideration, should doing so prove necessary in order to enable the Company to complete a transaction." (p.22) (source wording retained).</t>
        </is>
      </c>
      <c r="M4" t="inlineStr">
        <is>
          <t>Q8</t>
        </is>
      </c>
      <c r="O4" t="inlineStr">
        <is>
          <t>R002</t>
        </is>
      </c>
      <c r="P4" t="inlineStr">
        <is>
          <t>Yes</t>
        </is>
      </c>
      <c r="R4" t="inlineStr">
        <is>
          <t>07/07/2014</t>
        </is>
      </c>
      <c r="S4" t="inlineStr">
        <is>
          <t>07/07/2014</t>
        </is>
      </c>
      <c r="T4" t="inlineStr">
        <is>
          <t>07/07/2014</t>
        </is>
      </c>
      <c r="U4" t="inlineStr">
        <is>
          <t>Reported day</t>
        </is>
      </c>
      <c r="V4" t="inlineStr">
        <is>
          <t>Reported</t>
        </is>
      </c>
      <c r="AK4" t="n">
        <v>22</v>
      </c>
      <c r="AM4" t="inlineStr">
        <is>
          <t>PetSmart</t>
        </is>
      </c>
    </row>
    <row r="5">
      <c r="A5" t="n">
        <v>3</v>
      </c>
      <c r="B5" t="inlineStr">
        <is>
          <t>08/07/2014</t>
        </is>
      </c>
      <c r="C5" t="inlineStr">
        <is>
          <t>Industry Participant (privately held)</t>
        </is>
      </c>
      <c r="D5" t="inlineStr">
        <is>
          <t>Bidder interest</t>
        </is>
      </c>
      <c r="E5" t="n">
        <v>1</v>
      </c>
      <c r="F5" t="inlineStr">
        <is>
          <t>0</t>
        </is>
      </c>
      <c r="G5" t="inlineStr">
        <is>
          <t>Strategic</t>
        </is>
      </c>
      <c r="H5" t="inlineStr">
        <is>
          <t>A representative of Industry Participant called J.P. Morgan to say that if the Company were to pursue strategic alternatives, Industry Participant might be interested in revisiting the Spring 2014 conversations about a possible combination. Background: in March 2014 the board had authorized management to explore a merger with or acquisition of Industry Participant; its CEO said it was not for sale and raised antitrust clearance concerns. Unpriced interest; reported to the ad hoc committee.</t>
        </is>
      </c>
      <c r="K5" t="inlineStr">
        <is>
          <t>Stated: "The Industry Participant representative indicated that she had heard rumors that J.P. Morgan was working with the Company and wanted to inform J.P. Morgan that, if the Company were to pursue strategic alternatives, Industry Participant might be interested in re-visiting the conversations that had taken place in the Spring concerning the feasibility of a possible combination of the two Companies." (p.22)</t>
        </is>
      </c>
      <c r="M5" t="inlineStr">
        <is>
          <t>Q4; Q8</t>
        </is>
      </c>
      <c r="O5" t="inlineStr">
        <is>
          <t>R003</t>
        </is>
      </c>
      <c r="P5" t="inlineStr">
        <is>
          <t>Yes</t>
        </is>
      </c>
      <c r="R5" t="inlineStr">
        <is>
          <t>08/07/2014</t>
        </is>
      </c>
      <c r="S5" t="inlineStr">
        <is>
          <t>08/07/2014</t>
        </is>
      </c>
      <c r="T5" t="inlineStr">
        <is>
          <t>08/07/2014</t>
        </is>
      </c>
      <c r="U5" t="inlineStr">
        <is>
          <t>Reported day</t>
        </is>
      </c>
      <c r="V5" t="inlineStr">
        <is>
          <t>Reported</t>
        </is>
      </c>
      <c r="AK5" t="n">
        <v>22</v>
      </c>
      <c r="AM5" t="inlineStr">
        <is>
          <t>PetSmart</t>
        </is>
      </c>
    </row>
    <row r="6">
      <c r="A6" t="n">
        <v>4</v>
      </c>
      <c r="B6" t="inlineStr">
        <is>
          <t>08/13/2014</t>
        </is>
      </c>
      <c r="C6" t="inlineStr">
        <is>
          <t>PetSmart (Board)</t>
        </is>
      </c>
      <c r="D6" t="inlineStr">
        <is>
          <t>Target sale decision</t>
        </is>
      </c>
      <c r="E6" t="n">
        <v>1</v>
      </c>
      <c r="F6" t="inlineStr">
        <is>
          <t>0</t>
        </is>
      </c>
      <c r="H6" t="inlineStr">
        <is>
          <t>Board determined to explore strategic alternatives, including a possible sale, to maximize stockholder value; instructed management to plan the Profit Improvement Plan; authorized the ad hoc committee (Josefowicz, Gangwal, Stemberg) to oversee the sale exploration and direct negotiations; planned J.P. Morgan contacts for late September/early October and a public announcement; discussed and weighed the antitrust, information and delay risks of inviting Industry Participant.</t>
        </is>
      </c>
      <c r="K6" t="inlineStr">
        <is>
          <t>Stated: "the board (1) determined to explore strategic alternatives (including a possible sale of the Company) for the Company to maximize value for stockholders including by commencing a process to determine the potential value that could be achieved via a sale of the Company; (2) instructed management to commence intensive planning for a cost-reduction and profit-improvement plan" and "(3) authorized the ad hoc committee to oversee the sale exploration process" (p.22).</t>
        </is>
      </c>
      <c r="M6" t="inlineStr">
        <is>
          <t>Q1</t>
        </is>
      </c>
      <c r="O6" t="inlineStr">
        <is>
          <t>R004</t>
        </is>
      </c>
      <c r="P6" t="inlineStr">
        <is>
          <t>Yes</t>
        </is>
      </c>
      <c r="R6" t="inlineStr">
        <is>
          <t>08/13/2014</t>
        </is>
      </c>
      <c r="S6" t="inlineStr">
        <is>
          <t>08/13/2014</t>
        </is>
      </c>
      <c r="T6" t="inlineStr">
        <is>
          <t>08/13/2014</t>
        </is>
      </c>
      <c r="U6" t="inlineStr">
        <is>
          <t>Reported day</t>
        </is>
      </c>
      <c r="V6" t="inlineStr">
        <is>
          <t>Reported</t>
        </is>
      </c>
      <c r="AK6" t="n">
        <v>22</v>
      </c>
      <c r="AM6" t="inlineStr">
        <is>
          <t>PetSmart</t>
        </is>
      </c>
    </row>
    <row r="7">
      <c r="A7" t="n">
        <v>5</v>
      </c>
      <c r="B7" t="inlineStr">
        <is>
          <t>middle of August–end of October 2014</t>
        </is>
      </c>
      <c r="C7" t="inlineStr">
        <is>
          <t>J.P. Morgan / 27 potential participants (3 strategic; 24 financial)</t>
        </is>
      </c>
      <c r="D7" t="inlineStr">
        <is>
          <t>Contact</t>
        </is>
      </c>
      <c r="E7" t="n">
        <v>1</v>
      </c>
      <c r="F7" t="inlineStr">
        <is>
          <t>0</t>
        </is>
      </c>
      <c r="H7" t="inlineStr">
        <is>
          <t>Inbound interest during process preparation: J.P. Morgan was contacted by 27 potential participants (three strategic parties, not counting Industry Participant, and 24 financial participants including potential lead buyers and large equity suppliers); by 10/03/2014 about 15 had expressed interest in participating. Direction: participant-initiated. No individual contact dates are disclosed; six of these parties later submitted IOIs.</t>
        </is>
      </c>
      <c r="K7" t="inlineStr">
        <is>
          <t>Stated: "During this period, J.P. Morgan was contacted by 27 potential participants in a sale process, including three strategic parties (not counting Industry Participant) and 24 financial participants (including potential lead buyers as well as large suppliers of equity capital to lead buyers)." (p.23)</t>
        </is>
      </c>
      <c r="M7" t="inlineStr">
        <is>
          <t>Q3</t>
        </is>
      </c>
      <c r="O7" t="inlineStr">
        <is>
          <t>R005</t>
        </is>
      </c>
      <c r="P7" t="inlineStr">
        <is>
          <t>Yes</t>
        </is>
      </c>
      <c r="Q7" t="n">
        <v>27</v>
      </c>
      <c r="R7" t="inlineStr">
        <is>
          <t>08/13/2014</t>
        </is>
      </c>
      <c r="S7" t="inlineStr">
        <is>
          <t>10/31/2014</t>
        </is>
      </c>
      <c r="T7" t="inlineStr">
        <is>
          <t>08/13/2014</t>
        </is>
      </c>
      <c r="U7" t="inlineStr">
        <is>
          <t>Approximate window</t>
        </is>
      </c>
      <c r="V7" t="inlineStr">
        <is>
          <t>Assigned: bound</t>
        </is>
      </c>
      <c r="AK7" t="n">
        <v>23</v>
      </c>
      <c r="AM7" t="inlineStr">
        <is>
          <t>PetSmart</t>
        </is>
      </c>
    </row>
    <row r="8">
      <c r="A8" t="n">
        <v>6</v>
      </c>
      <c r="B8" t="inlineStr">
        <is>
          <t>08/19/2014</t>
        </is>
      </c>
      <c r="C8" t="inlineStr">
        <is>
          <t>PetSmart / media</t>
        </is>
      </c>
      <c r="D8" t="inlineStr">
        <is>
          <t>Sale process announced</t>
        </is>
      </c>
      <c r="E8" t="n">
        <v>1</v>
      </c>
      <c r="F8" t="inlineStr">
        <is>
          <t>0</t>
        </is>
      </c>
      <c r="H8" t="inlineStr">
        <is>
          <t>Concurrent with its second quarter earnings announcement, the Company issued a press release announcing that it had determined to explore strategic alternatives, including a possible sale, to maximize stockholder value. Issuer: PetSmart; public disclosure by press release.</t>
        </is>
      </c>
      <c r="K8" t="inlineStr">
        <is>
          <t>Stated: "On August 19, 2014, concurrent with its second quarter earnings announcement, the Company issued a press release announcing that it determined to explore strategic alternatives for the Company to maximize value for stockholders, including a possible sale of the Company." (p.23)</t>
        </is>
      </c>
      <c r="M8" t="inlineStr">
        <is>
          <t>Q1</t>
        </is>
      </c>
      <c r="O8" t="inlineStr">
        <is>
          <t>R006</t>
        </is>
      </c>
      <c r="P8" t="inlineStr">
        <is>
          <t>Yes</t>
        </is>
      </c>
      <c r="R8" t="inlineStr">
        <is>
          <t>08/19/2014</t>
        </is>
      </c>
      <c r="S8" t="inlineStr">
        <is>
          <t>08/19/2014</t>
        </is>
      </c>
      <c r="T8" t="inlineStr">
        <is>
          <t>08/19/2014</t>
        </is>
      </c>
      <c r="U8" t="inlineStr">
        <is>
          <t>Reported day</t>
        </is>
      </c>
      <c r="V8" t="inlineStr">
        <is>
          <t>Reported</t>
        </is>
      </c>
      <c r="AK8" t="n">
        <v>23</v>
      </c>
      <c r="AM8" t="inlineStr">
        <is>
          <t>PetSmart</t>
        </is>
      </c>
    </row>
    <row r="9">
      <c r="A9" t="n">
        <v>7</v>
      </c>
      <c r="B9" t="inlineStr">
        <is>
          <t>08/22/2014–08/27/2014</t>
        </is>
      </c>
      <c r="C9" t="inlineStr">
        <is>
          <t>PetSmart (ad hoc committee) / Industry Participant</t>
        </is>
      </c>
      <c r="D9" t="inlineStr">
        <is>
          <t>Target decision</t>
        </is>
      </c>
      <c r="E9" t="n">
        <v>1</v>
      </c>
      <c r="F9" t="inlineStr">
        <is>
          <t>0</t>
        </is>
      </c>
      <c r="G9" t="inlineStr">
        <is>
          <t>Strategic</t>
        </is>
      </c>
      <c r="H9" t="inlineStr">
        <is>
          <t>Industry Participant was told it would not be invited into the exploratory process, because the board judged an acquisition by or combination with it very unlikely to obtain antitrust clearance without unacceptable conditions and likely to disrupt the process; J.P. Morgan said the board would consider a proposal or other communication if Industry Participant wished to submit one. Industry Participant expressed interest in a combination on the 08/27/2014 call. No contact since 08/27/2014; it never entered the process, so no participation-outcome row is created.</t>
        </is>
      </c>
      <c r="K9" t="inlineStr">
        <is>
          <t>Stated: "The J.P. Morgan representative stated that Industry Participant would not be invited into the exploratory process, but that if Industry Participant were to wish to submit a proposal or other communication to the Company, the board would consider it." and "There has been no contact between PetSmart and Industry Participant (or between any of their respective representatives) since August 27, 2014." (p.23)</t>
        </is>
      </c>
      <c r="M9" t="inlineStr">
        <is>
          <t>Q4; Q8</t>
        </is>
      </c>
      <c r="O9" t="inlineStr">
        <is>
          <t>R007</t>
        </is>
      </c>
      <c r="P9" t="inlineStr">
        <is>
          <t>Yes</t>
        </is>
      </c>
      <c r="R9" t="inlineStr">
        <is>
          <t>08/22/2014</t>
        </is>
      </c>
      <c r="S9" t="inlineStr">
        <is>
          <t>08/27/2014</t>
        </is>
      </c>
      <c r="T9" t="inlineStr">
        <is>
          <t>08/22/2014</t>
        </is>
      </c>
      <c r="U9" t="inlineStr">
        <is>
          <t>Reported interval</t>
        </is>
      </c>
      <c r="V9" t="inlineStr">
        <is>
          <t>Assigned: bound</t>
        </is>
      </c>
      <c r="AK9" t="n">
        <v>23</v>
      </c>
      <c r="AM9" t="inlineStr">
        <is>
          <t>PetSmart</t>
        </is>
      </c>
    </row>
    <row r="10">
      <c r="A10" t="n">
        <v>8</v>
      </c>
      <c r="B10" t="inlineStr">
        <is>
          <t>first week of October 2014</t>
        </is>
      </c>
      <c r="C10" t="inlineStr">
        <is>
          <t>15 financial NDA signers</t>
        </is>
      </c>
      <c r="D10" t="inlineStr">
        <is>
          <t>NDA signed</t>
        </is>
      </c>
      <c r="E10" t="n">
        <v>1</v>
      </c>
      <c r="F10" t="inlineStr">
        <is>
          <t>1</t>
        </is>
      </c>
      <c r="G10" t="inlineStr">
        <is>
          <t>Financial</t>
        </is>
      </c>
      <c r="H10" t="inlineStr">
        <is>
          <t>The Company entered confidentiality and standstill agreements with 15 potentially interested financial buyers; during October all 15 engaged in due diligence, received management presentations involving senior management and received detailed financial and business-plan information, including the Profit Improvement Plan and associated cost-saving plans and opportunities. Individual signing dates are not disclosed.</t>
        </is>
      </c>
      <c r="K10" t="inlineStr">
        <is>
          <t>Stated: "In the first week of October 2014, the Company entered into confidentiality and standstill agreements with 15 potentially interested financial buyers, all 15 of which, during the month of October engaged in due diligence, received management presentations involving the Company’s senior-most management, and received detailed financial and business plan information, including detailed information concerning the Profit Improvement Plan and associated cost-saving plans and opportunities." (p.23)</t>
        </is>
      </c>
      <c r="M10" t="inlineStr">
        <is>
          <t>Q3</t>
        </is>
      </c>
      <c r="O10" t="inlineStr">
        <is>
          <t>R008</t>
        </is>
      </c>
      <c r="P10" t="inlineStr">
        <is>
          <t>Yes</t>
        </is>
      </c>
      <c r="Q10" t="n">
        <v>15</v>
      </c>
      <c r="R10" t="inlineStr">
        <is>
          <t>10/01/2014</t>
        </is>
      </c>
      <c r="S10" t="inlineStr">
        <is>
          <t>10/07/2014</t>
        </is>
      </c>
      <c r="T10" t="inlineStr">
        <is>
          <t>10/01/2014</t>
        </is>
      </c>
      <c r="U10" t="inlineStr">
        <is>
          <t>Approximate window</t>
        </is>
      </c>
      <c r="V10" t="inlineStr">
        <is>
          <t>Assigned: bound</t>
        </is>
      </c>
      <c r="AK10" t="n">
        <v>23</v>
      </c>
      <c r="AM10" t="inlineStr">
        <is>
          <t>PetSmart</t>
        </is>
      </c>
    </row>
    <row r="11">
      <c r="A11" t="n">
        <v>9</v>
      </c>
      <c r="B11" t="inlineStr">
        <is>
          <t>first week of October 2014</t>
        </is>
      </c>
      <c r="C11" t="inlineStr">
        <is>
          <t>PetSmart / J.P. Morgan</t>
        </is>
      </c>
      <c r="D11" t="inlineStr">
        <is>
          <t>Round opened</t>
        </is>
      </c>
      <c r="E11" t="n">
        <v>1</v>
      </c>
      <c r="F11" t="inlineStr">
        <is>
          <t>1</t>
        </is>
      </c>
      <c r="H11" t="inlineStr">
        <is>
          <t>R1 anchor: the confidentiality-agreement wave admitting the 15 financial buyers (first week of October 2014) (R008) — the first target-organized step that admitted participants; the filing reports no dated target outreach wave (the 27 parties contacted J.P. Morgan on their own initiative). Other candidate anchors kept as rows: R004 (08/13/2014 board decision), R006 (08/19/2014 public announcement) and R010 (10/03/2014 board update). Objective: diligence, management presentations and non-binding IOIs. Finality: Not final — non-binding preliminary indications of interest.</t>
        </is>
      </c>
      <c r="K11" t="inlineStr">
        <is>
          <t>Stated: the Company "entered into confidentiality and standstill agreements with 15 potentially interested financial buyers" (p.23) and "the potential bidders were informed that non-binding preliminary indications of interest would be due on October 30, 2014" (p.23). Anchor convention under section 6.3 for participant-initiated processes.</t>
        </is>
      </c>
      <c r="M11" t="inlineStr">
        <is>
          <t>Q1</t>
        </is>
      </c>
      <c r="O11" t="inlineStr">
        <is>
          <t>R009</t>
        </is>
      </c>
      <c r="P11" t="inlineStr">
        <is>
          <t>Yes</t>
        </is>
      </c>
      <c r="R11" t="inlineStr">
        <is>
          <t>10/01/2014</t>
        </is>
      </c>
      <c r="S11" t="inlineStr">
        <is>
          <t>10/07/2014</t>
        </is>
      </c>
      <c r="T11" t="inlineStr">
        <is>
          <t>10/01/2014</t>
        </is>
      </c>
      <c r="U11" t="inlineStr">
        <is>
          <t>Approximate window</t>
        </is>
      </c>
      <c r="V11" t="inlineStr">
        <is>
          <t>Assigned: bound</t>
        </is>
      </c>
      <c r="AG11" t="inlineStr">
        <is>
          <t>Not final</t>
        </is>
      </c>
      <c r="AK11" t="n">
        <v>23</v>
      </c>
      <c r="AM11" t="inlineStr">
        <is>
          <t>PetSmart</t>
        </is>
      </c>
    </row>
    <row r="12">
      <c r="A12" t="n">
        <v>10</v>
      </c>
      <c r="B12" t="inlineStr">
        <is>
          <t>10/03/2014</t>
        </is>
      </c>
      <c r="C12" t="inlineStr">
        <is>
          <t>PetSmart (Board)</t>
        </is>
      </c>
      <c r="D12" t="inlineStr">
        <is>
          <t>Target decision</t>
        </is>
      </c>
      <c r="E12" t="n">
        <v>1</v>
      </c>
      <c r="F12" t="inlineStr">
        <is>
          <t>0</t>
        </is>
      </c>
      <c r="H12" t="inlineStr">
        <is>
          <t>Regularly scheduled board meeting: updated on the completed Profit Improvement Plan and on communications with the 27 potentially interested parties and Industry Participant since 08/13/2014; informed that approximately 15 parties had expressed interest; reaffirmed the determination not to invite Industry Participant for the reasons discussed in August. Candidate round-1 anchor (not used).</t>
        </is>
      </c>
      <c r="K12" t="inlineStr">
        <is>
          <t>Stated: "the board was informed that approximately 15 parties had expressed interest in participating in the process. In addition, at this meeting, in consultation with its financial and legal advisors, the board reviewed and, for the reasons discussed in August, reaffirmed the determination not to invite Industry Participant to participate in the sale process." (p.23)</t>
        </is>
      </c>
      <c r="M12" t="inlineStr">
        <is>
          <t>Q1</t>
        </is>
      </c>
      <c r="O12" t="inlineStr">
        <is>
          <t>R010</t>
        </is>
      </c>
      <c r="P12" t="inlineStr">
        <is>
          <t>Yes</t>
        </is>
      </c>
      <c r="R12" t="inlineStr">
        <is>
          <t>10/03/2014</t>
        </is>
      </c>
      <c r="S12" t="inlineStr">
        <is>
          <t>10/03/2014</t>
        </is>
      </c>
      <c r="T12" t="inlineStr">
        <is>
          <t>10/03/2014</t>
        </is>
      </c>
      <c r="U12" t="inlineStr">
        <is>
          <t>Reported day</t>
        </is>
      </c>
      <c r="V12" t="inlineStr">
        <is>
          <t>Reported</t>
        </is>
      </c>
      <c r="AK12" t="n">
        <v>23</v>
      </c>
      <c r="AM12" t="inlineStr">
        <is>
          <t>PetSmart</t>
        </is>
      </c>
    </row>
    <row r="13">
      <c r="A13" t="n">
        <v>11</v>
      </c>
      <c r="B13" t="inlineStr">
        <is>
          <t>October 2014</t>
        </is>
      </c>
      <c r="C13" t="inlineStr">
        <is>
          <t>Longview / PetSmart</t>
        </is>
      </c>
      <c r="D13" t="inlineStr">
        <is>
          <t>Material process update</t>
        </is>
      </c>
      <c r="E13" t="n">
        <v>1</v>
      </c>
      <c r="F13" t="inlineStr">
        <is>
          <t>1</t>
        </is>
      </c>
      <c r="H13" t="inlineStr">
        <is>
          <t>Rollover relationship offered: Longview informed the Company it was willing to "roll-over" up to 7.5 million shares on terms and price acceptable to Longview (such shares would not receive cash merger consideration but would remain outstanding as equity in PetSmart or the buyer’s vehicle if a bidder so desired); bidders were asked to indicate interest in Longview participation, which was not a condition to participation.</t>
        </is>
      </c>
      <c r="K13" t="inlineStr">
        <is>
          <t>Stated: "The potential bidders were also informed that Longview had informed the Company that it would be willing to “roll-over” up to 7.5 million shares on terms and price acceptable to Longview" and "The Company requested that, in connection with their preliminary indications of interest, the bidders should indicate their interest, if any, in participation by Longview, but that such interest was not a condition to participation in the process." (pp.23–24)</t>
        </is>
      </c>
      <c r="M13" t="inlineStr">
        <is>
          <t>Q6; Q8</t>
        </is>
      </c>
      <c r="O13" t="inlineStr">
        <is>
          <t>R011</t>
        </is>
      </c>
      <c r="P13" t="inlineStr">
        <is>
          <t>Yes</t>
        </is>
      </c>
      <c r="R13" t="inlineStr">
        <is>
          <t>10/01/2014</t>
        </is>
      </c>
      <c r="S13" t="inlineStr">
        <is>
          <t>10/31/2014</t>
        </is>
      </c>
      <c r="T13" t="inlineStr">
        <is>
          <t>10/15/2014</t>
        </is>
      </c>
      <c r="U13" t="inlineStr">
        <is>
          <t>Approximate window</t>
        </is>
      </c>
      <c r="V13" t="inlineStr">
        <is>
          <t>Assigned: midpoint</t>
        </is>
      </c>
      <c r="AK13" t="n">
        <v>23</v>
      </c>
      <c r="AM13" t="inlineStr">
        <is>
          <t>PetSmart</t>
        </is>
      </c>
    </row>
    <row r="14">
      <c r="A14" t="n">
        <v>12</v>
      </c>
      <c r="B14" t="inlineStr">
        <is>
          <t>October 2014 (day not disclosed)</t>
        </is>
      </c>
      <c r="C14" t="inlineStr">
        <is>
          <t>PetSmart / J.P. Morgan</t>
        </is>
      </c>
      <c r="D14" t="inlineStr">
        <is>
          <t>Deadline set</t>
        </is>
      </c>
      <c r="E14" t="n">
        <v>1</v>
      </c>
      <c r="F14" t="inlineStr">
        <is>
          <t>1</t>
        </is>
      </c>
      <c r="H14" t="inlineStr">
        <is>
          <t>Potential bidders were informed that non-binding preliminary indications of interest would be due on 10/30/2014. Communication day is not disclosed; Working date is the only supported bound.</t>
        </is>
      </c>
      <c r="K14" t="inlineStr">
        <is>
          <t>Stated: "During October, the potential bidders were informed that non-binding preliminary indications of interest would be due on October 30, 2014." (p.23)</t>
        </is>
      </c>
      <c r="M14" t="inlineStr">
        <is>
          <t>Q2</t>
        </is>
      </c>
      <c r="O14" t="inlineStr">
        <is>
          <t>R012</t>
        </is>
      </c>
      <c r="P14" t="inlineStr">
        <is>
          <t>Yes</t>
        </is>
      </c>
      <c r="S14" t="inlineStr">
        <is>
          <t>10/30/2014</t>
        </is>
      </c>
      <c r="T14" t="inlineStr">
        <is>
          <t>10/30/2014</t>
        </is>
      </c>
      <c r="U14" t="inlineStr">
        <is>
          <t>Relative only</t>
        </is>
      </c>
      <c r="V14" t="inlineStr">
        <is>
          <t>Assigned: bound</t>
        </is>
      </c>
      <c r="AK14" t="n">
        <v>23</v>
      </c>
      <c r="AM14" t="inlineStr">
        <is>
          <t>PetSmart</t>
        </is>
      </c>
    </row>
    <row r="15">
      <c r="A15" t="n">
        <v>13</v>
      </c>
      <c r="B15" t="inlineStr">
        <is>
          <t>10/30/2014</t>
        </is>
      </c>
      <c r="C15" t="inlineStr">
        <is>
          <t>PetSmart / J.P. Morgan</t>
        </is>
      </c>
      <c r="D15" t="inlineStr">
        <is>
          <t>Deadline</t>
        </is>
      </c>
      <c r="E15" t="n">
        <v>1</v>
      </c>
      <c r="F15" t="inlineStr">
        <is>
          <t>1</t>
        </is>
      </c>
      <c r="H15" t="inlineStr">
        <is>
          <t>Preliminary IOI due date reached. Treatment: Enforced — six IOIs were received and the board proceeded on 11/03/2014 to select four bidders at or above $80.00 for the final round. J.P. Morgan’s calls with all parties (including non-submitters) on 10/30–11/02/2014 are the round’s continuing negotiation; Bidder 2’s increase from $78.00 was solicited in those calls and is not treated as late acceptance.</t>
        </is>
      </c>
      <c r="K15" t="inlineStr">
        <is>
          <t>Stated: "On October 30, six of the potentially interested parties submitted indications of interest." (p.24) and the board selected the finalists on 11/03/2014 (p.24).</t>
        </is>
      </c>
      <c r="M15" t="inlineStr">
        <is>
          <t>Q2</t>
        </is>
      </c>
      <c r="O15" t="inlineStr">
        <is>
          <t>R013</t>
        </is>
      </c>
      <c r="P15" t="inlineStr">
        <is>
          <t>Yes</t>
        </is>
      </c>
      <c r="R15" t="inlineStr">
        <is>
          <t>10/30/2014</t>
        </is>
      </c>
      <c r="S15" t="inlineStr">
        <is>
          <t>10/30/2014</t>
        </is>
      </c>
      <c r="T15" t="inlineStr">
        <is>
          <t>10/30/2014</t>
        </is>
      </c>
      <c r="U15" t="inlineStr">
        <is>
          <t>Reported day</t>
        </is>
      </c>
      <c r="V15" t="inlineStr">
        <is>
          <t>Reported</t>
        </is>
      </c>
      <c r="AE15" t="inlineStr">
        <is>
          <t>10/30/2014</t>
        </is>
      </c>
      <c r="AF15" t="inlineStr">
        <is>
          <t>Enforced</t>
        </is>
      </c>
      <c r="AK15" t="n">
        <v>24</v>
      </c>
      <c r="AM15" t="inlineStr">
        <is>
          <t>PetSmart</t>
        </is>
      </c>
    </row>
    <row r="16">
      <c r="A16" t="n">
        <v>14</v>
      </c>
      <c r="B16" t="inlineStr">
        <is>
          <t>10/30/2014</t>
        </is>
      </c>
      <c r="C16" t="inlineStr">
        <is>
          <t>Buyer Group</t>
        </is>
      </c>
      <c r="D16" t="inlineStr">
        <is>
          <t>Bid</t>
        </is>
      </c>
      <c r="E16" t="n">
        <v>1</v>
      </c>
      <c r="F16" t="inlineStr">
        <is>
          <t>1</t>
        </is>
      </c>
      <c r="G16" t="inlineStr">
        <is>
          <t>Financial</t>
        </is>
      </c>
      <c r="H16" t="inlineStr">
        <is>
          <t>Preliminary indication of interest at $81.00 to $83.00 per share. Buyer Group = a consortium of funds advised by BC Partners, La Caisse de dépôt et placement du Québec, affiliates of GIC Special Investments and affiliates of StepStone (Longview joined the defined group after 12/12/2014).</t>
        </is>
      </c>
      <c r="I16" t="inlineStr">
        <is>
          <t>Informal</t>
        </is>
      </c>
      <c r="J16" t="inlineStr">
        <is>
          <t>Insufficient evidence</t>
        </is>
      </c>
      <c r="K16" t="inlineStr">
        <is>
          <t>Stated: "Three bidders initially indicated price ranges that reached at least $80.00 per share, including the Buyer Group, which indicated a range of $81.00 to $83.00 per share" (p.24). Formality: Informal — preliminary non-binding indication, no transaction-document markup at this stage. Conditions: Insufficient evidence — no financing, diligence or other condition is reported; the bidders had completed a month of diligence, so the before-diligence Heavy default does not apply.</t>
        </is>
      </c>
      <c r="M16" t="inlineStr">
        <is>
          <t>Q5; Q6</t>
        </is>
      </c>
      <c r="O16" t="inlineStr">
        <is>
          <t>R014</t>
        </is>
      </c>
      <c r="P16" t="inlineStr">
        <is>
          <t>Yes</t>
        </is>
      </c>
      <c r="Q16" t="n">
        <v>1</v>
      </c>
      <c r="R16" t="inlineStr">
        <is>
          <t>10/30/2014</t>
        </is>
      </c>
      <c r="S16" t="inlineStr">
        <is>
          <t>10/30/2014</t>
        </is>
      </c>
      <c r="T16" t="inlineStr">
        <is>
          <t>10/30/2014</t>
        </is>
      </c>
      <c r="U16" t="inlineStr">
        <is>
          <t>Reported day</t>
        </is>
      </c>
      <c r="V16" t="inlineStr">
        <is>
          <t>Reported</t>
        </is>
      </c>
      <c r="W16" t="n">
        <v>81</v>
      </c>
      <c r="X16" t="n">
        <v>83</v>
      </c>
      <c r="Y16" t="inlineStr">
        <is>
          <t>Bidder range</t>
        </is>
      </c>
      <c r="Z16" t="inlineStr">
        <is>
          <t>Stated</t>
        </is>
      </c>
      <c r="AA16" t="inlineStr">
        <is>
          <t>USD</t>
        </is>
      </c>
      <c r="AB16" t="inlineStr">
        <is>
          <t>Yes</t>
        </is>
      </c>
      <c r="AD16" t="inlineStr">
        <is>
          <t>Fin: not stated; DD required: not stated; DD open: no; Excl: not stated</t>
        </is>
      </c>
      <c r="AK16" t="n">
        <v>24</v>
      </c>
      <c r="AM16" t="inlineStr">
        <is>
          <t>PetSmart</t>
        </is>
      </c>
    </row>
    <row r="17">
      <c r="A17" t="n">
        <v>15</v>
      </c>
      <c r="B17" t="inlineStr">
        <is>
          <t>10/30/2014</t>
        </is>
      </c>
      <c r="C17" t="inlineStr">
        <is>
          <t>Anonymous bidder A ("another bidder")</t>
        </is>
      </c>
      <c r="D17" t="inlineStr">
        <is>
          <t>Bid</t>
        </is>
      </c>
      <c r="E17" t="n">
        <v>1</v>
      </c>
      <c r="F17" t="inlineStr">
        <is>
          <t>1</t>
        </is>
      </c>
      <c r="G17" t="inlineStr">
        <is>
          <t>Financial</t>
        </is>
      </c>
      <c r="H17" t="inlineStr">
        <is>
          <t>Preliminary indication of interest at $80.00 to $85.00 per share. Named only as "another bidder" in the filing; whether it is one of the two bidders that later combined as Bidder 3 is not established.</t>
        </is>
      </c>
      <c r="I17" t="inlineStr">
        <is>
          <t>Informal</t>
        </is>
      </c>
      <c r="J17" t="inlineStr">
        <is>
          <t>Insufficient evidence</t>
        </is>
      </c>
      <c r="K17" t="inlineStr">
        <is>
          <t>Stated: "Three bidders initially indicated price ranges that reached at least $80.00 per share, including the Buyer Group, which indicated a range of $81.00 to $83.00 per share" and "another bidder, which suggested a range of $80.00 to $85.00 per share." (p.24) Formality: Informal. Conditions: Insufficient evidence (nothing reported on financing or diligence conditions after a month of diligence).</t>
        </is>
      </c>
      <c r="M17" t="inlineStr">
        <is>
          <t>Q3; Q5; Q6</t>
        </is>
      </c>
      <c r="O17" t="inlineStr">
        <is>
          <t>R015</t>
        </is>
      </c>
      <c r="P17" t="inlineStr">
        <is>
          <t>Yes</t>
        </is>
      </c>
      <c r="Q17" t="n">
        <v>1</v>
      </c>
      <c r="R17" t="inlineStr">
        <is>
          <t>10/30/2014</t>
        </is>
      </c>
      <c r="S17" t="inlineStr">
        <is>
          <t>10/30/2014</t>
        </is>
      </c>
      <c r="T17" t="inlineStr">
        <is>
          <t>10/30/2014</t>
        </is>
      </c>
      <c r="U17" t="inlineStr">
        <is>
          <t>Reported day</t>
        </is>
      </c>
      <c r="V17" t="inlineStr">
        <is>
          <t>Reported</t>
        </is>
      </c>
      <c r="W17" t="n">
        <v>80</v>
      </c>
      <c r="X17" t="n">
        <v>85</v>
      </c>
      <c r="Y17" t="inlineStr">
        <is>
          <t>Bidder range</t>
        </is>
      </c>
      <c r="Z17" t="inlineStr">
        <is>
          <t>Stated</t>
        </is>
      </c>
      <c r="AA17" t="inlineStr">
        <is>
          <t>USD</t>
        </is>
      </c>
      <c r="AB17" t="inlineStr">
        <is>
          <t>Yes</t>
        </is>
      </c>
      <c r="AD17" t="inlineStr">
        <is>
          <t>Fin: not stated; DD required: not stated; DD open: no; Excl: not stated</t>
        </is>
      </c>
      <c r="AK17" t="n">
        <v>24</v>
      </c>
      <c r="AM17" t="inlineStr">
        <is>
          <t>PetSmart</t>
        </is>
      </c>
    </row>
    <row r="18">
      <c r="A18" t="n">
        <v>16</v>
      </c>
      <c r="B18" t="inlineStr">
        <is>
          <t>10/30/2014</t>
        </is>
      </c>
      <c r="C18" t="inlineStr">
        <is>
          <t>Bidder 2</t>
        </is>
      </c>
      <c r="D18" t="inlineStr">
        <is>
          <t>Bid</t>
        </is>
      </c>
      <c r="E18" t="n">
        <v>1</v>
      </c>
      <c r="F18" t="inlineStr">
        <is>
          <t>1</t>
        </is>
      </c>
      <c r="G18" t="inlineStr">
        <is>
          <t>Financial</t>
        </is>
      </c>
      <c r="H18" t="inlineStr">
        <is>
          <t>Preliminary indication of interest at $78.00 per share. Later increased to $81.00–$84.00 during J.P. Morgan’s 10/30–11/02/2014 calls.</t>
        </is>
      </c>
      <c r="I18" t="inlineStr">
        <is>
          <t>Informal</t>
        </is>
      </c>
      <c r="J18" t="inlineStr">
        <is>
          <t>Insufficient evidence</t>
        </is>
      </c>
      <c r="K18" t="inlineStr">
        <is>
          <t>Stated: "another bidder (which we refer to as “Bidder 2”), which had initially indicated a price of $78.00, increased its indication to a range of $81.00 to $84.00 per share." (p.24) Formality: Informal. Conditions: Insufficient evidence.</t>
        </is>
      </c>
      <c r="M18" t="inlineStr">
        <is>
          <t>Q5; Q6</t>
        </is>
      </c>
      <c r="O18" t="inlineStr">
        <is>
          <t>R016</t>
        </is>
      </c>
      <c r="P18" t="inlineStr">
        <is>
          <t>Yes</t>
        </is>
      </c>
      <c r="Q18" t="n">
        <v>1</v>
      </c>
      <c r="R18" t="inlineStr">
        <is>
          <t>10/30/2014</t>
        </is>
      </c>
      <c r="S18" t="inlineStr">
        <is>
          <t>10/30/2014</t>
        </is>
      </c>
      <c r="T18" t="inlineStr">
        <is>
          <t>10/30/2014</t>
        </is>
      </c>
      <c r="U18" t="inlineStr">
        <is>
          <t>Reported day</t>
        </is>
      </c>
      <c r="V18" t="inlineStr">
        <is>
          <t>Reported</t>
        </is>
      </c>
      <c r="W18" t="n">
        <v>78</v>
      </c>
      <c r="X18" t="n">
        <v>78</v>
      </c>
      <c r="Y18" t="inlineStr">
        <is>
          <t>Point</t>
        </is>
      </c>
      <c r="Z18" t="inlineStr">
        <is>
          <t>Stated</t>
        </is>
      </c>
      <c r="AA18" t="inlineStr">
        <is>
          <t>USD</t>
        </is>
      </c>
      <c r="AB18" t="inlineStr">
        <is>
          <t>Yes</t>
        </is>
      </c>
      <c r="AD18" t="inlineStr">
        <is>
          <t>Fin: not stated; DD required: not stated; DD open: no; Excl: not stated</t>
        </is>
      </c>
      <c r="AK18" t="n">
        <v>24</v>
      </c>
      <c r="AM18" t="inlineStr">
        <is>
          <t>PetSmart</t>
        </is>
      </c>
    </row>
    <row r="19">
      <c r="A19" t="n">
        <v>17</v>
      </c>
      <c r="B19" t="inlineStr">
        <is>
          <t>10/30/2014</t>
        </is>
      </c>
      <c r="C19" t="inlineStr">
        <is>
          <t>Three anonymous IOI bidders (residual cohort)</t>
        </is>
      </c>
      <c r="D19" t="inlineStr">
        <is>
          <t>Bid</t>
        </is>
      </c>
      <c r="E19" t="n">
        <v>1</v>
      </c>
      <c r="F19" t="inlineStr">
        <is>
          <t>1</t>
        </is>
      </c>
      <c r="G19" t="inlineStr">
        <is>
          <t>Financial</t>
        </is>
      </c>
      <c r="H19" t="inlineStr">
        <is>
          <t>Residual IOI cohort: six parties submitted indications of interest; Buyer Group, Anonymous bidder A and Bidder 2 are individually recorded, leaving three. Prices are not disclosed for these three; the filing states that of the initial submitters three reached at least $80.00 and one of those three is the third otherwise-unnamed bidder, so at least one member of this cohort was at or above $80.00 and the others below. Two members were eliminated on 11/03/2014 (R020); the remaining member is not individually identifiable after the Bidder 3 combination.</t>
        </is>
      </c>
      <c r="I19" t="inlineStr">
        <is>
          <t>Informal</t>
        </is>
      </c>
      <c r="J19" t="inlineStr">
        <is>
          <t>Insufficient evidence</t>
        </is>
      </c>
      <c r="K19" t="inlineStr">
        <is>
          <t>Stated: "On October 30, six of the potentially interested parties submitted indications of interest." (p.24); individually described submitters are the Buyer Group, "another bidder" and Bidder 2. Calculated disjoint residual: 6 − 3 = 3. Price undisclosed; no average or invented endpoints entered.</t>
        </is>
      </c>
      <c r="M19" t="inlineStr">
        <is>
          <t>Q3; Q5</t>
        </is>
      </c>
      <c r="O19" t="inlineStr">
        <is>
          <t>R017</t>
        </is>
      </c>
      <c r="P19" t="inlineStr">
        <is>
          <t>Yes</t>
        </is>
      </c>
      <c r="Q19" t="n">
        <v>3</v>
      </c>
      <c r="R19" t="inlineStr">
        <is>
          <t>10/30/2014</t>
        </is>
      </c>
      <c r="S19" t="inlineStr">
        <is>
          <t>10/30/2014</t>
        </is>
      </c>
      <c r="T19" t="inlineStr">
        <is>
          <t>10/30/2014</t>
        </is>
      </c>
      <c r="U19" t="inlineStr">
        <is>
          <t>Reported day</t>
        </is>
      </c>
      <c r="V19" t="inlineStr">
        <is>
          <t>Reported</t>
        </is>
      </c>
      <c r="Y19" t="inlineStr">
        <is>
          <t>Undisclosed</t>
        </is>
      </c>
      <c r="Z19" t="inlineStr">
        <is>
          <t>Inferred</t>
        </is>
      </c>
      <c r="AA19" t="inlineStr">
        <is>
          <t>USD</t>
        </is>
      </c>
      <c r="AD19" t="inlineStr">
        <is>
          <t>Fin: not stated; DD required: not stated; DD open: no; Excl: not stated</t>
        </is>
      </c>
      <c r="AK19" t="n">
        <v>24</v>
      </c>
      <c r="AM19" t="inlineStr">
        <is>
          <t>PetSmart</t>
        </is>
      </c>
    </row>
    <row r="20">
      <c r="A20" t="n">
        <v>18</v>
      </c>
      <c r="B20" t="inlineStr">
        <is>
          <t>by 10/30/2014</t>
        </is>
      </c>
      <c r="C20" t="inlineStr">
        <is>
          <t>Nine NDA signers (inferred residual)</t>
        </is>
      </c>
      <c r="D20" t="inlineStr">
        <is>
          <t>Did not submit</t>
        </is>
      </c>
      <c r="E20" t="n">
        <v>1</v>
      </c>
      <c r="F20" t="inlineStr">
        <is>
          <t>1</t>
        </is>
      </c>
      <c r="G20" t="inlineStr">
        <is>
          <t>Financial</t>
        </is>
      </c>
      <c r="H20" t="inlineStr">
        <is>
          <t>Inferred: residual -- 15 NDA signers − 6 IOI submitters = 9 non-submitters at the preliminary-IOI deadline. The filing reports J.P. Morgan spoke with all potentially interested parties, including non-submitters, to hear their rationales; no individual reasons or identities are disclosed and no notice of exclusion is reported for these nine.</t>
        </is>
      </c>
      <c r="K20" t="inlineStr">
        <is>
          <t>Calculated from "confidentiality and standstill agreements with 15 potentially interested financial buyers" (p.23) and "six of the potentially interested parties submitted indications of interest" (p.24). Inferred closing at the solicitation due date.</t>
        </is>
      </c>
      <c r="M20" t="inlineStr">
        <is>
          <t>Q3; Q4</t>
        </is>
      </c>
      <c r="O20" t="inlineStr">
        <is>
          <t>R018</t>
        </is>
      </c>
      <c r="P20" t="inlineStr">
        <is>
          <t>Yes</t>
        </is>
      </c>
      <c r="Q20" t="n">
        <v>9</v>
      </c>
      <c r="S20" t="inlineStr">
        <is>
          <t>10/30/2014</t>
        </is>
      </c>
      <c r="T20" t="inlineStr">
        <is>
          <t>10/30/2014</t>
        </is>
      </c>
      <c r="U20" t="inlineStr">
        <is>
          <t>Relative only</t>
        </is>
      </c>
      <c r="V20" t="inlineStr">
        <is>
          <t>Assigned: deadline</t>
        </is>
      </c>
      <c r="AH20" t="inlineStr">
        <is>
          <t>Unknown</t>
        </is>
      </c>
      <c r="AI20" t="inlineStr">
        <is>
          <t>Not stated</t>
        </is>
      </c>
      <c r="AJ20" t="inlineStr">
        <is>
          <t>Inferred: residual</t>
        </is>
      </c>
      <c r="AK20" t="n">
        <v>23</v>
      </c>
      <c r="AM20" t="inlineStr">
        <is>
          <t>PetSmart</t>
        </is>
      </c>
    </row>
    <row r="21">
      <c r="A21" t="n">
        <v>19</v>
      </c>
      <c r="B21" t="inlineStr">
        <is>
          <t>10/30/2014–11/02/2014</t>
        </is>
      </c>
      <c r="C21" t="inlineStr">
        <is>
          <t>Bidder 2</t>
        </is>
      </c>
      <c r="D21" t="inlineStr">
        <is>
          <t>Bid</t>
        </is>
      </c>
      <c r="E21" t="n">
        <v>1</v>
      </c>
      <c r="F21" t="inlineStr">
        <is>
          <t>1</t>
        </is>
      </c>
      <c r="G21" t="inlineStr">
        <is>
          <t>Financial</t>
        </is>
      </c>
      <c r="H21" t="inlineStr">
        <is>
          <t>Revised preliminary indication of interest at $81.00 to $84.00 per share, increased from $78.00 during J.P. Morgan’s calls with all parties. Count 0: same unit, same round.</t>
        </is>
      </c>
      <c r="I21" t="inlineStr">
        <is>
          <t>Informal</t>
        </is>
      </c>
      <c r="J21" t="inlineStr">
        <is>
          <t>Insufficient evidence</t>
        </is>
      </c>
      <c r="K21" t="inlineStr">
        <is>
          <t>Stated: Bidder 2 "increased its indication to a range of $81.00 to $84.00 per share." (p.24) Formality: Informal. Conditions: Insufficient evidence. Working date is the midpoint of the reported 10/30–11/02/2014 call window (Assigned: midpoint), which keeps the revision ahead of the 11/03/2014 finalist selection.</t>
        </is>
      </c>
      <c r="M21" t="inlineStr">
        <is>
          <t>Q5; Q6</t>
        </is>
      </c>
      <c r="O21" t="inlineStr">
        <is>
          <t>R019</t>
        </is>
      </c>
      <c r="P21" t="inlineStr">
        <is>
          <t>Yes</t>
        </is>
      </c>
      <c r="Q21" t="n">
        <v>0</v>
      </c>
      <c r="R21" t="inlineStr">
        <is>
          <t>10/30/2014</t>
        </is>
      </c>
      <c r="S21" t="inlineStr">
        <is>
          <t>11/02/2014</t>
        </is>
      </c>
      <c r="T21" t="inlineStr">
        <is>
          <t>10/31/2014</t>
        </is>
      </c>
      <c r="U21" t="inlineStr">
        <is>
          <t>Reported interval</t>
        </is>
      </c>
      <c r="V21" t="inlineStr">
        <is>
          <t>Assigned: midpoint</t>
        </is>
      </c>
      <c r="W21" t="n">
        <v>81</v>
      </c>
      <c r="X21" t="n">
        <v>84</v>
      </c>
      <c r="Y21" t="inlineStr">
        <is>
          <t>Bidder range</t>
        </is>
      </c>
      <c r="Z21" t="inlineStr">
        <is>
          <t>Stated</t>
        </is>
      </c>
      <c r="AA21" t="inlineStr">
        <is>
          <t>USD</t>
        </is>
      </c>
      <c r="AB21" t="inlineStr">
        <is>
          <t>Yes</t>
        </is>
      </c>
      <c r="AD21" t="inlineStr">
        <is>
          <t>Fin: not stated; DD required: not stated; DD open: no; Excl: not stated</t>
        </is>
      </c>
      <c r="AK21" t="n">
        <v>24</v>
      </c>
      <c r="AL21" t="inlineStr">
        <is>
          <t>revises R016</t>
        </is>
      </c>
      <c r="AM21" t="inlineStr">
        <is>
          <t>PetSmart</t>
        </is>
      </c>
    </row>
    <row r="22">
      <c r="A22" t="n">
        <v>20</v>
      </c>
      <c r="B22" t="inlineStr">
        <is>
          <t>11/03/2014</t>
        </is>
      </c>
      <c r="C22" t="inlineStr">
        <is>
          <t>Two eliminated IOI bidders</t>
        </is>
      </c>
      <c r="D22" t="inlineStr">
        <is>
          <t>Dropped by target</t>
        </is>
      </c>
      <c r="E22" t="n">
        <v>1</v>
      </c>
      <c r="F22" t="inlineStr">
        <is>
          <t>1</t>
        </is>
      </c>
      <c r="G22" t="inlineStr">
        <is>
          <t>Financial</t>
        </is>
      </c>
      <c r="H22" t="inlineStr">
        <is>
          <t>Notified after the board selected the four bidders at or above $80.00 for the final round; none indicated any interest or ability to remain at price levels above their initial indications. Exit reason: Lower offer than rivals; agency: Target.</t>
        </is>
      </c>
      <c r="K22" t="inlineStr">
        <is>
          <t>Stated: "Following this meeting, representatives of J.P. Morgan notified the eliminated parties, none of which indicated any interest or ability to remain in the process at price levels above their respective initial indications." (p.24)</t>
        </is>
      </c>
      <c r="M22" t="inlineStr">
        <is>
          <t>Q4</t>
        </is>
      </c>
      <c r="O22" t="inlineStr">
        <is>
          <t>R020</t>
        </is>
      </c>
      <c r="P22" t="inlineStr">
        <is>
          <t>Yes</t>
        </is>
      </c>
      <c r="Q22" t="n">
        <v>2</v>
      </c>
      <c r="R22" t="inlineStr">
        <is>
          <t>11/03/2014</t>
        </is>
      </c>
      <c r="S22" t="inlineStr">
        <is>
          <t>11/03/2014</t>
        </is>
      </c>
      <c r="T22" t="inlineStr">
        <is>
          <t>11/03/2014</t>
        </is>
      </c>
      <c r="U22" t="inlineStr">
        <is>
          <t>Reported day</t>
        </is>
      </c>
      <c r="V22" t="inlineStr">
        <is>
          <t>Assigned: decision day</t>
        </is>
      </c>
      <c r="AH22" t="inlineStr">
        <is>
          <t>Target</t>
        </is>
      </c>
      <c r="AI22" t="inlineStr">
        <is>
          <t>Lower offer than rivals</t>
        </is>
      </c>
      <c r="AJ22" t="inlineStr">
        <is>
          <t>Stated</t>
        </is>
      </c>
      <c r="AK22" t="n">
        <v>24</v>
      </c>
      <c r="AM22" t="inlineStr">
        <is>
          <t>PetSmart</t>
        </is>
      </c>
    </row>
    <row r="23">
      <c r="A23" t="n">
        <v>21</v>
      </c>
      <c r="B23" t="inlineStr">
        <is>
          <t>11/03/2014</t>
        </is>
      </c>
      <c r="C23" t="inlineStr">
        <is>
          <t>PetSmart (Board) / J.P. Morgan</t>
        </is>
      </c>
      <c r="D23" t="inlineStr">
        <is>
          <t>Round opened</t>
        </is>
      </c>
      <c r="E23" t="n">
        <v>1</v>
      </c>
      <c r="F23" t="inlineStr">
        <is>
          <t>2</t>
        </is>
      </c>
      <c r="H23" t="inlineStr">
        <is>
          <t>Round 2 objective: the final round — further diligence, final bids on the December due dates and definitive documentation. The board allowed the four bidders that had indicated a price or range at or above $80.00 per share to proceed. Finality: Announced as final — the filing calls this "the final round of the sale process" and the target told the eliminated parties they were out.</t>
        </is>
      </c>
      <c r="K23" t="inlineStr">
        <is>
          <t>Stated: "The board determined to allow the four bidders that had indicated a price or range at or above $80.00 per share to proceed to the final round of the sale process." (p.24)</t>
        </is>
      </c>
      <c r="M23" t="inlineStr">
        <is>
          <t>Q1</t>
        </is>
      </c>
      <c r="O23" t="inlineStr">
        <is>
          <t>R021</t>
        </is>
      </c>
      <c r="P23" t="inlineStr">
        <is>
          <t>Yes</t>
        </is>
      </c>
      <c r="R23" t="inlineStr">
        <is>
          <t>11/03/2014</t>
        </is>
      </c>
      <c r="S23" t="inlineStr">
        <is>
          <t>11/03/2014</t>
        </is>
      </c>
      <c r="T23" t="inlineStr">
        <is>
          <t>11/03/2014</t>
        </is>
      </c>
      <c r="U23" t="inlineStr">
        <is>
          <t>Reported day</t>
        </is>
      </c>
      <c r="V23" t="inlineStr">
        <is>
          <t>Assigned: decision day</t>
        </is>
      </c>
      <c r="AG23" t="inlineStr">
        <is>
          <t>Announced as final</t>
        </is>
      </c>
      <c r="AK23" t="n">
        <v>24</v>
      </c>
      <c r="AM23" t="inlineStr">
        <is>
          <t>PetSmart</t>
        </is>
      </c>
    </row>
    <row r="24">
      <c r="A24" t="n">
        <v>22</v>
      </c>
      <c r="B24" t="inlineStr">
        <is>
          <t>after 11/03/2014; day not disclosed</t>
        </is>
      </c>
      <c r="C24" t="inlineStr">
        <is>
          <t>Bidder 3 (two bidders combining)</t>
        </is>
      </c>
      <c r="D24" t="inlineStr">
        <is>
          <t>Bidding group changed</t>
        </is>
      </c>
      <c r="E24" t="n">
        <v>1</v>
      </c>
      <c r="F24" t="inlineStr">
        <is>
          <t>2</t>
        </is>
      </c>
      <c r="H24" t="inlineStr">
        <is>
          <t>Two of the final-round bidders requested permission to work together (one sought an equity partner given the size of the acquisition; the other said it would drop out if not permitted to work together); the ad hoc committee authorized them to work together as "Bidder 3." Effect on bidding units: 2 of the 4 final-round bidders combine; units −1 (4 → 3). Each final-round bidder indicated some interest in a Longview rollover, but each said its bid was not conditioned on Longview participation. Working date assigned to the preceding selection row (Assigned: sequence) because the authorization day is not disclosed.</t>
        </is>
      </c>
      <c r="K24" t="inlineStr">
        <is>
          <t>Stated: "After deliberation and consultation with the Company’s financial and legal advisors, the ad hoc committee authorized these two bidders to work together. We refer to these two bidders together as “Bidder 3.”" (p.24) Identity mapping of the two members is not disclosed (see Questions).</t>
        </is>
      </c>
      <c r="M24" t="inlineStr">
        <is>
          <t>Q3; Q4</t>
        </is>
      </c>
      <c r="O24" t="inlineStr">
        <is>
          <t>R022</t>
        </is>
      </c>
      <c r="P24" t="inlineStr">
        <is>
          <t>Yes</t>
        </is>
      </c>
      <c r="Q24" t="n">
        <v>2</v>
      </c>
      <c r="R24" t="inlineStr">
        <is>
          <t>11/03/2014</t>
        </is>
      </c>
      <c r="T24" t="inlineStr">
        <is>
          <t>11/03/2014</t>
        </is>
      </c>
      <c r="U24" t="inlineStr">
        <is>
          <t>Relative only</t>
        </is>
      </c>
      <c r="V24" t="inlineStr">
        <is>
          <t>Assigned: sequence</t>
        </is>
      </c>
      <c r="AK24" t="n">
        <v>24</v>
      </c>
      <c r="AL24" t="inlineStr">
        <is>
          <t>formation follows R021</t>
        </is>
      </c>
      <c r="AM24" t="inlineStr">
        <is>
          <t>PetSmart</t>
        </is>
      </c>
    </row>
    <row r="25">
      <c r="A25" t="n">
        <v>23</v>
      </c>
      <c r="B25" t="inlineStr">
        <is>
          <t>November 2014</t>
        </is>
      </c>
      <c r="C25" t="inlineStr">
        <is>
          <t>PetSmart / J.P. Morgan / final-round bidders</t>
        </is>
      </c>
      <c r="D25" t="inlineStr">
        <is>
          <t>Information access changed</t>
        </is>
      </c>
      <c r="E25" t="n">
        <v>1</v>
      </c>
      <c r="F25" t="inlineStr">
        <is>
          <t>2</t>
        </is>
      </c>
      <c r="H25" t="inlineStr">
        <is>
          <t>Projection update after bidding began: following the Company’s third quarter earnings announcement, and at the request of bidders and the direction of the board, J.P. Morgan provided the bidders with updates to the Company’s fiscal year 2014 financial projections. Given to the final-round bidders (the full set then live), so this is a projection revision rather than a differentiated-access event.</t>
        </is>
      </c>
      <c r="K25" t="inlineStr">
        <is>
          <t>Stated: "Following the Company’s third quarter earnings announcement and, at the request of bidders and the direction of the board and the Company, representatives of J.P. Morgan provided the bidders with updates to the Company’s fiscal year 2014 financial projections." (p.24) Working date is the midpoint of the November window.</t>
        </is>
      </c>
      <c r="M25" t="inlineStr">
        <is>
          <t>Q1</t>
        </is>
      </c>
      <c r="O25" t="inlineStr">
        <is>
          <t>R023</t>
        </is>
      </c>
      <c r="P25" t="inlineStr">
        <is>
          <t>Yes</t>
        </is>
      </c>
      <c r="R25" t="inlineStr">
        <is>
          <t>11/01/2014</t>
        </is>
      </c>
      <c r="S25" t="inlineStr">
        <is>
          <t>11/30/2014</t>
        </is>
      </c>
      <c r="T25" t="inlineStr">
        <is>
          <t>11/15/2014</t>
        </is>
      </c>
      <c r="U25" t="inlineStr">
        <is>
          <t>Approximate window</t>
        </is>
      </c>
      <c r="V25" t="inlineStr">
        <is>
          <t>Assigned: midpoint</t>
        </is>
      </c>
      <c r="AK25" t="n">
        <v>24</v>
      </c>
      <c r="AM25" t="inlineStr">
        <is>
          <t>PetSmart</t>
        </is>
      </c>
    </row>
    <row r="26">
      <c r="A26" t="n">
        <v>24</v>
      </c>
      <c r="B26" t="inlineStr">
        <is>
          <t>by 12/03/2014 (day set not disclosed)</t>
        </is>
      </c>
      <c r="C26" t="inlineStr">
        <is>
          <t>PetSmart (Board)</t>
        </is>
      </c>
      <c r="D26" t="inlineStr">
        <is>
          <t>Deadline set</t>
        </is>
      </c>
      <c r="E26" t="n">
        <v>1</v>
      </c>
      <c r="F26" t="inlineStr">
        <is>
          <t>2</t>
        </is>
      </c>
      <c r="H26" t="inlineStr">
        <is>
          <t>Initial final-bid deadline: the board had initially set Friday 12/05/2014 for submission of bids, with a targeted 12/15/2014 completion of the sale process, to allow analysis, further bidding rounds, final documentation and a short Longview rollover discussion by the winner. Superseded on 12/04–12/05/2014 before arrival (R025); the set history is preserved here.</t>
        </is>
      </c>
      <c r="K26" t="inlineStr">
        <is>
          <t>Stated: "The board had initially targeted Monday, December 15 for completion of the sale process, and had initially set Friday, December 5 as the date for submission of bids so as to allow sufficient time for the Company to receive and analyze the bids, conduct further rounds of bidding, if necessary, to negotiate final documentation, and to permit the winning bidder a short period of time to discuss and negotiate a Longview rollover, if desired by the winning bidder." (p.24) Communication day is not disclosed; reported at the 12/03/2014 board meeting.</t>
        </is>
      </c>
      <c r="M26" t="inlineStr">
        <is>
          <t>Q2</t>
        </is>
      </c>
      <c r="O26" t="inlineStr">
        <is>
          <t>R024</t>
        </is>
      </c>
      <c r="P26" t="inlineStr">
        <is>
          <t>Yes</t>
        </is>
      </c>
      <c r="S26" t="inlineStr">
        <is>
          <t>12/03/2014</t>
        </is>
      </c>
      <c r="T26" t="inlineStr">
        <is>
          <t>12/03/2014</t>
        </is>
      </c>
      <c r="U26" t="inlineStr">
        <is>
          <t>Relative only</t>
        </is>
      </c>
      <c r="V26" t="inlineStr">
        <is>
          <t>Assigned: bound</t>
        </is>
      </c>
      <c r="AK26" t="n">
        <v>24</v>
      </c>
      <c r="AM26" t="inlineStr">
        <is>
          <t>PetSmart</t>
        </is>
      </c>
    </row>
    <row r="27">
      <c r="A27" t="n">
        <v>25</v>
      </c>
      <c r="B27" t="inlineStr">
        <is>
          <t>12/04/2014–12/05/2014</t>
        </is>
      </c>
      <c r="C27" t="inlineStr">
        <is>
          <t>PetSmart (ad hoc committee)</t>
        </is>
      </c>
      <c r="D27" t="inlineStr">
        <is>
          <t>Deadline revised</t>
        </is>
      </c>
      <c r="E27" t="n">
        <v>1</v>
      </c>
      <c r="F27" t="inlineStr">
        <is>
          <t>2</t>
        </is>
      </c>
      <c r="H27" t="inlineStr">
        <is>
          <t>Final-bid due date moved from Friday 12/05/2014 to the evening of Wednesday 12/10/2014 (five days rather than ten before the anticipated 12/15/2014 completion) to reduce leak/disclosure risk; bidders were also asked to submit markups of the draft merger agreement and other transaction documents and financing commitments in advance if possible. Old due date 12/05/2014; new due date 12/10/2014. Treatment: Extended.</t>
        </is>
      </c>
      <c r="K27" t="inlineStr">
        <is>
          <t>Stated: "after consultation with the Company’s financial and legal advisors, the ad hoc committee concluded that these matters could be accomplished in a shorter period of time" and "Accordingly, the Company set the evening of Wednesday, December 10 (five days, rather than 10 days prior to the anticipated December 15 completion date) as the deadline for submission of final bids, and at the same time asked the bidders to submit mark-ups of the draft merger agreement and the other transaction documents and financing commitments, if possible, in advance." (pp.24–25).</t>
        </is>
      </c>
      <c r="M27" t="inlineStr">
        <is>
          <t>Q2</t>
        </is>
      </c>
      <c r="O27" t="inlineStr">
        <is>
          <t>R025</t>
        </is>
      </c>
      <c r="P27" t="inlineStr">
        <is>
          <t>Yes</t>
        </is>
      </c>
      <c r="R27" t="inlineStr">
        <is>
          <t>12/04/2014</t>
        </is>
      </c>
      <c r="S27" t="inlineStr">
        <is>
          <t>12/05/2014</t>
        </is>
      </c>
      <c r="T27" t="inlineStr">
        <is>
          <t>12/04/2014</t>
        </is>
      </c>
      <c r="U27" t="inlineStr">
        <is>
          <t>Reported interval</t>
        </is>
      </c>
      <c r="V27" t="inlineStr">
        <is>
          <t>Assigned: bound</t>
        </is>
      </c>
      <c r="AF27" t="inlineStr">
        <is>
          <t>Extended</t>
        </is>
      </c>
      <c r="AK27" t="n">
        <v>25</v>
      </c>
      <c r="AL27" t="inlineStr">
        <is>
          <t>revises R024</t>
        </is>
      </c>
      <c r="AM27" t="inlineStr">
        <is>
          <t>PetSmart</t>
        </is>
      </c>
    </row>
    <row r="28">
      <c r="A28" t="n">
        <v>26</v>
      </c>
      <c r="B28" t="inlineStr">
        <is>
          <t>12/09/2014</t>
        </is>
      </c>
      <c r="C28" t="inlineStr">
        <is>
          <t>Longview / Buyer Group / Bidder 2</t>
        </is>
      </c>
      <c r="D28" t="inlineStr">
        <is>
          <t>Information access changed</t>
        </is>
      </c>
      <c r="E28" t="n">
        <v>1</v>
      </c>
      <c r="F28" t="inlineStr">
        <is>
          <t>2</t>
        </is>
      </c>
      <c r="H28" t="inlineStr">
        <is>
          <t>After Longview executed a confidentiality agreement, J.P. Morgan arranged introductory meetings between Longview and the Buyer Group and between Longview and Bidder 2 to let each side assess interest in working together; Longview was prohibited at that time from being told the bidders’ intended prices. No Longview meeting with Bidder 3 is reported.</t>
        </is>
      </c>
      <c r="K28" t="inlineStr">
        <is>
          <t>Stated: "Following the execution of a confidentiality agreement, on December 9, 2014, J.P. Morgan arranged introductory meetings between Longview and the Buyer Group, and between Longview and Bidder 2." and "These meetings, which were attended by representatives of J.P. Morgan and Wachtell Lipton, were introductory in nature, to enable the bidders to determine their interest in working with Longview, and vice versa, and the bidders were prohibited at this time from disclosing to Longview the respective prices that the bidders intended to bid." (p.25)</t>
        </is>
      </c>
      <c r="M28" t="inlineStr">
        <is>
          <t>Q1; Q6</t>
        </is>
      </c>
      <c r="O28" t="inlineStr">
        <is>
          <t>R026</t>
        </is>
      </c>
      <c r="P28" t="inlineStr">
        <is>
          <t>Yes</t>
        </is>
      </c>
      <c r="R28" t="inlineStr">
        <is>
          <t>12/09/2014</t>
        </is>
      </c>
      <c r="S28" t="inlineStr">
        <is>
          <t>12/09/2014</t>
        </is>
      </c>
      <c r="T28" t="inlineStr">
        <is>
          <t>12/09/2014</t>
        </is>
      </c>
      <c r="U28" t="inlineStr">
        <is>
          <t>Reported day</t>
        </is>
      </c>
      <c r="V28" t="inlineStr">
        <is>
          <t>Reported</t>
        </is>
      </c>
      <c r="AK28" t="n">
        <v>25</v>
      </c>
      <c r="AM28" t="inlineStr">
        <is>
          <t>PetSmart</t>
        </is>
      </c>
    </row>
    <row r="29">
      <c r="A29" t="n">
        <v>27</v>
      </c>
      <c r="B29" t="inlineStr">
        <is>
          <t>evening of 12/10/2014</t>
        </is>
      </c>
      <c r="C29" t="inlineStr">
        <is>
          <t>PetSmart / J.P. Morgan</t>
        </is>
      </c>
      <c r="D29" t="inlineStr">
        <is>
          <t>Deadline</t>
        </is>
      </c>
      <c r="E29" t="n">
        <v>1</v>
      </c>
      <c r="F29" t="inlineStr">
        <is>
          <t>2</t>
        </is>
      </c>
      <c r="H29" t="inlineStr">
        <is>
          <t>Final-bid due date reached: Buyer Group and Bidder 2 submitted final bid letters with revised merger agreement and transaction documents, together with financing commitment documents from the Buyer Group; Bidder 3 gave a verbal indication. Treatment: Extended — the ad hoc committee requested improved bids by 12/12/2014 (R032).</t>
        </is>
      </c>
      <c r="K29" t="inlineStr">
        <is>
          <t>Stated: "On December 10, PetSmart received final bid letters along with revised versions of the merger agreement and other transaction documents from the Buyer Group and from Bidder 2 and a verbal indication from Bidder 3." (p.25) and the improvement request (p.25).</t>
        </is>
      </c>
      <c r="M29" t="inlineStr">
        <is>
          <t>Q2</t>
        </is>
      </c>
      <c r="O29" t="inlineStr">
        <is>
          <t>R027</t>
        </is>
      </c>
      <c r="P29" t="inlineStr">
        <is>
          <t>Yes</t>
        </is>
      </c>
      <c r="R29" t="inlineStr">
        <is>
          <t>12/10/2014</t>
        </is>
      </c>
      <c r="S29" t="inlineStr">
        <is>
          <t>12/10/2014</t>
        </is>
      </c>
      <c r="T29" t="inlineStr">
        <is>
          <t>12/10/2014</t>
        </is>
      </c>
      <c r="U29" t="inlineStr">
        <is>
          <t>Reported day</t>
        </is>
      </c>
      <c r="V29" t="inlineStr">
        <is>
          <t>Reported</t>
        </is>
      </c>
      <c r="AE29" t="inlineStr">
        <is>
          <t>12/10/2014</t>
        </is>
      </c>
      <c r="AF29" t="inlineStr">
        <is>
          <t>Extended</t>
        </is>
      </c>
      <c r="AK29" t="n">
        <v>25</v>
      </c>
      <c r="AM29" t="inlineStr">
        <is>
          <t>PetSmart</t>
        </is>
      </c>
    </row>
    <row r="30">
      <c r="A30" t="n">
        <v>28</v>
      </c>
      <c r="B30" t="inlineStr">
        <is>
          <t>12/10/2014</t>
        </is>
      </c>
      <c r="C30" t="inlineStr">
        <is>
          <t>Buyer Group</t>
        </is>
      </c>
      <c r="D30" t="inlineStr">
        <is>
          <t>Bid</t>
        </is>
      </c>
      <c r="E30" t="n">
        <v>1</v>
      </c>
      <c r="F30" t="inlineStr">
        <is>
          <t>2</t>
        </is>
      </c>
      <c r="G30" t="inlineStr">
        <is>
          <t>Financial</t>
        </is>
      </c>
      <c r="H30" t="inlineStr">
        <is>
          <t>Final bid letter: $80.70 per share in cash, with revised merger agreement and transaction documents that were more favorable to the Company (less conditional, greater certainty of protection if the transaction were not completed) and substantially more accepting of the Company’s positions. Buyer Group had provided its financing commitment documents on 12/06/2014. Count 1: first bid row for this unit in round 2.</t>
        </is>
      </c>
      <c r="I30" t="inlineStr">
        <is>
          <t>Formal</t>
        </is>
      </c>
      <c r="J30" t="inlineStr">
        <is>
          <t>Light</t>
        </is>
      </c>
      <c r="K30" t="inlineStr">
        <is>
          <t>Stated: "The Buyer Group offered $80.70 per share, in cash, and Bidder 2 offered $80.35 per share, in cash." and "The form of merger agreement and other transaction documentation submitted by the Buyer Group were more favorable to the Company (including because they were less conditional and more likely to be completed and because they offered more certainty of protection for the Company in the unlikely event of non-completion of the transaction) and reflected substantially more acceptance of the Company’s positions." (p.25) Formality: Formal — bidder-returned transaction documents responding on the requested basis to the final-bid solicitation. Conditions: Light — committed financing provided; final documentation.</t>
        </is>
      </c>
      <c r="M30" t="inlineStr">
        <is>
          <t>Q5; Q6</t>
        </is>
      </c>
      <c r="O30" t="inlineStr">
        <is>
          <t>R028</t>
        </is>
      </c>
      <c r="P30" t="inlineStr">
        <is>
          <t>Yes</t>
        </is>
      </c>
      <c r="Q30" t="n">
        <v>1</v>
      </c>
      <c r="R30" t="inlineStr">
        <is>
          <t>12/10/2014</t>
        </is>
      </c>
      <c r="S30" t="inlineStr">
        <is>
          <t>12/10/2014</t>
        </is>
      </c>
      <c r="T30" t="inlineStr">
        <is>
          <t>12/10/2014</t>
        </is>
      </c>
      <c r="U30" t="inlineStr">
        <is>
          <t>Reported day</t>
        </is>
      </c>
      <c r="V30" t="inlineStr">
        <is>
          <t>Reported</t>
        </is>
      </c>
      <c r="W30" t="n">
        <v>80.7</v>
      </c>
      <c r="X30" t="n">
        <v>80.7</v>
      </c>
      <c r="Y30" t="inlineStr">
        <is>
          <t>Point</t>
        </is>
      </c>
      <c r="Z30" t="inlineStr">
        <is>
          <t>Stated</t>
        </is>
      </c>
      <c r="AA30" t="inlineStr">
        <is>
          <t>USD</t>
        </is>
      </c>
      <c r="AB30" t="inlineStr">
        <is>
          <t>Yes</t>
        </is>
      </c>
      <c r="AC30" t="n">
        <v>80.7</v>
      </c>
      <c r="AD30" t="inlineStr">
        <is>
          <t>Fin: committed; DD required: none; DD open: no; Excl: not stated</t>
        </is>
      </c>
      <c r="AK30" t="n">
        <v>25</v>
      </c>
      <c r="AM30" t="inlineStr">
        <is>
          <t>PetSmart</t>
        </is>
      </c>
    </row>
    <row r="31">
      <c r="A31" t="n">
        <v>29</v>
      </c>
      <c r="B31" t="inlineStr">
        <is>
          <t>12/10/2014</t>
        </is>
      </c>
      <c r="C31" t="inlineStr">
        <is>
          <t>Bidder 2</t>
        </is>
      </c>
      <c r="D31" t="inlineStr">
        <is>
          <t>Bid</t>
        </is>
      </c>
      <c r="E31" t="n">
        <v>1</v>
      </c>
      <c r="F31" t="inlineStr">
        <is>
          <t>2</t>
        </is>
      </c>
      <c r="G31" t="inlineStr">
        <is>
          <t>Financial</t>
        </is>
      </c>
      <c r="H31" t="inlineStr">
        <is>
          <t>Final bid letter: $80.35 per share in cash, with revised merger agreement and other transaction documents. Financing commitment documents were not provided until 12/12/2014. Bidder 2 indicated any partnering with Longview would occur only after completing bidding and signing a definitive agreement. Count 1: first bid row for this unit in round 2.</t>
        </is>
      </c>
      <c r="I31" t="inlineStr">
        <is>
          <t>Formal</t>
        </is>
      </c>
      <c r="J31" t="inlineStr">
        <is>
          <t>Light</t>
        </is>
      </c>
      <c r="K31" t="inlineStr">
        <is>
          <t>Stated: "The Buyer Group offered $80.70 per share, in cash, and Bidder 2 offered $80.35 per share, in cash." and "though Bidder 2 indicated that any partnering with Longview would only occur after completion of bidding and execution of a definitive merger agreement with the Company." (p.25) Formality: Formal — returned transaction documents responding to the final-bid solicitation. Conditions: Light — no Heavy trigger reported; subject to final documentation; financing not yet documented.</t>
        </is>
      </c>
      <c r="M31" t="inlineStr">
        <is>
          <t>Q5; Q6</t>
        </is>
      </c>
      <c r="O31" t="inlineStr">
        <is>
          <t>R029</t>
        </is>
      </c>
      <c r="P31" t="inlineStr">
        <is>
          <t>Yes</t>
        </is>
      </c>
      <c r="Q31" t="n">
        <v>1</v>
      </c>
      <c r="R31" t="inlineStr">
        <is>
          <t>12/10/2014</t>
        </is>
      </c>
      <c r="S31" t="inlineStr">
        <is>
          <t>12/10/2014</t>
        </is>
      </c>
      <c r="T31" t="inlineStr">
        <is>
          <t>12/10/2014</t>
        </is>
      </c>
      <c r="U31" t="inlineStr">
        <is>
          <t>Reported day</t>
        </is>
      </c>
      <c r="V31" t="inlineStr">
        <is>
          <t>Reported</t>
        </is>
      </c>
      <c r="W31" t="n">
        <v>80.34999999999999</v>
      </c>
      <c r="X31" t="n">
        <v>80.34999999999999</v>
      </c>
      <c r="Y31" t="inlineStr">
        <is>
          <t>Point</t>
        </is>
      </c>
      <c r="Z31" t="inlineStr">
        <is>
          <t>Stated</t>
        </is>
      </c>
      <c r="AA31" t="inlineStr">
        <is>
          <t>USD</t>
        </is>
      </c>
      <c r="AB31" t="inlineStr">
        <is>
          <t>Yes</t>
        </is>
      </c>
      <c r="AC31" t="n">
        <v>80.34999999999999</v>
      </c>
      <c r="AD31" t="inlineStr">
        <is>
          <t>Fin: not stated; DD required: none; DD open: no; Excl: not stated</t>
        </is>
      </c>
      <c r="AK31" t="n">
        <v>25</v>
      </c>
      <c r="AM31" t="inlineStr">
        <is>
          <t>PetSmart</t>
        </is>
      </c>
    </row>
    <row r="32">
      <c r="A32" t="n">
        <v>30</v>
      </c>
      <c r="B32" t="inlineStr">
        <is>
          <t>12/10/2014</t>
        </is>
      </c>
      <c r="C32" t="inlineStr">
        <is>
          <t>Bidder 3</t>
        </is>
      </c>
      <c r="D32" t="inlineStr">
        <is>
          <t>Bid</t>
        </is>
      </c>
      <c r="E32" t="n">
        <v>1</v>
      </c>
      <c r="F32" t="inlineStr">
        <is>
          <t>2</t>
        </is>
      </c>
      <c r="G32" t="inlineStr">
        <is>
          <t>Financial</t>
        </is>
      </c>
      <c r="H32" t="inlineStr">
        <is>
          <t>Bound: ≤ $78 — Bidder 3 verbally communicated to J.P. Morgan that its valuation would not be above the current stock price of approximately $78 per share; J.P. Morgan said it was unlikely to be competitive and Bidder 3 did not submit a written offer. No bid level is asserted; the per-share cell carries only the ceiling. Count 1: first bid row for this unit in round 2.</t>
        </is>
      </c>
      <c r="I32" t="inlineStr">
        <is>
          <t>Informal</t>
        </is>
      </c>
      <c r="J32" t="inlineStr">
        <is>
          <t>Insufficient evidence</t>
        </is>
      </c>
      <c r="K32" t="inlineStr">
        <is>
          <t>Stated: "Bidder 3 verbally communicated to J.P. Morgan that their valuation would not be above the current stock price of approximately $78 per share." (p.25) Formality: Informal — verbal, no returned documents. Conditions: Insufficient evidence — the filing reports the valuation statement and the target’s competitive assessment but no financing, diligence or other condition.</t>
        </is>
      </c>
      <c r="M32" t="inlineStr">
        <is>
          <t>Q5; Q6</t>
        </is>
      </c>
      <c r="O32" t="inlineStr">
        <is>
          <t>R030</t>
        </is>
      </c>
      <c r="P32" t="inlineStr">
        <is>
          <t>Yes</t>
        </is>
      </c>
      <c r="Q32" t="n">
        <v>1</v>
      </c>
      <c r="R32" t="inlineStr">
        <is>
          <t>12/10/2014</t>
        </is>
      </c>
      <c r="S32" t="inlineStr">
        <is>
          <t>12/10/2014</t>
        </is>
      </c>
      <c r="T32" t="inlineStr">
        <is>
          <t>12/10/2014</t>
        </is>
      </c>
      <c r="U32" t="inlineStr">
        <is>
          <t>Reported day</t>
        </is>
      </c>
      <c r="V32" t="inlineStr">
        <is>
          <t>Reported</t>
        </is>
      </c>
      <c r="X32" t="n">
        <v>78</v>
      </c>
      <c r="Y32" t="inlineStr">
        <is>
          <t>Bound only</t>
        </is>
      </c>
      <c r="Z32" t="inlineStr">
        <is>
          <t>Stated</t>
        </is>
      </c>
      <c r="AA32" t="inlineStr">
        <is>
          <t>USD</t>
        </is>
      </c>
      <c r="AD32" t="inlineStr">
        <is>
          <t>Fin: not stated; DD required: not stated; DD open: yes; Excl: not stated</t>
        </is>
      </c>
      <c r="AK32" t="n">
        <v>25</v>
      </c>
      <c r="AM32" t="inlineStr">
        <is>
          <t>PetSmart</t>
        </is>
      </c>
    </row>
    <row r="33">
      <c r="A33" t="n">
        <v>31</v>
      </c>
      <c r="B33" t="inlineStr">
        <is>
          <t>12/10/2014</t>
        </is>
      </c>
      <c r="C33" t="inlineStr">
        <is>
          <t>Bidder 3</t>
        </is>
      </c>
      <c r="D33" t="inlineStr">
        <is>
          <t>Did not submit</t>
        </is>
      </c>
      <c r="E33" t="n">
        <v>1</v>
      </c>
      <c r="F33" t="inlineStr">
        <is>
          <t>2</t>
        </is>
      </c>
      <c r="G33" t="inlineStr">
        <is>
          <t>Financial</t>
        </is>
      </c>
      <c r="H33" t="inlineStr">
        <is>
          <t>After J.P. Morgan communicated that its verbal valuation was unlikely to be competitive, Bidder 3 did not submit a written final offer. Agency: Both — target discouragement followed by non-submission. Exit reason: Value at or below market price (its stated valuation would not exceed the ~$78 market price).</t>
        </is>
      </c>
      <c r="K33" t="inlineStr">
        <is>
          <t>Stated: "J.P. Morgan communicated to Bidder 3 that it was unlikely to be competitive and accordingly Bidder 3 did not submit a written offer." (p.25)</t>
        </is>
      </c>
      <c r="M33" t="inlineStr">
        <is>
          <t>Q4</t>
        </is>
      </c>
      <c r="O33" t="inlineStr">
        <is>
          <t>R031</t>
        </is>
      </c>
      <c r="P33" t="inlineStr">
        <is>
          <t>Yes</t>
        </is>
      </c>
      <c r="Q33" t="n">
        <v>1</v>
      </c>
      <c r="R33" t="inlineStr">
        <is>
          <t>12/10/2014</t>
        </is>
      </c>
      <c r="S33" t="inlineStr">
        <is>
          <t>12/10/2014</t>
        </is>
      </c>
      <c r="T33" t="inlineStr">
        <is>
          <t>12/10/2014</t>
        </is>
      </c>
      <c r="U33" t="inlineStr">
        <is>
          <t>Reported day</t>
        </is>
      </c>
      <c r="V33" t="inlineStr">
        <is>
          <t>Reported</t>
        </is>
      </c>
      <c r="AH33" t="inlineStr">
        <is>
          <t>Both</t>
        </is>
      </c>
      <c r="AI33" t="inlineStr">
        <is>
          <t>Value at or below market price</t>
        </is>
      </c>
      <c r="AJ33" t="inlineStr">
        <is>
          <t>Stated</t>
        </is>
      </c>
      <c r="AK33" t="n">
        <v>25</v>
      </c>
      <c r="AL33" t="inlineStr">
        <is>
          <t>follows R030</t>
        </is>
      </c>
      <c r="AM33" t="inlineStr">
        <is>
          <t>PetSmart</t>
        </is>
      </c>
    </row>
    <row r="34">
      <c r="A34" t="n">
        <v>32</v>
      </c>
      <c r="B34" t="inlineStr">
        <is>
          <t>12/10/2014</t>
        </is>
      </c>
      <c r="C34" t="inlineStr">
        <is>
          <t>PetSmart (ad hoc committee)</t>
        </is>
      </c>
      <c r="D34" t="inlineStr">
        <is>
          <t>Deadline revised</t>
        </is>
      </c>
      <c r="E34" t="n">
        <v>1</v>
      </c>
      <c r="F34" t="inlineStr">
        <is>
          <t>2</t>
        </is>
      </c>
      <c r="H34" t="inlineStr">
        <is>
          <t>The ad hoc committee, viewing neither bid as the bidders’ best offers and noting the closeness of the bids and recent positive developments, instructed J.P. Morgan to tell each bidder to increase its bid and to submit improved bids on 12/12/2014. Old due date 12/10/2014; new due date 12/12/2014. Treatment: Extended. Also on 12/11/2014 J.P. Morgan confirmed Longview remained willing to roll over shares if desired and approved by the committee.</t>
        </is>
      </c>
      <c r="K34" t="inlineStr">
        <is>
          <t>Stated: "the ad hoc committee instructed J.P. Morgan to inform each bidder that it would need to increase its bid, and to instruct the bidders to submit improved bids on December 12, 2014." (p.25)</t>
        </is>
      </c>
      <c r="M34" t="inlineStr">
        <is>
          <t>Q2</t>
        </is>
      </c>
      <c r="O34" t="inlineStr">
        <is>
          <t>R032</t>
        </is>
      </c>
      <c r="P34" t="inlineStr">
        <is>
          <t>Yes</t>
        </is>
      </c>
      <c r="R34" t="inlineStr">
        <is>
          <t>12/10/2014</t>
        </is>
      </c>
      <c r="S34" t="inlineStr">
        <is>
          <t>12/10/2014</t>
        </is>
      </c>
      <c r="T34" t="inlineStr">
        <is>
          <t>12/10/2014</t>
        </is>
      </c>
      <c r="U34" t="inlineStr">
        <is>
          <t>Reported day</t>
        </is>
      </c>
      <c r="V34" t="inlineStr">
        <is>
          <t>Reported</t>
        </is>
      </c>
      <c r="AF34" t="inlineStr">
        <is>
          <t>Extended</t>
        </is>
      </c>
      <c r="AK34" t="n">
        <v>25</v>
      </c>
      <c r="AL34" t="inlineStr">
        <is>
          <t>revises R027</t>
        </is>
      </c>
      <c r="AM34" t="inlineStr">
        <is>
          <t>PetSmart</t>
        </is>
      </c>
    </row>
    <row r="35">
      <c r="A35" t="n">
        <v>33</v>
      </c>
      <c r="B35" t="inlineStr">
        <is>
          <t>12/12/2014</t>
        </is>
      </c>
      <c r="C35" t="inlineStr">
        <is>
          <t>Longview / Buyer Group / PetSmart</t>
        </is>
      </c>
      <c r="D35" t="inlineStr">
        <is>
          <t>Material process update</t>
        </is>
      </c>
      <c r="E35" t="n">
        <v>1</v>
      </c>
      <c r="F35" t="inlineStr">
        <is>
          <t>2</t>
        </is>
      </c>
      <c r="H35" t="inlineStr">
        <is>
          <t>Rollover relationship permitted and formed with the eventual winner: the ad hoc committee approved the Buyer Group’s request to work more closely with Longview to include a rollover of a portion of Longview-managed shares in its bid; that day Longview and the Buyer Group entered a confidentiality agreement permitting exchange of detailed information including bid price, and Wachtell Lipton was instructed to provide a voting agreement form to Longview. Bidder 2 said a Longview rollover would not affect its price and would be considered only after signing.</t>
        </is>
      </c>
      <c r="K35" t="inlineStr">
        <is>
          <t>Stated: "the ad hoc committee approved the Buyer Group’s request" and "later that day, Longview and the Buyer Group entered into a confidentiality agreement permitting the exchange of detailed information between them, including bid price, which had not previously been shared with Longview." and "The ad hoc committee also instructed Wachtell Lipton to provide a form of voting agreement to Longview to secure Longview’s commitment to vote for the merger subject to certain exceptions, including a change of recommendation by the board." (p.26)</t>
        </is>
      </c>
      <c r="M35" t="inlineStr">
        <is>
          <t>Q6; Q8</t>
        </is>
      </c>
      <c r="O35" t="inlineStr">
        <is>
          <t>R033</t>
        </is>
      </c>
      <c r="P35" t="inlineStr">
        <is>
          <t>Yes</t>
        </is>
      </c>
      <c r="R35" t="inlineStr">
        <is>
          <t>12/12/2014</t>
        </is>
      </c>
      <c r="S35" t="inlineStr">
        <is>
          <t>12/12/2014</t>
        </is>
      </c>
      <c r="T35" t="inlineStr">
        <is>
          <t>12/12/2014</t>
        </is>
      </c>
      <c r="U35" t="inlineStr">
        <is>
          <t>Reported day</t>
        </is>
      </c>
      <c r="V35" t="inlineStr">
        <is>
          <t>Reported</t>
        </is>
      </c>
      <c r="AK35" t="n">
        <v>26</v>
      </c>
      <c r="AM35" t="inlineStr">
        <is>
          <t>PetSmart</t>
        </is>
      </c>
    </row>
    <row r="36">
      <c r="A36" t="n">
        <v>34</v>
      </c>
      <c r="B36" t="inlineStr">
        <is>
          <t>evening of 12/12/2014</t>
        </is>
      </c>
      <c r="C36" t="inlineStr">
        <is>
          <t>PetSmart / J.P. Morgan</t>
        </is>
      </c>
      <c r="D36" t="inlineStr">
        <is>
          <t>Deadline</t>
        </is>
      </c>
      <c r="E36" t="n">
        <v>1</v>
      </c>
      <c r="F36" t="inlineStr">
        <is>
          <t>2</t>
        </is>
      </c>
      <c r="H36" t="inlineStr">
        <is>
          <t>Improved-bid due date reached: Bidder 2 submitted $81.50 (confirmed by J.P. Morgan as its best and final offer); the Buyer Group submitted a best-and-final $83.00 after an oral $82.50 earlier in the evening. Each submitted a revised merger agreement and other transaction agreements and copies of financing commitment documents; the Buyer Group’s versions were, with few exceptions, substantially executable. Treatment: Enforced — the board reviewed the bids on 12/13 and signed with the Buyer Group on 12/14 without further extension.</t>
        </is>
      </c>
      <c r="K36" t="inlineStr">
        <is>
          <t>Stated: "During the evening of December 12, 2014, Bidder 2 submitted an offer of $81.50 per share, in cash." and "Later in the evening, the Buyer Group submitted a best and final offer of $83.00 per share, in cash. In addition, each bidder submitted a revised draft of the merger agreement and other transaction agreements, and copies of their respective financing commitment documents." (p.26)</t>
        </is>
      </c>
      <c r="M36" t="inlineStr">
        <is>
          <t>Q2</t>
        </is>
      </c>
      <c r="O36" t="inlineStr">
        <is>
          <t>R034</t>
        </is>
      </c>
      <c r="P36" t="inlineStr">
        <is>
          <t>Yes</t>
        </is>
      </c>
      <c r="R36" t="inlineStr">
        <is>
          <t>12/12/2014</t>
        </is>
      </c>
      <c r="S36" t="inlineStr">
        <is>
          <t>12/12/2014</t>
        </is>
      </c>
      <c r="T36" t="inlineStr">
        <is>
          <t>12/12/2014</t>
        </is>
      </c>
      <c r="U36" t="inlineStr">
        <is>
          <t>Reported day</t>
        </is>
      </c>
      <c r="V36" t="inlineStr">
        <is>
          <t>Reported</t>
        </is>
      </c>
      <c r="AE36" t="inlineStr">
        <is>
          <t>12/12/2014</t>
        </is>
      </c>
      <c r="AF36" t="inlineStr">
        <is>
          <t>Enforced</t>
        </is>
      </c>
      <c r="AK36" t="n">
        <v>26</v>
      </c>
      <c r="AM36" t="inlineStr">
        <is>
          <t>PetSmart</t>
        </is>
      </c>
    </row>
    <row r="37">
      <c r="A37" t="n">
        <v>35</v>
      </c>
      <c r="B37" t="inlineStr">
        <is>
          <t>12/12/2014</t>
        </is>
      </c>
      <c r="C37" t="inlineStr">
        <is>
          <t>Bidder 2</t>
        </is>
      </c>
      <c r="D37" t="inlineStr">
        <is>
          <t>Bid</t>
        </is>
      </c>
      <c r="E37" t="n">
        <v>1</v>
      </c>
      <c r="F37" t="inlineStr">
        <is>
          <t>2</t>
        </is>
      </c>
      <c r="G37" t="inlineStr">
        <is>
          <t>Financial</t>
        </is>
      </c>
      <c r="H37" t="inlineStr">
        <is>
          <t>Improved best-and-final offer: $81.50 per share in cash, confirmed to J.P. Morgan as best and final. Submitted revised transaction documents and financing commitment documents. Count 0: later bid row for the same unit in round 2.</t>
        </is>
      </c>
      <c r="I37" t="inlineStr">
        <is>
          <t>Formal</t>
        </is>
      </c>
      <c r="J37" t="inlineStr">
        <is>
          <t>Light</t>
        </is>
      </c>
      <c r="K37" t="inlineStr">
        <is>
          <t>Stated: "Bidder 2 submitted an offer of $81.50 per share, in cash. Representatives of J.P. Morgan confirmed via a conversation with Bidder 2 on the evening of December 12, 2014 that $81.50 per share was its best and final offer." (p.26) Formality: Formal — final-stage response with revised transaction documents and financing commitments. Conditions: Light — committed financing documents submitted; final documentation.</t>
        </is>
      </c>
      <c r="M37" t="inlineStr">
        <is>
          <t>Q5; Q6</t>
        </is>
      </c>
      <c r="O37" t="inlineStr">
        <is>
          <t>R035</t>
        </is>
      </c>
      <c r="P37" t="inlineStr">
        <is>
          <t>Yes</t>
        </is>
      </c>
      <c r="Q37" t="n">
        <v>0</v>
      </c>
      <c r="R37" t="inlineStr">
        <is>
          <t>12/12/2014</t>
        </is>
      </c>
      <c r="S37" t="inlineStr">
        <is>
          <t>12/12/2014</t>
        </is>
      </c>
      <c r="T37" t="inlineStr">
        <is>
          <t>12/12/2014</t>
        </is>
      </c>
      <c r="U37" t="inlineStr">
        <is>
          <t>Reported day</t>
        </is>
      </c>
      <c r="V37" t="inlineStr">
        <is>
          <t>Reported</t>
        </is>
      </c>
      <c r="W37" t="n">
        <v>81.5</v>
      </c>
      <c r="X37" t="n">
        <v>81.5</v>
      </c>
      <c r="Y37" t="inlineStr">
        <is>
          <t>Point</t>
        </is>
      </c>
      <c r="Z37" t="inlineStr">
        <is>
          <t>Stated</t>
        </is>
      </c>
      <c r="AA37" t="inlineStr">
        <is>
          <t>USD</t>
        </is>
      </c>
      <c r="AB37" t="inlineStr">
        <is>
          <t>Yes</t>
        </is>
      </c>
      <c r="AC37" t="n">
        <v>81.5</v>
      </c>
      <c r="AD37" t="inlineStr">
        <is>
          <t>Fin: committed; DD required: none; DD open: no; Excl: not stated</t>
        </is>
      </c>
      <c r="AK37" t="n">
        <v>26</v>
      </c>
      <c r="AL37" t="inlineStr">
        <is>
          <t>revises R029</t>
        </is>
      </c>
      <c r="AM37" t="inlineStr">
        <is>
          <t>PetSmart</t>
        </is>
      </c>
    </row>
    <row r="38">
      <c r="A38" t="n">
        <v>36</v>
      </c>
      <c r="B38" t="inlineStr">
        <is>
          <t>12/12/2014</t>
        </is>
      </c>
      <c r="C38" t="inlineStr">
        <is>
          <t>Buyer Group</t>
        </is>
      </c>
      <c r="D38" t="inlineStr">
        <is>
          <t>Bid</t>
        </is>
      </c>
      <c r="E38" t="n">
        <v>1</v>
      </c>
      <c r="F38" t="inlineStr">
        <is>
          <t>2</t>
        </is>
      </c>
      <c r="G38" t="inlineStr">
        <is>
          <t>Financial</t>
        </is>
      </c>
      <c r="H38" t="inlineStr">
        <is>
          <t>Improved best-and-final offer: $83.00 per share in cash (after an oral $82.50 earlier the same evening, which it said it was working to increase). Submitted revised transaction documents and financing commitment documents, substantially executable. Count 0: later bid row for the same unit in round 2.</t>
        </is>
      </c>
      <c r="I38" t="inlineStr">
        <is>
          <t>Formal</t>
        </is>
      </c>
      <c r="J38" t="inlineStr">
        <is>
          <t>Light</t>
        </is>
      </c>
      <c r="K38" t="inlineStr">
        <is>
          <t>Stated: "The Buyer Group initially submitted an oral offer of $82.50 per share, in cash, but stated that it was working to increase the offer within the next few hours. Later in the evening, the Buyer Group submitted a best and final offer of $83.00 per share, in cash." (p.26) Formality: Formal. Conditions: Light — committed financing; final documentation substantially executable.</t>
        </is>
      </c>
      <c r="M38" t="inlineStr">
        <is>
          <t>Q5; Q6</t>
        </is>
      </c>
      <c r="O38" t="inlineStr">
        <is>
          <t>R036</t>
        </is>
      </c>
      <c r="P38" t="inlineStr">
        <is>
          <t>Yes</t>
        </is>
      </c>
      <c r="Q38" t="n">
        <v>0</v>
      </c>
      <c r="R38" t="inlineStr">
        <is>
          <t>12/12/2014</t>
        </is>
      </c>
      <c r="S38" t="inlineStr">
        <is>
          <t>12/12/2014</t>
        </is>
      </c>
      <c r="T38" t="inlineStr">
        <is>
          <t>12/12/2014</t>
        </is>
      </c>
      <c r="U38" t="inlineStr">
        <is>
          <t>Reported day</t>
        </is>
      </c>
      <c r="V38" t="inlineStr">
        <is>
          <t>Reported</t>
        </is>
      </c>
      <c r="W38" t="n">
        <v>83</v>
      </c>
      <c r="X38" t="n">
        <v>83</v>
      </c>
      <c r="Y38" t="inlineStr">
        <is>
          <t>Point</t>
        </is>
      </c>
      <c r="Z38" t="inlineStr">
        <is>
          <t>Stated</t>
        </is>
      </c>
      <c r="AA38" t="inlineStr">
        <is>
          <t>USD</t>
        </is>
      </c>
      <c r="AB38" t="inlineStr">
        <is>
          <t>Yes</t>
        </is>
      </c>
      <c r="AC38" t="n">
        <v>83</v>
      </c>
      <c r="AD38" t="inlineStr">
        <is>
          <t>Fin: committed; DD required: none; DD open: no; Excl: not stated</t>
        </is>
      </c>
      <c r="AK38" t="n">
        <v>26</v>
      </c>
      <c r="AL38" t="inlineStr">
        <is>
          <t>revises R028; includes rollover with Longview (R033)</t>
        </is>
      </c>
      <c r="AM38" t="inlineStr">
        <is>
          <t>PetSmart</t>
        </is>
      </c>
    </row>
    <row r="39">
      <c r="A39" t="n">
        <v>37</v>
      </c>
      <c r="B39" t="inlineStr">
        <is>
          <t>12/14/2014</t>
        </is>
      </c>
      <c r="C39" t="inlineStr">
        <is>
          <t>PetSmart / Argos Holdings Inc. / Argos Merger Sub Inc.</t>
        </is>
      </c>
      <c r="D39" t="inlineStr">
        <is>
          <t>Merger agreement signed</t>
        </is>
      </c>
      <c r="E39" t="n">
        <v>1</v>
      </c>
      <c r="F39" t="inlineStr">
        <is>
          <t>2</t>
        </is>
      </c>
      <c r="H39" t="inlineStr">
        <is>
          <t>Merger agreement dated and executed 12/14/2014 with Argos Holdings Inc. (Parent; affiliates of funds advised by BC Partners, to be owned by the Buyer Group) and Argos Merger Sub Inc.: $83.00 per share in cash; $255 million Company termination fee; $510 million Parent termination fee with several termination fee commitment letters from Buyer Group members; financing of up to ~$6.2 billion debt plus a $750 million ABL facility and equity of up to ~$1.83 billion cash plus Longview’s $250 million stock contribution (3,012,050 rollover shares under a rollover agreement); no financing condition. Board approved 12/13/2014 (subject to resolution of open points) after J.P. Morgan’s fairness opinion on the $83.00 consideration; Longview voting agreement (7,424,591 shares) executed.</t>
        </is>
      </c>
      <c r="K39" t="inlineStr">
        <is>
          <t>Stated: "On December 14, 2014, the parties executed the merger agreement, the voting agreement and related transaction agreements and issued a press release announcing the transaction." (p.26); $83.00 per share (p.2); $255 million and $510 million fees (pp.8, 72); financing (pp.5, 40–41); no financing condition (p.5).</t>
        </is>
      </c>
      <c r="M39" t="inlineStr">
        <is>
          <t>Q6</t>
        </is>
      </c>
      <c r="O39" t="inlineStr">
        <is>
          <t>R037</t>
        </is>
      </c>
      <c r="P39" t="inlineStr">
        <is>
          <t>Yes</t>
        </is>
      </c>
      <c r="R39" t="inlineStr">
        <is>
          <t>12/14/2014</t>
        </is>
      </c>
      <c r="S39" t="inlineStr">
        <is>
          <t>12/14/2014</t>
        </is>
      </c>
      <c r="T39" t="inlineStr">
        <is>
          <t>12/14/2014</t>
        </is>
      </c>
      <c r="U39" t="inlineStr">
        <is>
          <t>Reported day</t>
        </is>
      </c>
      <c r="V39" t="inlineStr">
        <is>
          <t>Reported</t>
        </is>
      </c>
      <c r="AK39" t="n">
        <v>26</v>
      </c>
      <c r="AM39" t="inlineStr">
        <is>
          <t>PetSmart</t>
        </is>
      </c>
    </row>
    <row r="40">
      <c r="A40" t="n">
        <v>38</v>
      </c>
      <c r="B40" t="inlineStr">
        <is>
          <t>12/14/2014</t>
        </is>
      </c>
      <c r="C40" t="inlineStr">
        <is>
          <t>PetSmart / Argos Holdings Inc.</t>
        </is>
      </c>
      <c r="D40" t="inlineStr">
        <is>
          <t>Merger announced</t>
        </is>
      </c>
      <c r="E40" t="n">
        <v>1</v>
      </c>
      <c r="F40" t="inlineStr">
        <is>
          <t>post</t>
        </is>
      </c>
      <c r="H40" t="inlineStr">
        <is>
          <t>The parties issued a press release announcing the transaction on 12/14/2014. Issuer: PetSmart (with the buyer). Public disclosure by press release.</t>
        </is>
      </c>
      <c r="K40" t="inlineStr">
        <is>
          <t>Stated: "On December 14, 2014, the parties executed the merger agreement, the voting agreement and related transaction agreements and issued a press release announcing the transaction." (p.26); the closing market benchmark is the 12/12/2014 close because the announcement came after that trading day (p.76).</t>
        </is>
      </c>
      <c r="M40" t="inlineStr">
        <is>
          <t>Q1</t>
        </is>
      </c>
      <c r="O40" t="inlineStr">
        <is>
          <t>R038</t>
        </is>
      </c>
      <c r="P40" t="inlineStr">
        <is>
          <t>Yes</t>
        </is>
      </c>
      <c r="R40" t="inlineStr">
        <is>
          <t>12/14/2014</t>
        </is>
      </c>
      <c r="S40" t="inlineStr">
        <is>
          <t>12/14/2014</t>
        </is>
      </c>
      <c r="T40" t="inlineStr">
        <is>
          <t>12/14/2014</t>
        </is>
      </c>
      <c r="U40" t="inlineStr">
        <is>
          <t>Reported day</t>
        </is>
      </c>
      <c r="V40" t="inlineStr">
        <is>
          <t>Reported</t>
        </is>
      </c>
      <c r="AK40" t="n">
        <v>26</v>
      </c>
      <c r="AM40" t="inlineStr">
        <is>
          <t>PetSmart</t>
        </is>
      </c>
    </row>
    <row r="41">
      <c r="A41" t="n">
        <v>39</v>
      </c>
      <c r="B41" t="inlineStr">
        <is>
          <t>12/14/2014</t>
        </is>
      </c>
      <c r="C41" t="inlineStr">
        <is>
          <t>Bidder 2</t>
        </is>
      </c>
      <c r="D41" t="inlineStr">
        <is>
          <t>Not selected at signing</t>
        </is>
      </c>
      <c r="E41" t="n">
        <v>1</v>
      </c>
      <c r="F41" t="inlineStr">
        <is>
          <t>2</t>
        </is>
      </c>
      <c r="G41" t="inlineStr">
        <is>
          <t>Financial</t>
        </is>
      </c>
      <c r="H41" t="inlineStr">
        <is>
          <t>Still bidding (its $81.50 best-and-final offer was confirmed on 12/12/2014) when the board chose the Buyer Group and signed on 12/14/2014. Exit reason: Lower offer than rivals. Agency: Target.</t>
        </is>
      </c>
      <c r="K41" t="inlineStr">
        <is>
          <t>Stated: the board chose the Buyer Group and executed on 12/14/2014 (p.26) after Bidder 2’s best-and-final $81.50 offer (p.26).</t>
        </is>
      </c>
      <c r="M41" t="inlineStr">
        <is>
          <t>Q4</t>
        </is>
      </c>
      <c r="O41" t="inlineStr">
        <is>
          <t>R039</t>
        </is>
      </c>
      <c r="P41" t="inlineStr">
        <is>
          <t>Yes</t>
        </is>
      </c>
      <c r="Q41" t="n">
        <v>1</v>
      </c>
      <c r="S41" t="inlineStr">
        <is>
          <t>12/14/2014</t>
        </is>
      </c>
      <c r="T41" t="inlineStr">
        <is>
          <t>12/14/2014</t>
        </is>
      </c>
      <c r="U41" t="inlineStr">
        <is>
          <t>Relative only</t>
        </is>
      </c>
      <c r="V41" t="inlineStr">
        <is>
          <t>Assigned: bound</t>
        </is>
      </c>
      <c r="AH41" t="inlineStr">
        <is>
          <t>Target</t>
        </is>
      </c>
      <c r="AI41" t="inlineStr">
        <is>
          <t>Lower offer than rivals</t>
        </is>
      </c>
      <c r="AJ41" t="inlineStr">
        <is>
          <t>Stated</t>
        </is>
      </c>
      <c r="AK41" t="n">
        <v>26</v>
      </c>
      <c r="AM41" t="inlineStr">
        <is>
          <t>PetSmart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41"/>
  <sheetViews>
    <sheetView workbookViewId="0">
      <selection activeCell="A1" sqref="A1"/>
    </sheetView>
  </sheetViews>
  <sheetFormatPr baseColWidth="8" defaultRowHeight="15"/>
  <cols>
    <col width="17" customWidth="1" min="1" max="1"/>
    <col width="14" customWidth="1" min="2" max="2"/>
    <col width="14" customWidth="1" min="3" max="3"/>
    <col width="20" customWidth="1" min="4" max="4"/>
    <col width="14" customWidth="1" min="5" max="5"/>
    <col width="14" customWidth="1" min="6" max="6"/>
    <col width="15" customWidth="1" min="7" max="7"/>
    <col width="14" customWidth="1" min="8" max="8"/>
    <col width="16" customWidth="1" min="9" max="9"/>
    <col width="14" customWidth="1" min="10" max="10"/>
    <col width="22" customWidth="1" min="11" max="11"/>
    <col width="18" customWidth="1" min="12" max="12"/>
    <col width="14" customWidth="1" min="13" max="13"/>
    <col width="15" customWidth="1" min="14" max="14"/>
    <col width="17" customWidth="1" min="15" max="15"/>
  </cols>
  <sheetData>
    <row r="1">
      <c r="A1" s="20" t="inlineStr">
        <is>
          <t>What happened</t>
        </is>
      </c>
      <c r="B1" s="20" t="inlineStr">
        <is>
          <t>Type</t>
        </is>
      </c>
      <c r="C1" s="20" t="inlineStr">
        <is>
          <t>Formality</t>
        </is>
      </c>
      <c r="D1" s="20" t="inlineStr">
        <is>
          <t>Conditions level</t>
        </is>
      </c>
      <c r="E1" s="20" t="inlineStr">
        <is>
          <t>Include</t>
        </is>
      </c>
      <c r="F1" s="20" t="inlineStr">
        <is>
          <t>Date basis</t>
        </is>
      </c>
      <c r="G1" s="20" t="inlineStr">
        <is>
          <t>Date method</t>
        </is>
      </c>
      <c r="H1" s="20" t="inlineStr">
        <is>
          <t>Price kind</t>
        </is>
      </c>
      <c r="I1" s="20" t="inlineStr">
        <is>
          <t>Price origin</t>
        </is>
      </c>
      <c r="J1" s="20" t="inlineStr">
        <is>
          <t>All cash</t>
        </is>
      </c>
      <c r="K1" s="20" t="inlineStr">
        <is>
          <t>Deadline treatment</t>
        </is>
      </c>
      <c r="L1" s="20" t="inlineStr">
        <is>
          <t>Round finality</t>
        </is>
      </c>
      <c r="M1" s="20" t="inlineStr">
        <is>
          <t>Decided by</t>
        </is>
      </c>
      <c r="N1" s="20" t="inlineStr">
        <is>
          <t>Exit reason</t>
        </is>
      </c>
      <c r="O1" s="20" t="inlineStr">
        <is>
          <t>Outcome basis</t>
        </is>
      </c>
    </row>
    <row r="2">
      <c r="A2" t="inlineStr">
        <is>
          <t>Target interest</t>
        </is>
      </c>
      <c r="B2" t="inlineStr">
        <is>
          <t>Strategic</t>
        </is>
      </c>
      <c r="C2" t="inlineStr">
        <is>
          <t>Formal</t>
        </is>
      </c>
      <c r="D2" t="inlineStr">
        <is>
          <t>None</t>
        </is>
      </c>
      <c r="E2" t="inlineStr">
        <is>
          <t>Yes</t>
        </is>
      </c>
      <c r="F2" t="inlineStr">
        <is>
          <t>Reported day</t>
        </is>
      </c>
      <c r="G2" t="inlineStr">
        <is>
          <t>Reported</t>
        </is>
      </c>
      <c r="H2" t="inlineStr">
        <is>
          <t>Point</t>
        </is>
      </c>
      <c r="I2" t="inlineStr">
        <is>
          <t>Stated</t>
        </is>
      </c>
      <c r="J2" t="inlineStr">
        <is>
          <t>Yes</t>
        </is>
      </c>
      <c r="K2" t="inlineStr">
        <is>
          <t>Enforced</t>
        </is>
      </c>
      <c r="L2" t="inlineStr">
        <is>
          <t>Announced as final</t>
        </is>
      </c>
      <c r="M2" t="inlineStr">
        <is>
          <t>Bidder</t>
        </is>
      </c>
      <c r="N2" t="inlineStr">
        <is>
          <t>Value below market price</t>
        </is>
      </c>
      <c r="O2" t="inlineStr">
        <is>
          <t>Stated</t>
        </is>
      </c>
    </row>
    <row r="3">
      <c r="A3" t="inlineStr">
        <is>
          <t>Bidder interest</t>
        </is>
      </c>
      <c r="B3" t="inlineStr">
        <is>
          <t>Financial</t>
        </is>
      </c>
      <c r="C3" t="inlineStr">
        <is>
          <t>Informal</t>
        </is>
      </c>
      <c r="D3" t="inlineStr">
        <is>
          <t>Light</t>
        </is>
      </c>
      <c r="E3" t="inlineStr">
        <is>
          <t>No</t>
        </is>
      </c>
      <c r="F3" t="inlineStr">
        <is>
          <t>Inferred day</t>
        </is>
      </c>
      <c r="G3" t="inlineStr">
        <is>
          <t>Inferred</t>
        </is>
      </c>
      <c r="H3" t="inlineStr">
        <is>
          <t>Bidder range</t>
        </is>
      </c>
      <c r="I3" t="inlineStr">
        <is>
          <t>Carried forward</t>
        </is>
      </c>
      <c r="J3" t="inlineStr">
        <is>
          <t>No</t>
        </is>
      </c>
      <c r="K3" t="inlineStr">
        <is>
          <t>Extended</t>
        </is>
      </c>
      <c r="L3" t="inlineStr">
        <is>
          <t>Inferred final</t>
        </is>
      </c>
      <c r="M3" t="inlineStr">
        <is>
          <t>Target</t>
        </is>
      </c>
      <c r="N3" t="inlineStr">
        <is>
          <t>Value at or below market price</t>
        </is>
      </c>
      <c r="O3" t="inlineStr">
        <is>
          <t>Inferred: residual</t>
        </is>
      </c>
    </row>
    <row r="4">
      <c r="A4" t="inlineStr">
        <is>
          <t>Target sale decision</t>
        </is>
      </c>
      <c r="B4" t="inlineStr">
        <is>
          <t>Mixed</t>
        </is>
      </c>
      <c r="C4" t="inlineStr">
        <is>
          <t>Insufficient evidence</t>
        </is>
      </c>
      <c r="D4" t="inlineStr">
        <is>
          <t>Heavy</t>
        </is>
      </c>
      <c r="F4" t="inlineStr">
        <is>
          <t>Reported interval</t>
        </is>
      </c>
      <c r="G4" t="inlineStr">
        <is>
          <t>Assigned: deadline</t>
        </is>
      </c>
      <c r="H4" t="inlineStr">
        <is>
          <t>Group envelope</t>
        </is>
      </c>
      <c r="I4" t="inlineStr">
        <is>
          <t>Inferred</t>
        </is>
      </c>
      <c r="J4" t="inlineStr">
        <is>
          <t>Not stated</t>
        </is>
      </c>
      <c r="K4" t="inlineStr">
        <is>
          <t>Late bids accepted</t>
        </is>
      </c>
      <c r="L4" t="inlineStr">
        <is>
          <t>Not final</t>
        </is>
      </c>
      <c r="M4" t="inlineStr">
        <is>
          <t>Both</t>
        </is>
      </c>
      <c r="N4" t="inlineStr">
        <is>
          <t>Value below earlier offer</t>
        </is>
      </c>
      <c r="O4" t="inlineStr">
        <is>
          <t>Inferred: exclusivity</t>
        </is>
      </c>
    </row>
    <row r="5">
      <c r="A5" t="inlineStr">
        <is>
          <t>Activist pressure</t>
        </is>
      </c>
      <c r="B5" t="inlineStr">
        <is>
          <t>Unknown</t>
        </is>
      </c>
      <c r="C5" t="inlineStr">
        <is>
          <t>Varies</t>
        </is>
      </c>
      <c r="D5" t="inlineStr">
        <is>
          <t>Insufficient evidence</t>
        </is>
      </c>
      <c r="F5" t="inlineStr">
        <is>
          <t>Approximate window</t>
        </is>
      </c>
      <c r="G5" t="inlineStr">
        <is>
          <t>Assigned: decision day</t>
        </is>
      </c>
      <c r="H5" t="inlineStr">
        <is>
          <t>Bound only</t>
        </is>
      </c>
      <c r="K5" t="inlineStr">
        <is>
          <t>Extended; Late bids accepted</t>
        </is>
      </c>
      <c r="M5" t="inlineStr">
        <is>
          <t>Unknown</t>
        </is>
      </c>
      <c r="N5" t="inlineStr">
        <is>
          <t>Value at earlier offer</t>
        </is>
      </c>
      <c r="O5" t="inlineStr">
        <is>
          <t>Inferred: silent</t>
        </is>
      </c>
    </row>
    <row r="6">
      <c r="A6" t="inlineStr">
        <is>
          <t>Activist involvement</t>
        </is>
      </c>
      <c r="D6" t="inlineStr">
        <is>
          <t>Varies</t>
        </is>
      </c>
      <c r="F6" t="inlineStr">
        <is>
          <t>Relative only</t>
        </is>
      </c>
      <c r="G6" t="inlineStr">
        <is>
          <t>Assigned: midpoint</t>
        </is>
      </c>
      <c r="H6" t="inlineStr">
        <is>
          <t>Undisclosed</t>
        </is>
      </c>
      <c r="K6" t="inlineStr">
        <is>
          <t>Passed without action</t>
        </is>
      </c>
      <c r="N6" t="inlineStr">
        <is>
          <t>Would not improve earlier offer</t>
        </is>
      </c>
      <c r="O6" t="inlineStr">
        <is>
          <t>Inferred: identity</t>
        </is>
      </c>
    </row>
    <row r="7">
      <c r="A7" t="inlineStr">
        <is>
          <t>Adviser engaged</t>
        </is>
      </c>
      <c r="F7" t="inlineStr">
        <is>
          <t>Undated</t>
        </is>
      </c>
      <c r="G7" t="inlineStr">
        <is>
          <t>Assigned: bound</t>
        </is>
      </c>
      <c r="K7" t="inlineStr">
        <is>
          <t>Unclear</t>
        </is>
      </c>
      <c r="N7" t="inlineStr">
        <is>
          <t>Lower offer than rivals</t>
        </is>
      </c>
    </row>
    <row r="8">
      <c r="A8" t="inlineStr">
        <is>
          <t>Adviser service observed</t>
        </is>
      </c>
      <c r="G8" t="inlineStr">
        <is>
          <t>Assigned: sequence</t>
        </is>
      </c>
      <c r="K8" t="inlineStr">
        <is>
          <t>No deadline stated</t>
        </is>
      </c>
      <c r="N8" t="inlineStr">
        <is>
          <t>Terms or process</t>
        </is>
      </c>
    </row>
    <row r="9">
      <c r="A9" t="inlineStr">
        <is>
          <t>Adviser ended</t>
        </is>
      </c>
      <c r="N9" t="inlineStr">
        <is>
          <t>Other stated reason</t>
        </is>
      </c>
    </row>
    <row r="10">
      <c r="A10" t="inlineStr">
        <is>
          <t>Contact</t>
        </is>
      </c>
      <c r="N10" t="inlineStr">
        <is>
          <t>Not stated</t>
        </is>
      </c>
    </row>
    <row r="11">
      <c r="A11" t="inlineStr">
        <is>
          <t>NDA signed</t>
        </is>
      </c>
    </row>
    <row r="12">
      <c r="A12" t="inlineStr">
        <is>
          <t>Round opened</t>
        </is>
      </c>
    </row>
    <row r="13">
      <c r="A13" t="inlineStr">
        <is>
          <t>Deadline set</t>
        </is>
      </c>
    </row>
    <row r="14">
      <c r="A14" t="inlineStr">
        <is>
          <t>Deadline revised</t>
        </is>
      </c>
    </row>
    <row r="15">
      <c r="A15" t="inlineStr">
        <is>
          <t>Deadline</t>
        </is>
      </c>
    </row>
    <row r="16">
      <c r="A16" t="inlineStr">
        <is>
          <t>Target decision</t>
        </is>
      </c>
    </row>
    <row r="17">
      <c r="A17" t="inlineStr">
        <is>
          <t>Information access changed</t>
        </is>
      </c>
    </row>
    <row r="18">
      <c r="A18" t="inlineStr">
        <is>
          <t>Material process update</t>
        </is>
      </c>
    </row>
    <row r="19">
      <c r="A19" t="inlineStr">
        <is>
          <t>Exclusivity changed</t>
        </is>
      </c>
    </row>
    <row r="20">
      <c r="A20" t="inlineStr">
        <is>
          <t>Bid</t>
        </is>
      </c>
    </row>
    <row r="21">
      <c r="A21" t="inlineStr">
        <is>
          <t>Bid reaffirmed</t>
        </is>
      </c>
    </row>
    <row r="22">
      <c r="A22" t="inlineStr">
        <is>
          <t>Offer update</t>
        </is>
      </c>
    </row>
    <row r="23">
      <c r="A23" t="inlineStr">
        <is>
          <t>Other-scope bid</t>
        </is>
      </c>
    </row>
    <row r="24">
      <c r="A24" t="inlineStr">
        <is>
          <t>Valuation statement</t>
        </is>
      </c>
    </row>
    <row r="25">
      <c r="A25" t="inlineStr">
        <is>
          <t>Bidding group changed</t>
        </is>
      </c>
    </row>
    <row r="26">
      <c r="A26" t="inlineStr">
        <is>
          <t>Joined group</t>
        </is>
      </c>
    </row>
    <row r="27">
      <c r="A27" t="inlineStr">
        <is>
          <t>Dropped by target</t>
        </is>
      </c>
    </row>
    <row r="28">
      <c r="A28" t="inlineStr">
        <is>
          <t>Withdrew</t>
        </is>
      </c>
    </row>
    <row r="29">
      <c r="A29" t="inlineStr">
        <is>
          <t>Did not submit</t>
        </is>
      </c>
    </row>
    <row r="30">
      <c r="A30" t="inlineStr">
        <is>
          <t>Participation paused</t>
        </is>
      </c>
    </row>
    <row r="31">
      <c r="A31" t="inlineStr">
        <is>
          <t>Re-entered</t>
        </is>
      </c>
    </row>
    <row r="32">
      <c r="A32" t="inlineStr">
        <is>
          <t>Not selected at signing</t>
        </is>
      </c>
    </row>
    <row r="33">
      <c r="A33" t="inlineStr">
        <is>
          <t>Sale process announced</t>
        </is>
      </c>
    </row>
    <row r="34">
      <c r="A34" t="inlineStr">
        <is>
          <t>Bid announced</t>
        </is>
      </c>
    </row>
    <row r="35">
      <c r="A35" t="inlineStr">
        <is>
          <t>Merger announced</t>
        </is>
      </c>
    </row>
    <row r="36">
      <c r="A36" t="inlineStr">
        <is>
          <t>Merger agreement signed</t>
        </is>
      </c>
    </row>
    <row r="37">
      <c r="A37" t="inlineStr">
        <is>
          <t>Go-shop changed</t>
        </is>
      </c>
    </row>
    <row r="38">
      <c r="A38" t="inlineStr">
        <is>
          <t>Process terminated</t>
        </is>
      </c>
    </row>
    <row r="39">
      <c r="A39" t="inlineStr">
        <is>
          <t>Process restarted</t>
        </is>
      </c>
    </row>
    <row r="40">
      <c r="A40" t="inlineStr">
        <is>
          <t>Agreement terminated</t>
        </is>
      </c>
    </row>
    <row r="41">
      <c r="A41" t="inlineStr">
        <is>
          <t>Closed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2026-09-19T12:17:09Z</dcterms:created>
  <dcterms:modified xmlns:dcterms="http://purl.org/dc/terms/" xmlns:xsi="http://www.w3.org/2001/XMLSchema-instance" xsi:type="dcterms:W3CDTF">2026-09-19T12:17:09Z</dcterms:modified>
</cp:coreProperties>
</file>