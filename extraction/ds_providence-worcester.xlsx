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Summary" sheetId="2" state="visible" r:id="rId2"/>
    <sheet xmlns:r="http://schemas.openxmlformats.org/officeDocument/2006/relationships" name="Questions" sheetId="3" state="visible" r:id="rId3"/>
    <sheet xmlns:r="http://schemas.openxmlformats.org/officeDocument/2006/relationships" name="Source text" sheetId="4" state="visible" r:id="rId4"/>
    <sheet xmlns:r="http://schemas.openxmlformats.org/officeDocument/2006/relationships" name="AI original" sheetId="5" state="hidden" r:id="rId5"/>
    <sheet xmlns:r="http://schemas.openxmlformats.org/officeDocument/2006/relationships" name="Lists" sheetId="6" state="hidden" r:id="rId6"/>
  </sheets>
  <definedNames>
    <definedName name="_xlnm._FilterDatabase" localSheetId="0" hidden="1">'Deal ledger'!$A$2:$AM$56</definedName>
    <definedName name="_xlnm._FilterDatabase" localSheetId="3" hidden="1">'Source text'!$A$1:$D$56</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11">
    <font>
      <name val="Calibri"/>
      <family val="2"/>
      <color theme="1"/>
      <sz val="11"/>
      <scheme val="minor"/>
    </font>
    <font>
      <b val="1"/>
      <color rgb="00FFFFFF"/>
      <sz val="11"/>
    </font>
    <font>
      <b val="1"/>
      <color rgb="00FFFFFF"/>
      <sz val="10"/>
    </font>
    <font>
      <b val="1"/>
      <color rgb="001F3864"/>
      <sz val="10"/>
    </font>
    <font>
      <b val="1"/>
      <color rgb="001F3864"/>
      <sz val="9"/>
    </font>
    <font>
      <i val="1"/>
      <sz val="9"/>
    </font>
    <font>
      <color rgb="000563C1"/>
      <sz val="10"/>
      <u val="single"/>
    </font>
    <font>
      <b val="1"/>
    </font>
    <font>
      <b val="1"/>
      <color rgb="00C00000"/>
    </font>
    <font>
      <b val="1"/>
      <sz val="10"/>
    </font>
    <font>
      <b val="1"/>
      <sz val="11"/>
    </font>
  </fonts>
  <fills count="4">
    <fill>
      <patternFill/>
    </fill>
    <fill>
      <patternFill patternType="gray125"/>
    </fill>
    <fill>
      <patternFill patternType="solid">
        <fgColor rgb="001F3864"/>
      </patternFill>
    </fill>
    <fill>
      <patternFill patternType="solid">
        <fgColor rgb="00D9E2F3"/>
      </patternFill>
    </fill>
  </fills>
  <borders count="2">
    <border>
      <left/>
      <right/>
      <top/>
      <bottom/>
      <diagonal/>
    </border>
    <border>
      <bottom style="thin">
        <color rgb="00BFBFBF"/>
      </bottom>
    </border>
  </borders>
  <cellStyleXfs count="1">
    <xf numFmtId="0" fontId="0" fillId="0" borderId="0"/>
  </cellStyleXfs>
  <cellXfs count="21">
    <xf numFmtId="0" fontId="0" fillId="0" borderId="0" pivotButton="0" quotePrefix="0" xfId="0"/>
    <xf numFmtId="0" fontId="1" fillId="2" borderId="0" applyAlignment="1" pivotButton="0" quotePrefix="0" xfId="0">
      <alignment vertical="center"/>
    </xf>
    <xf numFmtId="0" fontId="3" fillId="3" borderId="0" applyAlignment="1" pivotButton="0" quotePrefix="0" xfId="0">
      <alignment horizontal="center" vertical="center"/>
    </xf>
    <xf numFmtId="0" fontId="2" fillId="2" borderId="1" applyAlignment="1" pivotButton="0" quotePrefix="0" xfId="0">
      <alignment horizontal="center" vertical="center" wrapText="1"/>
    </xf>
    <xf numFmtId="0" fontId="4" fillId="3" borderId="0" applyAlignment="1" pivotButton="0" quotePrefix="0" xfId="0">
      <alignment horizontal="center" vertical="center"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6" fillId="0" borderId="0" applyAlignment="1" pivotButton="0" quotePrefix="0" xfId="0">
      <alignment vertical="top" wrapText="1"/>
    </xf>
    <xf numFmtId="165" fontId="0" fillId="0" borderId="0" applyAlignment="1" pivotButton="0" quotePrefix="0" xfId="0">
      <alignment horizontal="center" vertical="top"/>
    </xf>
    <xf numFmtId="0" fontId="0" fillId="0" borderId="0" applyAlignment="1" pivotButton="0" quotePrefix="0" xfId="0">
      <alignment horizontal="center" vertical="top"/>
    </xf>
    <xf numFmtId="0" fontId="9" fillId="0" borderId="0" applyAlignment="1" pivotButton="0" quotePrefix="0" xfId="0">
      <alignment vertical="top" wrapText="1"/>
    </xf>
    <xf numFmtId="0" fontId="9" fillId="0" borderId="0" pivotButton="0" quotePrefix="0" xfId="0"/>
    <xf numFmtId="0" fontId="5" fillId="0" borderId="0" applyAlignment="1" pivotButton="0" quotePrefix="0" xfId="0">
      <alignment vertical="top" wrapText="1"/>
    </xf>
    <xf numFmtId="0" fontId="2" fillId="2" borderId="0" applyAlignment="1" pivotButton="0" quotePrefix="0" xfId="0">
      <alignment horizontal="center" vertical="center" wrapText="1"/>
    </xf>
    <xf numFmtId="0" fontId="10" fillId="0" borderId="0" pivotButton="0" quotePrefix="0" xfId="0"/>
    <xf numFmtId="0" fontId="2" fillId="2" borderId="0" pivotButton="0" quotePrefix="0" xfId="0"/>
    <xf numFmtId="0" fontId="5" fillId="0" borderId="0" pivotButton="0" quotePrefix="0" xfId="0"/>
    <xf numFmtId="0" fontId="5" fillId="0" borderId="0" applyAlignment="1" pivotButton="0" quotePrefix="0" xfId="0">
      <alignment wrapText="1"/>
    </xf>
    <xf numFmtId="0" fontId="0" fillId="0" borderId="0" applyAlignment="1" pivotButton="0" quotePrefix="0" xfId="0">
      <alignment vertical="top"/>
    </xf>
    <xf numFmtId="0" fontId="8" fillId="0" borderId="0" pivotButton="0" quotePrefix="0" xfId="0"/>
    <xf numFmtId="0" fontId="7" fillId="0" borderId="0" pivotButton="0" quotePrefix="0" xfId="0"/>
  </cellXfs>
  <cellStyles count="1">
    <cellStyle name="Normal" xfId="0" builtinId="0" hidden="0"/>
  </cellStyles>
  <dxfs count="1">
    <dxf>
      <font>
        <b val="1"/>
        <color rgb="00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ource text'!A4" TargetMode="External" Id="rId1"/><Relationship Type="http://schemas.openxmlformats.org/officeDocument/2006/relationships/hyperlink" Target="#'Source text'!A4" TargetMode="External" Id="rId2"/><Relationship Type="http://schemas.openxmlformats.org/officeDocument/2006/relationships/hyperlink" Target="#'Source text'!A5" TargetMode="External" Id="rId3"/><Relationship Type="http://schemas.openxmlformats.org/officeDocument/2006/relationships/hyperlink" Target="#'Source text'!A8" TargetMode="External" Id="rId4"/><Relationship Type="http://schemas.openxmlformats.org/officeDocument/2006/relationships/hyperlink" Target="#'Source text'!A8" TargetMode="External" Id="rId5"/><Relationship Type="http://schemas.openxmlformats.org/officeDocument/2006/relationships/hyperlink" Target="#'Source text'!A8" TargetMode="External" Id="rId6"/><Relationship Type="http://schemas.openxmlformats.org/officeDocument/2006/relationships/hyperlink" Target="#'Source text'!A8" TargetMode="External" Id="rId7"/><Relationship Type="http://schemas.openxmlformats.org/officeDocument/2006/relationships/hyperlink" Target="#'Source text'!A8" TargetMode="External" Id="rId8"/><Relationship Type="http://schemas.openxmlformats.org/officeDocument/2006/relationships/hyperlink" Target="#'Source text'!A9" TargetMode="External" Id="rId9"/><Relationship Type="http://schemas.openxmlformats.org/officeDocument/2006/relationships/hyperlink" Target="#'Source text'!A10" TargetMode="External" Id="rId10"/><Relationship Type="http://schemas.openxmlformats.org/officeDocument/2006/relationships/hyperlink" Target="#'Source text'!A10" TargetMode="External" Id="rId11"/><Relationship Type="http://schemas.openxmlformats.org/officeDocument/2006/relationships/hyperlink" Target="#'Source text'!A12" TargetMode="External" Id="rId12"/><Relationship Type="http://schemas.openxmlformats.org/officeDocument/2006/relationships/hyperlink" Target="#'Source text'!A12" TargetMode="External" Id="rId13"/><Relationship Type="http://schemas.openxmlformats.org/officeDocument/2006/relationships/hyperlink" Target="#'Source text'!A13" TargetMode="External" Id="rId14"/><Relationship Type="http://schemas.openxmlformats.org/officeDocument/2006/relationships/hyperlink" Target="#'Source text'!A13" TargetMode="External" Id="rId15"/><Relationship Type="http://schemas.openxmlformats.org/officeDocument/2006/relationships/hyperlink" Target="#'Source text'!A8" TargetMode="External" Id="rId16"/><Relationship Type="http://schemas.openxmlformats.org/officeDocument/2006/relationships/hyperlink" Target="#'Source text'!A13" TargetMode="External" Id="rId17"/><Relationship Type="http://schemas.openxmlformats.org/officeDocument/2006/relationships/hyperlink" Target="#'Source text'!A13" TargetMode="External" Id="rId18"/><Relationship Type="http://schemas.openxmlformats.org/officeDocument/2006/relationships/hyperlink" Target="#'Source text'!A14" TargetMode="External" Id="rId19"/><Relationship Type="http://schemas.openxmlformats.org/officeDocument/2006/relationships/hyperlink" Target="#'Source text'!A16" TargetMode="External" Id="rId20"/><Relationship Type="http://schemas.openxmlformats.org/officeDocument/2006/relationships/hyperlink" Target="#'Source text'!A16" TargetMode="External" Id="rId21"/><Relationship Type="http://schemas.openxmlformats.org/officeDocument/2006/relationships/hyperlink" Target="#'Source text'!A16" TargetMode="External" Id="rId22"/><Relationship Type="http://schemas.openxmlformats.org/officeDocument/2006/relationships/hyperlink" Target="#'Source text'!A16" TargetMode="External" Id="rId23"/><Relationship Type="http://schemas.openxmlformats.org/officeDocument/2006/relationships/hyperlink" Target="#'Source text'!A19" TargetMode="External" Id="rId24"/><Relationship Type="http://schemas.openxmlformats.org/officeDocument/2006/relationships/hyperlink" Target="#'Source text'!A18" TargetMode="External" Id="rId25"/><Relationship Type="http://schemas.openxmlformats.org/officeDocument/2006/relationships/hyperlink" Target="#'Source text'!A20" TargetMode="External" Id="rId26"/><Relationship Type="http://schemas.openxmlformats.org/officeDocument/2006/relationships/hyperlink" Target="#'Source text'!A21" TargetMode="External" Id="rId27"/><Relationship Type="http://schemas.openxmlformats.org/officeDocument/2006/relationships/hyperlink" Target="#'Source text'!A22" TargetMode="External" Id="rId28"/><Relationship Type="http://schemas.openxmlformats.org/officeDocument/2006/relationships/hyperlink" Target="#'Source text'!A23" TargetMode="External" Id="rId29"/><Relationship Type="http://schemas.openxmlformats.org/officeDocument/2006/relationships/hyperlink" Target="#'Source text'!A24" TargetMode="External" Id="rId30"/><Relationship Type="http://schemas.openxmlformats.org/officeDocument/2006/relationships/hyperlink" Target="#'Source text'!A24" TargetMode="External" Id="rId31"/><Relationship Type="http://schemas.openxmlformats.org/officeDocument/2006/relationships/hyperlink" Target="#'Source text'!A24" TargetMode="External" Id="rId32"/><Relationship Type="http://schemas.openxmlformats.org/officeDocument/2006/relationships/hyperlink" Target="#'Source text'!A19" TargetMode="External" Id="rId33"/><Relationship Type="http://schemas.openxmlformats.org/officeDocument/2006/relationships/hyperlink" Target="#'Source text'!A19" TargetMode="External" Id="rId34"/><Relationship Type="http://schemas.openxmlformats.org/officeDocument/2006/relationships/hyperlink" Target="#'Source text'!A25" TargetMode="External" Id="rId35"/><Relationship Type="http://schemas.openxmlformats.org/officeDocument/2006/relationships/hyperlink" Target="#'Source text'!A25" TargetMode="External" Id="rId36"/><Relationship Type="http://schemas.openxmlformats.org/officeDocument/2006/relationships/hyperlink" Target="#'Source text'!A25" TargetMode="External" Id="rId37"/><Relationship Type="http://schemas.openxmlformats.org/officeDocument/2006/relationships/hyperlink" Target="#'Source text'!A25" TargetMode="External" Id="rId38"/><Relationship Type="http://schemas.openxmlformats.org/officeDocument/2006/relationships/hyperlink" Target="#'Source text'!A25" TargetMode="External" Id="rId39"/><Relationship Type="http://schemas.openxmlformats.org/officeDocument/2006/relationships/hyperlink" Target="#'Source text'!A26" TargetMode="External" Id="rId40"/><Relationship Type="http://schemas.openxmlformats.org/officeDocument/2006/relationships/hyperlink" Target="#'Source text'!A26" TargetMode="External" Id="rId41"/><Relationship Type="http://schemas.openxmlformats.org/officeDocument/2006/relationships/hyperlink" Target="#'Source text'!A26" TargetMode="External" Id="rId42"/><Relationship Type="http://schemas.openxmlformats.org/officeDocument/2006/relationships/hyperlink" Target="#'Source text'!A26" TargetMode="External" Id="rId43"/><Relationship Type="http://schemas.openxmlformats.org/officeDocument/2006/relationships/hyperlink" Target="#'Source text'!A26" TargetMode="External" Id="rId44"/><Relationship Type="http://schemas.openxmlformats.org/officeDocument/2006/relationships/hyperlink" Target="#'Source text'!A26" TargetMode="External" Id="rId45"/><Relationship Type="http://schemas.openxmlformats.org/officeDocument/2006/relationships/hyperlink" Target="#'Source text'!A28" TargetMode="External" Id="rId46"/><Relationship Type="http://schemas.openxmlformats.org/officeDocument/2006/relationships/hyperlink" Target="#'Source text'!A29" TargetMode="External" Id="rId47"/><Relationship Type="http://schemas.openxmlformats.org/officeDocument/2006/relationships/hyperlink" Target="#'Source text'!A29" TargetMode="External" Id="rId48"/><Relationship Type="http://schemas.openxmlformats.org/officeDocument/2006/relationships/hyperlink" Target="#'Source text'!A30" TargetMode="External" Id="rId49"/><Relationship Type="http://schemas.openxmlformats.org/officeDocument/2006/relationships/hyperlink" Target="#'Source text'!A35" TargetMode="External" Id="rId50"/><Relationship Type="http://schemas.openxmlformats.org/officeDocument/2006/relationships/hyperlink" Target="#'Source text'!A33" TargetMode="External" Id="rId51"/><Relationship Type="http://schemas.openxmlformats.org/officeDocument/2006/relationships/hyperlink" Target="#'Source text'!A35" TargetMode="External" Id="rId52"/><Relationship Type="http://schemas.openxmlformats.org/officeDocument/2006/relationships/hyperlink" Target="#'Source text'!A35" TargetMode="External" Id="rId53"/><Relationship Type="http://schemas.openxmlformats.org/officeDocument/2006/relationships/hyperlink" Target="#'Source text'!A35" TargetMode="External" Id="rId54"/></Relationships>
</file>

<file path=xl/worksheets/sheet1.xml><?xml version="1.0" encoding="utf-8"?>
<worksheet xmlns="http://schemas.openxmlformats.org/spreadsheetml/2006/main">
  <sheetPr>
    <outlinePr summaryBelow="1" summaryRight="1"/>
    <pageSetUpPr/>
  </sheetPr>
  <dimension ref="A1:AM56"/>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2" customWidth="1" min="3" max="3"/>
    <col width="20" customWidth="1" min="4" max="4"/>
    <col width="8" customWidth="1" min="5" max="5"/>
    <col width="8" customWidth="1" min="6" max="6"/>
    <col width="11" customWidth="1" min="7" max="7"/>
    <col width="52" customWidth="1" min="8" max="8"/>
    <col width="12" customWidth="1" min="9" max="9"/>
    <col width="13" customWidth="1" min="10" max="10"/>
    <col width="60" customWidth="1" min="11" max="11"/>
    <col width="18" customWidth="1" min="12" max="12"/>
    <col width="9" customWidth="1" min="13" max="13"/>
    <col width="22" customWidth="1" min="14" max="14"/>
    <col hidden="1" outlineLevel="1" width="9" customWidth="1" min="15" max="15"/>
    <col hidden="1" outlineLevel="1" width="8" customWidth="1" min="16" max="16"/>
    <col hidden="1" outlineLevel="1" width="7" customWidth="1" min="17" max="17"/>
    <col hidden="1" outlineLevel="1" width="11" customWidth="1" min="18" max="18"/>
    <col hidden="1" outlineLevel="1" width="11" customWidth="1" min="19" max="19"/>
    <col hidden="1" outlineLevel="1" width="12" customWidth="1" min="20" max="20"/>
    <col hidden="1" outlineLevel="1" width="14" customWidth="1" min="21" max="21"/>
    <col hidden="1" outlineLevel="1" width="17" customWidth="1" min="22" max="22"/>
    <col hidden="1" outlineLevel="1" width="10" customWidth="1" min="23" max="23"/>
    <col hidden="1" outlineLevel="1" width="10" customWidth="1" min="24" max="24"/>
    <col hidden="1" outlineLevel="1" width="12" customWidth="1" min="25" max="25"/>
    <col hidden="1" outlineLevel="1" width="12" customWidth="1" min="26" max="26"/>
    <col hidden="1" outlineLevel="1" width="9" customWidth="1" min="27" max="27"/>
    <col hidden="1" outlineLevel="1" width="9" customWidth="1" min="28" max="28"/>
    <col hidden="1" outlineLevel="1" width="12" customWidth="1" min="29" max="29"/>
    <col hidden="1" outlineLevel="1" width="46" customWidth="1" min="30" max="30"/>
    <col hidden="1" outlineLevel="1" width="11" customWidth="1" min="31" max="31"/>
    <col hidden="1" outlineLevel="1" width="20" customWidth="1" min="32" max="32"/>
    <col hidden="1" outlineLevel="1" width="14" customWidth="1" min="33" max="33"/>
    <col hidden="1" outlineLevel="1" width="11" customWidth="1" min="34" max="34"/>
    <col hidden="1" outlineLevel="1" width="22" customWidth="1" min="35" max="35"/>
    <col hidden="1" outlineLevel="1" width="17" customWidth="1" min="36" max="36"/>
    <col hidden="1" outlineLevel="1" width="7" customWidth="1" min="37" max="37"/>
    <col hidden="1" outlineLevel="1" width="24" customWidth="1" min="38" max="38"/>
    <col hidden="1" outlineLevel="1" width="22" customWidth="1" min="39" max="39"/>
  </cols>
  <sheetData>
    <row r="1">
      <c r="A1" s="1" t="inlineStr">
        <is>
          <t>Deal ledger — Providence &amp; Worcester (PWRR–G&amp;W, 2016) · chronological working record (AI first pass; instruction rev. 19 Sep 2026). Collapsed expandable fields in groups O–AM to the right: Row id, Include, Count, dates, price, cash, Conditions detail, deadlines, outcome and source metadata. One row per materially distinct event; see Summary for the commercial account and round map.</t>
        </is>
      </c>
      <c r="O1" s="2" t="inlineStr">
        <is>
          <t>Row control</t>
        </is>
      </c>
      <c r="Q1" s="2" t="inlineStr">
        <is>
          <t>Count</t>
        </is>
      </c>
      <c r="R1" s="2" t="inlineStr">
        <is>
          <t>Dates</t>
        </is>
      </c>
      <c r="W1" s="2" t="inlineStr">
        <is>
          <t>Price</t>
        </is>
      </c>
      <c r="AB1" s="2" t="inlineStr">
        <is>
          <t>Cash</t>
        </is>
      </c>
      <c r="AD1" s="2" t="inlineStr">
        <is>
          <t>Conditions</t>
        </is>
      </c>
      <c r="AE1" s="2" t="inlineStr">
        <is>
          <t>Deadlines</t>
        </is>
      </c>
      <c r="AH1" s="2" t="inlineStr">
        <is>
          <t>Participation outcome</t>
        </is>
      </c>
      <c r="AK1" s="2" t="inlineStr">
        <is>
          <t>Source</t>
        </is>
      </c>
    </row>
    <row r="2">
      <c r="A2" s="3" t="inlineStr">
        <is>
          <t>#</t>
        </is>
      </c>
      <c r="B2" s="3" t="inlineStr">
        <is>
          <t>When</t>
        </is>
      </c>
      <c r="C2" s="3" t="inlineStr">
        <is>
          <t>Who</t>
        </is>
      </c>
      <c r="D2" s="3" t="inlineStr">
        <is>
          <t>What happened</t>
        </is>
      </c>
      <c r="E2" s="3" t="inlineStr">
        <is>
          <t>Process</t>
        </is>
      </c>
      <c r="F2" s="3" t="inlineStr">
        <is>
          <t>Round</t>
        </is>
      </c>
      <c r="G2" s="3" t="inlineStr">
        <is>
          <t>Type</t>
        </is>
      </c>
      <c r="H2" s="3" t="inlineStr">
        <is>
          <t>Terms or outcome</t>
        </is>
      </c>
      <c r="I2" s="3" t="inlineStr">
        <is>
          <t>Formality</t>
        </is>
      </c>
      <c r="J2" s="3" t="inlineStr">
        <is>
          <t>Conditions level</t>
        </is>
      </c>
      <c r="K2" s="3" t="inlineStr">
        <is>
          <t>Why and evidence</t>
        </is>
      </c>
      <c r="L2" s="3" t="inlineStr">
        <is>
          <t>Source</t>
        </is>
      </c>
      <c r="M2" s="3" t="inlineStr">
        <is>
          <t>Review</t>
        </is>
      </c>
      <c r="N2" s="3" t="inlineStr">
        <is>
          <t>Reviewer note</t>
        </is>
      </c>
      <c r="O2" s="4" t="inlineStr">
        <is>
          <t>Row id</t>
        </is>
      </c>
      <c r="P2" s="4" t="inlineStr">
        <is>
          <t>Include</t>
        </is>
      </c>
      <c r="Q2" s="4" t="inlineStr">
        <is>
          <t>Count</t>
        </is>
      </c>
      <c r="R2" s="4" t="inlineStr">
        <is>
          <t>Date from</t>
        </is>
      </c>
      <c r="S2" s="4" t="inlineStr">
        <is>
          <t>Date to</t>
        </is>
      </c>
      <c r="T2" s="4" t="inlineStr">
        <is>
          <t>Working date</t>
        </is>
      </c>
      <c r="U2" s="4" t="inlineStr">
        <is>
          <t>Date basis</t>
        </is>
      </c>
      <c r="V2" s="4" t="inlineStr">
        <is>
          <t>Date method</t>
        </is>
      </c>
      <c r="W2" s="4" t="inlineStr">
        <is>
          <t>Price low</t>
        </is>
      </c>
      <c r="X2" s="4" t="inlineStr">
        <is>
          <t>Price high</t>
        </is>
      </c>
      <c r="Y2" s="4" t="inlineStr">
        <is>
          <t>Price kind</t>
        </is>
      </c>
      <c r="Z2" s="4" t="inlineStr">
        <is>
          <t>Price origin</t>
        </is>
      </c>
      <c r="AA2" s="4" t="inlineStr">
        <is>
          <t>Currency</t>
        </is>
      </c>
      <c r="AB2" s="4" t="inlineStr">
        <is>
          <t>All cash</t>
        </is>
      </c>
      <c r="AC2" s="4" t="inlineStr">
        <is>
          <t>Cash at closing</t>
        </is>
      </c>
      <c r="AD2" s="4" t="inlineStr">
        <is>
          <t>Conditions detail</t>
        </is>
      </c>
      <c r="AE2" s="4" t="inlineStr">
        <is>
          <t>Due date</t>
        </is>
      </c>
      <c r="AF2" s="4" t="inlineStr">
        <is>
          <t>Deadline treatment</t>
        </is>
      </c>
      <c r="AG2" s="4" t="inlineStr">
        <is>
          <t>Round finality</t>
        </is>
      </c>
      <c r="AH2" s="4" t="inlineStr">
        <is>
          <t>Decided by</t>
        </is>
      </c>
      <c r="AI2" s="4" t="inlineStr">
        <is>
          <t>Exit reason</t>
        </is>
      </c>
      <c r="AJ2" s="4" t="inlineStr">
        <is>
          <t>Outcome basis</t>
        </is>
      </c>
      <c r="AK2" s="4" t="inlineStr">
        <is>
          <t>Page</t>
        </is>
      </c>
      <c r="AL2" s="4" t="inlineStr">
        <is>
          <t>Related rows</t>
        </is>
      </c>
      <c r="AM2" s="4" t="inlineStr">
        <is>
          <t>Deal</t>
        </is>
      </c>
    </row>
    <row r="3">
      <c r="A3" s="5" t="n">
        <v>1</v>
      </c>
      <c r="B3" s="6" t="inlineStr">
        <is>
          <t>Q4 2015</t>
        </is>
      </c>
      <c r="C3" s="6" t="inlineStr">
        <is>
          <t>Party A (Class I rail partner)</t>
        </is>
      </c>
      <c r="D3" s="6" t="inlineStr">
        <is>
          <t>Bidder interest</t>
        </is>
      </c>
      <c r="E3" s="5" t="n">
        <v>1</v>
      </c>
      <c r="F3" s="5" t="inlineStr">
        <is>
          <t>0</t>
        </is>
      </c>
      <c r="G3" s="6" t="inlineStr">
        <is>
          <t>Strategic</t>
        </is>
      </c>
      <c r="H3" s="6" t="inlineStr">
        <is>
          <t>Unpriced: Party A, one of PWRR’s Class I rail partners, suggested possible joint venture arrangements and "expressed some interest in acquiring equity in the Company to further develop strategic opportunities and enhance regional connectivity." Acquisition scope is not stated as whole-company equity; no price, no offer.</t>
        </is>
      </c>
      <c r="I3" s="5" t="n"/>
      <c r="J3" s="5" t="n"/>
      <c r="K3" s="6" t="inlineStr">
        <is>
          <t>Stated: "In the fourth quarter of 2015, Robert H. Eder (the Company’s Chairman and Chief Executive Officer) and Frank K. Rogers (the Company’s Vice President and Chief Commercial Officer) met with one of the Company’s Class I rail partners (“Party A”) to discuss joint commercial opportunities." (p.27) The meeting prompted the Board to appoint a banker-selection subcommittee; treated as round 0 bidder interest, not a Bid.</t>
        </is>
      </c>
      <c r="L3" s="7" t="inlineStr">
        <is>
          <t>P-0482</t>
        </is>
      </c>
      <c r="M3" s="5" t="inlineStr">
        <is>
          <t>Q1; Q4</t>
        </is>
      </c>
      <c r="N3" s="6" t="n"/>
      <c r="O3" s="5" t="inlineStr">
        <is>
          <t>R001</t>
        </is>
      </c>
      <c r="P3" s="5" t="inlineStr">
        <is>
          <t>Yes</t>
        </is>
      </c>
      <c r="Q3" s="5" t="n"/>
      <c r="R3" s="8" t="n">
        <v>42278</v>
      </c>
      <c r="S3" s="8" t="n">
        <v>42369</v>
      </c>
      <c r="T3" s="8" t="n">
        <v>42323</v>
      </c>
      <c r="U3" s="5" t="inlineStr">
        <is>
          <t>Approximate window</t>
        </is>
      </c>
      <c r="V3" s="5" t="inlineStr">
        <is>
          <t>Assigned: midpoint</t>
        </is>
      </c>
      <c r="W3" s="6" t="n"/>
      <c r="X3" s="6" t="n"/>
      <c r="Y3" s="5" t="n"/>
      <c r="Z3" s="5" t="n"/>
      <c r="AA3" s="5" t="n"/>
      <c r="AB3" s="5" t="n"/>
      <c r="AC3" s="6" t="n"/>
      <c r="AD3" s="6" t="n"/>
      <c r="AE3" s="9" t="n"/>
      <c r="AF3" s="5" t="n"/>
      <c r="AG3" s="5" t="n"/>
      <c r="AH3" s="5" t="n"/>
      <c r="AI3" s="6" t="n"/>
      <c r="AJ3" s="5" t="n"/>
      <c r="AK3" s="5" t="n">
        <v>27</v>
      </c>
      <c r="AL3" s="6" t="n"/>
      <c r="AM3" s="6" t="inlineStr">
        <is>
          <t>PWRR–G&amp;W</t>
        </is>
      </c>
    </row>
    <row r="4">
      <c r="A4" s="5" t="n">
        <v>2</v>
      </c>
      <c r="B4" s="6" t="inlineStr">
        <is>
          <t>01/27/2016</t>
        </is>
      </c>
      <c r="C4" s="6" t="inlineStr">
        <is>
          <t>Providence &amp; Worcester (Board) / Greene Holcomb &amp; Fisher LLC (GHF)</t>
        </is>
      </c>
      <c r="D4" s="6" t="inlineStr">
        <is>
          <t>Adviser engaged</t>
        </is>
      </c>
      <c r="E4" s="5" t="n">
        <v>1</v>
      </c>
      <c r="F4" s="5" t="inlineStr">
        <is>
          <t>0</t>
        </is>
      </c>
      <c r="G4" s="6" t="n"/>
      <c r="H4" s="6" t="inlineStr">
        <is>
          <t>Board approved the subcommittee recommendation and the Company engaged GHF (financial adviser; business later acquired by BMO Capital Markets Corp. on 08/01/2016, one continuing relationship). GHF committed not to represent a buyer or financing provider for the Company. Subcommittee (Messrs. Barrett and Anderson) interviewed several firms; Director Smith did not attend the 01/27/2016 executive session.</t>
        </is>
      </c>
      <c r="I4" s="5" t="n"/>
      <c r="J4" s="5" t="n"/>
      <c r="K4" s="6" t="inlineStr">
        <is>
          <t>Stated: "During the executive session of the Board’s regular quarterly meeting held on January 27, 2016 (which Director Alfred P. Smith did not attend), the subcommittee recommended to the Board that the Company retain GHF as its investment banking firm." and "Following this presentation, the Board approved the subcommittee’s recommendation and the Company engaged GHF." (p.27)</t>
        </is>
      </c>
      <c r="L4" s="7" t="inlineStr">
        <is>
          <t>P-0482</t>
        </is>
      </c>
      <c r="M4" s="5" t="inlineStr">
        <is>
          <t>Q8</t>
        </is>
      </c>
      <c r="N4" s="6" t="n"/>
      <c r="O4" s="5" t="inlineStr">
        <is>
          <t>R002</t>
        </is>
      </c>
      <c r="P4" s="5" t="inlineStr">
        <is>
          <t>Yes</t>
        </is>
      </c>
      <c r="Q4" s="5" t="n"/>
      <c r="R4" s="8" t="n">
        <v>42396</v>
      </c>
      <c r="S4" s="8" t="n">
        <v>42396</v>
      </c>
      <c r="T4" s="8" t="n">
        <v>42396</v>
      </c>
      <c r="U4" s="5" t="inlineStr">
        <is>
          <t>Reported day</t>
        </is>
      </c>
      <c r="V4" s="5" t="inlineStr">
        <is>
          <t>Reported</t>
        </is>
      </c>
      <c r="W4" s="6" t="n"/>
      <c r="X4" s="6" t="n"/>
      <c r="Y4" s="5" t="n"/>
      <c r="Z4" s="5" t="n"/>
      <c r="AA4" s="5" t="n"/>
      <c r="AB4" s="5" t="n"/>
      <c r="AC4" s="6" t="n"/>
      <c r="AD4" s="6" t="n"/>
      <c r="AE4" s="9" t="n"/>
      <c r="AF4" s="5" t="n"/>
      <c r="AG4" s="5" t="n"/>
      <c r="AH4" s="5" t="n"/>
      <c r="AI4" s="6" t="n"/>
      <c r="AJ4" s="5" t="n"/>
      <c r="AK4" s="5" t="n">
        <v>27</v>
      </c>
      <c r="AL4" s="6" t="n"/>
      <c r="AM4" s="6" t="inlineStr">
        <is>
          <t>PWRR–G&amp;W</t>
        </is>
      </c>
    </row>
    <row r="5">
      <c r="A5" s="5" t="n">
        <v>3</v>
      </c>
      <c r="B5" s="6" t="inlineStr">
        <is>
          <t>03/14/2016</t>
        </is>
      </c>
      <c r="C5" s="6" t="inlineStr">
        <is>
          <t>Providence &amp; Worcester (Board)</t>
        </is>
      </c>
      <c r="D5" s="6" t="inlineStr">
        <is>
          <t>Target sale decision</t>
        </is>
      </c>
      <c r="E5" s="5" t="n">
        <v>1</v>
      </c>
      <c r="F5" s="5" t="inlineStr">
        <is>
          <t>0</t>
        </is>
      </c>
      <c r="G5" s="6" t="n"/>
      <c r="H5" s="6" t="inlineStr">
        <is>
          <t>Special Board meeting: GHF proposed a process of discussions with Party A plus solicitation of other third parties for a change in control transaction; the Board concluded it was in the best interests of the Company and its shareholders to proceed and appointed the Transaction Committee (Barrett (Chair), Anderson, Garvey) to supervise the process and recommend to the full Board, without authority to approve a transaction.</t>
        </is>
      </c>
      <c r="I5" s="5" t="n"/>
      <c r="J5" s="5" t="n"/>
      <c r="K5" s="6" t="inlineStr">
        <is>
          <t>Stated: "Representatives of GHF then proposed a process pursuant to which the Company would proceed with discussions with Party A and also solicit interest from other potential third parties regarding a change in control transaction." and "concluded, based upon its examination of these and other factors, that it was in the best interest of the Company" (p.27); the Board appointed the Transaction Committee (p.28).</t>
        </is>
      </c>
      <c r="L5" s="7" t="inlineStr">
        <is>
          <t>P-0483; P-0485</t>
        </is>
      </c>
      <c r="M5" s="5" t="inlineStr">
        <is>
          <t>Q1</t>
        </is>
      </c>
      <c r="N5" s="6" t="n"/>
      <c r="O5" s="5" t="inlineStr">
        <is>
          <t>R003</t>
        </is>
      </c>
      <c r="P5" s="5" t="inlineStr">
        <is>
          <t>Yes</t>
        </is>
      </c>
      <c r="Q5" s="5" t="n"/>
      <c r="R5" s="8" t="n">
        <v>42443</v>
      </c>
      <c r="S5" s="8" t="n">
        <v>42443</v>
      </c>
      <c r="T5" s="8" t="n">
        <v>42443</v>
      </c>
      <c r="U5" s="5" t="inlineStr">
        <is>
          <t>Reported day</t>
        </is>
      </c>
      <c r="V5" s="5" t="inlineStr">
        <is>
          <t>Reported</t>
        </is>
      </c>
      <c r="W5" s="6" t="n"/>
      <c r="X5" s="6" t="n"/>
      <c r="Y5" s="5" t="n"/>
      <c r="Z5" s="5" t="n"/>
      <c r="AA5" s="5" t="n"/>
      <c r="AB5" s="5" t="n"/>
      <c r="AC5" s="6" t="n"/>
      <c r="AD5" s="6" t="n"/>
      <c r="AE5" s="9" t="n"/>
      <c r="AF5" s="5" t="n"/>
      <c r="AG5" s="5" t="n"/>
      <c r="AH5" s="5" t="n"/>
      <c r="AI5" s="6" t="n"/>
      <c r="AJ5" s="5" t="n"/>
      <c r="AK5" s="5" t="n">
        <v>27</v>
      </c>
      <c r="AL5" s="6" t="n"/>
      <c r="AM5" s="6" t="inlineStr">
        <is>
          <t>PWRR–G&amp;W</t>
        </is>
      </c>
    </row>
    <row r="6">
      <c r="A6" s="5" t="n">
        <v>4</v>
      </c>
      <c r="B6" s="6" t="inlineStr">
        <is>
          <t>03/24/2016</t>
        </is>
      </c>
      <c r="C6" s="6" t="inlineStr">
        <is>
          <t>Providence &amp; Worcester (Transaction Committee)</t>
        </is>
      </c>
      <c r="D6" s="6" t="inlineStr">
        <is>
          <t>Target decision</t>
        </is>
      </c>
      <c r="E6" s="5" t="n">
        <v>1</v>
      </c>
      <c r="F6" s="5" t="inlineStr">
        <is>
          <t>0</t>
        </is>
      </c>
      <c r="G6" s="6" t="n"/>
      <c r="H6" s="6" t="inlineStr">
        <is>
          <t>Transaction Committee met by telephone; heard that management had met Party A on 03/22–03/23/2016 and had informed Party A of GHF’s engagement; authorized GHF to contact Party A and other potential buyers to determine interest in a change in control transaction. This authorization launched the outreach executed in the week of 03/28/2016 (candidate round-1 anchor, not used).</t>
        </is>
      </c>
      <c r="I6" s="5" t="n"/>
      <c r="J6" s="5" t="n"/>
      <c r="K6" s="6" t="inlineStr">
        <is>
          <t>Stated: "The Transaction Committee authorized GHF to contact Party A as well as other potential buyers to determine their level of interest in a change in control transaction." (p.28) The outreach began "During the week of March 28, 2016" (same paragraph), about four days later.</t>
        </is>
      </c>
      <c r="L6" s="7" t="inlineStr">
        <is>
          <t>P-0486; P-0487</t>
        </is>
      </c>
      <c r="M6" s="5" t="inlineStr">
        <is>
          <t>Q1</t>
        </is>
      </c>
      <c r="N6" s="6" t="n"/>
      <c r="O6" s="5" t="inlineStr">
        <is>
          <t>R004</t>
        </is>
      </c>
      <c r="P6" s="5" t="inlineStr">
        <is>
          <t>Yes</t>
        </is>
      </c>
      <c r="Q6" s="5" t="n"/>
      <c r="R6" s="8" t="n">
        <v>42453</v>
      </c>
      <c r="S6" s="8" t="n">
        <v>42453</v>
      </c>
      <c r="T6" s="8" t="n">
        <v>42453</v>
      </c>
      <c r="U6" s="5" t="inlineStr">
        <is>
          <t>Reported day</t>
        </is>
      </c>
      <c r="V6" s="5" t="inlineStr">
        <is>
          <t>Reported</t>
        </is>
      </c>
      <c r="W6" s="6" t="n"/>
      <c r="X6" s="6" t="n"/>
      <c r="Y6" s="5" t="n"/>
      <c r="Z6" s="5" t="n"/>
      <c r="AA6" s="5" t="n"/>
      <c r="AB6" s="5" t="n"/>
      <c r="AC6" s="6" t="n"/>
      <c r="AD6" s="6" t="n"/>
      <c r="AE6" s="9" t="n"/>
      <c r="AF6" s="5" t="n"/>
      <c r="AG6" s="5" t="n"/>
      <c r="AH6" s="5" t="n"/>
      <c r="AI6" s="6" t="n"/>
      <c r="AJ6" s="5" t="n"/>
      <c r="AK6" s="5" t="n">
        <v>28</v>
      </c>
      <c r="AL6" s="6" t="n"/>
      <c r="AM6" s="6" t="inlineStr">
        <is>
          <t>PWRR–G&amp;W</t>
        </is>
      </c>
    </row>
    <row r="7">
      <c r="A7" s="5" t="n">
        <v>5</v>
      </c>
      <c r="B7" s="6" t="inlineStr">
        <is>
          <t>Week of 03/28/2016</t>
        </is>
      </c>
      <c r="C7" s="6" t="inlineStr">
        <is>
          <t>GHF / 29 potential buyers (11 strategic; 18 financial)</t>
        </is>
      </c>
      <c r="D7" s="6" t="inlineStr">
        <is>
          <t>Contact</t>
        </is>
      </c>
      <c r="E7" s="5" t="n">
        <v>1</v>
      </c>
      <c r="F7" s="5" t="inlineStr">
        <is>
          <t>1</t>
        </is>
      </c>
      <c r="G7" s="6" t="n"/>
      <c r="H7" s="6" t="inlineStr">
        <is>
          <t>First sale-process outreach wave: GHF contacted 11 potential strategic buyers (including Party A) and 18 potential financial buyers to gauge interest in a change in control transaction. Direction: target-side. Used as the round-1 anchor.</t>
        </is>
      </c>
      <c r="I7" s="5" t="n"/>
      <c r="J7" s="5" t="n"/>
      <c r="K7" s="6" t="inlineStr">
        <is>
          <t>Stated: "During the week of March 28, 2016, in accordance with the Transaction Committee’s directives, representatives of GHF contacted 11 potential strategic buyers (including Party A) and 18 potential financial buyers. Each of the potential strategic buyers and 14 potential financial buyers subsequently executed confidentiality agreements." (p.28)</t>
        </is>
      </c>
      <c r="L7" s="7" t="inlineStr">
        <is>
          <t>P-0487</t>
        </is>
      </c>
      <c r="M7" s="5" t="inlineStr">
        <is>
          <t>Q1; Q3</t>
        </is>
      </c>
      <c r="N7" s="6" t="n"/>
      <c r="O7" s="5" t="inlineStr">
        <is>
          <t>R005</t>
        </is>
      </c>
      <c r="P7" s="5" t="inlineStr">
        <is>
          <t>Yes</t>
        </is>
      </c>
      <c r="Q7" s="5" t="n">
        <v>29</v>
      </c>
      <c r="R7" s="8" t="n">
        <v>42457</v>
      </c>
      <c r="S7" s="8" t="n">
        <v>42463</v>
      </c>
      <c r="T7" s="8" t="n">
        <v>42457</v>
      </c>
      <c r="U7" s="5" t="inlineStr">
        <is>
          <t>Reported interval</t>
        </is>
      </c>
      <c r="V7" s="5" t="inlineStr">
        <is>
          <t>Assigned: bound</t>
        </is>
      </c>
      <c r="W7" s="6" t="n"/>
      <c r="X7" s="6" t="n"/>
      <c r="Y7" s="5" t="n"/>
      <c r="Z7" s="5" t="n"/>
      <c r="AA7" s="5" t="n"/>
      <c r="AB7" s="5" t="n"/>
      <c r="AC7" s="6" t="n"/>
      <c r="AD7" s="6" t="n"/>
      <c r="AE7" s="9" t="n"/>
      <c r="AF7" s="5" t="n"/>
      <c r="AG7" s="5" t="n"/>
      <c r="AH7" s="5" t="n"/>
      <c r="AI7" s="6" t="n"/>
      <c r="AJ7" s="5" t="n"/>
      <c r="AK7" s="5" t="n">
        <v>28</v>
      </c>
      <c r="AL7" s="6" t="n"/>
      <c r="AM7" s="6" t="inlineStr">
        <is>
          <t>PWRR–G&amp;W</t>
        </is>
      </c>
    </row>
    <row r="8">
      <c r="A8" s="5" t="n">
        <v>6</v>
      </c>
      <c r="B8" s="6" t="inlineStr">
        <is>
          <t>after 03/28/2016; date not disclosed</t>
        </is>
      </c>
      <c r="C8" s="6" t="inlineStr">
        <is>
          <t>11 strategic NDA signers (incl. Party A, Party B, G&amp;W)</t>
        </is>
      </c>
      <c r="D8" s="6" t="inlineStr">
        <is>
          <t>NDA signed</t>
        </is>
      </c>
      <c r="E8" s="5" t="n">
        <v>1</v>
      </c>
      <c r="F8" s="5" t="inlineStr">
        <is>
          <t>1</t>
        </is>
      </c>
      <c r="G8" s="6" t="inlineStr">
        <is>
          <t>Strategic</t>
        </is>
      </c>
      <c r="H8" s="6" t="inlineStr">
        <is>
          <t>Confidentiality agreements executed by each of the 11 contacted potential strategic buyers; no standstill or similar provision restricting proposals. Individual signature dates not disclosed; execution is stated as subsequent to the week-of-03/28/2016 contacts. Party B and G&amp;W are among this population (Party B not individually dated).</t>
        </is>
      </c>
      <c r="I8" s="5" t="n"/>
      <c r="J8" s="5" t="n"/>
      <c r="K8" s="6" t="inlineStr">
        <is>
          <t>Stated: "Each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 (p.28) Date is relative only; Working date is the first supported bound of the contact week.</t>
        </is>
      </c>
      <c r="L8" s="7" t="inlineStr">
        <is>
          <t>P-0487</t>
        </is>
      </c>
      <c r="M8" s="5" t="inlineStr">
        <is>
          <t>Q3</t>
        </is>
      </c>
      <c r="N8" s="6" t="n"/>
      <c r="O8" s="5" t="inlineStr">
        <is>
          <t>R006</t>
        </is>
      </c>
      <c r="P8" s="5" t="inlineStr">
        <is>
          <t>Yes</t>
        </is>
      </c>
      <c r="Q8" s="5" t="n">
        <v>11</v>
      </c>
      <c r="R8" s="8" t="n">
        <v>42457</v>
      </c>
      <c r="S8" s="9" t="n"/>
      <c r="T8" s="8" t="n">
        <v>42457</v>
      </c>
      <c r="U8" s="5" t="inlineStr">
        <is>
          <t>Relative only</t>
        </is>
      </c>
      <c r="V8" s="5" t="inlineStr">
        <is>
          <t>Assigned: bound</t>
        </is>
      </c>
      <c r="W8" s="6" t="n"/>
      <c r="X8" s="6" t="n"/>
      <c r="Y8" s="5" t="n"/>
      <c r="Z8" s="5" t="n"/>
      <c r="AA8" s="5" t="n"/>
      <c r="AB8" s="5" t="n"/>
      <c r="AC8" s="6" t="n"/>
      <c r="AD8" s="6" t="n"/>
      <c r="AE8" s="9" t="n"/>
      <c r="AF8" s="5" t="n"/>
      <c r="AG8" s="5" t="n"/>
      <c r="AH8" s="5" t="n"/>
      <c r="AI8" s="6" t="n"/>
      <c r="AJ8" s="5" t="n"/>
      <c r="AK8" s="5" t="n">
        <v>28</v>
      </c>
      <c r="AL8" s="6" t="n"/>
      <c r="AM8" s="6" t="inlineStr">
        <is>
          <t>PWRR–G&amp;W</t>
        </is>
      </c>
    </row>
    <row r="9">
      <c r="A9" s="5" t="n">
        <v>7</v>
      </c>
      <c r="B9" s="6" t="inlineStr">
        <is>
          <t>after 03/28/2016; date not disclosed</t>
        </is>
      </c>
      <c r="C9" s="6" t="inlineStr">
        <is>
          <t>14 financial NDA signers (of 18 contacted)</t>
        </is>
      </c>
      <c r="D9" s="6" t="inlineStr">
        <is>
          <t>NDA signed</t>
        </is>
      </c>
      <c r="E9" s="5" t="n">
        <v>1</v>
      </c>
      <c r="F9" s="5" t="inlineStr">
        <is>
          <t>1</t>
        </is>
      </c>
      <c r="G9" s="6" t="inlineStr">
        <is>
          <t>Financial</t>
        </is>
      </c>
      <c r="H9" s="6" t="inlineStr">
        <is>
          <t>14 of the 18 contacted potential financial buyers executed confidentiality agreements; 4 did not execute. Individual signature dates not disclosed. Count 14 is the disjoint financial-signer population; the 4 non-signers never entered the process and are not closed out.</t>
        </is>
      </c>
      <c r="I9" s="5" t="n"/>
      <c r="J9" s="5" t="n"/>
      <c r="K9" s="6" t="inlineStr">
        <is>
          <t>Stated: "Each of the potential strategic buyers and 14 potential financial buyers subsequently executed confidentiality agreements." (p.28) The 4 contacted financial buyers who did not sign are outside the 25-signer base used for the section 10.2 residual.</t>
        </is>
      </c>
      <c r="L9" s="7" t="inlineStr">
        <is>
          <t>P-0487</t>
        </is>
      </c>
      <c r="M9" s="5" t="inlineStr">
        <is>
          <t>Q3</t>
        </is>
      </c>
      <c r="N9" s="6" t="n"/>
      <c r="O9" s="5" t="inlineStr">
        <is>
          <t>R007</t>
        </is>
      </c>
      <c r="P9" s="5" t="inlineStr">
        <is>
          <t>Yes</t>
        </is>
      </c>
      <c r="Q9" s="5" t="n">
        <v>14</v>
      </c>
      <c r="R9" s="8" t="n">
        <v>42457</v>
      </c>
      <c r="S9" s="9" t="n"/>
      <c r="T9" s="8" t="n">
        <v>42457</v>
      </c>
      <c r="U9" s="5" t="inlineStr">
        <is>
          <t>Relative only</t>
        </is>
      </c>
      <c r="V9" s="5" t="inlineStr">
        <is>
          <t>Assigned: bound</t>
        </is>
      </c>
      <c r="W9" s="6" t="n"/>
      <c r="X9" s="6" t="n"/>
      <c r="Y9" s="5" t="n"/>
      <c r="Z9" s="5" t="n"/>
      <c r="AA9" s="5" t="n"/>
      <c r="AB9" s="5" t="n"/>
      <c r="AC9" s="6" t="n"/>
      <c r="AD9" s="6" t="n"/>
      <c r="AE9" s="9" t="n"/>
      <c r="AF9" s="5" t="n"/>
      <c r="AG9" s="5" t="n"/>
      <c r="AH9" s="5" t="n"/>
      <c r="AI9" s="6" t="n"/>
      <c r="AJ9" s="5" t="n"/>
      <c r="AK9" s="5" t="n">
        <v>28</v>
      </c>
      <c r="AL9" s="6" t="n"/>
      <c r="AM9" s="6" t="inlineStr">
        <is>
          <t>PWRR–G&amp;W</t>
        </is>
      </c>
    </row>
    <row r="10">
      <c r="A10" s="5" t="n">
        <v>8</v>
      </c>
      <c r="B10" s="6" t="inlineStr">
        <is>
          <t>Week of 03/28/2016</t>
        </is>
      </c>
      <c r="C10" s="6" t="inlineStr">
        <is>
          <t>Providence &amp; Worcester / GHF</t>
        </is>
      </c>
      <c r="D10" s="6" t="inlineStr">
        <is>
          <t>Round opened</t>
        </is>
      </c>
      <c r="E10" s="5" t="n">
        <v>1</v>
      </c>
      <c r="F10" s="5" t="inlineStr">
        <is>
          <t>1</t>
        </is>
      </c>
      <c r="G10" s="6" t="n"/>
      <c r="H10" s="6" t="inlineStr">
        <is>
          <t>R1 anchor: first outreach wave (R005). Round 1 objective: solicit non-binding indications of interest from confidentiality-agreement signers. Candidate anchors kept as rows: R004 (03/24/2016 Transaction Committee authorization) and R003 (03/14/2016 Board process decision). A memorandum on the Company and its prospects was later distributed to all signers (uniform stage access, stated here). Finality: Not final — non-binding IOIs were solicited and no final/binding stage was announced.</t>
        </is>
      </c>
      <c r="I10" s="5" t="n"/>
      <c r="J10" s="5" t="n"/>
      <c r="K10" s="6" t="inlineStr">
        <is>
          <t>Convention: round 1 opens on the first outreach wave under the instruction’s order of anchors; the wave is a stated event ("During the week of March 28, 2016, in accordance with the Transaction Committee’s directives, representatives of GHF contacted 11 potential strategic buyers (including Party A) and 18 potential financial buyers.", p.28). Rejected candidates remain on the ledger so the boundary can be moved.</t>
        </is>
      </c>
      <c r="L10" s="7" t="inlineStr">
        <is>
          <t>P-0487; P-0490</t>
        </is>
      </c>
      <c r="M10" s="5" t="inlineStr">
        <is>
          <t>Q1</t>
        </is>
      </c>
      <c r="N10" s="6" t="n"/>
      <c r="O10" s="5" t="inlineStr">
        <is>
          <t>R008</t>
        </is>
      </c>
      <c r="P10" s="5" t="inlineStr">
        <is>
          <t>Yes</t>
        </is>
      </c>
      <c r="Q10" s="5" t="n"/>
      <c r="R10" s="8" t="n">
        <v>42457</v>
      </c>
      <c r="S10" s="8" t="n">
        <v>42463</v>
      </c>
      <c r="T10" s="8" t="n">
        <v>42457</v>
      </c>
      <c r="U10" s="5" t="inlineStr">
        <is>
          <t>Reported interval</t>
        </is>
      </c>
      <c r="V10" s="5" t="inlineStr">
        <is>
          <t>Assigned: bound</t>
        </is>
      </c>
      <c r="W10" s="6" t="n"/>
      <c r="X10" s="6" t="n"/>
      <c r="Y10" s="5" t="n"/>
      <c r="Z10" s="5" t="n"/>
      <c r="AA10" s="5" t="n"/>
      <c r="AB10" s="5" t="n"/>
      <c r="AC10" s="6" t="n"/>
      <c r="AD10" s="6" t="n"/>
      <c r="AE10" s="9" t="n"/>
      <c r="AF10" s="5" t="n"/>
      <c r="AG10" s="5" t="inlineStr">
        <is>
          <t>Not final</t>
        </is>
      </c>
      <c r="AH10" s="5" t="n"/>
      <c r="AI10" s="6" t="n"/>
      <c r="AJ10" s="5" t="n"/>
      <c r="AK10" s="5" t="n">
        <v>28</v>
      </c>
      <c r="AL10" s="6" t="n"/>
      <c r="AM10" s="6" t="inlineStr">
        <is>
          <t>PWRR–G&amp;W</t>
        </is>
      </c>
    </row>
    <row r="11">
      <c r="A11" s="5" t="n">
        <v>9</v>
      </c>
      <c r="B11" s="6" t="inlineStr">
        <is>
          <t>04/03/2016–04/06/2016</t>
        </is>
      </c>
      <c r="C11" s="6" t="inlineStr">
        <is>
          <t>Five potential strategic buyers (incl. G&amp;W)</t>
        </is>
      </c>
      <c r="D11" s="6" t="inlineStr">
        <is>
          <t>Contact</t>
        </is>
      </c>
      <c r="E11" s="5" t="n">
        <v>1</v>
      </c>
      <c r="F11" s="5" t="inlineStr">
        <is>
          <t>1</t>
        </is>
      </c>
      <c r="G11" s="6" t="inlineStr">
        <is>
          <t>Strategic</t>
        </is>
      </c>
      <c r="H11" s="6" t="inlineStr">
        <is>
          <t>GHF and Company management held a series of introductory meetings with five potential strategic buyers, including G&amp;W, at the 2016 Connections Convention. These buyers later remained in the process; the five are included within the contacted/signing populations and no separate additive count is entered because overlap with R005 is not established.</t>
        </is>
      </c>
      <c r="I11" s="5" t="n"/>
      <c r="J11" s="5" t="n"/>
      <c r="K11" s="6" t="inlineStr">
        <is>
          <t>Stated: "Between April 3, 2016 and April 6, 2016, representatives of GHF and members of the Company’s management held a series of introductory meetings with five potential strategic buyers (including G&amp;W) at the American Short Line and Regional Railroad Association’s 2016 Connections Convention (“2016 Connections Convention”)." (p.28)</t>
        </is>
      </c>
      <c r="L11" s="7" t="inlineStr">
        <is>
          <t>P-0488; P-0489</t>
        </is>
      </c>
      <c r="M11" s="5" t="inlineStr">
        <is>
          <t>Q3</t>
        </is>
      </c>
      <c r="N11" s="6" t="n"/>
      <c r="O11" s="5" t="inlineStr">
        <is>
          <t>R009</t>
        </is>
      </c>
      <c r="P11" s="5" t="inlineStr">
        <is>
          <t>Yes</t>
        </is>
      </c>
      <c r="Q11" s="5" t="n"/>
      <c r="R11" s="8" t="n">
        <v>42463</v>
      </c>
      <c r="S11" s="8" t="n">
        <v>42466</v>
      </c>
      <c r="T11" s="8" t="n">
        <v>42463</v>
      </c>
      <c r="U11" s="5" t="inlineStr">
        <is>
          <t>Reported interval</t>
        </is>
      </c>
      <c r="V11" s="5" t="inlineStr">
        <is>
          <t>Assigned: bound</t>
        </is>
      </c>
      <c r="W11" s="6" t="n"/>
      <c r="X11" s="6" t="n"/>
      <c r="Y11" s="5" t="n"/>
      <c r="Z11" s="5" t="n"/>
      <c r="AA11" s="5" t="n"/>
      <c r="AB11" s="5" t="n"/>
      <c r="AC11" s="6" t="n"/>
      <c r="AD11" s="6" t="n"/>
      <c r="AE11" s="9" t="n"/>
      <c r="AF11" s="5" t="n"/>
      <c r="AG11" s="5" t="n"/>
      <c r="AH11" s="5" t="n"/>
      <c r="AI11" s="6" t="n"/>
      <c r="AJ11" s="5" t="n"/>
      <c r="AK11" s="5" t="n">
        <v>28</v>
      </c>
      <c r="AL11" s="6" t="n"/>
      <c r="AM11" s="6" t="inlineStr">
        <is>
          <t>PWRR–G&amp;W</t>
        </is>
      </c>
    </row>
    <row r="12">
      <c r="A12" s="5" t="n">
        <v>10</v>
      </c>
      <c r="B12" s="6" t="inlineStr">
        <is>
          <t>by 04/07/2016</t>
        </is>
      </c>
      <c r="C12" s="6" t="inlineStr">
        <is>
          <t>Two additional Class I railroads</t>
        </is>
      </c>
      <c r="D12" s="6" t="inlineStr">
        <is>
          <t>Contact</t>
        </is>
      </c>
      <c r="E12" s="5" t="n">
        <v>1</v>
      </c>
      <c r="F12" s="5" t="inlineStr">
        <is>
          <t>1</t>
        </is>
      </c>
      <c r="G12" s="6" t="inlineStr">
        <is>
          <t>Strategic</t>
        </is>
      </c>
      <c r="H12" s="6" t="inlineStr">
        <is>
          <t>The Company also approached two additional Class I railroads to determine their interest in a possible transaction. No confidentiality agreement, bid or further activity by these parties is reported; they never entered the process and are not closed out.</t>
        </is>
      </c>
      <c r="I12" s="5" t="n"/>
      <c r="J12" s="5" t="n"/>
      <c r="K12" s="6" t="inlineStr">
        <is>
          <t>Stated: "Mr. Noreck reported that the Company had also approached two additional Class I railroads to determine their interest in a possible transaction." (p.28) Reported at the 04/07/2016 Transaction Committee meeting; the approach date itself is not disclosed, so the report day is the only bound.</t>
        </is>
      </c>
      <c r="L12" s="7" t="inlineStr">
        <is>
          <t>P-0489</t>
        </is>
      </c>
      <c r="M12" s="5" t="inlineStr">
        <is>
          <t>Q3</t>
        </is>
      </c>
      <c r="N12" s="6" t="n"/>
      <c r="O12" s="5" t="inlineStr">
        <is>
          <t>R010</t>
        </is>
      </c>
      <c r="P12" s="5" t="inlineStr">
        <is>
          <t>Yes</t>
        </is>
      </c>
      <c r="Q12" s="5" t="n">
        <v>2</v>
      </c>
      <c r="R12" s="9" t="n"/>
      <c r="S12" s="8" t="n">
        <v>42467</v>
      </c>
      <c r="T12" s="8" t="n">
        <v>42467</v>
      </c>
      <c r="U12" s="5" t="inlineStr">
        <is>
          <t>Relative only</t>
        </is>
      </c>
      <c r="V12" s="5" t="inlineStr">
        <is>
          <t>Assigned: bound</t>
        </is>
      </c>
      <c r="W12" s="6" t="n"/>
      <c r="X12" s="6" t="n"/>
      <c r="Y12" s="5" t="n"/>
      <c r="Z12" s="5" t="n"/>
      <c r="AA12" s="5" t="n"/>
      <c r="AB12" s="5" t="n"/>
      <c r="AC12" s="6" t="n"/>
      <c r="AD12" s="6" t="n"/>
      <c r="AE12" s="9" t="n"/>
      <c r="AF12" s="5" t="n"/>
      <c r="AG12" s="5" t="n"/>
      <c r="AH12" s="5" t="n"/>
      <c r="AI12" s="6" t="n"/>
      <c r="AJ12" s="5" t="n"/>
      <c r="AK12" s="5" t="n">
        <v>28</v>
      </c>
      <c r="AL12" s="6" t="n"/>
      <c r="AM12" s="6" t="inlineStr">
        <is>
          <t>PWRR–G&amp;W</t>
        </is>
      </c>
    </row>
    <row r="13">
      <c r="A13" s="5" t="n">
        <v>11</v>
      </c>
      <c r="B13" s="6" t="inlineStr">
        <is>
          <t>04/21/2016</t>
        </is>
      </c>
      <c r="C13" s="6" t="inlineStr">
        <is>
          <t>Party B</t>
        </is>
      </c>
      <c r="D13" s="6" t="inlineStr">
        <is>
          <t>Contact</t>
        </is>
      </c>
      <c r="E13" s="5" t="n">
        <v>1</v>
      </c>
      <c r="F13" s="5" t="inlineStr">
        <is>
          <t>1</t>
        </is>
      </c>
      <c r="G13" s="6" t="inlineStr">
        <is>
          <t>Strategic</t>
        </is>
      </c>
      <c r="H13" s="6" t="inlineStr">
        <is>
          <t>Introductory meeting between the Company, GHF and Party B, another potential strategic buyer. Party B later signed a confidentiality agreement, received the memorandum and bid. Count blank: whether Party B was already inside the week-of-03/28/2016 contact cohort is not established, so no additive contact contribution is entered.</t>
        </is>
      </c>
      <c r="I13" s="5" t="n"/>
      <c r="J13" s="5" t="n"/>
      <c r="K13" s="6" t="inlineStr">
        <is>
          <t>Stated: "Subsequently, on April 21, 2016, the Company and representatives of GHF held an introductory meeting with another potential strategic buyer (“Party B”)." (p.28)</t>
        </is>
      </c>
      <c r="L13" s="7" t="inlineStr">
        <is>
          <t>P-0489</t>
        </is>
      </c>
      <c r="M13" s="5" t="inlineStr">
        <is>
          <t>Q3</t>
        </is>
      </c>
      <c r="N13" s="6" t="n"/>
      <c r="O13" s="5" t="inlineStr">
        <is>
          <t>R011</t>
        </is>
      </c>
      <c r="P13" s="5" t="inlineStr">
        <is>
          <t>Yes</t>
        </is>
      </c>
      <c r="Q13" s="5" t="n"/>
      <c r="R13" s="8" t="n">
        <v>42481</v>
      </c>
      <c r="S13" s="8" t="n">
        <v>42481</v>
      </c>
      <c r="T13" s="8" t="n">
        <v>42481</v>
      </c>
      <c r="U13" s="5" t="inlineStr">
        <is>
          <t>Reported day</t>
        </is>
      </c>
      <c r="V13" s="5" t="inlineStr">
        <is>
          <t>Reported</t>
        </is>
      </c>
      <c r="W13" s="6" t="n"/>
      <c r="X13" s="6" t="n"/>
      <c r="Y13" s="5" t="n"/>
      <c r="Z13" s="5" t="n"/>
      <c r="AA13" s="5" t="n"/>
      <c r="AB13" s="5" t="n"/>
      <c r="AC13" s="6" t="n"/>
      <c r="AD13" s="6" t="n"/>
      <c r="AE13" s="9" t="n"/>
      <c r="AF13" s="5" t="n"/>
      <c r="AG13" s="5" t="n"/>
      <c r="AH13" s="5" t="n"/>
      <c r="AI13" s="6" t="n"/>
      <c r="AJ13" s="5" t="n"/>
      <c r="AK13" s="5" t="n">
        <v>28</v>
      </c>
      <c r="AL13" s="6" t="n"/>
      <c r="AM13" s="6" t="inlineStr">
        <is>
          <t>PWRR–G&amp;W</t>
        </is>
      </c>
    </row>
    <row r="14">
      <c r="A14" s="5" t="n">
        <v>12</v>
      </c>
      <c r="B14" s="6" t="inlineStr">
        <is>
          <t>by 04/27/2016 (communication day not disclosed)</t>
        </is>
      </c>
      <c r="C14" s="6" t="inlineStr">
        <is>
          <t>Providence &amp; Worcester / GHF</t>
        </is>
      </c>
      <c r="D14" s="6" t="inlineStr">
        <is>
          <t>Deadline set</t>
        </is>
      </c>
      <c r="E14" s="5" t="n">
        <v>1</v>
      </c>
      <c r="F14" s="5" t="inlineStr">
        <is>
          <t>1</t>
        </is>
      </c>
      <c r="G14" s="6" t="n"/>
      <c r="H14" s="6" t="inlineStr">
        <is>
          <t>Potential buyers were advised to submit non-binding indications of interest by 05/10/2016. Date first reported at the 04/27/2016 Board executive session; the advice itself is undated. The memorandum had been distributed to signed buyers by this stage (uniform access). A Transaction Committee call on 04/22/2016 discussed status. Superseded before arrival by the 05/19/2016 postponement (R013).</t>
        </is>
      </c>
      <c r="I14" s="5" t="n"/>
      <c r="J14" s="5" t="n"/>
      <c r="K14" s="6" t="inlineStr">
        <is>
          <t>Stated: "the Board met in executive session (without Mr. Eder present) with representatives of GHF and discussed the status of the process, including that each potential buyer had been advised to submit a non-binding indication of interest by May 10, 2016 (which deadline was subsequently postponed to May 19, 2016 to ensure the potential buyers had sufficient time to formulate their most compelling offers)." (p.29) The Board report bounds the communication.</t>
        </is>
      </c>
      <c r="L14" s="7" t="inlineStr">
        <is>
          <t>P-0490; P-0492</t>
        </is>
      </c>
      <c r="M14" s="5" t="inlineStr">
        <is>
          <t>Q2</t>
        </is>
      </c>
      <c r="N14" s="6" t="n"/>
      <c r="O14" s="5" t="inlineStr">
        <is>
          <t>R012</t>
        </is>
      </c>
      <c r="P14" s="5" t="inlineStr">
        <is>
          <t>Yes</t>
        </is>
      </c>
      <c r="Q14" s="5" t="n"/>
      <c r="R14" s="9" t="n"/>
      <c r="S14" s="8" t="n">
        <v>42487</v>
      </c>
      <c r="T14" s="8" t="n">
        <v>42487</v>
      </c>
      <c r="U14" s="5" t="inlineStr">
        <is>
          <t>Relative only</t>
        </is>
      </c>
      <c r="V14" s="5" t="inlineStr">
        <is>
          <t>Assigned: bound</t>
        </is>
      </c>
      <c r="W14" s="6" t="n"/>
      <c r="X14" s="6" t="n"/>
      <c r="Y14" s="5" t="n"/>
      <c r="Z14" s="5" t="n"/>
      <c r="AA14" s="5" t="n"/>
      <c r="AB14" s="5" t="n"/>
      <c r="AC14" s="6" t="n"/>
      <c r="AD14" s="6" t="n"/>
      <c r="AE14" s="9" t="n"/>
      <c r="AF14" s="5" t="n"/>
      <c r="AG14" s="5" t="n"/>
      <c r="AH14" s="5" t="n"/>
      <c r="AI14" s="6" t="n"/>
      <c r="AJ14" s="5" t="n"/>
      <c r="AK14" s="5" t="n">
        <v>29</v>
      </c>
      <c r="AL14" s="6" t="n"/>
      <c r="AM14" s="6" t="inlineStr">
        <is>
          <t>PWRR–G&amp;W</t>
        </is>
      </c>
    </row>
    <row r="15">
      <c r="A15" s="5" t="n">
        <v>13</v>
      </c>
      <c r="B15" s="6" t="inlineStr">
        <is>
          <t>after 04/27/2016; before 05/19/2016; date not disclosed</t>
        </is>
      </c>
      <c r="C15" s="6" t="inlineStr">
        <is>
          <t>Providence &amp; Worcester / GHF</t>
        </is>
      </c>
      <c r="D15" s="6" t="inlineStr">
        <is>
          <t>Deadline revised</t>
        </is>
      </c>
      <c r="E15" s="5" t="n">
        <v>1</v>
      </c>
      <c r="F15" s="5" t="inlineStr">
        <is>
          <t>1</t>
        </is>
      </c>
      <c r="G15" s="6" t="n"/>
      <c r="H15" s="6" t="inlineStr">
        <is>
          <t>IOI due date postponed from 05/10/2016 to 05/19/2016 "to ensure the potential buyers had sufficient time to formulate their most compelling offers"; communicated to the potential buyers. Old due date 05/10/2016; new due date 05/19/2016. Treatment: Extended.</t>
        </is>
      </c>
      <c r="I15" s="5" t="n"/>
      <c r="J15" s="5" t="n"/>
      <c r="K15" s="6" t="inlineStr">
        <is>
          <t>Stated: deadline "was subsequently postponed to May 19, 2016 to ensure the potential buyers had sufficient time to formulate their most compelling offers" (p.29). The communication day is not disclosed; the Working date is the midpoint of the only supported window (after the 04/27/2016 report, before the 05/19/2016 due date).</t>
        </is>
      </c>
      <c r="L15" s="7" t="inlineStr">
        <is>
          <t>P-0492</t>
        </is>
      </c>
      <c r="M15" s="5" t="inlineStr">
        <is>
          <t>Q2</t>
        </is>
      </c>
      <c r="N15" s="6" t="n"/>
      <c r="O15" s="5" t="inlineStr">
        <is>
          <t>R013</t>
        </is>
      </c>
      <c r="P15" s="5" t="inlineStr">
        <is>
          <t>Yes</t>
        </is>
      </c>
      <c r="Q15" s="5" t="n"/>
      <c r="R15" s="8" t="n">
        <v>42487</v>
      </c>
      <c r="S15" s="8" t="n">
        <v>42509</v>
      </c>
      <c r="T15" s="8" t="n">
        <v>42498</v>
      </c>
      <c r="U15" s="5" t="inlineStr">
        <is>
          <t>Approximate window</t>
        </is>
      </c>
      <c r="V15" s="5" t="inlineStr">
        <is>
          <t>Assigned: midpoint</t>
        </is>
      </c>
      <c r="W15" s="6" t="n"/>
      <c r="X15" s="6" t="n"/>
      <c r="Y15" s="5" t="n"/>
      <c r="Z15" s="5" t="n"/>
      <c r="AA15" s="5" t="n"/>
      <c r="AB15" s="5" t="n"/>
      <c r="AC15" s="6" t="n"/>
      <c r="AD15" s="6" t="n"/>
      <c r="AE15" s="9" t="n"/>
      <c r="AF15" s="5" t="inlineStr">
        <is>
          <t>Extended</t>
        </is>
      </c>
      <c r="AG15" s="5" t="n"/>
      <c r="AH15" s="5" t="n"/>
      <c r="AI15" s="6" t="n"/>
      <c r="AJ15" s="5" t="n"/>
      <c r="AK15" s="5" t="n">
        <v>29</v>
      </c>
      <c r="AL15" s="6" t="n"/>
      <c r="AM15" s="6" t="inlineStr">
        <is>
          <t>PWRR–G&amp;W</t>
        </is>
      </c>
    </row>
    <row r="16">
      <c r="A16" s="5" t="n">
        <v>14</v>
      </c>
      <c r="B16" s="6" t="inlineStr">
        <is>
          <t>05/19/2016</t>
        </is>
      </c>
      <c r="C16" s="6" t="inlineStr">
        <is>
          <t>Providence &amp; Worcester / GHF</t>
        </is>
      </c>
      <c r="D16" s="6" t="inlineStr">
        <is>
          <t>Deadline</t>
        </is>
      </c>
      <c r="E16" s="5" t="n">
        <v>1</v>
      </c>
      <c r="F16" s="5" t="inlineStr">
        <is>
          <t>1</t>
        </is>
      </c>
      <c r="G16" s="6" t="n"/>
      <c r="H16" s="6" t="inlineStr">
        <is>
          <t>IOI due date reached (current due date; replaced 05/10/2016). Treatment: Late bids accepted — IOIs kept arriving through 06/01/2016 and the Transaction Committee considered them at its 05/23/2016 call, with the advancement decision taken at the 06/01/2016 meeting. The extension itself is recorded on R013.</t>
        </is>
      </c>
      <c r="I16" s="5" t="n"/>
      <c r="J16" s="5" t="n"/>
      <c r="K16" s="6" t="inlineStr">
        <is>
          <t>Stated: "Between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and "The Transaction Committee met by telephone conference on May 23, 2016 and again on June 1, 2016 to consider the IOIs." (p.29) No revised due date after 05/19/2016 is reported.</t>
        </is>
      </c>
      <c r="L16" s="7" t="inlineStr">
        <is>
          <t>P-0492; P-0493</t>
        </is>
      </c>
      <c r="M16" s="5" t="inlineStr">
        <is>
          <t>Q2</t>
        </is>
      </c>
      <c r="N16" s="6" t="n"/>
      <c r="O16" s="5" t="inlineStr">
        <is>
          <t>R014</t>
        </is>
      </c>
      <c r="P16" s="5" t="inlineStr">
        <is>
          <t>Yes</t>
        </is>
      </c>
      <c r="Q16" s="5" t="n"/>
      <c r="R16" s="8" t="n">
        <v>42509</v>
      </c>
      <c r="S16" s="8" t="n">
        <v>42509</v>
      </c>
      <c r="T16" s="8" t="n">
        <v>42509</v>
      </c>
      <c r="U16" s="5" t="inlineStr">
        <is>
          <t>Reported day</t>
        </is>
      </c>
      <c r="V16" s="5" t="inlineStr">
        <is>
          <t>Reported</t>
        </is>
      </c>
      <c r="W16" s="6" t="n"/>
      <c r="X16" s="6" t="n"/>
      <c r="Y16" s="5" t="n"/>
      <c r="Z16" s="5" t="n"/>
      <c r="AA16" s="5" t="n"/>
      <c r="AB16" s="5" t="n"/>
      <c r="AC16" s="6" t="n"/>
      <c r="AD16" s="6" t="n"/>
      <c r="AE16" s="8" t="n">
        <v>42509</v>
      </c>
      <c r="AF16" s="5" t="inlineStr">
        <is>
          <t>Late bids accepted</t>
        </is>
      </c>
      <c r="AG16" s="5" t="n"/>
      <c r="AH16" s="5" t="n"/>
      <c r="AI16" s="6" t="n"/>
      <c r="AJ16" s="5" t="n"/>
      <c r="AK16" s="5" t="n">
        <v>29</v>
      </c>
      <c r="AL16" s="6" t="n"/>
      <c r="AM16" s="6" t="inlineStr">
        <is>
          <t>PWRR–G&amp;W</t>
        </is>
      </c>
    </row>
    <row r="17">
      <c r="A17" s="5" t="n">
        <v>15</v>
      </c>
      <c r="B17" s="6" t="inlineStr">
        <is>
          <t>05/19/2016–06/01/2016</t>
        </is>
      </c>
      <c r="C17" s="6" t="inlineStr">
        <is>
          <t>Nine potential buyers (IOI submitters)</t>
        </is>
      </c>
      <c r="D17" s="6" t="inlineStr">
        <is>
          <t>Bid</t>
        </is>
      </c>
      <c r="E17" s="5" t="n">
        <v>1</v>
      </c>
      <c r="F17" s="5" t="inlineStr">
        <is>
          <t>1</t>
        </is>
      </c>
      <c r="G17" s="6" t="inlineStr">
        <is>
          <t>Unknown</t>
        </is>
      </c>
      <c r="H17" s="6" t="inlineStr">
        <is>
          <t>Nine written non-binding indications of interest, offer prices $17.93–$26.50 per share (assuming preferred conversion), implying equity values of $90–134 million. Prices were communicated as an envelope; no individual prices are disclosed. The submitter population is anonymous and its type composition is not reported.</t>
        </is>
      </c>
      <c r="I17" s="5" t="inlineStr">
        <is>
          <t>Informal</t>
        </is>
      </c>
      <c r="J17" s="5" t="inlineStr">
        <is>
          <t>Heavy</t>
        </is>
      </c>
      <c r="K17" s="6" t="inlineStr">
        <is>
          <t>Stated: "Between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(p.29) Group envelope priced across the nine; Formality: Formal signals absent — preliminary non-binding indications. Conditions: Heavy by context — made before substantive diligence access (data site came only after selection).</t>
        </is>
      </c>
      <c r="L17" s="7" t="inlineStr">
        <is>
          <t>P-0493</t>
        </is>
      </c>
      <c r="M17" s="5" t="inlineStr">
        <is>
          <t>Q3; Q5; Q6</t>
        </is>
      </c>
      <c r="N17" s="6" t="n"/>
      <c r="O17" s="5" t="inlineStr">
        <is>
          <t>R015</t>
        </is>
      </c>
      <c r="P17" s="5" t="inlineStr">
        <is>
          <t>Yes</t>
        </is>
      </c>
      <c r="Q17" s="5" t="n">
        <v>9</v>
      </c>
      <c r="R17" s="8" t="n">
        <v>42509</v>
      </c>
      <c r="S17" s="8" t="n">
        <v>42522</v>
      </c>
      <c r="T17" s="8" t="n">
        <v>42509</v>
      </c>
      <c r="U17" s="5" t="inlineStr">
        <is>
          <t>Reported interval</t>
        </is>
      </c>
      <c r="V17" s="5" t="inlineStr">
        <is>
          <t>Assigned: deadline</t>
        </is>
      </c>
      <c r="W17" s="6" t="n">
        <v>17.93</v>
      </c>
      <c r="X17" s="6" t="n">
        <v>26.5</v>
      </c>
      <c r="Y17" s="5" t="inlineStr">
        <is>
          <t>Group envelope</t>
        </is>
      </c>
      <c r="Z17" s="5" t="inlineStr">
        <is>
          <t>Stated</t>
        </is>
      </c>
      <c r="AA17" s="5" t="inlineStr">
        <is>
          <t>USD</t>
        </is>
      </c>
      <c r="AB17" s="5" t="n"/>
      <c r="AC17" s="6" t="n"/>
      <c r="AD17" s="6" t="inlineStr">
        <is>
          <t>Fin: not stated; DD required: not stated; DD open: no; Excl: not stated</t>
        </is>
      </c>
      <c r="AE17" s="9" t="n"/>
      <c r="AF17" s="5" t="n"/>
      <c r="AG17" s="5" t="n"/>
      <c r="AH17" s="5" t="n"/>
      <c r="AI17" s="6" t="n"/>
      <c r="AJ17" s="5" t="n"/>
      <c r="AK17" s="5" t="n">
        <v>29</v>
      </c>
      <c r="AL17" s="6" t="n"/>
      <c r="AM17" s="6" t="inlineStr">
        <is>
          <t>PWRR–G&amp;W</t>
        </is>
      </c>
    </row>
    <row r="18">
      <c r="A18" s="5" t="n">
        <v>16</v>
      </c>
      <c r="B18" s="6" t="inlineStr">
        <is>
          <t>by 05/19/2016</t>
        </is>
      </c>
      <c r="C18" s="6" t="inlineStr">
        <is>
          <t>16 NDA signers (inferred residual)</t>
        </is>
      </c>
      <c r="D18" s="6" t="inlineStr">
        <is>
          <t>Did not submit</t>
        </is>
      </c>
      <c r="E18" s="5" t="n">
        <v>1</v>
      </c>
      <c r="F18" s="5" t="inlineStr">
        <is>
          <t>1</t>
        </is>
      </c>
      <c r="G18" s="6" t="inlineStr">
        <is>
          <t>Unknown</t>
        </is>
      </c>
      <c r="H18" s="6" t="inlineStr">
        <is>
          <t>Inferred: residual — 25 NDA signers − 9 IOI submitters = 16 non-submitters. Unknown agency; no notice to them is reported. Includes any signer that never bid; the filing does not say whether any voluntarily declined or was discouraged.</t>
        </is>
      </c>
      <c r="I18" s="5" t="n"/>
      <c r="J18" s="5" t="n"/>
      <c r="K18" s="6" t="inlineStr">
        <is>
          <t>Calculated from "Each of the potential strategic buyers and 14 potential financial buyers subsequently executed confidentiality agreements" (p.28; 11 + 14 = 25) and "the Company received nine written indications of interest" (p.29). No submission by the balance is reported; inferred closing at the solicitation due date.</t>
        </is>
      </c>
      <c r="L18" s="7" t="inlineStr">
        <is>
          <t>P-0487; P-0493</t>
        </is>
      </c>
      <c r="M18" s="5" t="inlineStr">
        <is>
          <t>Q3; Q4</t>
        </is>
      </c>
      <c r="N18" s="6" t="n"/>
      <c r="O18" s="5" t="inlineStr">
        <is>
          <t>R016</t>
        </is>
      </c>
      <c r="P18" s="5" t="inlineStr">
        <is>
          <t>Yes</t>
        </is>
      </c>
      <c r="Q18" s="5" t="n">
        <v>16</v>
      </c>
      <c r="R18" s="9" t="n"/>
      <c r="S18" s="8" t="n">
        <v>42509</v>
      </c>
      <c r="T18" s="8" t="n">
        <v>42509</v>
      </c>
      <c r="U18" s="5" t="inlineStr">
        <is>
          <t>Relative only</t>
        </is>
      </c>
      <c r="V18" s="5" t="inlineStr">
        <is>
          <t>Assigned: deadline</t>
        </is>
      </c>
      <c r="W18" s="6" t="n"/>
      <c r="X18" s="6" t="n"/>
      <c r="Y18" s="5" t="n"/>
      <c r="Z18" s="5" t="n"/>
      <c r="AA18" s="5" t="n"/>
      <c r="AB18" s="5" t="n"/>
      <c r="AC18" s="6" t="n"/>
      <c r="AD18" s="6" t="n"/>
      <c r="AE18" s="9" t="n"/>
      <c r="AF18" s="5" t="n"/>
      <c r="AG18" s="5" t="n"/>
      <c r="AH18" s="5" t="inlineStr">
        <is>
          <t>Unknown</t>
        </is>
      </c>
      <c r="AI18" s="6" t="inlineStr">
        <is>
          <t>Not stated</t>
        </is>
      </c>
      <c r="AJ18" s="5" t="inlineStr">
        <is>
          <t>Inferred: residual</t>
        </is>
      </c>
      <c r="AK18" s="5" t="n">
        <v>28</v>
      </c>
      <c r="AL18" s="6" t="n"/>
      <c r="AM18" s="6" t="inlineStr">
        <is>
          <t>PWRR–G&amp;W</t>
        </is>
      </c>
    </row>
    <row r="19">
      <c r="A19" s="5" t="n">
        <v>17</v>
      </c>
      <c r="B19" s="6" t="inlineStr">
        <is>
          <t>05/23/2016–06/01/2016</t>
        </is>
      </c>
      <c r="C19" s="6" t="inlineStr">
        <is>
          <t>Two low bidders (anonymous)</t>
        </is>
      </c>
      <c r="D19" s="6" t="inlineStr">
        <is>
          <t>Dropped by target</t>
        </is>
      </c>
      <c r="E19" s="5" t="n">
        <v>1</v>
      </c>
      <c r="F19" s="5" t="inlineStr">
        <is>
          <t>1</t>
        </is>
      </c>
      <c r="G19" s="6" t="inlineStr">
        <is>
          <t>Unknown</t>
        </is>
      </c>
      <c r="H19" s="6" t="inlineStr">
        <is>
          <t>The Transaction Committee concluded that the two low bidders among the nine IOI submitters should be excluded from management presentations, citing the substantial management time required; the remaining seven were advanced. Exit reason: Lower offer than rivals (the two lowest IOIs). Decisions reported after the 05/23 and 06/01/2016 committee meetings, before the 06/01/2016 advancement.</t>
        </is>
      </c>
      <c r="I19" s="5" t="n"/>
      <c r="J19" s="5" t="n"/>
      <c r="K19" s="6" t="inlineStr">
        <is>
          <t>Stated: "In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 (p.29)</t>
        </is>
      </c>
      <c r="L19" s="7" t="inlineStr">
        <is>
          <t>P-0493</t>
        </is>
      </c>
      <c r="M19" s="5" t="inlineStr">
        <is>
          <t>Q4</t>
        </is>
      </c>
      <c r="N19" s="6" t="n"/>
      <c r="O19" s="5" t="inlineStr">
        <is>
          <t>R017</t>
        </is>
      </c>
      <c r="P19" s="5" t="inlineStr">
        <is>
          <t>Yes</t>
        </is>
      </c>
      <c r="Q19" s="5" t="n">
        <v>2</v>
      </c>
      <c r="R19" s="8" t="n">
        <v>42513</v>
      </c>
      <c r="S19" s="8" t="n">
        <v>42522</v>
      </c>
      <c r="T19" s="8" t="n">
        <v>42522</v>
      </c>
      <c r="U19" s="5" t="inlineStr">
        <is>
          <t>Reported interval</t>
        </is>
      </c>
      <c r="V19" s="5" t="inlineStr">
        <is>
          <t>Assigned: decision day</t>
        </is>
      </c>
      <c r="W19" s="6" t="n"/>
      <c r="X19" s="6" t="n"/>
      <c r="Y19" s="5" t="n"/>
      <c r="Z19" s="5" t="n"/>
      <c r="AA19" s="5" t="n"/>
      <c r="AB19" s="5" t="n"/>
      <c r="AC19" s="6" t="n"/>
      <c r="AD19" s="6" t="n"/>
      <c r="AE19" s="9" t="n"/>
      <c r="AF19" s="5" t="n"/>
      <c r="AG19" s="5" t="n"/>
      <c r="AH19" s="5" t="inlineStr">
        <is>
          <t>Target</t>
        </is>
      </c>
      <c r="AI19" s="6" t="inlineStr">
        <is>
          <t>Lower offer than rivals</t>
        </is>
      </c>
      <c r="AJ19" s="5" t="inlineStr">
        <is>
          <t>Stated</t>
        </is>
      </c>
      <c r="AK19" s="5" t="n">
        <v>29</v>
      </c>
      <c r="AL19" s="6" t="n"/>
      <c r="AM19" s="6" t="inlineStr">
        <is>
          <t>PWRR–G&amp;W</t>
        </is>
      </c>
    </row>
    <row r="20">
      <c r="A20" s="5" t="n">
        <v>18</v>
      </c>
      <c r="B20" s="6" t="inlineStr">
        <is>
          <t>06/01/2016</t>
        </is>
      </c>
      <c r="C20" s="6" t="inlineStr">
        <is>
          <t>Providence &amp; Worcester / GHF</t>
        </is>
      </c>
      <c r="D20" s="6" t="inlineStr">
        <is>
          <t>Round opened</t>
        </is>
      </c>
      <c r="E20" s="5" t="n">
        <v>1</v>
      </c>
      <c r="F20" s="5" t="inlineStr">
        <is>
          <t>2</t>
        </is>
      </c>
      <c r="G20" s="6" t="n"/>
      <c r="H20" s="6" t="inlineStr">
        <is>
          <t>Round 2 objective: management presentations, data-site diligence and non-binding LOIs with transaction-document markups. Seven remaining IOI bidders advanced and given access to an internet data site for legal and financial due diligence (uniform stage access, stated here); Party C joined later (R020–R023). In mid-June the Committee directed all potential buyers to submit LOIs by 07/20/2016 with markups of the merger agreement, disclosure letter and voting agreement (R019). Finality: Not final — non-binding LOIs; the stage ended with selection of two bidders for confirmatory diligence and definitive negotiation.</t>
        </is>
      </c>
      <c r="I20" s="5" t="n"/>
      <c r="J20" s="5" t="n"/>
      <c r="K20" s="6" t="inlineStr">
        <is>
          <t>Stated: "The Transaction Committee authorized representatives of GHF to schedule in-person management presentations with the remaining seven potential buyers and allow these parties to conduct additional due diligence. These potential buyers were given access to an internet data site ..." (p.29); LOI instruction at p.29. Round opening assigned to the 06/01/2016 committee meeting that completed evaluation of the IOIs.</t>
        </is>
      </c>
      <c r="L20" s="7" t="inlineStr">
        <is>
          <t>P-0493; P-0494</t>
        </is>
      </c>
      <c r="M20" s="5" t="inlineStr">
        <is>
          <t>Q1</t>
        </is>
      </c>
      <c r="N20" s="6" t="n"/>
      <c r="O20" s="5" t="inlineStr">
        <is>
          <t>R018</t>
        </is>
      </c>
      <c r="P20" s="5" t="inlineStr">
        <is>
          <t>Yes</t>
        </is>
      </c>
      <c r="Q20" s="5" t="n"/>
      <c r="R20" s="8" t="n">
        <v>42522</v>
      </c>
      <c r="S20" s="8" t="n">
        <v>42522</v>
      </c>
      <c r="T20" s="8" t="n">
        <v>42522</v>
      </c>
      <c r="U20" s="5" t="inlineStr">
        <is>
          <t>Reported day</t>
        </is>
      </c>
      <c r="V20" s="5" t="inlineStr">
        <is>
          <t>Assigned: decision day</t>
        </is>
      </c>
      <c r="W20" s="6" t="n"/>
      <c r="X20" s="6" t="n"/>
      <c r="Y20" s="5" t="n"/>
      <c r="Z20" s="5" t="n"/>
      <c r="AA20" s="5" t="n"/>
      <c r="AB20" s="5" t="n"/>
      <c r="AC20" s="6" t="n"/>
      <c r="AD20" s="6" t="n"/>
      <c r="AE20" s="9" t="n"/>
      <c r="AF20" s="5" t="n"/>
      <c r="AG20" s="5" t="inlineStr">
        <is>
          <t>Not final</t>
        </is>
      </c>
      <c r="AH20" s="5" t="n"/>
      <c r="AI20" s="6" t="n"/>
      <c r="AJ20" s="5" t="n"/>
      <c r="AK20" s="5" t="n">
        <v>29</v>
      </c>
      <c r="AL20" s="6" t="n"/>
      <c r="AM20" s="6" t="inlineStr">
        <is>
          <t>PWRR–G&amp;W</t>
        </is>
      </c>
    </row>
    <row r="21">
      <c r="A21" s="5" t="n">
        <v>19</v>
      </c>
      <c r="B21" s="6" t="inlineStr">
        <is>
          <t>mid-June 2016</t>
        </is>
      </c>
      <c r="C21" s="6" t="inlineStr">
        <is>
          <t>Providence &amp; Worcester / GHF</t>
        </is>
      </c>
      <c r="D21" s="6" t="inlineStr">
        <is>
          <t>Deadline set</t>
        </is>
      </c>
      <c r="E21" s="5" t="n">
        <v>1</v>
      </c>
      <c r="F21" s="5" t="inlineStr">
        <is>
          <t>2</t>
        </is>
      </c>
      <c r="G21" s="6" t="n"/>
      <c r="H21" s="6" t="inlineStr">
        <is>
          <t>All potential buyers instructed to submit non-binding LOIs by 07/20/2016, together with mark-ups of the forms of merger agreement, disclosure letter and voting agreement (posted to the data site). Buyers were to value 100% of outstanding common stock per share (assuming preferred conversion) or give financial terms of any non-cash proposal.</t>
        </is>
      </c>
      <c r="I21" s="5" t="n"/>
      <c r="J21" s="5" t="n"/>
      <c r="K21" s="6" t="inlineStr">
        <is>
          <t>Stated: "In mid-June 2016, at the direction of the Transaction Committee, representatives of GHF instructed all potential buyers to submit non-binding letters of intent (“LOIs”) by July 20, 2016, together with mark-ups of the forms of merger agreement, disclosure letter and voting agreement ..." (p.29) Working date is the midpoint of the mid-June window.</t>
        </is>
      </c>
      <c r="L21" s="7" t="inlineStr">
        <is>
          <t>P-0494</t>
        </is>
      </c>
      <c r="M21" s="5" t="inlineStr">
        <is>
          <t>Q2</t>
        </is>
      </c>
      <c r="N21" s="6" t="n"/>
      <c r="O21" s="5" t="inlineStr">
        <is>
          <t>R019</t>
        </is>
      </c>
      <c r="P21" s="5" t="inlineStr">
        <is>
          <t>Yes</t>
        </is>
      </c>
      <c r="Q21" s="5" t="n"/>
      <c r="R21" s="8" t="n">
        <v>42532</v>
      </c>
      <c r="S21" s="8" t="n">
        <v>42540</v>
      </c>
      <c r="T21" s="8" t="n">
        <v>42536</v>
      </c>
      <c r="U21" s="5" t="inlineStr">
        <is>
          <t>Approximate window</t>
        </is>
      </c>
      <c r="V21" s="5" t="inlineStr">
        <is>
          <t>Assigned: midpoint</t>
        </is>
      </c>
      <c r="W21" s="6" t="n"/>
      <c r="X21" s="6" t="n"/>
      <c r="Y21" s="5" t="n"/>
      <c r="Z21" s="5" t="n"/>
      <c r="AA21" s="5" t="n"/>
      <c r="AB21" s="5" t="n"/>
      <c r="AC21" s="6" t="n"/>
      <c r="AD21" s="6" t="n"/>
      <c r="AE21" s="8" t="n">
        <v>42571</v>
      </c>
      <c r="AF21" s="5" t="n"/>
      <c r="AG21" s="5" t="n"/>
      <c r="AH21" s="5" t="n"/>
      <c r="AI21" s="6" t="n"/>
      <c r="AJ21" s="5" t="n"/>
      <c r="AK21" s="5" t="n">
        <v>29</v>
      </c>
      <c r="AL21" s="6" t="n"/>
      <c r="AM21" s="6" t="inlineStr">
        <is>
          <t>PWRR–G&amp;W</t>
        </is>
      </c>
    </row>
    <row r="22">
      <c r="A22" s="5" t="n">
        <v>20</v>
      </c>
      <c r="B22" s="6" t="inlineStr">
        <is>
          <t>early July 2016</t>
        </is>
      </c>
      <c r="C22" s="6" t="inlineStr">
        <is>
          <t>Party C (late-entrant strategic buyer)</t>
        </is>
      </c>
      <c r="D22" s="6" t="inlineStr">
        <is>
          <t>Contact</t>
        </is>
      </c>
      <c r="E22" s="5" t="n">
        <v>1</v>
      </c>
      <c r="F22" s="5" t="inlineStr">
        <is>
          <t>2</t>
        </is>
      </c>
      <c r="G22" s="6" t="inlineStr">
        <is>
          <t>Strategic</t>
        </is>
      </c>
      <c r="H22" s="6" t="inlineStr">
        <is>
          <t>Party C, a potential strategic buyer not previously part of the process, approached Company management and expressed interest in acquiring the Company. Direction: bidder-side.</t>
        </is>
      </c>
      <c r="I22" s="5" t="n"/>
      <c r="J22" s="5" t="n"/>
      <c r="K22" s="6" t="inlineStr">
        <is>
          <t>Stated: "In early July 2016, a potential strategic buyer that had not previously been part of the process (“Party C”) approached the Company’s management and expressed interest in acquiring the Company." (p.29) Working date is the midpoint of the early-July band (1–10).</t>
        </is>
      </c>
      <c r="L22" s="7" t="inlineStr">
        <is>
          <t>P-0496</t>
        </is>
      </c>
      <c r="M22" s="5" t="inlineStr">
        <is>
          <t>Q3</t>
        </is>
      </c>
      <c r="N22" s="6" t="n"/>
      <c r="O22" s="5" t="inlineStr">
        <is>
          <t>R020</t>
        </is>
      </c>
      <c r="P22" s="5" t="inlineStr">
        <is>
          <t>Yes</t>
        </is>
      </c>
      <c r="Q22" s="5" t="n">
        <v>1</v>
      </c>
      <c r="R22" s="8" t="n">
        <v>42552</v>
      </c>
      <c r="S22" s="8" t="n">
        <v>42561</v>
      </c>
      <c r="T22" s="8" t="n">
        <v>42556</v>
      </c>
      <c r="U22" s="5" t="inlineStr">
        <is>
          <t>Approximate window</t>
        </is>
      </c>
      <c r="V22" s="5" t="inlineStr">
        <is>
          <t>Assigned: midpoint</t>
        </is>
      </c>
      <c r="W22" s="6" t="n"/>
      <c r="X22" s="6" t="n"/>
      <c r="Y22" s="5" t="n"/>
      <c r="Z22" s="5" t="n"/>
      <c r="AA22" s="5" t="n"/>
      <c r="AB22" s="5" t="n"/>
      <c r="AC22" s="6" t="n"/>
      <c r="AD22" s="6" t="n"/>
      <c r="AE22" s="9" t="n"/>
      <c r="AF22" s="5" t="n"/>
      <c r="AG22" s="5" t="n"/>
      <c r="AH22" s="5" t="n"/>
      <c r="AI22" s="6" t="n"/>
      <c r="AJ22" s="5" t="n"/>
      <c r="AK22" s="5" t="n">
        <v>29</v>
      </c>
      <c r="AL22" s="6" t="n"/>
      <c r="AM22" s="6" t="inlineStr">
        <is>
          <t>PWRR–G&amp;W</t>
        </is>
      </c>
    </row>
    <row r="23">
      <c r="A23" s="5" t="n">
        <v>21</v>
      </c>
      <c r="B23" s="6" t="inlineStr">
        <is>
          <t>early July 2016; before 07/12/2016</t>
        </is>
      </c>
      <c r="C23" s="6" t="inlineStr">
        <is>
          <t>Party C</t>
        </is>
      </c>
      <c r="D23" s="6" t="inlineStr">
        <is>
          <t>NDA signed</t>
        </is>
      </c>
      <c r="E23" s="5" t="n">
        <v>1</v>
      </c>
      <c r="F23" s="5" t="inlineStr">
        <is>
          <t>2</t>
        </is>
      </c>
      <c r="G23" s="6" t="inlineStr">
        <is>
          <t>Strategic</t>
        </is>
      </c>
      <c r="H23" s="6" t="inlineStr">
        <is>
          <t>After executing a confidentiality agreement, Party C was provided the memorandum concerning the Company given to the other potential buyers. Individual execution date not disclosed; Working date is the midpoint of the early-July to 07/12/2016 window.</t>
        </is>
      </c>
      <c r="I23" s="5" t="n"/>
      <c r="J23" s="5" t="n"/>
      <c r="K23" s="6" t="inlineStr">
        <is>
          <t>Stated: "After executing a confidentiality agreement, Party C was provided the memorandum concerning the Company provided to the other potential buyers." (p.29) Tightened by the 07/12/2016 IOI that follows.</t>
        </is>
      </c>
      <c r="L23" s="7" t="inlineStr">
        <is>
          <t>P-0496</t>
        </is>
      </c>
      <c r="M23" s="5" t="inlineStr">
        <is>
          <t>Q3</t>
        </is>
      </c>
      <c r="N23" s="6" t="n"/>
      <c r="O23" s="5" t="inlineStr">
        <is>
          <t>R021</t>
        </is>
      </c>
      <c r="P23" s="5" t="inlineStr">
        <is>
          <t>Yes</t>
        </is>
      </c>
      <c r="Q23" s="5" t="n">
        <v>1</v>
      </c>
      <c r="R23" s="8" t="n">
        <v>42552</v>
      </c>
      <c r="S23" s="8" t="n">
        <v>42563</v>
      </c>
      <c r="T23" s="8" t="n">
        <v>42557</v>
      </c>
      <c r="U23" s="5" t="inlineStr">
        <is>
          <t>Approximate window</t>
        </is>
      </c>
      <c r="V23" s="5" t="inlineStr">
        <is>
          <t>Assigned: midpoint</t>
        </is>
      </c>
      <c r="W23" s="6" t="n"/>
      <c r="X23" s="6" t="n"/>
      <c r="Y23" s="5" t="n"/>
      <c r="Z23" s="5" t="n"/>
      <c r="AA23" s="5" t="n"/>
      <c r="AB23" s="5" t="n"/>
      <c r="AC23" s="6" t="n"/>
      <c r="AD23" s="6" t="n"/>
      <c r="AE23" s="9" t="n"/>
      <c r="AF23" s="5" t="n"/>
      <c r="AG23" s="5" t="n"/>
      <c r="AH23" s="5" t="n"/>
      <c r="AI23" s="6" t="n"/>
      <c r="AJ23" s="5" t="n"/>
      <c r="AK23" s="5" t="n">
        <v>29</v>
      </c>
      <c r="AL23" s="6" t="n"/>
      <c r="AM23" s="6" t="inlineStr">
        <is>
          <t>PWRR–G&amp;W</t>
        </is>
      </c>
    </row>
    <row r="24">
      <c r="A24" s="5" t="n">
        <v>22</v>
      </c>
      <c r="B24" s="6" t="inlineStr">
        <is>
          <t>07/12/2016</t>
        </is>
      </c>
      <c r="C24" s="6" t="inlineStr">
        <is>
          <t>Party C</t>
        </is>
      </c>
      <c r="D24" s="6" t="inlineStr">
        <is>
          <t>Bid</t>
        </is>
      </c>
      <c r="E24" s="5" t="n">
        <v>1</v>
      </c>
      <c r="F24" s="5" t="inlineStr">
        <is>
          <t>2</t>
        </is>
      </c>
      <c r="G24" s="6" t="inlineStr">
        <is>
          <t>Strategic</t>
        </is>
      </c>
      <c r="H24" s="6" t="inlineStr">
        <is>
          <t>IOI at $21.00 per share, implying an equity value of $108 million. Informal late-entrant indication made before data-site access; Party C was subsequently given data-site access and a management presentation by telephone on 07/14/2016.</t>
        </is>
      </c>
      <c r="I24" s="5" t="inlineStr">
        <is>
          <t>Informal</t>
        </is>
      </c>
      <c r="J24" s="5" t="inlineStr">
        <is>
          <t>Heavy</t>
        </is>
      </c>
      <c r="K24" s="6" t="inlineStr">
        <is>
          <t>Stated: "On July 12, 2016, Party C submitted an IOI with an offer price per share of $21.00 (implying an equity value of $108 million)." (p.29) Formality: Informal — preliminary indication, no transaction-document markup or final-solicitation response. Conditions: Heavy by context — no substantive diligence access at the time of the indication.</t>
        </is>
      </c>
      <c r="L24" s="7" t="inlineStr">
        <is>
          <t>P-0496</t>
        </is>
      </c>
      <c r="M24" s="5" t="inlineStr">
        <is>
          <t>Q5; Q6</t>
        </is>
      </c>
      <c r="N24" s="6" t="n"/>
      <c r="O24" s="5" t="inlineStr">
        <is>
          <t>R022</t>
        </is>
      </c>
      <c r="P24" s="5" t="inlineStr">
        <is>
          <t>Yes</t>
        </is>
      </c>
      <c r="Q24" s="5" t="n">
        <v>1</v>
      </c>
      <c r="R24" s="8" t="n">
        <v>42563</v>
      </c>
      <c r="S24" s="8" t="n">
        <v>42563</v>
      </c>
      <c r="T24" s="8" t="n">
        <v>42563</v>
      </c>
      <c r="U24" s="5" t="inlineStr">
        <is>
          <t>Reported day</t>
        </is>
      </c>
      <c r="V24" s="5" t="inlineStr">
        <is>
          <t>Reported</t>
        </is>
      </c>
      <c r="W24" s="6" t="n">
        <v>21</v>
      </c>
      <c r="X24" s="6" t="n">
        <v>21</v>
      </c>
      <c r="Y24" s="5" t="inlineStr">
        <is>
          <t>Point</t>
        </is>
      </c>
      <c r="Z24" s="5" t="inlineStr">
        <is>
          <t>Stated</t>
        </is>
      </c>
      <c r="AA24" s="5" t="inlineStr">
        <is>
          <t>USD</t>
        </is>
      </c>
      <c r="AB24" s="5" t="n"/>
      <c r="AC24" s="6" t="n"/>
      <c r="AD24" s="6" t="inlineStr">
        <is>
          <t>Fin: not stated; DD required: not stated; DD open: no; Excl: not stated</t>
        </is>
      </c>
      <c r="AE24" s="9" t="n"/>
      <c r="AF24" s="5" t="n"/>
      <c r="AG24" s="5" t="n"/>
      <c r="AH24" s="5" t="n"/>
      <c r="AI24" s="6" t="n"/>
      <c r="AJ24" s="5" t="n"/>
      <c r="AK24" s="5" t="n">
        <v>29</v>
      </c>
      <c r="AL24" s="6" t="n"/>
      <c r="AM24" s="6" t="inlineStr">
        <is>
          <t>PWRR–G&amp;W</t>
        </is>
      </c>
    </row>
    <row r="25">
      <c r="A25" s="5" t="n">
        <v>23</v>
      </c>
      <c r="B25" s="6" t="inlineStr">
        <is>
          <t>07/14/2016</t>
        </is>
      </c>
      <c r="C25" s="6" t="inlineStr">
        <is>
          <t>Party C</t>
        </is>
      </c>
      <c r="D25" s="6" t="inlineStr">
        <is>
          <t>Information access changed</t>
        </is>
      </c>
      <c r="E25" s="5" t="n">
        <v>1</v>
      </c>
      <c r="F25" s="5" t="inlineStr">
        <is>
          <t>2</t>
        </is>
      </c>
      <c r="G25" s="6" t="inlineStr">
        <is>
          <t>Strategic</t>
        </is>
      </c>
      <c r="H25" s="6" t="inlineStr">
        <is>
          <t>Catch-up access for a late entrant: after its IOI, Party C was given access to the internet data site and the Company held a management presentation with Party C by telephone on 07/14/2016, whereas the original seven bidders had received data-site access from 06/01/2016 and in-person presentations over June–July. No reason is stated beyond the late entry.</t>
        </is>
      </c>
      <c r="I25" s="5" t="n"/>
      <c r="J25" s="5" t="n"/>
      <c r="K25" s="6" t="inlineStr">
        <is>
          <t>Stated: "Subsequently, Party C was provided access to the internet data site and the Company’s management held a management presentation with Party C by telephone on July 14, 2016." (p.29) Differentiated/catch-up access among live bidders, so a separate information-access row.</t>
        </is>
      </c>
      <c r="L25" s="7" t="inlineStr">
        <is>
          <t>P-0496</t>
        </is>
      </c>
      <c r="M25" s="5" t="inlineStr">
        <is>
          <t>Q1</t>
        </is>
      </c>
      <c r="N25" s="6" t="n"/>
      <c r="O25" s="5" t="inlineStr">
        <is>
          <t>R023</t>
        </is>
      </c>
      <c r="P25" s="5" t="inlineStr">
        <is>
          <t>Yes</t>
        </is>
      </c>
      <c r="Q25" s="5" t="n"/>
      <c r="R25" s="8" t="n">
        <v>42565</v>
      </c>
      <c r="S25" s="8" t="n">
        <v>42565</v>
      </c>
      <c r="T25" s="8" t="n">
        <v>42565</v>
      </c>
      <c r="U25" s="5" t="inlineStr">
        <is>
          <t>Reported day</t>
        </is>
      </c>
      <c r="V25" s="5" t="inlineStr">
        <is>
          <t>Reported</t>
        </is>
      </c>
      <c r="W25" s="6" t="n"/>
      <c r="X25" s="6" t="n"/>
      <c r="Y25" s="5" t="n"/>
      <c r="Z25" s="5" t="n"/>
      <c r="AA25" s="5" t="n"/>
      <c r="AB25" s="5" t="n"/>
      <c r="AC25" s="6" t="n"/>
      <c r="AD25" s="6" t="n"/>
      <c r="AE25" s="9" t="n"/>
      <c r="AF25" s="5" t="n"/>
      <c r="AG25" s="5" t="n"/>
      <c r="AH25" s="5" t="n"/>
      <c r="AI25" s="6" t="n"/>
      <c r="AJ25" s="5" t="n"/>
      <c r="AK25" s="5" t="n">
        <v>29</v>
      </c>
      <c r="AL25" s="6" t="n"/>
      <c r="AM25" s="6" t="inlineStr">
        <is>
          <t>PWRR–G&amp;W</t>
        </is>
      </c>
    </row>
    <row r="26">
      <c r="A26" s="5" t="n">
        <v>24</v>
      </c>
      <c r="B26" s="6" t="inlineStr">
        <is>
          <t>07/20/2016</t>
        </is>
      </c>
      <c r="C26" s="6" t="inlineStr">
        <is>
          <t>Providence &amp; Worcester / GHF</t>
        </is>
      </c>
      <c r="D26" s="6" t="inlineStr">
        <is>
          <t>Deadline</t>
        </is>
      </c>
      <c r="E26" s="5" t="n">
        <v>1</v>
      </c>
      <c r="F26" s="5" t="inlineStr">
        <is>
          <t>2</t>
        </is>
      </c>
      <c r="G26" s="6" t="n"/>
      <c r="H26" s="6" t="inlineStr">
        <is>
          <t>LOI due date reached. Treatment: Late bids accepted — G&amp;W submitted its LOI on 07/21/2016 (and a revised LOI on 07/26/2016) and the Company considered both in the same round. No extension of the 07/20/2016 date is reported.</t>
        </is>
      </c>
      <c r="I26" s="5" t="n"/>
      <c r="J26" s="5" t="n"/>
      <c r="K26" s="6" t="inlineStr">
        <is>
          <t>Stated: LOIs to be submitted "by July 20, 2016" (p.29); "G&amp;W submitted an LOI on July 21, 2016" (p.29) and the Transaction Committee reviewed the LOIs on 07/22 and 07/27/2016 (p.30) — a late submission considered without a stated revision.</t>
        </is>
      </c>
      <c r="L26" s="7" t="inlineStr">
        <is>
          <t>P-0494; P-0499; P-0506</t>
        </is>
      </c>
      <c r="M26" s="5" t="inlineStr">
        <is>
          <t>Q2</t>
        </is>
      </c>
      <c r="N26" s="6" t="n"/>
      <c r="O26" s="5" t="inlineStr">
        <is>
          <t>R024</t>
        </is>
      </c>
      <c r="P26" s="5" t="inlineStr">
        <is>
          <t>Yes</t>
        </is>
      </c>
      <c r="Q26" s="5" t="n"/>
      <c r="R26" s="8" t="n">
        <v>42571</v>
      </c>
      <c r="S26" s="8" t="n">
        <v>42571</v>
      </c>
      <c r="T26" s="8" t="n">
        <v>42571</v>
      </c>
      <c r="U26" s="5" t="inlineStr">
        <is>
          <t>Reported day</t>
        </is>
      </c>
      <c r="V26" s="5" t="inlineStr">
        <is>
          <t>Reported</t>
        </is>
      </c>
      <c r="W26" s="6" t="n"/>
      <c r="X26" s="6" t="n"/>
      <c r="Y26" s="5" t="n"/>
      <c r="Z26" s="5" t="n"/>
      <c r="AA26" s="5" t="n"/>
      <c r="AB26" s="5" t="n"/>
      <c r="AC26" s="6" t="n"/>
      <c r="AD26" s="6" t="n"/>
      <c r="AE26" s="8" t="n">
        <v>42571</v>
      </c>
      <c r="AF26" s="5" t="inlineStr">
        <is>
          <t>Late bids accepted</t>
        </is>
      </c>
      <c r="AG26" s="5" t="n"/>
      <c r="AH26" s="5" t="n"/>
      <c r="AI26" s="6" t="n"/>
      <c r="AJ26" s="5" t="n"/>
      <c r="AK26" s="5" t="n">
        <v>29</v>
      </c>
      <c r="AL26" s="6" t="n"/>
      <c r="AM26" s="6" t="inlineStr">
        <is>
          <t>PWRR–G&amp;W</t>
        </is>
      </c>
    </row>
    <row r="27">
      <c r="A27" s="5" t="n">
        <v>25</v>
      </c>
      <c r="B27" s="6" t="inlineStr">
        <is>
          <t>late July 2016 (date not disclosed); by 07/20/2016</t>
        </is>
      </c>
      <c r="C27" s="6" t="inlineStr">
        <is>
          <t>Party B</t>
        </is>
      </c>
      <c r="D27" s="6" t="inlineStr">
        <is>
          <t>Bid</t>
        </is>
      </c>
      <c r="E27" s="5" t="n">
        <v>1</v>
      </c>
      <c r="F27" s="5" t="inlineStr">
        <is>
          <t>2</t>
        </is>
      </c>
      <c r="G27" s="6" t="inlineStr">
        <is>
          <t>Strategic</t>
        </is>
      </c>
      <c r="H27" s="6" t="inlineStr">
        <is>
          <t>LOI at $24.00 per share, subject to an expedited diligence review. Party B also provided mark-ups of the draft merger agreement and voting agreement. Highest LOI price. Individual submission day is not disclosed; the filing’s five undated LOIs are assigned the 07/20/2016 due date for display and placed ahead of G&amp;W’s dated 07/21/2016 LOI.</t>
        </is>
      </c>
      <c r="I27" s="5" t="inlineStr">
        <is>
          <t>Formal</t>
        </is>
      </c>
      <c r="J27" s="5" t="inlineStr">
        <is>
          <t>Light</t>
        </is>
      </c>
      <c r="K27" s="6" t="inlineStr">
        <is>
          <t>Stated: "• Party B submitted an LOI to acquire the Company for a price of $24.00 per share (subject to an expedited diligence review)." (p.29) and "Party B, G&amp;W and another bidder (“Party D”) also provided mark-ups of the draft merger agreement and voting agreement." (p.29) Formality: Formal — returned agreement markups. Conditions: Light — expedited/confirmatory diligence only.</t>
        </is>
      </c>
      <c r="L27" s="7" t="inlineStr">
        <is>
          <t>P-0497; P-0498</t>
        </is>
      </c>
      <c r="M27" s="5" t="inlineStr">
        <is>
          <t>Q5; Q6</t>
        </is>
      </c>
      <c r="N27" s="6" t="n"/>
      <c r="O27" s="5" t="inlineStr">
        <is>
          <t>R025</t>
        </is>
      </c>
      <c r="P27" s="5" t="inlineStr">
        <is>
          <t>Yes</t>
        </is>
      </c>
      <c r="Q27" s="5" t="n">
        <v>1</v>
      </c>
      <c r="R27" s="8" t="n">
        <v>42571</v>
      </c>
      <c r="S27" s="8" t="n">
        <v>42578</v>
      </c>
      <c r="T27" s="8" t="n">
        <v>42571</v>
      </c>
      <c r="U27" s="5" t="inlineStr">
        <is>
          <t>Relative only</t>
        </is>
      </c>
      <c r="V27" s="5" t="inlineStr">
        <is>
          <t>Assigned: deadline</t>
        </is>
      </c>
      <c r="W27" s="6" t="n">
        <v>24</v>
      </c>
      <c r="X27" s="6" t="n">
        <v>24</v>
      </c>
      <c r="Y27" s="5" t="inlineStr">
        <is>
          <t>Point</t>
        </is>
      </c>
      <c r="Z27" s="5" t="inlineStr">
        <is>
          <t>Stated</t>
        </is>
      </c>
      <c r="AA27" s="5" t="inlineStr">
        <is>
          <t>USD</t>
        </is>
      </c>
      <c r="AB27" s="5" t="n"/>
      <c r="AC27" s="6" t="n"/>
      <c r="AD27" s="6" t="inlineStr">
        <is>
          <t>Fin: not stated; DD required: confirmatory; DD open: yes; Excl: not stated</t>
        </is>
      </c>
      <c r="AE27" s="9" t="n"/>
      <c r="AF27" s="5" t="n"/>
      <c r="AG27" s="5" t="n"/>
      <c r="AH27" s="5" t="n"/>
      <c r="AI27" s="6" t="n"/>
      <c r="AJ27" s="5" t="n"/>
      <c r="AK27" s="5" t="n">
        <v>29</v>
      </c>
      <c r="AL27" s="6" t="n"/>
      <c r="AM27" s="6" t="inlineStr">
        <is>
          <t>PWRR–G&amp;W</t>
        </is>
      </c>
    </row>
    <row r="28">
      <c r="A28" s="5" t="n">
        <v>26</v>
      </c>
      <c r="B28" s="6" t="inlineStr">
        <is>
          <t>late July 2016 (date not disclosed); by 07/20/2016</t>
        </is>
      </c>
      <c r="C28" s="6" t="inlineStr">
        <is>
          <t>Party E</t>
        </is>
      </c>
      <c r="D28" s="6" t="inlineStr">
        <is>
          <t>Bid</t>
        </is>
      </c>
      <c r="E28" s="5" t="n">
        <v>1</v>
      </c>
      <c r="F28" s="5" t="inlineStr">
        <is>
          <t>2</t>
        </is>
      </c>
      <c r="G28" s="6" t="inlineStr">
        <is>
          <t>Strategic</t>
        </is>
      </c>
      <c r="H28" s="6" t="inlineStr">
        <is>
          <t>LOI at $21.26 per share, subject to a 60-day exclusivity period for due diligence and negotiation of definitive documentation. Party E provided only a summary of material issues and proposed changes to the merger agreement and voting agreement. Exclusivity requested (60 days); never granted.</t>
        </is>
      </c>
      <c r="I28" s="5" t="inlineStr">
        <is>
          <t>Informal</t>
        </is>
      </c>
      <c r="J28" s="5" t="inlineStr">
        <is>
          <t>Heavy</t>
        </is>
      </c>
      <c r="K28" s="6" t="inlineStr">
        <is>
          <t>Stated: "• Party E (a strategic buyer) submitted an LOI to acquire the Company for a price of $21.26 per share (subject to a 60-day exclusivity period for due diligence and negotiation of definitive documentation)." (p.30); "One bidder (“Party E”) provided a summary of material issues and proposed changes to the merger agreement and voting agreement with respect to those issues." (p.29) Formality: Informal — issues list alone is not a returned agreement markup (borderline; see Questions). Conditions: Heavy — stated 60-day exclusive diligence/negotiation period (Excl: requested (60 days), not granted).</t>
        </is>
      </c>
      <c r="L28" s="7" t="inlineStr">
        <is>
          <t>P-0497; P-0501</t>
        </is>
      </c>
      <c r="M28" s="5" t="inlineStr">
        <is>
          <t>Q5; Q6</t>
        </is>
      </c>
      <c r="N28" s="6" t="n"/>
      <c r="O28" s="5" t="inlineStr">
        <is>
          <t>R026</t>
        </is>
      </c>
      <c r="P28" s="5" t="inlineStr">
        <is>
          <t>Yes</t>
        </is>
      </c>
      <c r="Q28" s="5" t="n">
        <v>1</v>
      </c>
      <c r="R28" s="8" t="n">
        <v>42571</v>
      </c>
      <c r="S28" s="8" t="n">
        <v>42578</v>
      </c>
      <c r="T28" s="8" t="n">
        <v>42571</v>
      </c>
      <c r="U28" s="5" t="inlineStr">
        <is>
          <t>Relative only</t>
        </is>
      </c>
      <c r="V28" s="5" t="inlineStr">
        <is>
          <t>Assigned: deadline</t>
        </is>
      </c>
      <c r="W28" s="6" t="n">
        <v>21.26</v>
      </c>
      <c r="X28" s="6" t="n">
        <v>21.26</v>
      </c>
      <c r="Y28" s="5" t="inlineStr">
        <is>
          <t>Point</t>
        </is>
      </c>
      <c r="Z28" s="5" t="inlineStr">
        <is>
          <t>Stated</t>
        </is>
      </c>
      <c r="AA28" s="5" t="inlineStr">
        <is>
          <t>USD</t>
        </is>
      </c>
      <c r="AB28" s="5" t="n"/>
      <c r="AC28" s="6" t="n"/>
      <c r="AD28" s="6" t="inlineStr">
        <is>
          <t>Fin: not stated; DD required: substantive (60 days); DD open: yes; Excl: requested (60 days)</t>
        </is>
      </c>
      <c r="AE28" s="9" t="n"/>
      <c r="AF28" s="5" t="n"/>
      <c r="AG28" s="5" t="n"/>
      <c r="AH28" s="5" t="n"/>
      <c r="AI28" s="6" t="n"/>
      <c r="AJ28" s="5" t="n"/>
      <c r="AK28" s="5" t="n">
        <v>30</v>
      </c>
      <c r="AL28" s="6" t="n"/>
      <c r="AM28" s="6" t="inlineStr">
        <is>
          <t>PWRR–G&amp;W</t>
        </is>
      </c>
    </row>
    <row r="29">
      <c r="A29" s="5" t="n">
        <v>27</v>
      </c>
      <c r="B29" s="6" t="inlineStr">
        <is>
          <t>late July 2016 (date not disclosed); by 07/20/2016</t>
        </is>
      </c>
      <c r="C29" s="6" t="inlineStr">
        <is>
          <t>Party D</t>
        </is>
      </c>
      <c r="D29" s="6" t="inlineStr">
        <is>
          <t>Bid</t>
        </is>
      </c>
      <c r="E29" s="5" t="n">
        <v>1</v>
      </c>
      <c r="F29" s="5" t="inlineStr">
        <is>
          <t>2</t>
        </is>
      </c>
      <c r="G29" s="6" t="inlineStr">
        <is>
          <t>Financial</t>
        </is>
      </c>
      <c r="H29" s="6" t="inlineStr">
        <is>
          <t>LOI at $21.00 per share, subject to a four-week diligence period. Party D also provided mark-ups of the draft merger agreement and voting agreement.</t>
        </is>
      </c>
      <c r="I29" s="5" t="inlineStr">
        <is>
          <t>Formal</t>
        </is>
      </c>
      <c r="J29" s="5" t="inlineStr">
        <is>
          <t>Heavy</t>
        </is>
      </c>
      <c r="K29" s="6" t="inlineStr">
        <is>
          <t>Stated: "• Party D (a financial buyer) submitted an LOI to acquire the Company for a price of $21.00 per share (subject to a four-week diligence period)." (p.30); Party D provided mark-ups (p.29). Formality: Formal — returned agreement markups. Conditions: Heavy — stated four-week diligence period.</t>
        </is>
      </c>
      <c r="L29" s="7" t="inlineStr">
        <is>
          <t>P-0497; P-0502</t>
        </is>
      </c>
      <c r="M29" s="5" t="inlineStr">
        <is>
          <t>Q5; Q6</t>
        </is>
      </c>
      <c r="N29" s="6" t="n"/>
      <c r="O29" s="5" t="inlineStr">
        <is>
          <t>R027</t>
        </is>
      </c>
      <c r="P29" s="5" t="inlineStr">
        <is>
          <t>Yes</t>
        </is>
      </c>
      <c r="Q29" s="5" t="n">
        <v>1</v>
      </c>
      <c r="R29" s="8" t="n">
        <v>42571</v>
      </c>
      <c r="S29" s="8" t="n">
        <v>42578</v>
      </c>
      <c r="T29" s="8" t="n">
        <v>42571</v>
      </c>
      <c r="U29" s="5" t="inlineStr">
        <is>
          <t>Relative only</t>
        </is>
      </c>
      <c r="V29" s="5" t="inlineStr">
        <is>
          <t>Assigned: deadline</t>
        </is>
      </c>
      <c r="W29" s="6" t="n">
        <v>21</v>
      </c>
      <c r="X29" s="6" t="n">
        <v>21</v>
      </c>
      <c r="Y29" s="5" t="inlineStr">
        <is>
          <t>Point</t>
        </is>
      </c>
      <c r="Z29" s="5" t="inlineStr">
        <is>
          <t>Stated</t>
        </is>
      </c>
      <c r="AA29" s="5" t="inlineStr">
        <is>
          <t>USD</t>
        </is>
      </c>
      <c r="AB29" s="5" t="n"/>
      <c r="AC29" s="6" t="n"/>
      <c r="AD29" s="6" t="inlineStr">
        <is>
          <t>Fin: not stated; DD required: substantive (4 wks); DD open: yes; Excl: not stated</t>
        </is>
      </c>
      <c r="AE29" s="9" t="n"/>
      <c r="AF29" s="5" t="n"/>
      <c r="AG29" s="5" t="n"/>
      <c r="AH29" s="5" t="n"/>
      <c r="AI29" s="6" t="n"/>
      <c r="AJ29" s="5" t="n"/>
      <c r="AK29" s="5" t="n">
        <v>30</v>
      </c>
      <c r="AL29" s="6" t="n"/>
      <c r="AM29" s="6" t="inlineStr">
        <is>
          <t>PWRR–G&amp;W</t>
        </is>
      </c>
    </row>
    <row r="30">
      <c r="A30" s="5" t="n">
        <v>28</v>
      </c>
      <c r="B30" s="6" t="inlineStr">
        <is>
          <t>late July 2016 (date not disclosed); by 07/20/2016</t>
        </is>
      </c>
      <c r="C30" s="6" t="inlineStr">
        <is>
          <t>Party C</t>
        </is>
      </c>
      <c r="D30" s="6" t="inlineStr">
        <is>
          <t>Bid</t>
        </is>
      </c>
      <c r="E30" s="5" t="n">
        <v>1</v>
      </c>
      <c r="F30" s="5" t="inlineStr">
        <is>
          <t>2</t>
        </is>
      </c>
      <c r="G30" s="6" t="inlineStr">
        <is>
          <t>Strategic</t>
        </is>
      </c>
      <c r="H30" s="6" t="inlineStr">
        <is>
          <t>LOI at $19.30 per share, subject to a 30-day diligence period. First priced row for Party C in this round was its 07/12/2016 IOI (Count 1); this LOI is a subsequent bid by the same unit in the same round, so Count 0.</t>
        </is>
      </c>
      <c r="I30" s="5" t="inlineStr">
        <is>
          <t>Informal</t>
        </is>
      </c>
      <c r="J30" s="5" t="inlineStr">
        <is>
          <t>Heavy</t>
        </is>
      </c>
      <c r="K30" s="6" t="inlineStr">
        <is>
          <t>Stated: "• Party C submitted an LOI to acquire the Company for a price of $19.30 per share (subject to a 30-day diligence period)." (p.30) Formality: Informal — no transaction-document markup or formal-solicitation signal is reported. Conditions: Heavy — stated 30-day diligence period.</t>
        </is>
      </c>
      <c r="L30" s="7" t="inlineStr">
        <is>
          <t>P-0503</t>
        </is>
      </c>
      <c r="M30" s="5" t="inlineStr">
        <is>
          <t>Q5; Q6</t>
        </is>
      </c>
      <c r="N30" s="6" t="n"/>
      <c r="O30" s="5" t="inlineStr">
        <is>
          <t>R028</t>
        </is>
      </c>
      <c r="P30" s="5" t="inlineStr">
        <is>
          <t>Yes</t>
        </is>
      </c>
      <c r="Q30" s="5" t="n">
        <v>0</v>
      </c>
      <c r="R30" s="8" t="n">
        <v>42571</v>
      </c>
      <c r="S30" s="8" t="n">
        <v>42578</v>
      </c>
      <c r="T30" s="8" t="n">
        <v>42571</v>
      </c>
      <c r="U30" s="5" t="inlineStr">
        <is>
          <t>Relative only</t>
        </is>
      </c>
      <c r="V30" s="5" t="inlineStr">
        <is>
          <t>Assigned: deadline</t>
        </is>
      </c>
      <c r="W30" s="6" t="n">
        <v>19.3</v>
      </c>
      <c r="X30" s="6" t="n">
        <v>19.3</v>
      </c>
      <c r="Y30" s="5" t="inlineStr">
        <is>
          <t>Point</t>
        </is>
      </c>
      <c r="Z30" s="5" t="inlineStr">
        <is>
          <t>Stated</t>
        </is>
      </c>
      <c r="AA30" s="5" t="inlineStr">
        <is>
          <t>USD</t>
        </is>
      </c>
      <c r="AB30" s="5" t="n"/>
      <c r="AC30" s="6" t="n"/>
      <c r="AD30" s="6" t="inlineStr">
        <is>
          <t>Fin: not stated; DD required: substantive (30 days); DD open: yes; Excl: not stated</t>
        </is>
      </c>
      <c r="AE30" s="9" t="n"/>
      <c r="AF30" s="5" t="n"/>
      <c r="AG30" s="5" t="n"/>
      <c r="AH30" s="5" t="n"/>
      <c r="AI30" s="6" t="n"/>
      <c r="AJ30" s="5" t="n"/>
      <c r="AK30" s="5" t="n">
        <v>30</v>
      </c>
      <c r="AL30" s="6" t="n"/>
      <c r="AM30" s="6" t="inlineStr">
        <is>
          <t>PWRR–G&amp;W</t>
        </is>
      </c>
    </row>
    <row r="31">
      <c r="A31" s="5" t="n">
        <v>29</v>
      </c>
      <c r="B31" s="6" t="inlineStr">
        <is>
          <t>late July 2016 (date not disclosed); by 07/20/2016</t>
        </is>
      </c>
      <c r="C31" s="6" t="inlineStr">
        <is>
          <t>Party F</t>
        </is>
      </c>
      <c r="D31" s="6" t="inlineStr">
        <is>
          <t>Bid</t>
        </is>
      </c>
      <c r="E31" s="5" t="n">
        <v>1</v>
      </c>
      <c r="F31" s="5" t="inlineStr">
        <is>
          <t>2</t>
        </is>
      </c>
      <c r="G31" s="6" t="inlineStr">
        <is>
          <t>Strategic</t>
        </is>
      </c>
      <c r="H31" s="6" t="inlineStr">
        <is>
          <t>LOI at $19.20 per share, subject to a 30-day due diligence period. Lowest LOI price.</t>
        </is>
      </c>
      <c r="I31" s="5" t="inlineStr">
        <is>
          <t>Informal</t>
        </is>
      </c>
      <c r="J31" s="5" t="inlineStr">
        <is>
          <t>Heavy</t>
        </is>
      </c>
      <c r="K31" s="6" t="inlineStr">
        <is>
          <t>Stated: "• Party F (a strategic buyer) submitted an LOI to acquire the Company for a price of $19.20 per share (subject to a 30-day due diligence period)." (p.30) Formality: Informal — no transaction-document markup or formal-solicitation signal is reported. Conditions: Heavy — stated 30-day diligence period.</t>
        </is>
      </c>
      <c r="L31" s="7" t="inlineStr">
        <is>
          <t>P-0504</t>
        </is>
      </c>
      <c r="M31" s="5" t="inlineStr">
        <is>
          <t>Q5; Q6</t>
        </is>
      </c>
      <c r="N31" s="6" t="n"/>
      <c r="O31" s="5" t="inlineStr">
        <is>
          <t>R029</t>
        </is>
      </c>
      <c r="P31" s="5" t="inlineStr">
        <is>
          <t>Yes</t>
        </is>
      </c>
      <c r="Q31" s="5" t="n">
        <v>1</v>
      </c>
      <c r="R31" s="8" t="n">
        <v>42571</v>
      </c>
      <c r="S31" s="8" t="n">
        <v>42578</v>
      </c>
      <c r="T31" s="8" t="n">
        <v>42571</v>
      </c>
      <c r="U31" s="5" t="inlineStr">
        <is>
          <t>Relative only</t>
        </is>
      </c>
      <c r="V31" s="5" t="inlineStr">
        <is>
          <t>Assigned: deadline</t>
        </is>
      </c>
      <c r="W31" s="6" t="n">
        <v>19.2</v>
      </c>
      <c r="X31" s="6" t="n">
        <v>19.2</v>
      </c>
      <c r="Y31" s="5" t="inlineStr">
        <is>
          <t>Point</t>
        </is>
      </c>
      <c r="Z31" s="5" t="inlineStr">
        <is>
          <t>Stated</t>
        </is>
      </c>
      <c r="AA31" s="5" t="inlineStr">
        <is>
          <t>USD</t>
        </is>
      </c>
      <c r="AB31" s="5" t="n"/>
      <c r="AC31" s="6" t="n"/>
      <c r="AD31" s="6" t="inlineStr">
        <is>
          <t>Fin: not stated; DD required: substantive (30 days); DD open: yes; Excl: not stated</t>
        </is>
      </c>
      <c r="AE31" s="9" t="n"/>
      <c r="AF31" s="5" t="n"/>
      <c r="AG31" s="5" t="n"/>
      <c r="AH31" s="5" t="n"/>
      <c r="AI31" s="6" t="n"/>
      <c r="AJ31" s="5" t="n"/>
      <c r="AK31" s="5" t="n">
        <v>30</v>
      </c>
      <c r="AL31" s="6" t="n"/>
      <c r="AM31" s="6" t="inlineStr">
        <is>
          <t>PWRR–G&amp;W</t>
        </is>
      </c>
    </row>
    <row r="32">
      <c r="A32" s="5" t="n">
        <v>30</v>
      </c>
      <c r="B32" s="6" t="inlineStr">
        <is>
          <t>by 07/20/2016</t>
        </is>
      </c>
      <c r="C32" s="6" t="inlineStr">
        <is>
          <t>One strategic buyer (anonymous)</t>
        </is>
      </c>
      <c r="D32" s="6" t="inlineStr">
        <is>
          <t>Did not submit</t>
        </is>
      </c>
      <c r="E32" s="5" t="n">
        <v>1</v>
      </c>
      <c r="F32" s="5" t="inlineStr">
        <is>
          <t>2</t>
        </is>
      </c>
      <c r="G32" s="6" t="inlineStr">
        <is>
          <t>Strategic</t>
        </is>
      </c>
      <c r="H32" s="6" t="inlineStr">
        <is>
          <t>One strategic buyer eligible to submit an LOI elected not to submit. Election is stated by the filing; the filing gives no reason and no identity. Base: eight potential buyers eligible at this stage (seven advanced IOI bidders plus late entrant Party C) less the six named LOI submitters.</t>
        </is>
      </c>
      <c r="I32" s="5" t="n"/>
      <c r="J32" s="5" t="n"/>
      <c r="K32" s="6" t="inlineStr">
        <is>
          <t>Stated: "One strategic buyer and one financial buyer elected not to submit an LOI." (p.30) Stated non-submission, not an inferred residual; Count 1 for this type split.</t>
        </is>
      </c>
      <c r="L32" s="7" t="inlineStr">
        <is>
          <t>P-0505</t>
        </is>
      </c>
      <c r="M32" s="5" t="inlineStr">
        <is>
          <t>Q3; Q4</t>
        </is>
      </c>
      <c r="N32" s="6" t="n"/>
      <c r="O32" s="5" t="inlineStr">
        <is>
          <t>R030</t>
        </is>
      </c>
      <c r="P32" s="5" t="inlineStr">
        <is>
          <t>Yes</t>
        </is>
      </c>
      <c r="Q32" s="5" t="n">
        <v>1</v>
      </c>
      <c r="R32" s="9" t="n"/>
      <c r="S32" s="8" t="n">
        <v>42571</v>
      </c>
      <c r="T32" s="8" t="n">
        <v>42571</v>
      </c>
      <c r="U32" s="5" t="inlineStr">
        <is>
          <t>Relative only</t>
        </is>
      </c>
      <c r="V32" s="5" t="inlineStr">
        <is>
          <t>Assigned: deadline</t>
        </is>
      </c>
      <c r="W32" s="6" t="n"/>
      <c r="X32" s="6" t="n"/>
      <c r="Y32" s="5" t="n"/>
      <c r="Z32" s="5" t="n"/>
      <c r="AA32" s="5" t="n"/>
      <c r="AB32" s="5" t="n"/>
      <c r="AC32" s="6" t="n"/>
      <c r="AD32" s="6" t="n"/>
      <c r="AE32" s="9" t="n"/>
      <c r="AF32" s="5" t="n"/>
      <c r="AG32" s="5" t="n"/>
      <c r="AH32" s="5" t="inlineStr">
        <is>
          <t>Bidder</t>
        </is>
      </c>
      <c r="AI32" s="6" t="inlineStr">
        <is>
          <t>Not stated</t>
        </is>
      </c>
      <c r="AJ32" s="5" t="inlineStr">
        <is>
          <t>Stated</t>
        </is>
      </c>
      <c r="AK32" s="5" t="n">
        <v>30</v>
      </c>
      <c r="AL32" s="6" t="n"/>
      <c r="AM32" s="6" t="inlineStr">
        <is>
          <t>PWRR–G&amp;W</t>
        </is>
      </c>
    </row>
    <row r="33">
      <c r="A33" s="5" t="n">
        <v>31</v>
      </c>
      <c r="B33" s="6" t="inlineStr">
        <is>
          <t>by 07/20/2016</t>
        </is>
      </c>
      <c r="C33" s="6" t="inlineStr">
        <is>
          <t>One financial buyer (anonymous)</t>
        </is>
      </c>
      <c r="D33" s="6" t="inlineStr">
        <is>
          <t>Did not submit</t>
        </is>
      </c>
      <c r="E33" s="5" t="n">
        <v>1</v>
      </c>
      <c r="F33" s="5" t="inlineStr">
        <is>
          <t>2</t>
        </is>
      </c>
      <c r="G33" s="6" t="inlineStr">
        <is>
          <t>Financial</t>
        </is>
      </c>
      <c r="H33" s="6" t="inlineStr">
        <is>
          <t>One financial buyer eligible to submit an LOI elected not to submit. Election is stated by the filing; the filing gives no reason and no identity.</t>
        </is>
      </c>
      <c r="I33" s="5" t="n"/>
      <c r="J33" s="5" t="n"/>
      <c r="K33" s="6" t="inlineStr">
        <is>
          <t>Stated: "One strategic buyer and one financial buyer elected not to submit an LOI." (p.30)</t>
        </is>
      </c>
      <c r="L33" s="7" t="inlineStr">
        <is>
          <t>P-0505</t>
        </is>
      </c>
      <c r="M33" s="5" t="inlineStr">
        <is>
          <t>Q3; Q4</t>
        </is>
      </c>
      <c r="N33" s="6" t="n"/>
      <c r="O33" s="5" t="inlineStr">
        <is>
          <t>R031</t>
        </is>
      </c>
      <c r="P33" s="5" t="inlineStr">
        <is>
          <t>Yes</t>
        </is>
      </c>
      <c r="Q33" s="5" t="n">
        <v>1</v>
      </c>
      <c r="R33" s="9" t="n"/>
      <c r="S33" s="8" t="n">
        <v>42571</v>
      </c>
      <c r="T33" s="8" t="n">
        <v>42571</v>
      </c>
      <c r="U33" s="5" t="inlineStr">
        <is>
          <t>Relative only</t>
        </is>
      </c>
      <c r="V33" s="5" t="inlineStr">
        <is>
          <t>Assigned: deadline</t>
        </is>
      </c>
      <c r="W33" s="6" t="n"/>
      <c r="X33" s="6" t="n"/>
      <c r="Y33" s="5" t="n"/>
      <c r="Z33" s="5" t="n"/>
      <c r="AA33" s="5" t="n"/>
      <c r="AB33" s="5" t="n"/>
      <c r="AC33" s="6" t="n"/>
      <c r="AD33" s="6" t="n"/>
      <c r="AE33" s="9" t="n"/>
      <c r="AF33" s="5" t="n"/>
      <c r="AG33" s="5" t="n"/>
      <c r="AH33" s="5" t="inlineStr">
        <is>
          <t>Bidder</t>
        </is>
      </c>
      <c r="AI33" s="6" t="inlineStr">
        <is>
          <t>Not stated</t>
        </is>
      </c>
      <c r="AJ33" s="5" t="inlineStr">
        <is>
          <t>Stated</t>
        </is>
      </c>
      <c r="AK33" s="5" t="n">
        <v>30</v>
      </c>
      <c r="AL33" s="6" t="n"/>
      <c r="AM33" s="6" t="inlineStr">
        <is>
          <t>PWRR–G&amp;W</t>
        </is>
      </c>
    </row>
    <row r="34">
      <c r="A34" s="5" t="n">
        <v>32</v>
      </c>
      <c r="B34" s="6" t="inlineStr">
        <is>
          <t>by 07/20/2016</t>
        </is>
      </c>
      <c r="C34" s="6" t="inlineStr">
        <is>
          <t>Party A</t>
        </is>
      </c>
      <c r="D34" s="6" t="inlineStr">
        <is>
          <t>Did not submit</t>
        </is>
      </c>
      <c r="E34" s="5" t="n">
        <v>1</v>
      </c>
      <c r="F34" s="5" t="inlineStr">
        <is>
          <t>2</t>
        </is>
      </c>
      <c r="G34" s="6" t="inlineStr">
        <is>
          <t>Strategic</t>
        </is>
      </c>
      <c r="H34" s="6" t="inlineStr">
        <is>
          <t>Inferred: identity — Party A is introduced in Q4 2015 and last individually recorded when the memorandum went to signers including Party A; never mentioned again. It is out by this transition under either covering cohort: R030 (the one strategic buyer that elected not to submit an LOI; recommended reading, since Party A is a strategic signer and the filing otherwise names every LOI submitter) or R016 (16 NDA signers that did not submit IOIs). Count 0: no count is moved from either cohort.</t>
        </is>
      </c>
      <c r="I34" s="5" t="n"/>
      <c r="J34" s="5" t="n"/>
      <c r="K34" s="6" t="inlineStr">
        <is>
          <t>Identity hypothesis, not a stated outcome. Covering rows: "One strategic buyer and one financial buyer elected not to submit an LOI." (p.30); "the Company received nine written indications of interest" (p.29). Listed for review; the first transition whose continuing set is individually identified without Party A is the LOI stage (all six submitters named at pp.29–30).</t>
        </is>
      </c>
      <c r="L34" s="7" t="inlineStr">
        <is>
          <t>P-0482; P-0490; P-0505</t>
        </is>
      </c>
      <c r="M34" s="5" t="inlineStr">
        <is>
          <t>Q3; Q4</t>
        </is>
      </c>
      <c r="N34" s="6" t="n"/>
      <c r="O34" s="5" t="inlineStr">
        <is>
          <t>R032</t>
        </is>
      </c>
      <c r="P34" s="5" t="inlineStr">
        <is>
          <t>Yes</t>
        </is>
      </c>
      <c r="Q34" s="5" t="n">
        <v>0</v>
      </c>
      <c r="R34" s="9" t="n"/>
      <c r="S34" s="8" t="n">
        <v>42571</v>
      </c>
      <c r="T34" s="8" t="n">
        <v>42571</v>
      </c>
      <c r="U34" s="5" t="inlineStr">
        <is>
          <t>Relative only</t>
        </is>
      </c>
      <c r="V34" s="5" t="inlineStr">
        <is>
          <t>Assigned: deadline</t>
        </is>
      </c>
      <c r="W34" s="6" t="n"/>
      <c r="X34" s="6" t="n"/>
      <c r="Y34" s="5" t="n"/>
      <c r="Z34" s="5" t="n"/>
      <c r="AA34" s="5" t="n"/>
      <c r="AB34" s="5" t="n"/>
      <c r="AC34" s="6" t="n"/>
      <c r="AD34" s="6" t="n"/>
      <c r="AE34" s="9" t="n"/>
      <c r="AF34" s="5" t="n"/>
      <c r="AG34" s="5" t="n"/>
      <c r="AH34" s="5" t="inlineStr">
        <is>
          <t>Unknown</t>
        </is>
      </c>
      <c r="AI34" s="6" t="inlineStr">
        <is>
          <t>Not stated</t>
        </is>
      </c>
      <c r="AJ34" s="5" t="inlineStr">
        <is>
          <t>Inferred: identity</t>
        </is>
      </c>
      <c r="AK34" s="5" t="n">
        <v>30</v>
      </c>
      <c r="AL34" s="6" t="n"/>
      <c r="AM34" s="6" t="inlineStr">
        <is>
          <t>PWRR–G&amp;W</t>
        </is>
      </c>
    </row>
    <row r="35">
      <c r="A35" s="5" t="n">
        <v>33</v>
      </c>
      <c r="B35" s="6" t="inlineStr">
        <is>
          <t>07/21/2016</t>
        </is>
      </c>
      <c r="C35" s="6" t="inlineStr">
        <is>
          <t>G&amp;W</t>
        </is>
      </c>
      <c r="D35" s="6" t="inlineStr">
        <is>
          <t>Bid</t>
        </is>
      </c>
      <c r="E35" s="5" t="n">
        <v>1</v>
      </c>
      <c r="F35" s="5" t="inlineStr">
        <is>
          <t>2</t>
        </is>
      </c>
      <c r="G35" s="6" t="inlineStr">
        <is>
          <t>Strategic</t>
        </is>
      </c>
      <c r="H35" s="6" t="inlineStr">
        <is>
          <t>LOI at $21.15 per share, including $20.02 cash at closing and $1.13 in the form of a contingent value right (CVR) valued on the subsequent sale of the Company’s South Quay property. Subject to a three-week exclusive diligence period; G&amp;W also provided a mark-up of the disclosure letter (plus merger agreement and voting agreement markups, p.29). Exclusivity requested (3 weeks); not granted.</t>
        </is>
      </c>
      <c r="I35" s="5" t="inlineStr">
        <is>
          <t>Formal</t>
        </is>
      </c>
      <c r="J35" s="5" t="inlineStr">
        <is>
          <t>Heavy</t>
        </is>
      </c>
      <c r="K35" s="6" t="inlineStr">
        <is>
          <t>Stated: "• 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(p.29) Formality: Formal — returned agreement/voting/disclosure-document markups. Conditions: Heavy — stated three-week exclusive diligence period.</t>
        </is>
      </c>
      <c r="L35" s="7" t="inlineStr">
        <is>
          <t>P-0497; P-0499</t>
        </is>
      </c>
      <c r="M35" s="5" t="inlineStr">
        <is>
          <t>Q6</t>
        </is>
      </c>
      <c r="N35" s="6" t="n"/>
      <c r="O35" s="5" t="inlineStr">
        <is>
          <t>R033</t>
        </is>
      </c>
      <c r="P35" s="5" t="inlineStr">
        <is>
          <t>Yes</t>
        </is>
      </c>
      <c r="Q35" s="5" t="n">
        <v>1</v>
      </c>
      <c r="R35" s="8" t="n">
        <v>42572</v>
      </c>
      <c r="S35" s="8" t="n">
        <v>42572</v>
      </c>
      <c r="T35" s="8" t="n">
        <v>42572</v>
      </c>
      <c r="U35" s="5" t="inlineStr">
        <is>
          <t>Reported day</t>
        </is>
      </c>
      <c r="V35" s="5" t="inlineStr">
        <is>
          <t>Reported</t>
        </is>
      </c>
      <c r="W35" s="6" t="n">
        <v>21.15</v>
      </c>
      <c r="X35" s="6" t="n">
        <v>21.15</v>
      </c>
      <c r="Y35" s="5" t="inlineStr">
        <is>
          <t>Point</t>
        </is>
      </c>
      <c r="Z35" s="5" t="inlineStr">
        <is>
          <t>Stated</t>
        </is>
      </c>
      <c r="AA35" s="5" t="inlineStr">
        <is>
          <t>USD</t>
        </is>
      </c>
      <c r="AB35" s="5" t="inlineStr">
        <is>
          <t>Yes</t>
        </is>
      </c>
      <c r="AC35" s="6" t="n">
        <v>20.02</v>
      </c>
      <c r="AD35" s="6" t="inlineStr">
        <is>
          <t>Fin: not stated; DD required: substantive (3 wks); DD open: yes; Excl: requested (3 wks)</t>
        </is>
      </c>
      <c r="AE35" s="9" t="n"/>
      <c r="AF35" s="5" t="n"/>
      <c r="AG35" s="5" t="n"/>
      <c r="AH35" s="5" t="n"/>
      <c r="AI35" s="6" t="n"/>
      <c r="AJ35" s="5" t="n"/>
      <c r="AK35" s="5" t="n">
        <v>29</v>
      </c>
      <c r="AL35" s="6" t="n"/>
      <c r="AM35" s="6" t="inlineStr">
        <is>
          <t>PWRR–G&amp;W</t>
        </is>
      </c>
    </row>
    <row r="36">
      <c r="A36" s="5" t="n">
        <v>34</v>
      </c>
      <c r="B36" s="6" t="inlineStr">
        <is>
          <t>07/26/2016</t>
        </is>
      </c>
      <c r="C36" s="6" t="inlineStr">
        <is>
          <t>G&amp;W</t>
        </is>
      </c>
      <c r="D36" s="6" t="inlineStr">
        <is>
          <t>Bid</t>
        </is>
      </c>
      <c r="E36" s="5" t="n">
        <v>1</v>
      </c>
      <c r="F36" s="5" t="inlineStr">
        <is>
          <t>2</t>
        </is>
      </c>
      <c r="G36" s="6" t="inlineStr">
        <is>
          <t>Strategic</t>
        </is>
      </c>
      <c r="H36" s="6" t="inlineStr">
        <is>
          <t>Revised LOI: increased to $22.15 per share, including $21.02 cash at closing and the same $1.13 CVR. Submitted after GHF feedback that the prior price and CVR structure were not competitive. Same three-week exclusive diligence condition; Count 0 as a subsequent bid row for the same unit in the same round.</t>
        </is>
      </c>
      <c r="I36" s="5" t="inlineStr">
        <is>
          <t>Formal</t>
        </is>
      </c>
      <c r="J36" s="5" t="inlineStr">
        <is>
          <t>Heavy</t>
        </is>
      </c>
      <c r="K36" s="6" t="inlineStr">
        <is>
          <t>Stated: "On July 26, 2016, in response to feedback from representatives of GHF indicating its price and CVR structure were not competitive, G&amp;W submitted a revised LOI, which increased its offer to $22.15 per share (including $21.02 in cash and $1.13 CVR)." (p.29)</t>
        </is>
      </c>
      <c r="L36" s="7" t="inlineStr">
        <is>
          <t>P-0499</t>
        </is>
      </c>
      <c r="M36" s="5" t="inlineStr">
        <is>
          <t>Q6</t>
        </is>
      </c>
      <c r="N36" s="6" t="n"/>
      <c r="O36" s="5" t="inlineStr">
        <is>
          <t>R034</t>
        </is>
      </c>
      <c r="P36" s="5" t="inlineStr">
        <is>
          <t>Yes</t>
        </is>
      </c>
      <c r="Q36" s="5" t="n">
        <v>0</v>
      </c>
      <c r="R36" s="8" t="n">
        <v>42577</v>
      </c>
      <c r="S36" s="8" t="n">
        <v>42577</v>
      </c>
      <c r="T36" s="8" t="n">
        <v>42577</v>
      </c>
      <c r="U36" s="5" t="inlineStr">
        <is>
          <t>Reported day</t>
        </is>
      </c>
      <c r="V36" s="5" t="inlineStr">
        <is>
          <t>Reported</t>
        </is>
      </c>
      <c r="W36" s="6" t="n">
        <v>22.15</v>
      </c>
      <c r="X36" s="6" t="n">
        <v>22.15</v>
      </c>
      <c r="Y36" s="5" t="inlineStr">
        <is>
          <t>Point</t>
        </is>
      </c>
      <c r="Z36" s="5" t="inlineStr">
        <is>
          <t>Stated</t>
        </is>
      </c>
      <c r="AA36" s="5" t="inlineStr">
        <is>
          <t>USD</t>
        </is>
      </c>
      <c r="AB36" s="5" t="inlineStr">
        <is>
          <t>Yes</t>
        </is>
      </c>
      <c r="AC36" s="6" t="n">
        <v>21.02</v>
      </c>
      <c r="AD36" s="6" t="inlineStr">
        <is>
          <t>Fin: not stated; DD required: substantive (3 wks); DD open: yes; Excl: requested (3 wks)</t>
        </is>
      </c>
      <c r="AE36" s="9" t="n"/>
      <c r="AF36" s="5" t="n"/>
      <c r="AG36" s="5" t="n"/>
      <c r="AH36" s="5" t="n"/>
      <c r="AI36" s="6" t="n"/>
      <c r="AJ36" s="5" t="n"/>
      <c r="AK36" s="5" t="n">
        <v>29</v>
      </c>
      <c r="AL36" s="6" t="inlineStr">
        <is>
          <t>revises R033</t>
        </is>
      </c>
      <c r="AM36" s="6" t="inlineStr">
        <is>
          <t>PWRR–G&amp;W</t>
        </is>
      </c>
    </row>
    <row r="37">
      <c r="A37" s="5" t="n">
        <v>35</v>
      </c>
      <c r="B37" s="6" t="inlineStr">
        <is>
          <t>07/27/2016</t>
        </is>
      </c>
      <c r="C37" s="6" t="inlineStr">
        <is>
          <t>Providence &amp; Worcester (Transaction Committee / Board)</t>
        </is>
      </c>
      <c r="D37" s="6" t="inlineStr">
        <is>
          <t>Round opened</t>
        </is>
      </c>
      <c r="E37" s="5" t="n">
        <v>1</v>
      </c>
      <c r="F37" s="5" t="inlineStr">
        <is>
          <t>3</t>
        </is>
      </c>
      <c r="G37" s="6" t="n"/>
      <c r="H37" s="6" t="inlineStr">
        <is>
          <t>Round 3 objective: confirmatory due diligence and negotiation of definitive documentation with selected bidders. The Committee met 07/22 and after the regular quarterly Board meeting on 07/27/2016, reviewed the six LOIs and concluded the Company should proceed with confirmatory due diligence and negotiations with G&amp;W and Party B because of their higher offers; remaining bidders were subsequently told they were no longer involved (R036–R039). On-site financial, legal and environmental diligence, including hi-rail track inspections, ran 07/27–08/11/2016 for G&amp;W and Party B (uniform stage access, stated here). Finality: Inferred final — no final/binding announcement, but the target moved to definitive negotiation with selected bidders and then signed.</t>
        </is>
      </c>
      <c r="I37" s="5" t="n"/>
      <c r="J37" s="5" t="n"/>
      <c r="K37" s="6" t="inlineStr">
        <is>
          <t>Stated: "The Transaction Committee concluded that the Company should proceed with confirmatory due diligence and negotiations with G&amp;W and Party B because of the higher offers made by each of G&amp;W and Party B relative to the other potential buyers." (p.30); on-site diligence "From July 27, 2016 through August 11, 2016" (p.31).</t>
        </is>
      </c>
      <c r="L37" s="7" t="inlineStr">
        <is>
          <t>P-0506; P-0510</t>
        </is>
      </c>
      <c r="M37" s="5" t="inlineStr">
        <is>
          <t>Q1</t>
        </is>
      </c>
      <c r="N37" s="6" t="n"/>
      <c r="O37" s="5" t="inlineStr">
        <is>
          <t>R035</t>
        </is>
      </c>
      <c r="P37" s="5" t="inlineStr">
        <is>
          <t>Yes</t>
        </is>
      </c>
      <c r="Q37" s="5" t="n"/>
      <c r="R37" s="8" t="n">
        <v>42578</v>
      </c>
      <c r="S37" s="8" t="n">
        <v>42578</v>
      </c>
      <c r="T37" s="8" t="n">
        <v>42578</v>
      </c>
      <c r="U37" s="5" t="inlineStr">
        <is>
          <t>Reported day</t>
        </is>
      </c>
      <c r="V37" s="5" t="inlineStr">
        <is>
          <t>Assigned: decision day</t>
        </is>
      </c>
      <c r="W37" s="6" t="n"/>
      <c r="X37" s="6" t="n"/>
      <c r="Y37" s="5" t="n"/>
      <c r="Z37" s="5" t="n"/>
      <c r="AA37" s="5" t="n"/>
      <c r="AB37" s="5" t="n"/>
      <c r="AC37" s="6" t="n"/>
      <c r="AD37" s="6" t="n"/>
      <c r="AE37" s="9" t="n"/>
      <c r="AF37" s="5" t="n"/>
      <c r="AG37" s="5" t="inlineStr">
        <is>
          <t>Inferred final</t>
        </is>
      </c>
      <c r="AH37" s="5" t="n"/>
      <c r="AI37" s="6" t="n"/>
      <c r="AJ37" s="5" t="n"/>
      <c r="AK37" s="5" t="n">
        <v>30</v>
      </c>
      <c r="AL37" s="6" t="n"/>
      <c r="AM37" s="6" t="inlineStr">
        <is>
          <t>PWRR–G&amp;W</t>
        </is>
      </c>
    </row>
    <row r="38">
      <c r="A38" s="5" t="n">
        <v>36</v>
      </c>
      <c r="B38" s="6" t="inlineStr">
        <is>
          <t>after 07/27/2016; before 07/29/2016</t>
        </is>
      </c>
      <c r="C38" s="6" t="inlineStr">
        <is>
          <t>Party C</t>
        </is>
      </c>
      <c r="D38" s="6" t="inlineStr">
        <is>
          <t>Dropped by target</t>
        </is>
      </c>
      <c r="E38" s="5" t="n">
        <v>1</v>
      </c>
      <c r="F38" s="5" t="inlineStr">
        <is>
          <t>3</t>
        </is>
      </c>
      <c r="G38" s="6" t="inlineStr">
        <is>
          <t>Strategic</t>
        </is>
      </c>
      <c r="H38" s="6" t="inlineStr">
        <is>
          <t>Told by GHF that it was no longer involved in the process, following the Committee’s decision to proceed with G&amp;W and Party B. Exit reason: Lower offer than rivals ($19.30 LOI vs the two selected offers). Agency: Target.</t>
        </is>
      </c>
      <c r="I38" s="5" t="n"/>
      <c r="J38" s="5" t="n"/>
      <c r="K38" s="6" t="inlineStr">
        <is>
          <t>Stated: "At the direction of the Transaction Committee, representatives of GHF subsequently contacted the remaining bidders to inform them that they were no longer involved in the process." (p.30) Undated consequence of the 07/27/2016 decision; the 07/29/2016 calls show notice by then.</t>
        </is>
      </c>
      <c r="L38" s="7" t="inlineStr">
        <is>
          <t>P-0506; P-0507</t>
        </is>
      </c>
      <c r="M38" s="5" t="inlineStr">
        <is>
          <t>Q4</t>
        </is>
      </c>
      <c r="N38" s="6" t="n"/>
      <c r="O38" s="5" t="inlineStr">
        <is>
          <t>R036</t>
        </is>
      </c>
      <c r="P38" s="5" t="inlineStr">
        <is>
          <t>Yes</t>
        </is>
      </c>
      <c r="Q38" s="5" t="n">
        <v>1</v>
      </c>
      <c r="R38" s="8" t="n">
        <v>42578</v>
      </c>
      <c r="S38" s="8" t="n">
        <v>42580</v>
      </c>
      <c r="T38" s="8" t="n">
        <v>42578</v>
      </c>
      <c r="U38" s="5" t="inlineStr">
        <is>
          <t>Approximate window</t>
        </is>
      </c>
      <c r="V38" s="5" t="inlineStr">
        <is>
          <t>Assigned: decision day</t>
        </is>
      </c>
      <c r="W38" s="6" t="n"/>
      <c r="X38" s="6" t="n"/>
      <c r="Y38" s="5" t="n"/>
      <c r="Z38" s="5" t="n"/>
      <c r="AA38" s="5" t="n"/>
      <c r="AB38" s="5" t="n"/>
      <c r="AC38" s="6" t="n"/>
      <c r="AD38" s="6" t="n"/>
      <c r="AE38" s="9" t="n"/>
      <c r="AF38" s="5" t="n"/>
      <c r="AG38" s="5" t="n"/>
      <c r="AH38" s="5" t="inlineStr">
        <is>
          <t>Target</t>
        </is>
      </c>
      <c r="AI38" s="6" t="inlineStr">
        <is>
          <t>Lower offer than rivals</t>
        </is>
      </c>
      <c r="AJ38" s="5" t="inlineStr">
        <is>
          <t>Stated</t>
        </is>
      </c>
      <c r="AK38" s="5" t="n">
        <v>30</v>
      </c>
      <c r="AL38" s="6" t="n"/>
      <c r="AM38" s="6" t="inlineStr">
        <is>
          <t>PWRR–G&amp;W</t>
        </is>
      </c>
    </row>
    <row r="39">
      <c r="A39" s="5" t="n">
        <v>37</v>
      </c>
      <c r="B39" s="6" t="inlineStr">
        <is>
          <t>after 07/27/2016; before 07/29/2016</t>
        </is>
      </c>
      <c r="C39" s="6" t="inlineStr">
        <is>
          <t>Party D</t>
        </is>
      </c>
      <c r="D39" s="6" t="inlineStr">
        <is>
          <t>Dropped by target</t>
        </is>
      </c>
      <c r="E39" s="5" t="n">
        <v>1</v>
      </c>
      <c r="F39" s="5" t="inlineStr">
        <is>
          <t>3</t>
        </is>
      </c>
      <c r="G39" s="6" t="inlineStr">
        <is>
          <t>Financial</t>
        </is>
      </c>
      <c r="H39" s="6" t="inlineStr">
        <is>
          <t>Told it was no longer involved, following selection of G&amp;W and Party B. Later re-entered (R040). Exit reason: Lower offer than rivals ($21.00 LOI vs the two selected offers).</t>
        </is>
      </c>
      <c r="I39" s="5" t="n"/>
      <c r="J39" s="5" t="n"/>
      <c r="K39" s="6" t="inlineStr">
        <is>
          <t>Stated: "representatives of GHF subsequently contacted the remaining bidders to inform them that they were no longer involved in the process." (p.30); Party D was among the LOI submitters not selected.</t>
        </is>
      </c>
      <c r="L39" s="7" t="inlineStr">
        <is>
          <t>P-0506; P-0507</t>
        </is>
      </c>
      <c r="M39" s="5" t="inlineStr">
        <is>
          <t>Q4</t>
        </is>
      </c>
      <c r="N39" s="6" t="n"/>
      <c r="O39" s="5" t="inlineStr">
        <is>
          <t>R037</t>
        </is>
      </c>
      <c r="P39" s="5" t="inlineStr">
        <is>
          <t>Yes</t>
        </is>
      </c>
      <c r="Q39" s="5" t="n">
        <v>1</v>
      </c>
      <c r="R39" s="8" t="n">
        <v>42578</v>
      </c>
      <c r="S39" s="8" t="n">
        <v>42580</v>
      </c>
      <c r="T39" s="8" t="n">
        <v>42578</v>
      </c>
      <c r="U39" s="5" t="inlineStr">
        <is>
          <t>Approximate window</t>
        </is>
      </c>
      <c r="V39" s="5" t="inlineStr">
        <is>
          <t>Assigned: decision day</t>
        </is>
      </c>
      <c r="W39" s="6" t="n"/>
      <c r="X39" s="6" t="n"/>
      <c r="Y39" s="5" t="n"/>
      <c r="Z39" s="5" t="n"/>
      <c r="AA39" s="5" t="n"/>
      <c r="AB39" s="5" t="n"/>
      <c r="AC39" s="6" t="n"/>
      <c r="AD39" s="6" t="n"/>
      <c r="AE39" s="9" t="n"/>
      <c r="AF39" s="5" t="n"/>
      <c r="AG39" s="5" t="n"/>
      <c r="AH39" s="5" t="inlineStr">
        <is>
          <t>Target</t>
        </is>
      </c>
      <c r="AI39" s="6" t="inlineStr">
        <is>
          <t>Lower offer than rivals</t>
        </is>
      </c>
      <c r="AJ39" s="5" t="inlineStr">
        <is>
          <t>Stated</t>
        </is>
      </c>
      <c r="AK39" s="5" t="n">
        <v>30</v>
      </c>
      <c r="AL39" s="6" t="inlineStr">
        <is>
          <t>re-entered at R040</t>
        </is>
      </c>
      <c r="AM39" s="6" t="inlineStr">
        <is>
          <t>PWRR–G&amp;W</t>
        </is>
      </c>
    </row>
    <row r="40">
      <c r="A40" s="5" t="n">
        <v>38</v>
      </c>
      <c r="B40" s="6" t="inlineStr">
        <is>
          <t>after 07/27/2016; before 07/29/2016</t>
        </is>
      </c>
      <c r="C40" s="6" t="inlineStr">
        <is>
          <t>Party E</t>
        </is>
      </c>
      <c r="D40" s="6" t="inlineStr">
        <is>
          <t>Dropped by target</t>
        </is>
      </c>
      <c r="E40" s="5" t="n">
        <v>1</v>
      </c>
      <c r="F40" s="5" t="inlineStr">
        <is>
          <t>3</t>
        </is>
      </c>
      <c r="G40" s="6" t="inlineStr">
        <is>
          <t>Strategic</t>
        </is>
      </c>
      <c r="H40" s="6" t="inlineStr">
        <is>
          <t>Told it was no longer involved, following selection of G&amp;W and Party B. Its $21.26 nominal price was slightly above G&amp;W’s first ($21.15) but below G&amp;W’s revised ($22.15) and Party B’s ($24.00) offers; the filing states G&amp;W’s and Party B’s offers were higher and records that LOI prices rested on different assumptions about transaction expenses and change-in-control payments. Later re-entered (R042). Exit reason: Lower offer than rivals (filing’s stated basis; see Questions).</t>
        </is>
      </c>
      <c r="I40" s="5" t="n"/>
      <c r="J40" s="5" t="n"/>
      <c r="K40" s="6" t="inlineStr">
        <is>
          <t>Stated: "representatives of GHF subsequently contacted the remaining bidders to inform them that they were no longer involved in the process." (p.30); "the LOI prices were based on different assumptions and requirements related to transaction expenses and change in control payments" (p.30).</t>
        </is>
      </c>
      <c r="L40" s="7" t="inlineStr">
        <is>
          <t>P-0505; P-0506</t>
        </is>
      </c>
      <c r="M40" s="5" t="inlineStr">
        <is>
          <t>Q4</t>
        </is>
      </c>
      <c r="N40" s="6" t="n"/>
      <c r="O40" s="5" t="inlineStr">
        <is>
          <t>R038</t>
        </is>
      </c>
      <c r="P40" s="5" t="inlineStr">
        <is>
          <t>Yes</t>
        </is>
      </c>
      <c r="Q40" s="5" t="n">
        <v>1</v>
      </c>
      <c r="R40" s="8" t="n">
        <v>42578</v>
      </c>
      <c r="S40" s="8" t="n">
        <v>42580</v>
      </c>
      <c r="T40" s="8" t="n">
        <v>42578</v>
      </c>
      <c r="U40" s="5" t="inlineStr">
        <is>
          <t>Approximate window</t>
        </is>
      </c>
      <c r="V40" s="5" t="inlineStr">
        <is>
          <t>Assigned: decision day</t>
        </is>
      </c>
      <c r="W40" s="6" t="n"/>
      <c r="X40" s="6" t="n"/>
      <c r="Y40" s="5" t="n"/>
      <c r="Z40" s="5" t="n"/>
      <c r="AA40" s="5" t="n"/>
      <c r="AB40" s="5" t="n"/>
      <c r="AC40" s="6" t="n"/>
      <c r="AD40" s="6" t="n"/>
      <c r="AE40" s="9" t="n"/>
      <c r="AF40" s="5" t="n"/>
      <c r="AG40" s="5" t="n"/>
      <c r="AH40" s="5" t="inlineStr">
        <is>
          <t>Target</t>
        </is>
      </c>
      <c r="AI40" s="6" t="inlineStr">
        <is>
          <t>Lower offer than rivals</t>
        </is>
      </c>
      <c r="AJ40" s="5" t="inlineStr">
        <is>
          <t>Stated</t>
        </is>
      </c>
      <c r="AK40" s="5" t="n">
        <v>30</v>
      </c>
      <c r="AL40" s="6" t="inlineStr">
        <is>
          <t>re-entered at R042</t>
        </is>
      </c>
      <c r="AM40" s="6" t="inlineStr">
        <is>
          <t>PWRR–G&amp;W</t>
        </is>
      </c>
    </row>
    <row r="41">
      <c r="A41" s="5" t="n">
        <v>39</v>
      </c>
      <c r="B41" s="6" t="inlineStr">
        <is>
          <t>after 07/27/2016; before 07/29/2016</t>
        </is>
      </c>
      <c r="C41" s="6" t="inlineStr">
        <is>
          <t>Party F</t>
        </is>
      </c>
      <c r="D41" s="6" t="inlineStr">
        <is>
          <t>Dropped by target</t>
        </is>
      </c>
      <c r="E41" s="5" t="n">
        <v>1</v>
      </c>
      <c r="F41" s="5" t="inlineStr">
        <is>
          <t>3</t>
        </is>
      </c>
      <c r="G41" s="6" t="inlineStr">
        <is>
          <t>Strategic</t>
        </is>
      </c>
      <c r="H41" s="6" t="inlineStr">
        <is>
          <t>Told it was no longer involved, following selection of G&amp;W and Party B. Exit reason: Lower offer than rivals ($19.20 LOI). It later provided financing support to Party E’s 08/01/2016 revised proposal; because Party F had already exited, no new row or re-entry is recorded (Support recorded on R043).</t>
        </is>
      </c>
      <c r="I41" s="5" t="n"/>
      <c r="J41" s="5" t="n"/>
      <c r="K41" s="6" t="inlineStr">
        <is>
          <t>Stated: "representatives of GHF subsequently contacted the remaining bidders to inform them that they were no longer involved in the process." (p.30); Party E’s revised LOI was submitted "along with financing support, from Party F" (p.30).</t>
        </is>
      </c>
      <c r="L41" s="7" t="inlineStr">
        <is>
          <t>P-0506; P-0507</t>
        </is>
      </c>
      <c r="M41" s="5" t="inlineStr">
        <is>
          <t>Q4</t>
        </is>
      </c>
      <c r="N41" s="6" t="n"/>
      <c r="O41" s="5" t="inlineStr">
        <is>
          <t>R039</t>
        </is>
      </c>
      <c r="P41" s="5" t="inlineStr">
        <is>
          <t>Yes</t>
        </is>
      </c>
      <c r="Q41" s="5" t="n">
        <v>1</v>
      </c>
      <c r="R41" s="8" t="n">
        <v>42578</v>
      </c>
      <c r="S41" s="8" t="n">
        <v>42580</v>
      </c>
      <c r="T41" s="8" t="n">
        <v>42578</v>
      </c>
      <c r="U41" s="5" t="inlineStr">
        <is>
          <t>Approximate window</t>
        </is>
      </c>
      <c r="V41" s="5" t="inlineStr">
        <is>
          <t>Assigned: decision day</t>
        </is>
      </c>
      <c r="W41" s="6" t="n"/>
      <c r="X41" s="6" t="n"/>
      <c r="Y41" s="5" t="n"/>
      <c r="Z41" s="5" t="n"/>
      <c r="AA41" s="5" t="n"/>
      <c r="AB41" s="5" t="n"/>
      <c r="AC41" s="6" t="n"/>
      <c r="AD41" s="6" t="n"/>
      <c r="AE41" s="9" t="n"/>
      <c r="AF41" s="5" t="n"/>
      <c r="AG41" s="5" t="n"/>
      <c r="AH41" s="5" t="inlineStr">
        <is>
          <t>Target</t>
        </is>
      </c>
      <c r="AI41" s="6" t="inlineStr">
        <is>
          <t>Lower offer than rivals</t>
        </is>
      </c>
      <c r="AJ41" s="5" t="inlineStr">
        <is>
          <t>Stated</t>
        </is>
      </c>
      <c r="AK41" s="5" t="n">
        <v>30</v>
      </c>
      <c r="AL41" s="6" t="n"/>
      <c r="AM41" s="6" t="inlineStr">
        <is>
          <t>PWRR–G&amp;W</t>
        </is>
      </c>
    </row>
    <row r="42">
      <c r="A42" s="5" t="n">
        <v>40</v>
      </c>
      <c r="B42" s="6" t="inlineStr">
        <is>
          <t>08/01/2016</t>
        </is>
      </c>
      <c r="C42" s="6" t="inlineStr">
        <is>
          <t>Party D</t>
        </is>
      </c>
      <c r="D42" s="6" t="inlineStr">
        <is>
          <t>Re-entered</t>
        </is>
      </c>
      <c r="E42" s="5" t="n">
        <v>1</v>
      </c>
      <c r="F42" s="5" t="inlineStr">
        <is>
          <t>3</t>
        </is>
      </c>
      <c r="G42" s="6" t="inlineStr">
        <is>
          <t>Financial</t>
        </is>
      </c>
      <c r="H42" s="6" t="inlineStr">
        <is>
          <t>Renewed participation: after the 07/29/2016 GHF calls on which Party D expressed interest in reengaging and enhancing its offer, Party D submitted a revised LOI on 08/01/2016. Re-entered after the 07/27/2016 drop.</t>
        </is>
      </c>
      <c r="I42" s="5" t="n"/>
      <c r="J42" s="5" t="n"/>
      <c r="K42" s="6" t="inlineStr">
        <is>
          <t>Stated: "On July 29, 2016, representatives of GHF had calls with Party D and Party E. During those calls, Party D and Party E both expressed interest in reengaging and enhancing their offers. On August 1, 2016, Party D submitted a revised LOI at a price of $24.00 per share ..." (p.30)</t>
        </is>
      </c>
      <c r="L42" s="7" t="inlineStr">
        <is>
          <t>P-0507</t>
        </is>
      </c>
      <c r="M42" s="5" t="inlineStr">
        <is>
          <t>Q4</t>
        </is>
      </c>
      <c r="N42" s="6" t="n"/>
      <c r="O42" s="5" t="inlineStr">
        <is>
          <t>R040</t>
        </is>
      </c>
      <c r="P42" s="5" t="inlineStr">
        <is>
          <t>Yes</t>
        </is>
      </c>
      <c r="Q42" s="5" t="n">
        <v>1</v>
      </c>
      <c r="R42" s="8" t="n">
        <v>42583</v>
      </c>
      <c r="S42" s="8" t="n">
        <v>42583</v>
      </c>
      <c r="T42" s="8" t="n">
        <v>42583</v>
      </c>
      <c r="U42" s="5" t="inlineStr">
        <is>
          <t>Reported day</t>
        </is>
      </c>
      <c r="V42" s="5" t="inlineStr">
        <is>
          <t>Reported</t>
        </is>
      </c>
      <c r="W42" s="6" t="n"/>
      <c r="X42" s="6" t="n"/>
      <c r="Y42" s="5" t="n"/>
      <c r="Z42" s="5" t="n"/>
      <c r="AA42" s="5" t="n"/>
      <c r="AB42" s="5" t="n"/>
      <c r="AC42" s="6" t="n"/>
      <c r="AD42" s="6" t="n"/>
      <c r="AE42" s="9" t="n"/>
      <c r="AF42" s="5" t="n"/>
      <c r="AG42" s="5" t="n"/>
      <c r="AH42" s="5" t="n"/>
      <c r="AI42" s="6" t="n"/>
      <c r="AJ42" s="5" t="n"/>
      <c r="AK42" s="5" t="n">
        <v>30</v>
      </c>
      <c r="AL42" s="6" t="inlineStr">
        <is>
          <t>after R037</t>
        </is>
      </c>
      <c r="AM42" s="6" t="inlineStr">
        <is>
          <t>PWRR–G&amp;W</t>
        </is>
      </c>
    </row>
    <row r="43">
      <c r="A43" s="5" t="n">
        <v>41</v>
      </c>
      <c r="B43" s="6" t="inlineStr">
        <is>
          <t>08/01/2016</t>
        </is>
      </c>
      <c r="C43" s="6" t="inlineStr">
        <is>
          <t>Party D</t>
        </is>
      </c>
      <c r="D43" s="6" t="inlineStr">
        <is>
          <t>Bid</t>
        </is>
      </c>
      <c r="E43" s="5" t="n">
        <v>1</v>
      </c>
      <c r="F43" s="5" t="inlineStr">
        <is>
          <t>3</t>
        </is>
      </c>
      <c r="G43" s="6" t="inlineStr">
        <is>
          <t>Financial</t>
        </is>
      </c>
      <c r="H43" s="6" t="inlineStr">
        <is>
          <t>Revised LOI at $24.00 per share, with a 30-day due diligence period; on 08/02/2016 Party D declined to shorten the period and requested that the Company commit not to enter an agreement with another bidder during its 30-day diligence period (declined). First bid row for this unit in round 3.</t>
        </is>
      </c>
      <c r="I43" s="5" t="inlineStr">
        <is>
          <t>Formal</t>
        </is>
      </c>
      <c r="J43" s="5" t="inlineStr">
        <is>
          <t>Heavy</t>
        </is>
      </c>
      <c r="K43" s="6" t="inlineStr">
        <is>
          <t>Stated: "Party D submitted a revised LOI at a price of $24.00 per share" and "Both revised proposals contained a 30-day due diligence period." (p.30); "Party D declined to shorten its due diligence period and requested that the Company commit that it would not enter into an agreement with another bidder during its 30-day due diligence period." (p.30) Formality carried forward (Formal; markups at LOI stage). Conditions: Heavy — 30-day diligence; exclusivity-like commitment requested and refused.</t>
        </is>
      </c>
      <c r="L43" s="7" t="inlineStr">
        <is>
          <t>P-0507</t>
        </is>
      </c>
      <c r="M43" s="5" t="inlineStr">
        <is>
          <t>Q5; Q6</t>
        </is>
      </c>
      <c r="N43" s="6" t="n"/>
      <c r="O43" s="5" t="inlineStr">
        <is>
          <t>R041</t>
        </is>
      </c>
      <c r="P43" s="5" t="inlineStr">
        <is>
          <t>Yes</t>
        </is>
      </c>
      <c r="Q43" s="5" t="n">
        <v>1</v>
      </c>
      <c r="R43" s="8" t="n">
        <v>42583</v>
      </c>
      <c r="S43" s="8" t="n">
        <v>42583</v>
      </c>
      <c r="T43" s="8" t="n">
        <v>42583</v>
      </c>
      <c r="U43" s="5" t="inlineStr">
        <is>
          <t>Reported day</t>
        </is>
      </c>
      <c r="V43" s="5" t="inlineStr">
        <is>
          <t>Reported</t>
        </is>
      </c>
      <c r="W43" s="6" t="n">
        <v>24</v>
      </c>
      <c r="X43" s="6" t="n">
        <v>24</v>
      </c>
      <c r="Y43" s="5" t="inlineStr">
        <is>
          <t>Point</t>
        </is>
      </c>
      <c r="Z43" s="5" t="inlineStr">
        <is>
          <t>Stated</t>
        </is>
      </c>
      <c r="AA43" s="5" t="inlineStr">
        <is>
          <t>USD</t>
        </is>
      </c>
      <c r="AB43" s="5" t="n"/>
      <c r="AC43" s="6" t="n"/>
      <c r="AD43" s="6" t="inlineStr">
        <is>
          <t>Fin: not stated; DD required: substantive (30 days); DD open: yes; Excl: requested (30 days)</t>
        </is>
      </c>
      <c r="AE43" s="9" t="n"/>
      <c r="AF43" s="5" t="n"/>
      <c r="AG43" s="5" t="n"/>
      <c r="AH43" s="5" t="n"/>
      <c r="AI43" s="6" t="n"/>
      <c r="AJ43" s="5" t="n"/>
      <c r="AK43" s="5" t="n">
        <v>30</v>
      </c>
      <c r="AL43" s="6" t="inlineStr">
        <is>
          <t>revises R027</t>
        </is>
      </c>
      <c r="AM43" s="6" t="inlineStr">
        <is>
          <t>PWRR–G&amp;W</t>
        </is>
      </c>
    </row>
    <row r="44">
      <c r="A44" s="5" t="n">
        <v>42</v>
      </c>
      <c r="B44" s="6" t="inlineStr">
        <is>
          <t>08/01/2016</t>
        </is>
      </c>
      <c r="C44" s="6" t="inlineStr">
        <is>
          <t>Party E</t>
        </is>
      </c>
      <c r="D44" s="6" t="inlineStr">
        <is>
          <t>Re-entered</t>
        </is>
      </c>
      <c r="E44" s="5" t="n">
        <v>1</v>
      </c>
      <c r="F44" s="5" t="inlineStr">
        <is>
          <t>3</t>
        </is>
      </c>
      <c r="G44" s="6" t="inlineStr">
        <is>
          <t>Strategic</t>
        </is>
      </c>
      <c r="H44" s="6" t="inlineStr">
        <is>
          <t>Renewed participation: after the 07/29/2016 GHF calls, Party E submitted a revised LOI on 08/01/2016 with financing support from Party F. Re-entered after the 07/27/2016 drop.</t>
        </is>
      </c>
      <c r="I44" s="5" t="n"/>
      <c r="J44" s="5" t="n"/>
      <c r="K44" s="6" t="inlineStr">
        <is>
          <t>Stated: "During those calls, Party D and Party E both expressed interest in reengaging and enhancing their offers." and "Party E submitted a revised LOI, along with financing support, from Party F, at a price of $23.81 per share." (p.30)</t>
        </is>
      </c>
      <c r="L44" s="7" t="inlineStr">
        <is>
          <t>P-0507</t>
        </is>
      </c>
      <c r="M44" s="5" t="inlineStr">
        <is>
          <t>Q4</t>
        </is>
      </c>
      <c r="N44" s="6" t="n"/>
      <c r="O44" s="5" t="inlineStr">
        <is>
          <t>R042</t>
        </is>
      </c>
      <c r="P44" s="5" t="inlineStr">
        <is>
          <t>Yes</t>
        </is>
      </c>
      <c r="Q44" s="5" t="n">
        <v>1</v>
      </c>
      <c r="R44" s="8" t="n">
        <v>42583</v>
      </c>
      <c r="S44" s="8" t="n">
        <v>42583</v>
      </c>
      <c r="T44" s="8" t="n">
        <v>42583</v>
      </c>
      <c r="U44" s="5" t="inlineStr">
        <is>
          <t>Reported day</t>
        </is>
      </c>
      <c r="V44" s="5" t="inlineStr">
        <is>
          <t>Reported</t>
        </is>
      </c>
      <c r="W44" s="6" t="n"/>
      <c r="X44" s="6" t="n"/>
      <c r="Y44" s="5" t="n"/>
      <c r="Z44" s="5" t="n"/>
      <c r="AA44" s="5" t="n"/>
      <c r="AB44" s="5" t="n"/>
      <c r="AC44" s="6" t="n"/>
      <c r="AD44" s="6" t="n"/>
      <c r="AE44" s="9" t="n"/>
      <c r="AF44" s="5" t="n"/>
      <c r="AG44" s="5" t="n"/>
      <c r="AH44" s="5" t="n"/>
      <c r="AI44" s="6" t="n"/>
      <c r="AJ44" s="5" t="n"/>
      <c r="AK44" s="5" t="n">
        <v>30</v>
      </c>
      <c r="AL44" s="6" t="inlineStr">
        <is>
          <t>after R038</t>
        </is>
      </c>
      <c r="AM44" s="6" t="inlineStr">
        <is>
          <t>PWRR–G&amp;W</t>
        </is>
      </c>
    </row>
    <row r="45">
      <c r="A45" s="5" t="n">
        <v>43</v>
      </c>
      <c r="B45" s="6" t="inlineStr">
        <is>
          <t>08/01/2016</t>
        </is>
      </c>
      <c r="C45" s="6" t="inlineStr">
        <is>
          <t>Party E</t>
        </is>
      </c>
      <c r="D45" s="6" t="inlineStr">
        <is>
          <t>Bid</t>
        </is>
      </c>
      <c r="E45" s="5" t="n">
        <v>1</v>
      </c>
      <c r="F45" s="5" t="inlineStr">
        <is>
          <t>3</t>
        </is>
      </c>
      <c r="G45" s="6" t="inlineStr">
        <is>
          <t>Strategic</t>
        </is>
      </c>
      <c r="H45" s="6" t="inlineStr">
        <is>
          <t>Support: Party F (financing) — revised LOI at $23.81 per share, with a 30-day due diligence period. Party F had already exited on 07/27/2016 and provides no separate row or re-entry. First bid row for this unit in round 3.</t>
        </is>
      </c>
      <c r="I45" s="5" t="inlineStr">
        <is>
          <t>Informal</t>
        </is>
      </c>
      <c r="J45" s="5" t="inlineStr">
        <is>
          <t>Heavy</t>
        </is>
      </c>
      <c r="K45" s="6" t="inlineStr">
        <is>
          <t>Stated: "Party E submitted a revised LOI, along with financing support, from Party F, at a price of $23.81 per share. Both revised proposals contained a 30-day due diligence period." (p.30) Formality: Informal (no markup reported; its issues-list basis continues). Conditions: Heavy — 30-day diligence; Excl: none stated.</t>
        </is>
      </c>
      <c r="L45" s="7" t="inlineStr">
        <is>
          <t>P-0507</t>
        </is>
      </c>
      <c r="M45" s="5" t="inlineStr">
        <is>
          <t>Q4; Q6</t>
        </is>
      </c>
      <c r="N45" s="6" t="n"/>
      <c r="O45" s="5" t="inlineStr">
        <is>
          <t>R043</t>
        </is>
      </c>
      <c r="P45" s="5" t="inlineStr">
        <is>
          <t>Yes</t>
        </is>
      </c>
      <c r="Q45" s="5" t="n">
        <v>1</v>
      </c>
      <c r="R45" s="8" t="n">
        <v>42583</v>
      </c>
      <c r="S45" s="8" t="n">
        <v>42583</v>
      </c>
      <c r="T45" s="8" t="n">
        <v>42583</v>
      </c>
      <c r="U45" s="5" t="inlineStr">
        <is>
          <t>Reported day</t>
        </is>
      </c>
      <c r="V45" s="5" t="inlineStr">
        <is>
          <t>Reported</t>
        </is>
      </c>
      <c r="W45" s="6" t="n">
        <v>23.81</v>
      </c>
      <c r="X45" s="6" t="n">
        <v>23.81</v>
      </c>
      <c r="Y45" s="5" t="inlineStr">
        <is>
          <t>Point</t>
        </is>
      </c>
      <c r="Z45" s="5" t="inlineStr">
        <is>
          <t>Stated</t>
        </is>
      </c>
      <c r="AA45" s="5" t="inlineStr">
        <is>
          <t>USD</t>
        </is>
      </c>
      <c r="AB45" s="5" t="n"/>
      <c r="AC45" s="6" t="n"/>
      <c r="AD45" s="6" t="inlineStr">
        <is>
          <t>Fin: represented; DD required: substantive (30 days); DD open: yes; Excl: not stated</t>
        </is>
      </c>
      <c r="AE45" s="9" t="n"/>
      <c r="AF45" s="5" t="n"/>
      <c r="AG45" s="5" t="n"/>
      <c r="AH45" s="5" t="n"/>
      <c r="AI45" s="6" t="n"/>
      <c r="AJ45" s="5" t="n"/>
      <c r="AK45" s="5" t="n">
        <v>30</v>
      </c>
      <c r="AL45" s="6" t="inlineStr">
        <is>
          <t>revises R026; Support: Party F (financing)</t>
        </is>
      </c>
      <c r="AM45" s="6" t="inlineStr">
        <is>
          <t>PWRR–G&amp;W</t>
        </is>
      </c>
    </row>
    <row r="46">
      <c r="A46" s="5" t="n">
        <v>44</v>
      </c>
      <c r="B46" s="6" t="inlineStr">
        <is>
          <t>08/02/2016</t>
        </is>
      </c>
      <c r="C46" s="6" t="inlineStr">
        <is>
          <t>Party E</t>
        </is>
      </c>
      <c r="D46" s="6" t="inlineStr">
        <is>
          <t>Bid</t>
        </is>
      </c>
      <c r="E46" s="5" t="n">
        <v>1</v>
      </c>
      <c r="F46" s="5" t="inlineStr">
        <is>
          <t>3</t>
        </is>
      </c>
      <c r="G46" s="6" t="inlineStr">
        <is>
          <t>Strategic</t>
        </is>
      </c>
      <c r="H46" s="6" t="inlineStr">
        <is>
          <t>Reversion: withdrew its $23.81 revised proposal but confirmed its original $21.26 per share proposal. The $21.26 price is carried from R026 (Price origin Stated as re-confirmed).</t>
        </is>
      </c>
      <c r="I46" s="5" t="inlineStr">
        <is>
          <t>Informal</t>
        </is>
      </c>
      <c r="J46" s="5" t="inlineStr">
        <is>
          <t>Heavy</t>
        </is>
      </c>
      <c r="K46" s="6" t="inlineStr">
        <is>
          <t>Stated: "Party E withdrew its revised proposal on August 2, 2016 (but confirmed its original proposal of $21.26 per share)" (p.30). A withdrawal of a higher proposal while confirming an older one is a bid reversion, not a process withdrawal. Formality and conditions carried from R026 (Informal; Heavy, 60-day exclusivity request).</t>
        </is>
      </c>
      <c r="L46" s="7" t="inlineStr">
        <is>
          <t>P-0507</t>
        </is>
      </c>
      <c r="M46" s="5" t="inlineStr">
        <is>
          <t>Q4</t>
        </is>
      </c>
      <c r="N46" s="6" t="n"/>
      <c r="O46" s="5" t="inlineStr">
        <is>
          <t>R044</t>
        </is>
      </c>
      <c r="P46" s="5" t="inlineStr">
        <is>
          <t>Yes</t>
        </is>
      </c>
      <c r="Q46" s="5" t="n">
        <v>0</v>
      </c>
      <c r="R46" s="8" t="n">
        <v>42584</v>
      </c>
      <c r="S46" s="8" t="n">
        <v>42584</v>
      </c>
      <c r="T46" s="8" t="n">
        <v>42584</v>
      </c>
      <c r="U46" s="5" t="inlineStr">
        <is>
          <t>Reported day</t>
        </is>
      </c>
      <c r="V46" s="5" t="inlineStr">
        <is>
          <t>Reported</t>
        </is>
      </c>
      <c r="W46" s="6" t="n">
        <v>21.26</v>
      </c>
      <c r="X46" s="6" t="n">
        <v>21.26</v>
      </c>
      <c r="Y46" s="5" t="inlineStr">
        <is>
          <t>Point</t>
        </is>
      </c>
      <c r="Z46" s="5" t="inlineStr">
        <is>
          <t>Stated</t>
        </is>
      </c>
      <c r="AA46" s="5" t="inlineStr">
        <is>
          <t>USD</t>
        </is>
      </c>
      <c r="AB46" s="5" t="n"/>
      <c r="AC46" s="6" t="n"/>
      <c r="AD46" s="6" t="inlineStr">
        <is>
          <t>Fin: not stated; DD required: substantive (60 days); DD open: yes; Excl: requested (60 days)</t>
        </is>
      </c>
      <c r="AE46" s="9" t="n"/>
      <c r="AF46" s="5" t="n"/>
      <c r="AG46" s="5" t="n"/>
      <c r="AH46" s="5" t="n"/>
      <c r="AI46" s="6" t="n"/>
      <c r="AJ46" s="5" t="n"/>
      <c r="AK46" s="5" t="n">
        <v>30</v>
      </c>
      <c r="AL46" s="6" t="inlineStr">
        <is>
          <t>reverts to R026; withdraws R043</t>
        </is>
      </c>
      <c r="AM46" s="6" t="inlineStr">
        <is>
          <t>PWRR–G&amp;W</t>
        </is>
      </c>
    </row>
    <row r="47">
      <c r="A47" s="5" t="n">
        <v>45</v>
      </c>
      <c r="B47" s="6" t="inlineStr">
        <is>
          <t>08/02/2016</t>
        </is>
      </c>
      <c r="C47" s="6" t="inlineStr">
        <is>
          <t>Party D</t>
        </is>
      </c>
      <c r="D47" s="6" t="inlineStr">
        <is>
          <t>Participation paused</t>
        </is>
      </c>
      <c r="E47" s="5" t="n">
        <v>1</v>
      </c>
      <c r="F47" s="5" t="inlineStr">
        <is>
          <t>3</t>
        </is>
      </c>
      <c r="G47" s="6" t="inlineStr">
        <is>
          <t>Financial</t>
        </is>
      </c>
      <c r="H47" s="6" t="inlineStr">
        <is>
          <t>After the Company declined to commit not to sign with another bidder during Party D’s 30-day diligence period, Party D "indicated that it would not proceed with further due diligence at that time." Agency: Bidder. Exit reason: Terms or process (refused to shorten diligence; requested commitment not granted). A pause does not close the participant; Party D is closed at signing (R053).</t>
        </is>
      </c>
      <c r="I47" s="5" t="n"/>
      <c r="J47" s="5" t="n"/>
      <c r="K47" s="6" t="inlineStr">
        <is>
          <t>Stated: "In light of the active interest of Party B and G&amp;W, the Company declined to make such a commitment, at which point Party D indicated that it would not proceed with further due diligence at that time." (p.30) "At that time" is treated as a stated temporary stop (see Questions).</t>
        </is>
      </c>
      <c r="L47" s="7" t="inlineStr">
        <is>
          <t>P-0507</t>
        </is>
      </c>
      <c r="M47" s="5" t="inlineStr">
        <is>
          <t>Q4</t>
        </is>
      </c>
      <c r="N47" s="6" t="n"/>
      <c r="O47" s="5" t="inlineStr">
        <is>
          <t>R045</t>
        </is>
      </c>
      <c r="P47" s="5" t="inlineStr">
        <is>
          <t>Yes</t>
        </is>
      </c>
      <c r="Q47" s="5" t="n">
        <v>1</v>
      </c>
      <c r="R47" s="8" t="n">
        <v>42584</v>
      </c>
      <c r="S47" s="8" t="n">
        <v>42584</v>
      </c>
      <c r="T47" s="8" t="n">
        <v>42584</v>
      </c>
      <c r="U47" s="5" t="inlineStr">
        <is>
          <t>Reported day</t>
        </is>
      </c>
      <c r="V47" s="5" t="inlineStr">
        <is>
          <t>Reported</t>
        </is>
      </c>
      <c r="W47" s="6" t="n"/>
      <c r="X47" s="6" t="n"/>
      <c r="Y47" s="5" t="n"/>
      <c r="Z47" s="5" t="n"/>
      <c r="AA47" s="5" t="n"/>
      <c r="AB47" s="5" t="n"/>
      <c r="AC47" s="6" t="n"/>
      <c r="AD47" s="6" t="n"/>
      <c r="AE47" s="9" t="n"/>
      <c r="AF47" s="5" t="n"/>
      <c r="AG47" s="5" t="n"/>
      <c r="AH47" s="5" t="inlineStr">
        <is>
          <t>Bidder</t>
        </is>
      </c>
      <c r="AI47" s="6" t="inlineStr">
        <is>
          <t>Terms or process</t>
        </is>
      </c>
      <c r="AJ47" s="5" t="inlineStr">
        <is>
          <t>Stated</t>
        </is>
      </c>
      <c r="AK47" s="5" t="n">
        <v>30</v>
      </c>
      <c r="AL47" s="6" t="n"/>
      <c r="AM47" s="6" t="inlineStr">
        <is>
          <t>PWRR–G&amp;W</t>
        </is>
      </c>
    </row>
    <row r="48">
      <c r="A48" s="5" t="n">
        <v>46</v>
      </c>
      <c r="B48" s="6" t="inlineStr">
        <is>
          <t>08/04/2016</t>
        </is>
      </c>
      <c r="C48" s="6" t="inlineStr">
        <is>
          <t>Providence &amp; Worcester (Transaction Committee)</t>
        </is>
      </c>
      <c r="D48" s="6" t="inlineStr">
        <is>
          <t>Target decision</t>
        </is>
      </c>
      <c r="E48" s="5" t="n">
        <v>1</v>
      </c>
      <c r="F48" s="5" t="inlineStr">
        <is>
          <t>3</t>
        </is>
      </c>
      <c r="G48" s="6" t="n"/>
      <c r="H48" s="6" t="inlineStr">
        <is>
          <t>Committee directed management, BMO and Hinckley Allen to continue diligence and negotiations with both G&amp;W and Party B, but "given the higher price offered by Party B, to prioritize Party B and proceed to complete the negotiation of the merger agreement with Party B." Preferred-bidder decision; no exclusivity granted.</t>
        </is>
      </c>
      <c r="I48" s="5" t="n"/>
      <c r="J48" s="5" t="n"/>
      <c r="K48" s="6" t="inlineStr">
        <is>
          <t>Stated: "the Transaction Committee directed the management team and representatives of each of BMO and Hinckley Allen to continue diligence and negotiations with both G&amp;W and Party B, but given the higher price offered by Party B, to prioritize Party B and proceed to complete the negotiation of the merger agreement with Party B." (p.31)</t>
        </is>
      </c>
      <c r="L48" s="7" t="inlineStr">
        <is>
          <t>P-0510</t>
        </is>
      </c>
      <c r="M48" s="5" t="inlineStr">
        <is>
          <t>Q1</t>
        </is>
      </c>
      <c r="N48" s="6" t="n"/>
      <c r="O48" s="5" t="inlineStr">
        <is>
          <t>R046</t>
        </is>
      </c>
      <c r="P48" s="5" t="inlineStr">
        <is>
          <t>Yes</t>
        </is>
      </c>
      <c r="Q48" s="5" t="n"/>
      <c r="R48" s="8" t="n">
        <v>42586</v>
      </c>
      <c r="S48" s="8" t="n">
        <v>42586</v>
      </c>
      <c r="T48" s="8" t="n">
        <v>42586</v>
      </c>
      <c r="U48" s="5" t="inlineStr">
        <is>
          <t>Reported day</t>
        </is>
      </c>
      <c r="V48" s="5" t="inlineStr">
        <is>
          <t>Reported</t>
        </is>
      </c>
      <c r="W48" s="6" t="n"/>
      <c r="X48" s="6" t="n"/>
      <c r="Y48" s="5" t="n"/>
      <c r="Z48" s="5" t="n"/>
      <c r="AA48" s="5" t="n"/>
      <c r="AB48" s="5" t="n"/>
      <c r="AC48" s="6" t="n"/>
      <c r="AD48" s="6" t="n"/>
      <c r="AE48" s="9" t="n"/>
      <c r="AF48" s="5" t="n"/>
      <c r="AG48" s="5" t="n"/>
      <c r="AH48" s="5" t="n"/>
      <c r="AI48" s="6" t="n"/>
      <c r="AJ48" s="5" t="n"/>
      <c r="AK48" s="5" t="n">
        <v>31</v>
      </c>
      <c r="AL48" s="6" t="n"/>
      <c r="AM48" s="6" t="inlineStr">
        <is>
          <t>PWRR–G&amp;W</t>
        </is>
      </c>
    </row>
    <row r="49">
      <c r="A49" s="5" t="n">
        <v>47</v>
      </c>
      <c r="B49" s="6" t="inlineStr">
        <is>
          <t>08/04/2016</t>
        </is>
      </c>
      <c r="C49" s="6" t="inlineStr">
        <is>
          <t>Party B</t>
        </is>
      </c>
      <c r="D49" s="6" t="inlineStr">
        <is>
          <t>Bid reaffirmed</t>
        </is>
      </c>
      <c r="E49" s="5" t="n">
        <v>1</v>
      </c>
      <c r="F49" s="5" t="inlineStr">
        <is>
          <t>3</t>
        </is>
      </c>
      <c r="G49" s="6" t="inlineStr">
        <is>
          <t>Strategic</t>
        </is>
      </c>
      <c r="H49" s="6" t="inlineStr">
        <is>
          <t>Reaffirmed by: returned draft — Party B’s legal counsel provided a revised merger agreement draft, the first bidder-side act after the target moved to finalize a definitive agreement with Party B ($24.00 standing LOI; no new price). Third condition met; flagged for review (Q5). Conditions as of this date: diligence still open (on-site 07/27–08/11/2016). First row for this unit in round 3.</t>
        </is>
      </c>
      <c r="I49" s="5" t="inlineStr">
        <is>
          <t>Formal</t>
        </is>
      </c>
      <c r="J49" s="5" t="inlineStr">
        <is>
          <t>Light</t>
        </is>
      </c>
      <c r="K49" s="6" t="inlineStr">
        <is>
          <t>Stated: "On August 4, 2016, legal counsel for Party B provided a revised draft of the merger agreement" (p.31); target had directed completion of the agreement with Party B on 08/04/2016 (p.31) and diligence ran "From July 27, 2016 through August 11, 2016" (p.31). Late-reconfirmation criteria: target finalizing on the standing offer; latest priced row (R025) sits in a Not-final round; bidder-side returned draft. A returned draft does not by itself show diligence or financing conditions have fallen away.</t>
        </is>
      </c>
      <c r="L49" s="7" t="inlineStr">
        <is>
          <t>P-0510; P-0511</t>
        </is>
      </c>
      <c r="M49" s="5" t="inlineStr">
        <is>
          <t>Q5</t>
        </is>
      </c>
      <c r="N49" s="6" t="n"/>
      <c r="O49" s="5" t="inlineStr">
        <is>
          <t>R047</t>
        </is>
      </c>
      <c r="P49" s="5" t="inlineStr">
        <is>
          <t>Yes</t>
        </is>
      </c>
      <c r="Q49" s="5" t="n">
        <v>1</v>
      </c>
      <c r="R49" s="8" t="n">
        <v>42586</v>
      </c>
      <c r="S49" s="8" t="n">
        <v>42586</v>
      </c>
      <c r="T49" s="8" t="n">
        <v>42586</v>
      </c>
      <c r="U49" s="5" t="inlineStr">
        <is>
          <t>Reported day</t>
        </is>
      </c>
      <c r="V49" s="5" t="inlineStr">
        <is>
          <t>Reported</t>
        </is>
      </c>
      <c r="W49" s="6" t="n">
        <v>24</v>
      </c>
      <c r="X49" s="6" t="n">
        <v>24</v>
      </c>
      <c r="Y49" s="5" t="inlineStr">
        <is>
          <t>Point</t>
        </is>
      </c>
      <c r="Z49" s="5" t="inlineStr">
        <is>
          <t>Carried forward</t>
        </is>
      </c>
      <c r="AA49" s="5" t="inlineStr">
        <is>
          <t>USD</t>
        </is>
      </c>
      <c r="AB49" s="5" t="n"/>
      <c r="AC49" s="6" t="n"/>
      <c r="AD49" s="6" t="inlineStr">
        <is>
          <t>Fin: not stated; DD required: confirmatory; DD open: yes; Excl: not stated</t>
        </is>
      </c>
      <c r="AE49" s="9" t="n"/>
      <c r="AF49" s="5" t="n"/>
      <c r="AG49" s="5" t="n"/>
      <c r="AH49" s="5" t="n"/>
      <c r="AI49" s="6" t="n"/>
      <c r="AJ49" s="5" t="n"/>
      <c r="AK49" s="5" t="n">
        <v>31</v>
      </c>
      <c r="AL49" s="6" t="inlineStr">
        <is>
          <t>reaffirms R025</t>
        </is>
      </c>
      <c r="AM49" s="6" t="inlineStr">
        <is>
          <t>PWRR–G&amp;W</t>
        </is>
      </c>
    </row>
    <row r="50">
      <c r="A50" s="5" t="n">
        <v>48</v>
      </c>
      <c r="B50" s="6" t="inlineStr">
        <is>
          <t>08/09/2016</t>
        </is>
      </c>
      <c r="C50" s="6" t="inlineStr">
        <is>
          <t>G&amp;W</t>
        </is>
      </c>
      <c r="D50" s="6" t="inlineStr">
        <is>
          <t>Information access changed</t>
        </is>
      </c>
      <c r="E50" s="5" t="n">
        <v>1</v>
      </c>
      <c r="F50" s="5" t="inlineStr">
        <is>
          <t>3</t>
        </is>
      </c>
      <c r="G50" s="6" t="inlineStr">
        <is>
          <t>Strategic</t>
        </is>
      </c>
      <c r="H50" s="6" t="inlineStr">
        <is>
          <t>After the Committee directed BMO to tell G&amp;W the Company intended to enter a merger agreement with another bidder, G&amp;W asked to continue diligence, including physical diligence on 08/10 and 08/11/2016, to potentially facilitate an improved offer; the request was granted. Party B was not offered equivalent post-notice access. No reason stated beyond potentially facilitating an improved offer.</t>
        </is>
      </c>
      <c r="I50" s="5" t="n"/>
      <c r="J50" s="5" t="n"/>
      <c r="K50" s="6" t="inlineStr">
        <is>
          <t>Stated: "the Transaction Committee directed representatives of BMO to inform G&amp;W that the Company intended to enter into a merger agreement with another bidder. G&amp;W requested that it be allowed to continue its due diligence, including physical due diligence on August 10 and August 11, 2016, to potentially facilitate an improved offer, which request was granted." (p.31)</t>
        </is>
      </c>
      <c r="L50" s="7" t="inlineStr">
        <is>
          <t>P-0511</t>
        </is>
      </c>
      <c r="M50" s="5" t="inlineStr">
        <is>
          <t>Q1</t>
        </is>
      </c>
      <c r="N50" s="6" t="n"/>
      <c r="O50" s="5" t="inlineStr">
        <is>
          <t>R048</t>
        </is>
      </c>
      <c r="P50" s="5" t="inlineStr">
        <is>
          <t>Yes</t>
        </is>
      </c>
      <c r="Q50" s="5" t="n"/>
      <c r="R50" s="8" t="n">
        <v>42591</v>
      </c>
      <c r="S50" s="8" t="n">
        <v>42593</v>
      </c>
      <c r="T50" s="8" t="n">
        <v>42591</v>
      </c>
      <c r="U50" s="5" t="inlineStr">
        <is>
          <t>Reported interval</t>
        </is>
      </c>
      <c r="V50" s="5" t="inlineStr">
        <is>
          <t>Assigned: decision day</t>
        </is>
      </c>
      <c r="W50" s="6" t="n"/>
      <c r="X50" s="6" t="n"/>
      <c r="Y50" s="5" t="n"/>
      <c r="Z50" s="5" t="n"/>
      <c r="AA50" s="5" t="n"/>
      <c r="AB50" s="5" t="n"/>
      <c r="AC50" s="6" t="n"/>
      <c r="AD50" s="6" t="n"/>
      <c r="AE50" s="9" t="n"/>
      <c r="AF50" s="5" t="n"/>
      <c r="AG50" s="5" t="n"/>
      <c r="AH50" s="5" t="n"/>
      <c r="AI50" s="6" t="n"/>
      <c r="AJ50" s="5" t="n"/>
      <c r="AK50" s="5" t="n">
        <v>31</v>
      </c>
      <c r="AL50" s="6" t="n"/>
      <c r="AM50" s="6" t="inlineStr">
        <is>
          <t>PWRR–G&amp;W</t>
        </is>
      </c>
    </row>
    <row r="51">
      <c r="A51" s="5" t="n">
        <v>49</v>
      </c>
      <c r="B51" s="6" t="inlineStr">
        <is>
          <t>08/12/2016</t>
        </is>
      </c>
      <c r="C51" s="6" t="inlineStr">
        <is>
          <t>G&amp;W</t>
        </is>
      </c>
      <c r="D51" s="6" t="inlineStr">
        <is>
          <t>Bid</t>
        </is>
      </c>
      <c r="E51" s="5" t="n">
        <v>1</v>
      </c>
      <c r="F51" s="5" t="inlineStr">
        <is>
          <t>3</t>
        </is>
      </c>
      <c r="G51" s="6" t="inlineStr">
        <is>
          <t>Strategic</t>
        </is>
      </c>
      <c r="H51" s="6" t="inlineStr">
        <is>
          <t>Final revised LOI: $25.00 per share in cash, excluding the previously proposed CVR, with mark-ups of the merger agreement and voting agreement. Offer stated to expire at 6:00 p.m. on the following day (offer expiry, not a bid deadline). Submitted on the morning of 08/12/2016 after G&amp;W completed physical diligence and after the Company had told it on 08/09/2016 of the intent to sign with another bidder. First G&amp;W bid row in round 3.</t>
        </is>
      </c>
      <c r="I51" s="5" t="inlineStr">
        <is>
          <t>Formal</t>
        </is>
      </c>
      <c r="J51" s="5" t="inlineStr">
        <is>
          <t>None</t>
        </is>
      </c>
      <c r="K51" s="6" t="inlineStr">
        <is>
          <t>Stated: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(p.31) Formality: Formal — returned agreement markups (signal 1). Conditions: None — diligence completed 08/11/2016, no further diligence condition stated; all-cash price; merger agreement contains no financing condition and G&amp;W represents its financial wherewithal (p.34).</t>
        </is>
      </c>
      <c r="L51" s="7" t="inlineStr">
        <is>
          <t>P-0511; P-0512; X-002</t>
        </is>
      </c>
      <c r="M51" s="5" t="inlineStr">
        <is>
          <t>Q5; Q6</t>
        </is>
      </c>
      <c r="N51" s="6" t="n"/>
      <c r="O51" s="5" t="inlineStr">
        <is>
          <t>R049</t>
        </is>
      </c>
      <c r="P51" s="5" t="inlineStr">
        <is>
          <t>Yes</t>
        </is>
      </c>
      <c r="Q51" s="5" t="n">
        <v>1</v>
      </c>
      <c r="R51" s="8" t="n">
        <v>42594</v>
      </c>
      <c r="S51" s="8" t="n">
        <v>42594</v>
      </c>
      <c r="T51" s="8" t="n">
        <v>42594</v>
      </c>
      <c r="U51" s="5" t="inlineStr">
        <is>
          <t>Reported day</t>
        </is>
      </c>
      <c r="V51" s="5" t="inlineStr">
        <is>
          <t>Reported</t>
        </is>
      </c>
      <c r="W51" s="6" t="n">
        <v>25</v>
      </c>
      <c r="X51" s="6" t="n">
        <v>25</v>
      </c>
      <c r="Y51" s="5" t="inlineStr">
        <is>
          <t>Point</t>
        </is>
      </c>
      <c r="Z51" s="5" t="inlineStr">
        <is>
          <t>Stated</t>
        </is>
      </c>
      <c r="AA51" s="5" t="inlineStr">
        <is>
          <t>USD</t>
        </is>
      </c>
      <c r="AB51" s="5" t="inlineStr">
        <is>
          <t>Yes</t>
        </is>
      </c>
      <c r="AC51" s="6" t="n">
        <v>25</v>
      </c>
      <c r="AD51" s="6" t="inlineStr">
        <is>
          <t>Fin: represented; DD required: none; DD open: no; Excl: none</t>
        </is>
      </c>
      <c r="AE51" s="9" t="n"/>
      <c r="AF51" s="5" t="n"/>
      <c r="AG51" s="5" t="n"/>
      <c r="AH51" s="5" t="n"/>
      <c r="AI51" s="6" t="n"/>
      <c r="AJ51" s="5" t="n"/>
      <c r="AK51" s="5" t="n">
        <v>31</v>
      </c>
      <c r="AL51" s="6" t="inlineStr">
        <is>
          <t>revises R034; excludes CVR in R033–R034</t>
        </is>
      </c>
      <c r="AM51" s="6" t="inlineStr">
        <is>
          <t>PWRR–G&amp;W</t>
        </is>
      </c>
    </row>
    <row r="52">
      <c r="A52" s="5" t="n">
        <v>50</v>
      </c>
      <c r="B52" s="6" t="inlineStr">
        <is>
          <t>08/12/2016</t>
        </is>
      </c>
      <c r="C52" s="6" t="inlineStr">
        <is>
          <t>G&amp;W / Providence &amp; Worcester (Board) / Eder Trusts</t>
        </is>
      </c>
      <c r="D52" s="6" t="inlineStr">
        <is>
          <t>Merger agreement signed</t>
        </is>
      </c>
      <c r="E52" s="5" t="n">
        <v>1</v>
      </c>
      <c r="F52" s="5" t="inlineStr">
        <is>
          <t>3</t>
        </is>
      </c>
      <c r="G52" s="6" t="n"/>
      <c r="H52" s="6" t="inlineStr">
        <is>
          <t>Board approved and executed the merger agreement with G&amp;W and Pullman Acquisition Sub Inc.: each common share converted into $25.00 in cash without interest; each preferred share deemed converted into 100 common shares plus accrued dividends. Board determined G&amp;W’s offer the superior proposal after (i) STB-process briefing, (ii) BMO fairness opinion, and (iii) Party B declining to increase its $24.00 price when asked. Termination fee $3,785,000 (about 3% of transaction value; reduced from 3.85% in negotiation). No financing condition. The Company, G&amp;W and the Eder Trusts executed a voting agreement covering the Eder Trusts’ shares (842,742 common; 500 preferred). Director Smith recused.</t>
        </is>
      </c>
      <c r="I52" s="5" t="n"/>
      <c r="J52" s="5" t="n"/>
      <c r="K52" s="6" t="inlineStr">
        <is>
          <t>Stated: "the Company and G&amp;W executed the merger agreement, and the Company, G&amp;W and the Eder Trusts executed the voting agreement" (p.32); "Party B indicated that it would not increase its price" and "The Board determined that the G&amp;W offer represented the superior proposal" (p.32); "$25.00 in cash, without interest" (p.27); termination fee "equal to 3% of the transaction value in the case of G&amp;W (which the Company had negotiated down from 3.85%)" (p.31) and "$3,785,000" (p.55).</t>
        </is>
      </c>
      <c r="L52" s="7" t="inlineStr">
        <is>
          <t>P-0513; P-0517; P-0518; X-001; X-003; X-004</t>
        </is>
      </c>
      <c r="M52" s="5" t="inlineStr">
        <is>
          <t>Q6</t>
        </is>
      </c>
      <c r="N52" s="6" t="n"/>
      <c r="O52" s="5" t="inlineStr">
        <is>
          <t>R050</t>
        </is>
      </c>
      <c r="P52" s="5" t="inlineStr">
        <is>
          <t>Yes</t>
        </is>
      </c>
      <c r="Q52" s="5" t="n"/>
      <c r="R52" s="8" t="n">
        <v>42594</v>
      </c>
      <c r="S52" s="8" t="n">
        <v>42594</v>
      </c>
      <c r="T52" s="8" t="n">
        <v>42594</v>
      </c>
      <c r="U52" s="5" t="inlineStr">
        <is>
          <t>Reported day</t>
        </is>
      </c>
      <c r="V52" s="5" t="inlineStr">
        <is>
          <t>Reported</t>
        </is>
      </c>
      <c r="W52" s="6" t="n"/>
      <c r="X52" s="6" t="n"/>
      <c r="Y52" s="5" t="n"/>
      <c r="Z52" s="5" t="n"/>
      <c r="AA52" s="5" t="n"/>
      <c r="AB52" s="5" t="n"/>
      <c r="AC52" s="6" t="n"/>
      <c r="AD52" s="6" t="n"/>
      <c r="AE52" s="9" t="n"/>
      <c r="AF52" s="5" t="n"/>
      <c r="AG52" s="5" t="n"/>
      <c r="AH52" s="5" t="n"/>
      <c r="AI52" s="6" t="n"/>
      <c r="AJ52" s="5" t="n"/>
      <c r="AK52" s="5" t="n">
        <v>32</v>
      </c>
      <c r="AL52" s="6" t="inlineStr">
        <is>
          <t>agreement dated as of 08/12/2016</t>
        </is>
      </c>
      <c r="AM52" s="6" t="inlineStr">
        <is>
          <t>PWRR–G&amp;W</t>
        </is>
      </c>
    </row>
    <row r="53">
      <c r="A53" s="5" t="n">
        <v>51</v>
      </c>
      <c r="B53" s="6" t="inlineStr">
        <is>
          <t>08/12/2016</t>
        </is>
      </c>
      <c r="C53" s="6" t="inlineStr">
        <is>
          <t>Party B</t>
        </is>
      </c>
      <c r="D53" s="6" t="inlineStr">
        <is>
          <t>Not selected at signing</t>
        </is>
      </c>
      <c r="E53" s="5" t="n">
        <v>1</v>
      </c>
      <c r="F53" s="5" t="inlineStr">
        <is>
          <t>3</t>
        </is>
      </c>
      <c r="G53" s="6" t="inlineStr">
        <is>
          <t>Strategic</t>
        </is>
      </c>
      <c r="H53" s="6" t="inlineStr">
        <is>
          <t>Asked by the Board whether it would increase its $24.00 price after G&amp;W submitted $25.00; Party B indicated it would not increase its price. The Board chose G&amp;W. Exit reason: Would not improve earlier offer (stated constraint); agency: Target (board chose G&amp;W). Diligence had ended 08/11/2016.</t>
        </is>
      </c>
      <c r="I53" s="5" t="n"/>
      <c r="J53" s="5" t="n"/>
      <c r="K53" s="6" t="inlineStr">
        <is>
          <t>Stated: "At the request of the Board, representatives of BMO then contacted Party B to determine if it would increase its offer price. Party B indicated that it would not increase its price." (p.32); "The Board determined that the G&amp;W offer represented the superior proposal." (p.32)</t>
        </is>
      </c>
      <c r="L53" s="7" t="inlineStr">
        <is>
          <t>P-0516; P-0517</t>
        </is>
      </c>
      <c r="M53" s="5" t="inlineStr">
        <is>
          <t>Q4; Q5</t>
        </is>
      </c>
      <c r="N53" s="6" t="n"/>
      <c r="O53" s="5" t="inlineStr">
        <is>
          <t>R051</t>
        </is>
      </c>
      <c r="P53" s="5" t="inlineStr">
        <is>
          <t>Yes</t>
        </is>
      </c>
      <c r="Q53" s="5" t="n">
        <v>1</v>
      </c>
      <c r="R53" s="8" t="n">
        <v>42594</v>
      </c>
      <c r="S53" s="8" t="n">
        <v>42594</v>
      </c>
      <c r="T53" s="8" t="n">
        <v>42594</v>
      </c>
      <c r="U53" s="5" t="inlineStr">
        <is>
          <t>Reported day</t>
        </is>
      </c>
      <c r="V53" s="5" t="inlineStr">
        <is>
          <t>Reported</t>
        </is>
      </c>
      <c r="W53" s="6" t="n"/>
      <c r="X53" s="6" t="n"/>
      <c r="Y53" s="5" t="n"/>
      <c r="Z53" s="5" t="n"/>
      <c r="AA53" s="5" t="n"/>
      <c r="AB53" s="5" t="n"/>
      <c r="AC53" s="6" t="n"/>
      <c r="AD53" s="6" t="n"/>
      <c r="AE53" s="9" t="n"/>
      <c r="AF53" s="5" t="n"/>
      <c r="AG53" s="5" t="n"/>
      <c r="AH53" s="5" t="inlineStr">
        <is>
          <t>Target</t>
        </is>
      </c>
      <c r="AI53" s="6" t="inlineStr">
        <is>
          <t>Would not improve earlier offer</t>
        </is>
      </c>
      <c r="AJ53" s="5" t="inlineStr">
        <is>
          <t>Stated</t>
        </is>
      </c>
      <c r="AK53" s="5" t="n">
        <v>32</v>
      </c>
      <c r="AL53" s="6" t="inlineStr">
        <is>
          <t>standing offer R025/R047</t>
        </is>
      </c>
      <c r="AM53" s="6" t="inlineStr">
        <is>
          <t>PWRR–G&amp;W</t>
        </is>
      </c>
    </row>
    <row r="54">
      <c r="A54" s="5" t="n">
        <v>52</v>
      </c>
      <c r="B54" s="6" t="inlineStr">
        <is>
          <t>by 08/12/2016</t>
        </is>
      </c>
      <c r="C54" s="6" t="inlineStr">
        <is>
          <t>Party E</t>
        </is>
      </c>
      <c r="D54" s="6" t="inlineStr">
        <is>
          <t>Not selected at signing</t>
        </is>
      </c>
      <c r="E54" s="5" t="n">
        <v>1</v>
      </c>
      <c r="F54" s="5" t="inlineStr">
        <is>
          <t>3</t>
        </is>
      </c>
      <c r="G54" s="6" t="inlineStr">
        <is>
          <t>Strategic</t>
        </is>
      </c>
      <c r="H54" s="6" t="inlineStr">
        <is>
          <t>Inferred: silent — still live after its 08/02/2016 reversion to $21.26; never mentioned again before signing. Closing is inferred from silence (its $21.26 standing proposal). No motive is inferred; exit reason Not stated.</t>
        </is>
      </c>
      <c r="I54" s="5" t="n"/>
      <c r="J54" s="5" t="n"/>
      <c r="K54" s="6" t="inlineStr">
        <is>
          <t>Last record: "Party E withdrew its revised proposal on August 2, 2016 (but confirmed its original proposal of $21.26 per share)" (p.30). Signing with G&amp;W on 08/12/2016 (p.32); Party E is not mentioned after 08/02/2016.</t>
        </is>
      </c>
      <c r="L54" s="7" t="inlineStr">
        <is>
          <t>P-0507; P-0518</t>
        </is>
      </c>
      <c r="M54" s="5" t="inlineStr">
        <is>
          <t>Q4</t>
        </is>
      </c>
      <c r="N54" s="6" t="n"/>
      <c r="O54" s="5" t="inlineStr">
        <is>
          <t>R052</t>
        </is>
      </c>
      <c r="P54" s="5" t="inlineStr">
        <is>
          <t>Yes</t>
        </is>
      </c>
      <c r="Q54" s="5" t="n">
        <v>1</v>
      </c>
      <c r="R54" s="9" t="n"/>
      <c r="S54" s="8" t="n">
        <v>42594</v>
      </c>
      <c r="T54" s="8" t="n">
        <v>42594</v>
      </c>
      <c r="U54" s="5" t="inlineStr">
        <is>
          <t>Relative only</t>
        </is>
      </c>
      <c r="V54" s="5" t="inlineStr">
        <is>
          <t>Assigned: bound</t>
        </is>
      </c>
      <c r="W54" s="6" t="n"/>
      <c r="X54" s="6" t="n"/>
      <c r="Y54" s="5" t="n"/>
      <c r="Z54" s="5" t="n"/>
      <c r="AA54" s="5" t="n"/>
      <c r="AB54" s="5" t="n"/>
      <c r="AC54" s="6" t="n"/>
      <c r="AD54" s="6" t="n"/>
      <c r="AE54" s="9" t="n"/>
      <c r="AF54" s="5" t="n"/>
      <c r="AG54" s="5" t="n"/>
      <c r="AH54" s="5" t="inlineStr">
        <is>
          <t>Unknown</t>
        </is>
      </c>
      <c r="AI54" s="6" t="inlineStr">
        <is>
          <t>Not stated</t>
        </is>
      </c>
      <c r="AJ54" s="5" t="inlineStr">
        <is>
          <t>Inferred: silent</t>
        </is>
      </c>
      <c r="AK54" s="5" t="n">
        <v>32</v>
      </c>
      <c r="AL54" s="6" t="n"/>
      <c r="AM54" s="6" t="inlineStr">
        <is>
          <t>PWRR–G&amp;W</t>
        </is>
      </c>
    </row>
    <row r="55">
      <c r="A55" s="5" t="n">
        <v>53</v>
      </c>
      <c r="B55" s="6" t="inlineStr">
        <is>
          <t>by 08/12/2016</t>
        </is>
      </c>
      <c r="C55" s="6" t="inlineStr">
        <is>
          <t>Party D</t>
        </is>
      </c>
      <c r="D55" s="6" t="inlineStr">
        <is>
          <t>Not selected at signing</t>
        </is>
      </c>
      <c r="E55" s="5" t="n">
        <v>1</v>
      </c>
      <c r="F55" s="5" t="inlineStr">
        <is>
          <t>3</t>
        </is>
      </c>
      <c r="G55" s="6" t="inlineStr">
        <is>
          <t>Financial</t>
        </is>
      </c>
      <c r="H55" s="6" t="inlineStr">
        <is>
          <t>Inferred: silent — live (paused) after the 08/02/2016 statement and its $24.00 revised LOI; never mentioned again before signing. Closing inferred from silence. No motive is inferred; exit reason Not stated.</t>
        </is>
      </c>
      <c r="I55" s="5" t="n"/>
      <c r="J55" s="5" t="n"/>
      <c r="K55" s="6" t="inlineStr">
        <is>
          <t>Last record: "Party D indicated that it would not proceed with further due diligence at that time." (p.30); signing with G&amp;W on 08/12/2016 (p.32); Party D is not mentioned after 08/02/2016.</t>
        </is>
      </c>
      <c r="L55" s="7" t="inlineStr">
        <is>
          <t>P-0507; P-0518</t>
        </is>
      </c>
      <c r="M55" s="5" t="inlineStr">
        <is>
          <t>Q4</t>
        </is>
      </c>
      <c r="N55" s="6" t="n"/>
      <c r="O55" s="5" t="inlineStr">
        <is>
          <t>R053</t>
        </is>
      </c>
      <c r="P55" s="5" t="inlineStr">
        <is>
          <t>Yes</t>
        </is>
      </c>
      <c r="Q55" s="5" t="n">
        <v>1</v>
      </c>
      <c r="R55" s="9" t="n"/>
      <c r="S55" s="8" t="n">
        <v>42594</v>
      </c>
      <c r="T55" s="8" t="n">
        <v>42594</v>
      </c>
      <c r="U55" s="5" t="inlineStr">
        <is>
          <t>Relative only</t>
        </is>
      </c>
      <c r="V55" s="5" t="inlineStr">
        <is>
          <t>Assigned: bound</t>
        </is>
      </c>
      <c r="W55" s="6" t="n"/>
      <c r="X55" s="6" t="n"/>
      <c r="Y55" s="5" t="n"/>
      <c r="Z55" s="5" t="n"/>
      <c r="AA55" s="5" t="n"/>
      <c r="AB55" s="5" t="n"/>
      <c r="AC55" s="6" t="n"/>
      <c r="AD55" s="6" t="n"/>
      <c r="AE55" s="9" t="n"/>
      <c r="AF55" s="5" t="n"/>
      <c r="AG55" s="5" t="n"/>
      <c r="AH55" s="5" t="inlineStr">
        <is>
          <t>Unknown</t>
        </is>
      </c>
      <c r="AI55" s="6" t="inlineStr">
        <is>
          <t>Not stated</t>
        </is>
      </c>
      <c r="AJ55" s="5" t="inlineStr">
        <is>
          <t>Inferred: silent</t>
        </is>
      </c>
      <c r="AK55" s="5" t="n">
        <v>32</v>
      </c>
      <c r="AL55" s="6" t="n"/>
      <c r="AM55" s="6" t="inlineStr">
        <is>
          <t>PWRR–G&amp;W</t>
        </is>
      </c>
    </row>
    <row r="56">
      <c r="A56" s="5" t="n">
        <v>54</v>
      </c>
      <c r="B56" s="6" t="inlineStr">
        <is>
          <t>08/15/2016</t>
        </is>
      </c>
      <c r="C56" s="6" t="inlineStr">
        <is>
          <t>Providence &amp; Worcester / G&amp;W</t>
        </is>
      </c>
      <c r="D56" s="6" t="inlineStr">
        <is>
          <t>Merger announced</t>
        </is>
      </c>
      <c r="E56" s="5" t="n">
        <v>1</v>
      </c>
      <c r="F56" s="5" t="inlineStr">
        <is>
          <t>post</t>
        </is>
      </c>
      <c r="G56" s="6" t="n"/>
      <c r="H56" s="6" t="inlineStr">
        <is>
          <t>The Company issued a press release publicly announcing the transaction on Monday, August 15, 2016 prior to the opening of trading of the common stock on NASDAQ. Issuer: Providence &amp; Worcester Railroad Company.</t>
        </is>
      </c>
      <c r="I56" s="5" t="n"/>
      <c r="J56" s="5" t="n"/>
      <c r="K56" s="6" t="inlineStr">
        <is>
          <t>Stated: "The Company issued a press release publicly announcing the transaction on Monday, August 15, 2016 prior to the opening of trading of the Company’s common stock on the NASDAQ." (p.32)</t>
        </is>
      </c>
      <c r="L56" s="7" t="inlineStr">
        <is>
          <t>P-0518</t>
        </is>
      </c>
      <c r="M56" s="5" t="inlineStr">
        <is>
          <t>Q1</t>
        </is>
      </c>
      <c r="N56" s="6" t="n"/>
      <c r="O56" s="5" t="inlineStr">
        <is>
          <t>R054</t>
        </is>
      </c>
      <c r="P56" s="5" t="inlineStr">
        <is>
          <t>Yes</t>
        </is>
      </c>
      <c r="Q56" s="5" t="n"/>
      <c r="R56" s="8" t="n">
        <v>42597</v>
      </c>
      <c r="S56" s="8" t="n">
        <v>42597</v>
      </c>
      <c r="T56" s="8" t="n">
        <v>42597</v>
      </c>
      <c r="U56" s="5" t="inlineStr">
        <is>
          <t>Reported day</t>
        </is>
      </c>
      <c r="V56" s="5" t="inlineStr">
        <is>
          <t>Reported</t>
        </is>
      </c>
      <c r="W56" s="6" t="n"/>
      <c r="X56" s="6" t="n"/>
      <c r="Y56" s="5" t="n"/>
      <c r="Z56" s="5" t="n"/>
      <c r="AA56" s="5" t="n"/>
      <c r="AB56" s="5" t="n"/>
      <c r="AC56" s="6" t="n"/>
      <c r="AD56" s="6" t="n"/>
      <c r="AE56" s="9" t="n"/>
      <c r="AF56" s="5" t="n"/>
      <c r="AG56" s="5" t="n"/>
      <c r="AH56" s="5" t="n"/>
      <c r="AI56" s="6" t="n"/>
      <c r="AJ56" s="5" t="n"/>
      <c r="AK56" s="5" t="n">
        <v>32</v>
      </c>
      <c r="AL56" s="6" t="n"/>
      <c r="AM56" s="6" t="inlineStr">
        <is>
          <t>PWRR–G&amp;W</t>
        </is>
      </c>
    </row>
  </sheetData>
  <autoFilter ref="A2:AM56"/>
  <mergeCells count="8">
    <mergeCell ref="R1:V1"/>
    <mergeCell ref="AE1:AG1"/>
    <mergeCell ref="AB1:AC1"/>
    <mergeCell ref="AH1:AJ1"/>
    <mergeCell ref="AK1:AM1"/>
    <mergeCell ref="O1:P1"/>
    <mergeCell ref="W1:AA1"/>
    <mergeCell ref="A1:N1"/>
  </mergeCells>
  <conditionalFormatting sqref="A3:AM300">
    <cfRule type="expression" priority="1" dxfId="0" stopIfTrue="1">
      <formula>AND($O3&lt;&gt;"",ISNA(MATCH($O3,'AI original'!$O$3:$O$500,0)))</formula>
    </cfRule>
    <cfRule type="expression" priority="2" dxfId="0" stopIfTrue="0">
      <formula>AND($O3&lt;&gt;"",NOT(ISNA(MATCH($O3,'AI original'!$O$3:$O$500,0))),A3&lt;&gt;INDEX('AI original'!$A$3:$AM$500,MATCH($O3,'AI original'!$O$3:$O$500,0),COLUMN()))</formula>
    </cfRule>
  </conditionalFormatting>
  <dataValidations count="15">
    <dataValidation sqref="D3:D300" showDropDown="0" showInputMessage="0" showErrorMessage="1" allowBlank="1" type="list">
      <formula1>=Lists!$A$2:$A$41</formula1>
    </dataValidation>
    <dataValidation sqref="G3:G300" showDropDown="0" showInputMessage="0" showErrorMessage="1" allowBlank="1" type="list">
      <formula1>=Lists!$B$2:$B$5</formula1>
    </dataValidation>
    <dataValidation sqref="I3:I300" showDropDown="0" showInputMessage="0" showErrorMessage="1" allowBlank="1" type="list">
      <formula1>=Lists!$C$2:$C$5</formula1>
    </dataValidation>
    <dataValidation sqref="J3:J300" showDropDown="0" showInputMessage="0" showErrorMessage="1" allowBlank="1" type="list">
      <formula1>=Lists!$D$2:$D$6</formula1>
    </dataValidation>
    <dataValidation sqref="P3:P300" showDropDown="0" showInputMessage="0" showErrorMessage="1" allowBlank="1" type="list">
      <formula1>=Lists!$E$2:$E$3</formula1>
    </dataValidation>
    <dataValidation sqref="U3:U300" showDropDown="0" showInputMessage="0" showErrorMessage="1" allowBlank="1" type="list">
      <formula1>=Lists!$F$2:$F$7</formula1>
    </dataValidation>
    <dataValidation sqref="V3:V300" showDropDown="0" showInputMessage="0" showErrorMessage="1" allowBlank="1" type="list">
      <formula1>=Lists!$G$2:$G$8</formula1>
    </dataValidation>
    <dataValidation sqref="Y3:Y300" showDropDown="0" showInputMessage="0" showErrorMessage="1" allowBlank="1" type="list">
      <formula1>=Lists!$H$2:$H$6</formula1>
    </dataValidation>
    <dataValidation sqref="Z3:Z300" showDropDown="0" showInputMessage="0" showErrorMessage="1" allowBlank="1" type="list">
      <formula1>=Lists!$I$2:$I$4</formula1>
    </dataValidation>
    <dataValidation sqref="AB3:AB300" showDropDown="0" showInputMessage="0" showErrorMessage="1" allowBlank="1" type="list">
      <formula1>=Lists!$J$2:$J$4</formula1>
    </dataValidation>
    <dataValidation sqref="AF3:AF300" showDropDown="0" showInputMessage="0" showErrorMessage="1" allowBlank="1" type="list">
      <formula1>=Lists!$K$2:$K$8</formula1>
    </dataValidation>
    <dataValidation sqref="AG3:AG300" showDropDown="0" showInputMessage="0" showErrorMessage="1" allowBlank="1" type="list">
      <formula1>=Lists!$L$2:$L$4</formula1>
    </dataValidation>
    <dataValidation sqref="AH3:AH300" showDropDown="0" showInputMessage="0" showErrorMessage="1" allowBlank="1" type="list">
      <formula1>=Lists!$M$2:$M$5</formula1>
    </dataValidation>
    <dataValidation sqref="AI3:AI300" showDropDown="0" showInputMessage="0" showErrorMessage="1" allowBlank="1" type="list">
      <formula1>=Lists!$N$2:$N$10</formula1>
    </dataValidation>
    <dataValidation sqref="AJ3:AJ300" showDropDown="0" showInputMessage="0" showErrorMessage="1" allowBlank="1" type="list">
      <formula1>=Lists!$O$2:$O$6</formula1>
    </dataValidation>
  </dataValidation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 xmlns:r="http://schemas.openxmlformats.org/officeDocument/2006/relationships" ref="L26" r:id="rId24"/>
    <hyperlink xmlns:r="http://schemas.openxmlformats.org/officeDocument/2006/relationships" ref="L27" r:id="rId25"/>
    <hyperlink xmlns:r="http://schemas.openxmlformats.org/officeDocument/2006/relationships" ref="L28" r:id="rId26"/>
    <hyperlink xmlns:r="http://schemas.openxmlformats.org/officeDocument/2006/relationships" ref="L29" r:id="rId27"/>
    <hyperlink xmlns:r="http://schemas.openxmlformats.org/officeDocument/2006/relationships" ref="L30" r:id="rId28"/>
    <hyperlink xmlns:r="http://schemas.openxmlformats.org/officeDocument/2006/relationships" ref="L31" r:id="rId29"/>
    <hyperlink xmlns:r="http://schemas.openxmlformats.org/officeDocument/2006/relationships" ref="L32" r:id="rId30"/>
    <hyperlink xmlns:r="http://schemas.openxmlformats.org/officeDocument/2006/relationships" ref="L33"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 xmlns:r="http://schemas.openxmlformats.org/officeDocument/2006/relationships" ref="L37" r:id="rId35"/>
    <hyperlink xmlns:r="http://schemas.openxmlformats.org/officeDocument/2006/relationships" ref="L38" r:id="rId36"/>
    <hyperlink xmlns:r="http://schemas.openxmlformats.org/officeDocument/2006/relationships" ref="L39" r:id="rId37"/>
    <hyperlink xmlns:r="http://schemas.openxmlformats.org/officeDocument/2006/relationships" ref="L40" r:id="rId38"/>
    <hyperlink xmlns:r="http://schemas.openxmlformats.org/officeDocument/2006/relationships" ref="L41" r:id="rId39"/>
    <hyperlink xmlns:r="http://schemas.openxmlformats.org/officeDocument/2006/relationships" ref="L42" r:id="rId40"/>
    <hyperlink xmlns:r="http://schemas.openxmlformats.org/officeDocument/2006/relationships" ref="L43" r:id="rId41"/>
    <hyperlink xmlns:r="http://schemas.openxmlformats.org/officeDocument/2006/relationships" ref="L44" r:id="rId42"/>
    <hyperlink xmlns:r="http://schemas.openxmlformats.org/officeDocument/2006/relationships" ref="L45" r:id="rId43"/>
    <hyperlink xmlns:r="http://schemas.openxmlformats.org/officeDocument/2006/relationships" ref="L46" r:id="rId44"/>
    <hyperlink xmlns:r="http://schemas.openxmlformats.org/officeDocument/2006/relationships" ref="L47" r:id="rId45"/>
    <hyperlink xmlns:r="http://schemas.openxmlformats.org/officeDocument/2006/relationships" ref="L48" r:id="rId46"/>
    <hyperlink xmlns:r="http://schemas.openxmlformats.org/officeDocument/2006/relationships" ref="L49" r:id="rId47"/>
    <hyperlink xmlns:r="http://schemas.openxmlformats.org/officeDocument/2006/relationships" ref="L50" r:id="rId48"/>
    <hyperlink xmlns:r="http://schemas.openxmlformats.org/officeDocument/2006/relationships" ref="L51" r:id="rId49"/>
    <hyperlink xmlns:r="http://schemas.openxmlformats.org/officeDocument/2006/relationships" ref="L52" r:id="rId50"/>
    <hyperlink xmlns:r="http://schemas.openxmlformats.org/officeDocument/2006/relationships" ref="L53" r:id="rId51"/>
    <hyperlink xmlns:r="http://schemas.openxmlformats.org/officeDocument/2006/relationships" ref="L54" r:id="rId52"/>
    <hyperlink xmlns:r="http://schemas.openxmlformats.org/officeDocument/2006/relationships" ref="L55" r:id="rId53"/>
    <hyperlink xmlns:r="http://schemas.openxmlformats.org/officeDocument/2006/relationships" ref="L56" r:id="rId5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34" customWidth="1" min="1" max="1"/>
    <col width="110" customWidth="1" min="2" max="2"/>
    <col width="70" customWidth="1" min="3" max="3"/>
  </cols>
  <sheetData>
    <row r="1">
      <c r="A1" s="1" t="inlineStr">
        <is>
          <t>1. Status and commercial account</t>
        </is>
      </c>
    </row>
    <row r="2">
      <c r="A2" s="6" t="inlineStr">
        <is>
          <t>AI first pass; not human-approved. Instruction revision: 19 September 2026. Supplied source: the single DEFM14A in raw_filing/ (providence-worcester_2016-09-20_DEFM14A.htm); background pp.27–32, plus the party, agreement, opinion, reasons, market-price and ownership passages included under Source text. Last recheck: mechanical checks run at build time on this version (see Check results); no post-delivery edits.</t>
        </is>
      </c>
    </row>
    <row r="3">
      <c r="A3" s="6" t="inlineStr">
        <is>
          <t>Providence &amp; Worcester (PWRR; NASDAQ: PWX), a Rhode Island short-line railroad, began the sale process after a Q4 2015 approach from a Class I rail partner (Party A) that suggested joint ventures and interest in acquiring equity; the Board engaged Greene Holcomb &amp; Fisher (GHF, later BMO) on 01/27/2016 and approved an exploratory sale process on 03/14/2016. GHF contacted 29 potential buyers in the week of 03/28/2016 (11 strategic, 18 financial); 25 signed confidentiality agreements (11 strategic, 14 financial). Nine non-binding IOIs, $17.93–$26.50 per share, arrived 05/19–06/01/2016; the Committee excluded the two low bidders and advanced seven to management presentations and data-site diligence. In the LOI round, six buyers bid $19.20–$24.00 (Party B highest at $24.00; G&amp;W $21.15 with a $1.13 South Quay CVR, revised to $22.15), while two eligible buyers elected not to submit and 16 NDA signers never bid. On 07/27/2016 the Committee selected G&amp;W and Party B for confirmatory diligence and definitive negotiation; Parties C–F were told they were out, Parties D and E briefly re-entered (with Party F financing Party E), and Party E reverted to $21.26. On 08/12/2016, after Party B declined to improve its $24.00 price, G&amp;W bid $25.00 all cash (dropping the CVR), the Board declared it superior and the merger agreement was signed the same day, announced 08/15/2016. The Eder Trusts (17.3% of common, 78.1% of preferred) signed a voting agreement.</t>
        </is>
      </c>
    </row>
    <row r="5">
      <c r="A5" s="1" t="inlineStr">
        <is>
          <t>2. Deal facts</t>
        </is>
      </c>
    </row>
    <row r="6">
      <c r="A6" s="10" t="inlineStr">
        <is>
          <t>Target</t>
        </is>
      </c>
      <c r="B6" s="6" t="inlineStr">
        <is>
          <t>Providence and Worcester Railroad Company (PWRR), a Rhode Island corporation; common quoted on NASDAQ as "PWX"; preferred is non-cumulative, pays up to $5.00 per share per annum, and is convertible into 100 common shares.</t>
        </is>
      </c>
    </row>
    <row r="7">
      <c r="A7" s="10" t="inlineStr">
        <is>
          <t>Focal acquirer and type</t>
        </is>
      </c>
      <c r="B7" s="6" t="inlineStr">
        <is>
          <t>Genesee &amp; Wyoming Inc. (G&amp;W), a Delaware corporation; Strategic (operating rail acquirer; owns/leases 121 freight railroads; no financing condition). Merger Sub: Pullman Acquisition Sub Inc., a Rhode Island corporation formed 08/12/2016, wholly owned by G&amp;W.</t>
        </is>
      </c>
    </row>
    <row r="8">
      <c r="A8" s="10" t="inlineStr">
        <is>
          <t>Agreed consideration</t>
        </is>
      </c>
      <c r="B8" s="6" t="inlineStr">
        <is>
          <t>$25.00 per share in cash, without interest, for each common share (including preferred deemed converted at 100:1 plus accrued/unpaid dividends). All-cash; no CVR in the signed terms.</t>
        </is>
      </c>
    </row>
    <row r="9">
      <c r="A9" s="10" t="inlineStr">
        <is>
          <t>Signing / announcement / completion</t>
        </is>
      </c>
      <c r="B9" s="6" t="inlineStr">
        <is>
          <t>Merger agreement dated as of 08/12/2016, executed the same day (p.32, Annex A). Merger announced by press release 08/15/2016 before NASDAQ open (p.32). Completion is NOT observed in the supplied filing: the special meeting was scheduled for 10:00 a.m. on 10/26/2016 and the proxy is dated 09/19/2016 (mailed on or about 09/21/2016).</t>
        </is>
      </c>
    </row>
    <row r="10">
      <c r="A10" s="10" t="inlineStr">
        <is>
          <t>Filing identity and source</t>
        </is>
      </c>
      <c r="B10" s="6" t="inlineStr">
        <is>
          <t>DEFM14A for PWRR filed 2016-09-20 (filename providence-worcester_2016-09-20_DEFM14A.htm, raw_filing/). Background pages 27–32. Proxy record date 09/16/2016: 4,866,593 common shares outstanding (~540 holders) and 640 preferred shares (8 holders).</t>
        </is>
      </c>
    </row>
    <row r="11">
      <c r="A11" s="10" t="inlineStr">
        <is>
          <t>Termination fee</t>
        </is>
      </c>
      <c r="B11" s="6" t="inlineStr">
        <is>
          <t>$3,785,000 payable by the Company under specified circumstances (3% of transaction value; negotiated down from 3.85% in G&amp;W’s draft). Labelled calculation: $3,785,000 ÷ 0.03 ≈ $126.2m implied transaction value (not stated by the filing; inputs p.31 and p.55).</t>
        </is>
      </c>
    </row>
    <row r="12">
      <c r="A12" s="10" t="inlineStr">
        <is>
          <t>Market benchmark</t>
        </is>
      </c>
      <c r="B12" s="6" t="inlineStr">
        <is>
          <t>$25.00 offer represents a 53% premium over the $16.30 closing price on 08/12/2016, the last trading day before signing (p.33). Q3 2016 trading through 09/16/2016: high $25.00 / low $15.60 (p.71).</t>
        </is>
      </c>
    </row>
    <row r="13">
      <c r="A13" s="10" t="inlineStr">
        <is>
          <t>Eder Trusts / voting agreement</t>
        </is>
      </c>
      <c r="B13" s="6" t="inlineStr">
        <is>
          <t>Robert H. Eder Trust and Linda Eder Trust: 842,742 common (17.3%) and 500 preferred (78.1%) as of the record date; voting agreement with the Company and G&amp;W to vote in favor; ordinary pre-signing support, not a rollover. Directors and executive officers with affiliates held ~22.7% of common and 78.1% of preferred.</t>
        </is>
      </c>
    </row>
    <row r="15">
      <c r="A15" s="1" t="inlineStr">
        <is>
          <t>3. Process and round map</t>
        </is>
      </c>
    </row>
    <row r="16">
      <c r="A16" s="6" t="inlineStr">
        <is>
          <t>One process (no abandonment, dormancy or restarted attempt observed). Round 0: Q4 2015 Party A approach; 01/27/2016 GHF engagement; 03/14/2016 Board sale-process decision.</t>
        </is>
      </c>
    </row>
    <row r="17">
      <c r="A17" s="10" t="inlineStr">
        <is>
          <t>Round 1 — IOI solicitation (opened week of 03/28/2016)</t>
        </is>
      </c>
      <c r="B17" s="6" t="inlineStr">
        <is>
          <t>R1 anchor: first outreach wave (R005). Objective: gauge interest and collect non-binding IOIs. Participants: 29 contacted (11 strategic, 18 financial); 25 NDA signers (11+14). Deadline history: IOIs requested by 05/10/2016 (set by 04/27/2016, R012); revised to 05/19/2016 (R013); deadline reached 05/19/2016 (R014). Treatment: R013 Extended; R014 Late bids accepted (IOIs arrived through 06/01/2016). Finality: Not final. End: nine IOIs considered; two low bidders excluded (R017); seven advanced; 16 inferred non-submitters (R016). Round-1 bidders: 9 submitting units.</t>
        </is>
      </c>
    </row>
    <row r="18">
      <c r="A18" s="10" t="inlineStr">
        <is>
          <t>Round 2 — presentations, diligence and LOIs (opened 06/01/2016)</t>
        </is>
      </c>
      <c r="B18" s="6" t="inlineStr">
        <is>
          <t>Objective: management presentations, data-site due diligence, non-binding LOIs with markups. Participants: seven advanced plus late entrant Party C = 8. Deadline: LOIs by 07/20/2016, set mid-June (R019); reached (R024). Treatment: Late bids accepted (G&amp;W 07/21; revised 07/26). Finality: Not final. End: six LOIs (R025–R029, R033), two stated non-submitters (R030–R031), Party A identity close (R032). Round-2 bidders: 6 LOI units (plus Party C IOI counted in-round; 8 participants).</t>
        </is>
      </c>
    </row>
    <row r="19">
      <c r="A19" s="10" t="inlineStr">
        <is>
          <t>Round 3 — confirmatory diligence and definitive negotiation (opened 07/27/2016)</t>
        </is>
      </c>
      <c r="B19" s="6" t="inlineStr">
        <is>
          <t>Objective: confirmatory diligence and definitive documentation with selected bidders. Participants: G&amp;W and Party B; Parties D and E re-entered 08/01 (R040, R042); Parties C–F dropped 07/27 (R036–R039). No separate bid deadline. Finality: Inferred final (target moved to definitive negotiation and signed). End: G&amp;W $25.00 (R049), merger agreement signed 08/12/2016 (R050). Round-3 bidders: 4 units (B reaffirmed, D, E, G&amp;W).</t>
        </is>
      </c>
    </row>
    <row r="20">
      <c r="A20" s="10" t="inlineStr">
        <is>
          <t>Post-signing</t>
        </is>
      </c>
      <c r="B20" s="6" t="inlineStr">
        <is>
          <t>No competing proposal, go-shop or termination is disclosed in the supplied filing before its 09/19/2016 date. The only post-signing adviser event is BMO’s 09/06/2016 disclosure of an affiliate’s participation in G&amp;W’s secured debt facility, which the Board found not material to BMO’s independence — recorded here rather than as a ledger row (post-signing scope rule, section 4).</t>
        </is>
      </c>
    </row>
    <row r="22">
      <c r="A22" s="1" t="inlineStr">
        <is>
          <t>4. Participants and advisers</t>
        </is>
      </c>
    </row>
    <row r="23">
      <c r="A23" s="10" t="inlineStr">
        <is>
          <t>Party A</t>
        </is>
      </c>
      <c r="B23" s="6" t="inlineStr">
        <is>
          <t>Class I rail partner. Strategic. Q4 2015 approach (equity/JV interest); management meeting 03/22–03/23/2016; NDA signer; last individually recorded when the memorandum went to signers. Closed by Count-0 identity row R032 at the LOI transition under either covering cohort (recommended: R030).</t>
        </is>
      </c>
    </row>
    <row r="24">
      <c r="A24" s="10" t="inlineStr">
        <is>
          <t>Party B</t>
        </is>
      </c>
      <c r="B24" s="6" t="inlineStr">
        <is>
          <t>Strategic. Introductory meeting 04/21/2016; NDA signer; LOI $24.00 with markups (R025); late reconfirmation 08/04/2016 (returned revised merger-agreement draft; $24.00 carried, R047); declined to raise on 08/12/2016; closed Not selected at signing, exit reason Would not improve earlier offer (R051).</t>
        </is>
      </c>
    </row>
    <row r="25">
      <c r="A25" s="10" t="inlineStr">
        <is>
          <t>Party C</t>
        </is>
      </c>
      <c r="B25" s="6" t="inlineStr">
        <is>
          <t>Strategic late entrant. Approached early July 2016; NDA; IOI $21.00 (07/12); catch-up data-site access and 07/14 management presentation; LOI $19.30; dropped 07/27/2016 (R036).</t>
        </is>
      </c>
    </row>
    <row r="26">
      <c r="A26" s="10" t="inlineStr">
        <is>
          <t>Party D</t>
        </is>
      </c>
      <c r="B26" s="6" t="inlineStr">
        <is>
          <t>Financial buyer (filing). LOI $21.00 with markups (R027); dropped 07/27, re-entered 08/01 with revised LOI $24.00 (R040–R041); paused 08/02 after the Company declined its requested signing commitment (R045); closed Not selected at signing (R053, inferred silent).</t>
        </is>
      </c>
    </row>
    <row r="27">
      <c r="A27" s="10" t="inlineStr">
        <is>
          <t>Party E</t>
        </is>
      </c>
      <c r="B27" s="6" t="inlineStr">
        <is>
          <t>Strategic buyer (filing). LOI $21.26 with a 60-day exclusivity request and an issues list (R026); dropped 07/27, re-entered 08/01 with revised LOI $23.81 supported by Party F (R042–R043); reverted to $21.26 on 08/02 (R044); closed Not selected at signing (R052, inferred silent).</t>
        </is>
      </c>
    </row>
    <row r="28">
      <c r="A28" s="10" t="inlineStr">
        <is>
          <t>Party F</t>
        </is>
      </c>
      <c r="B28" s="6" t="inlineStr">
        <is>
          <t>Strategic. LOI $19.20 (R029); dropped 07/27/2016 (R039); later provided financing support to Party E’s revised proposal (recorded on R043; no new row or re-entry because it had exited).</t>
        </is>
      </c>
    </row>
    <row r="29">
      <c r="A29" s="10" t="inlineStr">
        <is>
          <t>G&amp;W (winner)</t>
        </is>
      </c>
      <c r="B29" s="6" t="inlineStr">
        <is>
          <t>Strategic acquirer. LOI $21.15 with CVR (07/21), revised $22.15 (07/26), final $25.00 all cash (08/12); selected 07/27/2016; signed 08/12/2016. No exit row.</t>
        </is>
      </c>
    </row>
    <row r="30">
      <c r="A30" s="10" t="inlineStr">
        <is>
          <t>Cohorts</t>
        </is>
      </c>
      <c r="B30" s="6" t="inlineStr">
        <is>
          <t>11 strategic NDA signers (R006); 14 financial NDA signers (R007); nine IOI submitters (R015); two low bidders (R017); 16 inferred non-submitters (R016); one strategic and one financial non-LOI-submitter (R030–R031). Cohorts are not extra parties.</t>
        </is>
      </c>
    </row>
    <row r="31">
      <c r="A31" s="10" t="inlineStr">
        <is>
          <t>Advisers</t>
        </is>
      </c>
      <c r="B31" s="6" t="inlineStr">
        <is>
          <t>BMO Capital Markets Corp. (successor by acquisition to Greene Holcomb &amp; Fisher LLC, 08/01/2016): target financial adviser; engaged 01/27/2016 (R002); written fairness opinion 08/12/2016; aggregate fee ≈ $2.52m, majority contingent on consummation (p.41). Hinckley, Allen &amp; Snyder LLP: target legal counsel (first service observed 03/24/2016; engaged earlier if a date exists elsewhere — not stated). Simpson Thacher &amp; Bartlett LLP: G&amp;W legal counsel (first service observed 08/10/2016). No G&amp;W financial adviser is disclosed. The Company’s unnamed STB counsel advised the Board on regulatory process (p.32). BMO affiliate held ~5% of a G&amp;W secured syndicated facility (disclosed to the Board 09/06/2016; found not material).</t>
        </is>
      </c>
    </row>
    <row r="33">
      <c r="A33" s="1" t="inlineStr">
        <is>
          <t>5. Counts and auction screen</t>
        </is>
      </c>
    </row>
    <row r="34">
      <c r="A34" s="11" t="inlineStr">
        <is>
          <t>Auction screen (signed bidder NDAs)</t>
        </is>
      </c>
      <c r="B34" s="6">
        <f>SUMIFS('Deal ledger'!$Q:$Q,'Deal ledger'!$D:$D,"NDA signed",'Deal ledger'!$E:$E,1,'Deal ledger'!$P:$P,"Yes")</f>
        <v/>
      </c>
      <c r="C34" s="12" t="inlineStr">
        <is>
          <t>Met: more than one independent prospective acquiring bidder unit executed bidder-target confidentiality agreements for this process. Ledger NDA Count = 25 (11 strategic + 14 financial) plus Party C (R021) = 26 total; the formula sums 25 in-process rows (plus 1 late-entrant row if added: 26). Excludes lender/adviser/rollover agreements (none present).</t>
        </is>
      </c>
    </row>
    <row r="35">
      <c r="A35" s="11" t="inlineStr">
        <is>
          <t>Contacts recorded</t>
        </is>
      </c>
      <c r="B35" s="6">
        <f>SUMIFS('Deal ledger'!$Q:$Q,'Deal ledger'!$D:$D,"Contact",'Deal ledger'!$E:$E,1,'Deal ledger'!$P:$P,"Yes")</f>
        <v/>
      </c>
      <c r="C35" s="12" t="inlineStr">
        <is>
          <t>Filing assertions: 29 contacted in the week of 03/28/2016; two additional Class I railroads approached; Party C approached management. The formula sums 29 + 2 + 1 = 32 additive counts; Party B (R011) and the convention buyers (R009) carry blank counts because overlap with the 29 is not established, so 32 is a lower bound for distinct contact events, not a unique-party total.</t>
        </is>
      </c>
    </row>
    <row r="36">
      <c r="A36" s="11" t="inlineStr">
        <is>
          <t>Round-1 submitting units (nine IOIs)</t>
        </is>
      </c>
      <c r="B36" s="6">
        <f>SUMIFS('Deal ledger'!$Q:$Q,'Deal ledger'!$D:$D,"Bid",'Deal ledger'!$E:$E,1,'Deal ledger'!$F:$F,1,'Deal ledger'!$P:$P,"Yes")</f>
        <v/>
      </c>
      <c r="C36" s="12" t="inlineStr">
        <is>
          <t>Filing assertion: "the Company received nine written indications of interest" (p.29). Ledger: one group-envelope cohort row Count 9; the individual IOI prices/identities are not disclosed.</t>
        </is>
      </c>
    </row>
    <row r="37">
      <c r="A37" s="11" t="inlineStr">
        <is>
          <t>Round-2 submitting units (six LOIs)</t>
        </is>
      </c>
      <c r="B37" s="6">
        <f>SUMIFS('Deal ledger'!$Q:$Q,'Deal ledger'!$D:$D,"Bid",'Deal ledger'!$E:$E,1,'Deal ledger'!$F:$F,2,'Deal ledger'!$P:$P,"Yes")</f>
        <v/>
      </c>
      <c r="C37" s="12" t="inlineStr">
        <is>
          <t>Filing assertion: six LOIs, $19.20–$24.00 (p.29). Ledger Count = 1 (Party B) + 1 (Party E) + 1 (Party D) + 0 (Party C, counted in its 07/12 IOI) + 1 (Party F) + 1 (G&amp;W 07/21) + 0 (G&amp;W 07/26) = 5 counted units plus Party C already counted in-round; six distinct LOI submitters are individually recorded. Formula reads 5; add the Party C in-round count for 6 submitters.</t>
        </is>
      </c>
    </row>
    <row r="38">
      <c r="A38" s="11" t="inlineStr">
        <is>
          <t>Round-3 bidding units</t>
        </is>
      </c>
      <c r="B38" s="6">
        <f>SUMIFS('Deal ledger'!$Q:$Q,'Deal ledger'!$D:$D,"Bid",'Deal ledger'!$E:$E,1,'Deal ledger'!$F:$F,3,'Deal ledger'!$P:$P,"Yes")</f>
        <v/>
      </c>
      <c r="C38" s="12" t="inlineStr">
        <is>
          <t>Ledger Count = 1 (Party D revised) + 1 (Party E revised) + 1 (G&amp;W final) = 3 new priced submissions; Party B’s 08/04/2016 late reconfirmation is a Bid reaffirmed (Count 1) and brings round-3 units to 4.</t>
        </is>
      </c>
    </row>
    <row r="39">
      <c r="A39" s="11" t="inlineStr">
        <is>
          <t>Per-stage balance (participant units)</t>
        </is>
      </c>
      <c r="B39" s="6" t="inlineStr"/>
      <c r="C39" s="12" t="inlineStr">
        <is>
          <t>Round 1: 25 entered (NDA signers); exits 16 inferred non-submitters + 2 dropped = 18; continuing 7. Round 2: 7 + Party C = 8 entered; exits 2 stated non-submitters + 4 dropped (C, D, E, F on 07/27) = 6; continuing 2 (B, G&amp;W). Round 3: 2 continuing + D, E re-entered = 4; exits: Party B (Not selected), Party E and Party D (inferred silent) = 3; winner G&amp;W alone. Inferred share of exits: 16 residual + 2 silent closes = 18 of 27 close-out units.</t>
        </is>
      </c>
    </row>
    <row r="40">
      <c r="A40" s="10" t="inlineStr">
        <is>
          <t>Counts caveats</t>
        </is>
      </c>
      <c r="B40" s="6" t="inlineStr">
        <is>
          <t>Counts are scoped tallies, not unique-party populations. No submission count is asserted beyond the nine IOIs and six LOIs that the filing itself counts. Round-1 participant stock includes the 25 signers because all entered under NDA; 16 of them never submitted. Contact totals are a lower bound (blank contributions noted above).</t>
        </is>
      </c>
    </row>
    <row r="42">
      <c r="A42" s="1" t="inlineStr">
        <is>
          <t>6. Comparability and inputs</t>
        </is>
      </c>
    </row>
    <row r="43">
      <c r="A43" s="10" t="inlineStr">
        <is>
          <t>Other-scope / partial proposals</t>
        </is>
      </c>
      <c r="B43" s="6" t="inlineStr">
        <is>
          <t>None for the Company. Party A’s Q4 2015 expression of interest in acquiring equity is recorded as Bidder interest (scope unresolved, unpriced), not as a whole-company bid.</t>
        </is>
      </c>
    </row>
    <row r="44">
      <c r="A44" s="10" t="inlineStr">
        <is>
          <t>Unusual consideration</t>
        </is>
      </c>
      <c r="B44" s="6" t="inlineStr">
        <is>
          <t>G&amp;W’s two LOI prices included a $1.13 contingent value right tied to the subsequent sale of the South Quay property; the fixed cash components were $20.02 then $21.02. The CVR was dropped in the $25.00 final bid. Cash + CVR is still cash consideration (All cash = Yes) with the contingent piece kept in text.</t>
        </is>
      </c>
    </row>
    <row r="45">
      <c r="A45" s="10" t="inlineStr">
        <is>
          <t>Stated share counts / market data</t>
        </is>
      </c>
      <c r="B45" s="6" t="inlineStr">
        <is>
          <t>4,866,593 common shares and 640 preferred shares outstanding as of 09/16/2016 (p.71); directors and officers with affiliates ~22.7% of common, 78.1% of preferred; Eder Trusts 842,742 common (17.3%) and 500 preferred (78.1%); 08/12/2016 close $16.30; Q3 2016 range $15.60–$25.00 through 09/16/2016; IOI implied equity values $90–134m; LOI implied equity values $96–121m.</t>
        </is>
      </c>
    </row>
    <row r="46">
      <c r="A46" s="10" t="inlineStr">
        <is>
          <t>Labelled calculation</t>
        </is>
      </c>
      <c r="B46" s="6" t="inlineStr">
        <is>
          <t>Implied transaction value from the termination fee: $3,785,000 ÷ 3% = $126.17m (convention, not a filing statement). Fully-diluted share arithmetic is not entered: option/RSU counts are given elsewhere in the filing and are not needed here.</t>
        </is>
      </c>
    </row>
    <row r="47">
      <c r="A47" s="10" t="inlineStr">
        <is>
          <t>Currency</t>
        </is>
      </c>
      <c r="B47" s="6" t="inlineStr">
        <is>
          <t>USD throughout; no conversion performed.</t>
        </is>
      </c>
    </row>
    <row r="48">
      <c r="A48" s="10" t="inlineStr">
        <is>
          <t>Glossary</t>
        </is>
      </c>
      <c r="B48" s="6" t="inlineStr">
        <is>
          <t>IOI = indication of interest; LOI = letter of intent; NDA = confidentiality agreement; CVR = contingent value right (payment contingent on the South Quay property sale); STB = Surface Transportation Board; fiduciary out = the Board’s ability to change its recommendation for an unsolicited superior proposal; termination fee = payment by the Company on specified terminations.</t>
        </is>
      </c>
    </row>
  </sheetData>
  <mergeCells count="9">
    <mergeCell ref="A2:B2"/>
    <mergeCell ref="A16:B16"/>
    <mergeCell ref="A15:B15"/>
    <mergeCell ref="A33:B33"/>
    <mergeCell ref="A5:B5"/>
    <mergeCell ref="A42:B42"/>
    <mergeCell ref="A1:B1"/>
    <mergeCell ref="A3:B3"/>
    <mergeCell ref="A22:B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60" customWidth="1" min="3" max="3"/>
    <col width="60" customWidth="1" min="4" max="4"/>
    <col width="30" customWidth="1" min="5" max="5"/>
    <col width="45" customWidth="1" min="6" max="6"/>
    <col width="10" customWidth="1" min="7" max="7"/>
    <col width="24" customWidth="1" min="8" max="8"/>
  </cols>
  <sheetData>
    <row r="1">
      <c r="A1" s="13" t="inlineStr">
        <is>
          <t>Q</t>
        </is>
      </c>
      <c r="B1" s="13" t="inlineStr">
        <is>
          <t>Review topic</t>
        </is>
      </c>
      <c r="C1" s="13" t="inlineStr">
        <is>
          <t>Recommended answer</t>
        </is>
      </c>
      <c r="D1" s="13" t="inlineStr">
        <is>
          <t>Why and source</t>
        </is>
      </c>
      <c r="E1" s="13" t="inlineStr">
        <is>
          <t>Affected rows/fields</t>
        </is>
      </c>
      <c r="F1" s="13" t="inlineStr">
        <is>
          <t>Consequence of changing it</t>
        </is>
      </c>
      <c r="G1" s="13" t="inlineStr">
        <is>
          <t>Status</t>
        </is>
      </c>
      <c r="H1" s="13" t="inlineStr">
        <is>
          <t>Reviewer note</t>
        </is>
      </c>
    </row>
    <row r="2">
      <c r="A2" s="6" t="inlineStr">
        <is>
          <t>Q1</t>
        </is>
      </c>
      <c r="B2" s="6" t="inlineStr">
        <is>
          <t>Process and round map</t>
        </is>
      </c>
      <c r="C2" s="6" t="inlineStr">
        <is>
          <t>Adopt one process with three rounds: R1 opened week of 03/28/2016 (outreach wave, R005); R2 opened 06/01/2016 (advance seven, data site, presentations, LOIs); R3 opened 07/27/2016 (confirmatory diligence and definitive negotiation with G&amp;W and Party B, Inferred final). R1 anchor = R005; rejected candidates R003 (03/14/2016 Board decision) and R004 (03/24/2016 authorization) remain on the ledger.</t>
        </is>
      </c>
      <c r="D2" s="6" t="inlineStr">
        <is>
          <t>Section 6.2–6.3 and the mapping of the filing: no abandonment or dormancy appears, so one process; each round transition is a substantive, target-organized step (p.28–p.31). No separate round is created by the D/E re-engagements or G&amp;W’s 07/26 and 08/12 bids.</t>
        </is>
      </c>
      <c r="E2" s="6" t="inlineStr">
        <is>
          <t>R003–R005, R008, R014, R017, R035, R048; Round finality fields on R008 (Not final), R018 (Not final), R035 (Inferred final)</t>
        </is>
      </c>
      <c r="F2" s="6" t="inlineStr">
        <is>
          <t>Moving the R1 anchor to R003/R004 changes the round-1 boundary but not participant counts; treating the post-07/27 phase as a separate round would add one round and move R040–R049.</t>
        </is>
      </c>
      <c r="G2" s="6" t="inlineStr">
        <is>
          <t>Pending</t>
        </is>
      </c>
      <c r="H2" s="6" t="inlineStr"/>
    </row>
    <row r="3">
      <c r="A3" s="6" t="inlineStr">
        <is>
          <t>Q2</t>
        </is>
      </c>
      <c r="B3" s="6" t="inlineStr">
        <is>
          <t>Deadlines and treatments</t>
        </is>
      </c>
      <c r="C3" s="6" t="inlineStr">
        <is>
          <t>Keep: IOI due 05/10/2016 superseded (R012, Extended on R013) and reached 05/19/2016 with Late bids accepted (R014, IOIs through 06/01/2016); LOI due 07/20/2016 with Late bids accepted (R024, G&amp;W 07/21 considered). The extension communication day is not disclosed (Working 05/08/2016, midpoint).</t>
        </is>
      </c>
      <c r="D3" s="6" t="inlineStr">
        <is>
          <t>Section 8.3. "Between May 19, 2016 and June 1, 2016, the Company received nine written IOIs" (p.29) supports late acceptance of bids arriving after 05/19; G&amp;W’s 07/21 LOI was reviewed with the others on 07/22 and 07/27 (pp.29–30). No revised due date after 05/19 is reported, and no bid is dated later than 07/21 before the 07/22 review.</t>
        </is>
      </c>
      <c r="E3" s="6" t="inlineStr">
        <is>
          <t>R012–R014, R019, R024; Deadline treatment fields; Summary round map</t>
        </is>
      </c>
      <c r="F3" s="6" t="inlineStr">
        <is>
          <t>Classifying 05/19 as merely Extended (not late-accepted) would move the residual non-submitters and the two-low-bidder exclusion timing; classifying 07/20 as Enforced would make G&amp;W’s 07/21 LOI a late bid the target should not have considered, contradicting the filing’s treatment.</t>
        </is>
      </c>
      <c r="G3" s="6" t="inlineStr">
        <is>
          <t>Pending</t>
        </is>
      </c>
      <c r="H3" s="6" t="inlineStr"/>
    </row>
    <row r="4">
      <c r="A4" s="6" t="inlineStr">
        <is>
          <t>Q3</t>
        </is>
      </c>
      <c r="B4" s="6" t="inlineStr">
        <is>
          <t>NDA quantities, population overlap and identity mapping</t>
        </is>
      </c>
      <c r="C4" s="6" t="inlineStr">
        <is>
          <t>Keep 25 NDA signers (11 strategic + 14 financial) as the section 10.2 base, plus Party C separately (26 total); the 4 contacted financial buyers that never signed are not closed out. Keep the Party A Count-0 identity row (R032) recommending R030 (the strategic LOI non-submitter) as its covering cohort; list R016 as the alternative. Keep blank contact counts on R009 and R011 for unresolved overlap.</t>
        </is>
      </c>
      <c r="D4" s="6" t="inlineStr">
        <is>
          <t>"Each of the potential strategic buyers and 14 potential financial buyers subsequently executed confidentiality agreements" (p.28); "One strategic buyer and one financial buyer elected not to submit an LOI" (p.30). Party A is last individually recorded in the memorandum distribution (p.28) and is never named again; Alex’s hand-collected drop date for Party A (07/22/2016) sits at the LOI transition, supporting R030 as the recommended reading.</t>
        </is>
      </c>
      <c r="E4" s="6" t="inlineStr">
        <is>
          <t>R006, R007, R009, R011, R016, R017, R030, R031, R032; Summary counts block</t>
        </is>
      </c>
      <c r="F4" s="6" t="inlineStr">
        <is>
          <t>If Party A never submitted an IOI, its identity row belongs with R016 instead; counts do not move under either reading. A different signer base would change the 16-unit residual and the per-stage balance.</t>
        </is>
      </c>
      <c r="G4" s="6" t="inlineStr">
        <is>
          <t>Pending</t>
        </is>
      </c>
      <c r="H4" s="6" t="inlineStr"/>
    </row>
    <row r="5">
      <c r="A5" s="6" t="inlineStr">
        <is>
          <t>Q4</t>
        </is>
      </c>
      <c r="B5" s="6" t="inlineStr">
        <is>
          <t>Participation outcomes, agency and reasons</t>
        </is>
      </c>
      <c r="C5" s="6" t="inlineStr">
        <is>
          <t>Keep: two low bidders Dropped by target, Lower offer than rivals (R017); C–F Dropped by target 07/27 (R036–R039), with Party E’s row noting its $21.26 nominal price exceeded G&amp;W’s first LOI; Party D Participation paused (R045, Bidder/Terms or process); Party B Not selected at signing, Would not improve earlier offer (R051); Party E and Party D closed Not selected at signing, Inferred: silent, reason Not stated (R052–R053). Group every inferred close: R016 (16 residual at 05/19), R030–R032 (07/20), R052–R053 (08/12).</t>
        </is>
      </c>
      <c r="D5" s="6" t="inlineStr">
        <is>
          <t>Section 10.1–10.3. The filing explicitly reports each drop ("no longer involved", p.30), the pause ("would not proceed with further due diligence at that time", p.30), and Party B’s refusal to raise (p.32). No motive is stated for the silent closes, so no exit reason is inferred.</t>
        </is>
      </c>
      <c r="E5" s="6" t="inlineStr">
        <is>
          <t>R016, R017, R030–R032, R036–R039, R045, R051–R053; Decided by / Exit reason / Outcome basis fields</t>
        </is>
      </c>
      <c r="F5" s="6" t="inlineStr">
        <is>
          <t>Treating Party D’s statement as a withdrawal would remove R053 and change the per-stage balance; assigning Lower offer than rivals to E/D closes would assert an unstated motive.</t>
        </is>
      </c>
      <c r="G5" s="6" t="inlineStr">
        <is>
          <t>Pending</t>
        </is>
      </c>
      <c r="H5" s="6" t="inlineStr"/>
    </row>
    <row r="6">
      <c r="A6" s="6" t="inlineStr">
        <is>
          <t>Q5</t>
        </is>
      </c>
      <c r="B6" s="6" t="inlineStr">
        <is>
          <t>Formality and late reconfirmation</t>
        </is>
      </c>
      <c r="C6" s="6" t="inlineStr">
        <is>
          <t>Keep Party B 08/04/2016 as a Bid reaffirmed ($24.00 carried forward, Formal, flagged) under section 9.1 late-reconfirmation criteria; keep Party E’s LOI Informal (issues list is not a returned markup), Party C and Party F LOIs Informal, and Party D/G&amp;W/B Formal.</t>
        </is>
      </c>
      <c r="D6" s="6" t="inlineStr">
        <is>
          <t>Party B returned a revised merger-agreement draft on 08/04/2016 (p.31) while the target was completing the agreement with it (p.31); its latest priced row sits in a Not-final round. Section 9.2 signal 1 for returned markups; the target’s own 08/03 draft and the 08/10 counsel discussion generate no row (calibration example C in the instruction).</t>
        </is>
      </c>
      <c r="E6" s="6" t="inlineStr">
        <is>
          <t>R025–R029, R033, R034, R043, R044, R047, R049; Formality fields</t>
        </is>
      </c>
      <c r="F6" s="6" t="inlineStr">
        <is>
          <t>Dropping R047 would leave Party B’s final position without a formal row; upgrading Party E to Formal would overstate its documentation based on an issues list alone.</t>
        </is>
      </c>
      <c r="G6" s="6" t="inlineStr">
        <is>
          <t>Pending</t>
        </is>
      </c>
      <c r="H6" s="6" t="inlineStr"/>
    </row>
    <row r="7">
      <c r="A7" s="6" t="inlineStr">
        <is>
          <t>Q6</t>
        </is>
      </c>
      <c r="B7" s="6" t="inlineStr">
        <is>
          <t>Conditions levels, prices and consideration</t>
        </is>
      </c>
      <c r="C7" s="6" t="inlineStr">
        <is>
          <t>Keep: nine IOIs Heavy by context; Party C IOI Heavy; the six LOIs Heavy where they carry stated multi-week diligence periods or a requested 60-day exclusivity (E) except Party B Light (expedited review); G&amp;W final bid None (diligence completed 08/11, no further diligence stated, all cash, no financing condition, financial-wherewithal representation); Party B 08/04 Light (only condition ever attached was expedited diligence, still open). All cash = Yes for G&amp;W rows; CVR components kept in text.</t>
        </is>
      </c>
      <c r="D7" s="6" t="inlineStr">
        <is>
          <t>Section 9.3. G&amp;W’s final conditions are supported by completed diligence (p.31) and "the absence of a financing condition in the merger agreement and the representation of G&amp;W ... as to its financial wherewithal" (p.34). Party E’s 60-day exclusivity request and the four-week/30-day diligence periods are stated (pp.29–30). The G&amp;W CVR was "based on the subsequent sale of the Company’s South Quay property" (p.29).</t>
        </is>
      </c>
      <c r="E7" s="6" t="inlineStr">
        <is>
          <t>R015, R022, R025–R029, R033, R034, R041, R043, R044, R047, R049; Conditions level and Conditions detail fields</t>
        </is>
      </c>
      <c r="F7" s="6" t="inlineStr">
        <is>
          <t>Downgrading G&amp;W’s final bid to Light would change the winner’s readiness assessment; treating cash+CVR as non-cash would misstate All cash; ignoring the stated diligence periods would understate LOI conditionality.</t>
        </is>
      </c>
      <c r="G7" s="6" t="inlineStr">
        <is>
          <t>Pending</t>
        </is>
      </c>
      <c r="H7" s="6" t="inlineStr"/>
    </row>
    <row r="8">
      <c r="A8" s="6" t="inlineStr">
        <is>
          <t>Q7</t>
        </is>
      </c>
      <c r="B8" s="6" t="inlineStr">
        <is>
          <t>Dates, order and working conventions</t>
        </is>
      </c>
      <c r="C8" s="6" t="inlineStr">
        <is>
          <t>Keep the five undated LOIs at Working 07/20/2016 (Assigned: deadline) ahead of G&amp;W’s dated 07/21 LOI, with Date from 07/20 and Date to 07/27 (first meeting that compared all six); NDA cohort rows at Working 03/28/2016 (lower bound of "subsequently"); Party C approach/NDA at window midpoints; the 05/08/2016 midpoint for the deadline revision; G&amp;W diligence access Working 08/09/2016 (decision day).</t>
        </is>
      </c>
      <c r="D8" s="6" t="inlineStr">
        <is>
          <t>Section 8 and instruction calibration example B (same filing): "Give the five undated late-July LOIs Working date July 20 (Assigned: deadline) and place them in # ahead of G&amp;W’s July 21 LOI ... Their Date from/Date to window is July 20–27." Party C: "In early July 2016 ... approached" followed by "After executing a confidentiality agreement" and a 07/12/2016 IOI (p.29).</t>
        </is>
      </c>
      <c r="E8" s="6" t="inlineStr">
        <is>
          <t>R006–R008, R013, R015, R020–R022, R025–R029, R033, R048; all date-bound fields</t>
        </is>
      </c>
      <c r="F8" s="6" t="inlineStr">
        <is>
          <t>Using midpoints for the LOIs would move them behind G&amp;W’s dated bid; treating the NDA bound as an upper date would contradict "subsequently executed".</t>
        </is>
      </c>
      <c r="G8" s="6" t="inlineStr">
        <is>
          <t>Pending</t>
        </is>
      </c>
      <c r="H8" s="6" t="inlineStr"/>
    </row>
    <row r="9">
      <c r="A9" s="6" t="inlineStr">
        <is>
          <t>Q8</t>
        </is>
      </c>
      <c r="B9" s="6" t="inlineStr">
        <is>
          <t>Advisers and unclear clients</t>
        </is>
      </c>
      <c r="C9" s="6" t="inlineStr">
        <is>
          <t>Keep one BMO relationship (GHF acquisition noted), first row 01/27/2016; Hinckley Allen as Adviser service observed 03/24/2016; Simpson Thacher as Adviser service observed 08/10/2016; note that no G&amp;W financial adviser is disclosed and the Company’s STB counsel is unnamed; keep the BMO/G&amp;W-debt-facility disclosure in Summary only (post-signing scope).</t>
        </is>
      </c>
      <c r="D9" s="6" t="inlineStr">
        <is>
          <t>Section 5.4 and section 4 post-signing scope. The filing shows GHF’s engagement approval (p.27) but only shows Hinckley Allen and Simpson Thacher acting (pp.28, 31); "inadvertently failed to identify that a BMO affiliate has a participation in G&amp;W’s existing secured syndicated debt facility" was considered on 09/06/2016, after signing (p.32).</t>
        </is>
      </c>
      <c r="E9" s="6" t="inlineStr">
        <is>
          <t>R002; adviser entries in Summary; no ledger rows for the 09/06/2016 conflict</t>
        </is>
      </c>
      <c r="F9" s="6" t="inlineStr">
        <is>
          <t>Adding an adviser row for the 09/06/2016 disclosure would breach the post-signing row scope; dating Hinckley Allen’s engagement to its first mention would overstate retention evidence.</t>
        </is>
      </c>
      <c r="G9" s="6" t="inlineStr">
        <is>
          <t>Pending</t>
        </is>
      </c>
      <c r="H9" s="6" t="inlineStr"/>
    </row>
    <row r="11">
      <c r="A11" s="14" t="inlineStr">
        <is>
          <t>Section 13 check results (this version)</t>
        </is>
      </c>
    </row>
    <row r="12">
      <c r="A12" s="13" t="inlineStr">
        <is>
          <t>#</t>
        </is>
      </c>
      <c r="B12" s="13" t="inlineStr">
        <is>
          <t>Check</t>
        </is>
      </c>
      <c r="C12" s="13" t="inlineStr">
        <is>
          <t>Result</t>
        </is>
      </c>
      <c r="D12" s="13" t="inlineStr">
        <is>
          <t>Affected rows and consequences</t>
        </is>
      </c>
    </row>
    <row r="13">
      <c r="A13" s="6" t="n">
        <v>1</v>
      </c>
      <c r="B13" s="6" t="inlineStr">
        <is>
          <t>Coverage and materiality</t>
        </is>
      </c>
      <c r="C13" s="6" t="inlineStr">
        <is>
          <t>Passed</t>
        </is>
      </c>
      <c r="D13" s="6" t="inlineStr">
        <is>
          <t>All core offers (9 IOIs, 6 LOIs, revisions, reversion, final $25.00), NDA events, information-access changes, selection decisions, participation outcomes, signing and announcement are recorded. Routine post-NDA meetings and document postings are omitted.</t>
        </is>
      </c>
    </row>
    <row r="14">
      <c r="A14" s="6" t="n">
        <v>2</v>
      </c>
      <c r="B14" s="6" t="inlineStr">
        <is>
          <t>Counts and population</t>
        </is>
      </c>
      <c r="C14" s="6" t="inlineStr">
        <is>
          <t>Qualified</t>
        </is>
      </c>
      <c r="D14" s="6" t="inlineStr">
        <is>
          <t>Summary formulas match ledger contributions (NDA 25; IOIs 9; round-2 counted 5 + Party C in-round; round-3 3 priced + 1 reaffirmed). Contact totals are a lower bound because R009/R011 carry blank counts (overlap unresolved). Per-stage balance shown with inferred share (18 of 27 exits).</t>
        </is>
      </c>
    </row>
    <row r="15">
      <c r="A15" s="6" t="n">
        <v>3</v>
      </c>
      <c r="B15" s="6" t="inlineStr">
        <is>
          <t>Participation continuity</t>
        </is>
      </c>
      <c r="C15" s="6" t="inlineStr">
        <is>
          <t>Passed</t>
        </is>
      </c>
      <c r="D15" s="6" t="inlineStr">
        <is>
          <t>Every entered participant ends in a stated outcome, an inferred closing row, the winner slot, or the Count-0 identity row. Re-entries recorded for D and E before their 08/01 bids. Party A closed once.</t>
        </is>
      </c>
    </row>
    <row r="16">
      <c r="A16" s="6" t="n">
        <v>4</v>
      </c>
      <c r="B16" s="6" t="inlineStr">
        <is>
          <t>Dates and order</t>
        </is>
      </c>
      <c r="C16" s="6" t="inlineStr">
        <is>
          <t>Qualified</t>
        </is>
      </c>
      <c r="D16" s="6" t="inlineStr">
        <is>
          <t>All rows have Working date and Date method; Working dates non-decreasing with # as tie-break. Undated LDIs and the NDA cohorts use disclosed assigned conventions. The 05/19 IOI cohort Working date follows the instruction’s deadline rule even though receipt ran to 06/01 (window preserved in Date from/to).</t>
        </is>
      </c>
    </row>
    <row r="17">
      <c r="A17" s="6" t="n">
        <v>5</v>
      </c>
      <c r="B17" s="6" t="inlineStr">
        <is>
          <t>Offers and classifications</t>
        </is>
      </c>
      <c r="C17" s="6" t="inlineStr">
        <is>
          <t>Passed</t>
        </is>
      </c>
      <c r="D17" s="6" t="inlineStr">
        <is>
          <t>Every Bid and Bid reaffirmed row has Formality, Conditions level and a fixed-format Conditions detail string. Price kinds/origins agree with text; CVR kept in text; Group envelope not redistributed to members.</t>
        </is>
      </c>
    </row>
    <row r="18">
      <c r="A18" s="6" t="n">
        <v>6</v>
      </c>
      <c r="B18" s="6" t="inlineStr">
        <is>
          <t>Structure and consistency</t>
        </is>
      </c>
      <c r="C18" s="6" t="inlineStr">
        <is>
          <t>Passed</t>
        </is>
      </c>
      <c r="D18" s="6" t="inlineStr">
        <is>
          <t>One opening row per round; Round finality on R008/R018/R035; R1 anchor tag on R008; Deadline treatment on R013/R014/R024 matches Summary; inferred rows open with their Outcome basis tag; Page filled wherever Source is; tags agree with structured fields.</t>
        </is>
      </c>
    </row>
    <row r="19">
      <c r="A19" s="6" t="n">
        <v>7</v>
      </c>
      <c r="B19" s="6" t="inlineStr">
        <is>
          <t>Evidence</t>
        </is>
      </c>
      <c r="C19" s="6" t="inlineStr">
        <is>
          <t>Passed</t>
        </is>
      </c>
      <c r="D19" s="6" t="inlineStr">
        <is>
          <t>Quotations were checked programmatically against the extracted filing text (exact substring match after whitespace normalization); paragraph IDs and printed pages verified for the cited passages.</t>
        </is>
      </c>
    </row>
    <row r="20">
      <c r="A20" s="6" t="n">
        <v>8</v>
      </c>
      <c r="B20" s="6" t="inlineStr">
        <is>
          <t>Review and workbook operation</t>
        </is>
      </c>
      <c r="C20" s="6" t="inlineStr">
        <is>
          <t>Qualified</t>
        </is>
      </c>
      <c r="D20" s="6" t="inlineStr">
        <is>
          <t>Question links resolve to existing Row ids; drop-down lists built for all 15 controlled columns; conditional-formatting baseline rules compare Row id + column against "AI original". Formulas, validation and highlighting were built programmatically but not opened/recalculated in Excel or LibreOffice — application testing not performed.</t>
        </is>
      </c>
    </row>
  </sheetData>
  <mergeCells count="9">
    <mergeCell ref="D12:H12"/>
    <mergeCell ref="D20:H20"/>
    <mergeCell ref="D15:H15"/>
    <mergeCell ref="D16:H16"/>
    <mergeCell ref="D19:H19"/>
    <mergeCell ref="D13:H13"/>
    <mergeCell ref="D14:H14"/>
    <mergeCell ref="D18:H18"/>
    <mergeCell ref="D17:H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6"/>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7" customWidth="1" min="3" max="3"/>
    <col width="150" customWidth="1" min="4" max="4"/>
  </cols>
  <sheetData>
    <row r="1">
      <c r="A1" s="15" t="inlineStr">
        <is>
          <t>Paragraph</t>
        </is>
      </c>
      <c r="B1" s="15" t="inlineStr">
        <is>
          <t>Section</t>
        </is>
      </c>
      <c r="C1" s="15" t="inlineStr">
        <is>
          <t>Page</t>
        </is>
      </c>
      <c r="D1" s="15" t="inlineStr">
        <is>
          <t>Text</t>
        </is>
      </c>
    </row>
    <row r="2">
      <c r="A2" s="16" t="inlineStr">
        <is>
          <t>NOTE</t>
        </is>
      </c>
      <c r="D2" s="17" t="inlineStr">
        <is>
          <t>Background paragraphs P-0482–P-0519 are the complete Background of the Merger (printed pp.27–32), in filing order; P-0481 is the section heading. Page footer numbers and repeated "Table of Contents" navigation lines were removed in extraction; text, punctuation and typographical errors preserved. X- rows are additional filing passages relied on elsewhere in the workbook, each identified by section. Printed page numbers are as they appear in the filing footer. This baseline is the 19 Sep 2026 instruction revision.</t>
        </is>
      </c>
    </row>
    <row r="3">
      <c r="A3" s="18" t="inlineStr">
        <is>
          <t>P-0481</t>
        </is>
      </c>
      <c r="B3" s="18" t="inlineStr">
        <is>
          <t>Background of the Merger</t>
        </is>
      </c>
      <c r="C3" s="18" t="n">
        <v>27</v>
      </c>
      <c r="D3" s="6" t="inlineStr">
        <is>
          <t>Background of the Merger</t>
        </is>
      </c>
    </row>
    <row r="4">
      <c r="A4" s="18" t="inlineStr">
        <is>
          <t>P-0482</t>
        </is>
      </c>
      <c r="B4" s="18" t="inlineStr">
        <is>
          <t>Background of the Merger</t>
        </is>
      </c>
      <c r="C4" s="18" t="n">
        <v>27</v>
      </c>
      <c r="D4" s="6" t="inlineStr">
        <is>
          <t>In the fourth quarter of 2015, Robert H. Eder (the Company’s Chairman and Chief Executive Officer) and Frank K. Rogers (the Company’s Vice President and Chief Commercial Officer) met with one of the Company’s Class I rail partners (“Party A”) to discuss joint commercial opportunities. During the meeting, Party A suggested possible joint venture arrangements and expressed some interest in acquiring equity in the Company to further develop strategic opportunities and enhance regional connectivity. Upon receiving a report of this meeting, in recognition of its public company obligations, the Board appointed a subcommittee of two independent directors, Frank W. Barrett and Richard W. Anderson, to interview potential investment bankers to represent the Company in possible negotiations with Party A and to assist the Board in evaluating additional strategic options for the realization of shareholder value, including potential change in control transactions. The subcommittee interviewed several investment banking firms, including Greene Holcomb &amp; Fisher LLC (the business of which was subsequently acquired by BMO Capital Markets Corp. and which we refer to as “GHF” prior to such acquisition and “BMO” thereafter). During the executive session of the Board’s regular quarterly meeting held on January 27, 2016 (which Director Alfred P. Smith did not attend), the subcommittee recommended to the Board that the Company retain GHF as its investment banking firm. At that meeting, representatives of GHF discussed with the Board its qualifications and a proposed process should the directors ultimately decide to proceed with a change in control transaction. As part of the interview process, GHF represented to the Company that it would not represent any potential buyer of the Company in connection with an offer to purchase the Company or any person proposing to provide financing in connection with such an offer. Following this presentation, the Board approved the subcommittee’s recommendation and the Company engaged GHF. In selecting GHF, the Board considered, among other things, the fact that GHF was a reputable investment banking firm with substantial experience advising companies in the rail sector and in providing strategic advisory services in general, GHF had recent experience providing strategic advisory services in connection with the sale of a short-line railroad and, in the Board’s opinion, GHF would commit appropriate attention, resources and personnel to the process.</t>
        </is>
      </c>
    </row>
    <row r="5">
      <c r="A5" s="18" t="inlineStr">
        <is>
          <t>P-0483</t>
        </is>
      </c>
      <c r="B5" s="18" t="inlineStr">
        <is>
          <t>Background of the Merger</t>
        </is>
      </c>
      <c r="C5" s="18" t="n">
        <v>27</v>
      </c>
      <c r="D5" s="6" t="inlineStr">
        <is>
          <t>At a special meeting of the Board held on March 14, 2016, representatives of GHF discussed their evaluation of the Company’s business operations and strategy for improving operational and financial performance, as well as railroad industry dynamics more generally and their impact on current railroad valuations. Representatives of GHF then proposed a process pursuant to which the Company would proceed with discussions with Party A and also solicit interest from other potential third parties regarding a change in control transaction. The Board considered various factors, including the marketplace, the risks attendant to engaging in the process discussed with representatives of GHF, the Company’s overall strategic position, and the challenges attendant to improving the Company’s financial performance in order to maximize shareholder value and concluded, based upon its examination of these and other factors, that it was in the best interest of the Company</t>
        </is>
      </c>
    </row>
    <row r="6">
      <c r="A6" s="18" t="inlineStr">
        <is>
          <t>P-0485</t>
        </is>
      </c>
      <c r="B6" s="18" t="inlineStr">
        <is>
          <t>Background of the Merger</t>
        </is>
      </c>
      <c r="C6" s="18" t="n">
        <v>28</v>
      </c>
      <c r="D6" s="6" t="inlineStr">
        <is>
          <t>and its shareholders to proceed with the transaction strategy discussed with representatives of GHF. In light of the potentially significant time and effort involved in pursuing such exploratory transaction strategy, as well as the possible need to provide guidance to GHF and management on short notice, at the conclusion of the meeting, the Board appointed a special committee of independent directors of the Board (which we refer to as the “Transaction Committee”), composed of Frank W. Barrett (Chair), Richard W. Anderson and James C. Garvey, for the purpose of assisting in the supervision and oversight of the process on the full Board’s behalf and making a recommendation to the full Board. The Transaction Committee did not have the authority to approve or enter into a change of control transaction, which, under Rhode Island law, is an authority that can only be exercised by the full Board. At the time of appointment, Messrs. Barrett and Garvey had been elected by the preferred shareholders and Mr. Anderson had been elected by the common shareholders at the 2015 annual shareholders meeting. At the Company’s 2016 annual shareholders meeting on April 27, 2016, Messrs. Barrett and Anderson were re-elected as directors by the common shareholders and Mr. Garvey was re-elected as a director by the preferred shareholders.</t>
        </is>
      </c>
    </row>
    <row r="7">
      <c r="A7" s="18" t="inlineStr">
        <is>
          <t>P-0486</t>
        </is>
      </c>
      <c r="B7" s="18" t="inlineStr">
        <is>
          <t>Background of the Merger</t>
        </is>
      </c>
      <c r="C7" s="18" t="n">
        <v>28</v>
      </c>
      <c r="D7" s="6" t="inlineStr">
        <is>
          <t>On March 22, 2016 and March 23, 2016, Daniel T. Noreck (the Company’s Chief Financial Officer and Treasurer) and other members of the senior management team of the Company met with various representatives of Party A.</t>
        </is>
      </c>
    </row>
    <row r="8">
      <c r="A8" s="18" t="inlineStr">
        <is>
          <t>P-0487</t>
        </is>
      </c>
      <c r="B8" s="18" t="inlineStr">
        <is>
          <t>Background of the Merger</t>
        </is>
      </c>
      <c r="C8" s="18" t="n">
        <v>28</v>
      </c>
      <c r="D8" s="6" t="inlineStr">
        <is>
          <t>On March 24, 2016, the Transaction Committee met by telephone conference to discuss the results of management’s meeting with Party A and to discuss next steps in the process. Members of management and representatives of each of GHF and the Company’s legal counsel, Hinckley, Allen &amp; Snyder LLP (which we refer to as “Hinckley Allen”), participated in all meetings of the Transaction Committee, except as otherwise indicated. At this meeting, Mr. Noreck reported that he and other members of the senior management team had met with various representatives of Party A on March 22 and 23, 2016 and had informed Party A of GHF’s engagement. The Transaction Committee authorized GHF to contact Party A as well as other potential buyers to determine their level of interest in a change in control transaction. During the week of March 28, 2016, in accordance with the Transaction Committee’s directives, representatives of GHF contacted 11 potential strategic buyers (including Party A) and 18 potential financial buyers. 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t>
        </is>
      </c>
    </row>
    <row r="9">
      <c r="A9" s="18" t="inlineStr">
        <is>
          <t>P-0488</t>
        </is>
      </c>
      <c r="B9" s="18" t="inlineStr">
        <is>
          <t>Background of the Merger</t>
        </is>
      </c>
      <c r="C9" s="18" t="n">
        <v>28</v>
      </c>
      <c r="D9" s="6" t="inlineStr">
        <is>
          <t>Between April 3, 2016 and April 6, 2016, representatives of GHF and members of the Company’s management held a series of introductory meetings with five potential strategic buyers (including G&amp;W) at the American Short Line and Regional Railroad Association’s 2016 Connections Convention (“2016 Connections Convention”).</t>
        </is>
      </c>
    </row>
    <row r="10">
      <c r="A10" s="18" t="inlineStr">
        <is>
          <t>P-0489</t>
        </is>
      </c>
      <c r="B10" s="18" t="inlineStr">
        <is>
          <t>Background of the Merger</t>
        </is>
      </c>
      <c r="C10" s="18" t="n">
        <v>28</v>
      </c>
      <c r="D10" s="6" t="inlineStr">
        <is>
          <t>On April 7, 2016, the Transaction Committee met by telephone conference and discussed the process to date with representatives of GHF. Representatives of GHF reported that they and Company management had held a series of introductory meetings with five potential strategic buyers (including G&amp;W) at the 2016 Connections Convention. Mr. Noreck reported that the Company had also approached two additional Class I railroads to determine their interest in a possible transaction. After discussion, the Transaction Committee authorized representatives of GHF, on behalf of the Company, to contact each of the five interested parties with whom management had met at the 2016 Connections Convention, as well as other potential strategic buyers (including certain Class I railroads) and private equity firms who had entered into confidentiality agreements with the Company to confirm their continuing interest. Subsequently, on April 21, 2016, the Company and representatives of GHF held an introductory meeting with another potential strategic buyer (“Party B”).</t>
        </is>
      </c>
    </row>
    <row r="11">
      <c r="A11" s="18" t="inlineStr">
        <is>
          <t>P-0490</t>
        </is>
      </c>
      <c r="B11" s="18" t="inlineStr">
        <is>
          <t>Background of the Merger</t>
        </is>
      </c>
      <c r="C11" s="18" t="n">
        <v>28</v>
      </c>
      <c r="D11" s="6" t="inlineStr">
        <is>
          <t>With the assistance of GHF, the Company prepared a memorandum concerning the Company and its prospects, which was distributed to the potential buyers, including Party A, Party B and G&amp;W, that had executed confidentiality agreements. The Transaction Committee met with representatives of GHF by telephone conference on April 22, 2016 and discussed the status of discussions with potential buyers. On April 27, 2016,</t>
        </is>
      </c>
    </row>
    <row r="12">
      <c r="A12" s="18" t="inlineStr">
        <is>
          <t>P-0492</t>
        </is>
      </c>
      <c r="B12" s="18" t="inlineStr">
        <is>
          <t>Background of the Merger</t>
        </is>
      </c>
      <c r="C12" s="18" t="n">
        <v>29</v>
      </c>
      <c r="D12" s="6" t="inlineStr">
        <is>
          <t>the Board met in executive session (without Mr. Eder present) with representatives of GHF and discussed the status of the process, including that each potential buyer had been advised to submit a non-binding indication of interest by May 10, 2016 (which deadline was subsequently postponed to May 19, 2016 to ensure the potential buyers had sufficient time to formulate their most compelling offers).</t>
        </is>
      </c>
    </row>
    <row r="13">
      <c r="A13" s="18" t="inlineStr">
        <is>
          <t>P-0493</t>
        </is>
      </c>
      <c r="B13" s="18" t="inlineStr">
        <is>
          <t>Background of the Merger</t>
        </is>
      </c>
      <c r="C13" s="18" t="n">
        <v>29</v>
      </c>
      <c r="D13" s="6" t="inlineStr">
        <is>
          <t>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The Transaction Committee met by telephone conference on May 23, 2016 and again on June 1, 2016 to consider the IOIs. 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t>
        </is>
      </c>
    </row>
    <row r="14">
      <c r="A14" s="18" t="inlineStr">
        <is>
          <t>P-0494</t>
        </is>
      </c>
      <c r="B14" s="18" t="inlineStr">
        <is>
          <t>Background of the Merger</t>
        </is>
      </c>
      <c r="C14" s="18" t="n">
        <v>29</v>
      </c>
      <c r="D14" s="6" t="inlineStr">
        <is>
          <t>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 Potential buyers were instructed to provide a valuation for the Company based on the purchase of 100% of the outstanding common stock on a dollar per share basis (assuming conversion of the preferred stock into common stock) or the financial terms of any non-cash proposal.</t>
        </is>
      </c>
    </row>
    <row r="15">
      <c r="A15" s="18" t="inlineStr">
        <is>
          <t>P-0495</t>
        </is>
      </c>
      <c r="B15" s="18" t="inlineStr">
        <is>
          <t>Background of the Merger</t>
        </is>
      </c>
      <c r="C15" s="18" t="n">
        <v>29</v>
      </c>
      <c r="D15" s="6" t="inlineStr">
        <is>
          <t>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t>
        </is>
      </c>
    </row>
    <row r="16">
      <c r="A16" s="18" t="inlineStr">
        <is>
          <t>P-0496</t>
        </is>
      </c>
      <c r="B16" s="18" t="inlineStr">
        <is>
          <t>Background of the Merger</t>
        </is>
      </c>
      <c r="C16" s="18" t="n">
        <v>29</v>
      </c>
      <c r="D16" s="6" t="inlineStr">
        <is>
          <t>Over the course of June and July 2016, each of the potential buyers and their respective advisors engaged in due diligence of the Company’s business and financial condition, including holding meetings with certain members of the Company’s management team. The Transaction Committee met on June 30, 2016 to receive a status update on the management presentations and due diligence efforts of the potential buyers. In early July 2016, a potential strategic buyer that had not previously been part of the process (“Party C”) approached the Company’s management and expressed interest in acquiring the Company. After executing a confidentiality agreement, Party C was provided the memorandum concerning the Company provided to the other potential buyers. On July 12, 2016, Party C submitted an IOI with an offer price per share of $21.00 (implying an equity value of $108 million). Subsequently, Party C was provided access to the internet data site and the Company’s management held a management presentation with Party C by telephone on July 14, 2016.</t>
        </is>
      </c>
    </row>
    <row r="17">
      <c r="A17" s="18" t="inlineStr">
        <is>
          <t>P-0497</t>
        </is>
      </c>
      <c r="B17" s="18" t="inlineStr">
        <is>
          <t>Background of the Merger</t>
        </is>
      </c>
      <c r="C17" s="18" t="n">
        <v>29</v>
      </c>
      <c r="D17" s="6"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row>
    <row r="18">
      <c r="A18" s="18" t="inlineStr">
        <is>
          <t>P-0498</t>
        </is>
      </c>
      <c r="B18" s="18" t="inlineStr">
        <is>
          <t>Background of the Merger</t>
        </is>
      </c>
      <c r="C18" s="18" t="n">
        <v>29</v>
      </c>
      <c r="D18" s="6" t="inlineStr">
        <is>
          <t>• Party B submitted an LOI to acquire the Company for a price of $24.00 per share (subject to an expedited diligence review).</t>
        </is>
      </c>
    </row>
    <row r="19">
      <c r="A19" s="18" t="inlineStr">
        <is>
          <t>P-0499</t>
        </is>
      </c>
      <c r="B19" s="18" t="inlineStr">
        <is>
          <t>Background of the Merger</t>
        </is>
      </c>
      <c r="C19" s="18" t="n">
        <v>29</v>
      </c>
      <c r="D19" s="6" t="inlineStr">
        <is>
          <t>• 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G&amp;W also provided a mark-up of the disclosure letter. On July 26, 2016, in response to feedback from representatives of GHF indicating its price and CVR structure were not competitive, G&amp;W submitted a revised LOI, which increased its offer to $22.15 per share (including $21.02 in cash and $1.13 CVR).</t>
        </is>
      </c>
    </row>
    <row r="20">
      <c r="A20" s="18" t="inlineStr">
        <is>
          <t>P-0501</t>
        </is>
      </c>
      <c r="B20" s="18" t="inlineStr">
        <is>
          <t>Background of the Merger</t>
        </is>
      </c>
      <c r="C20" s="18" t="n">
        <v>30</v>
      </c>
      <c r="D20" s="6" t="inlineStr">
        <is>
          <t>• Party E (a strategic buyer) submitted an LOI to acquire the Company for a price of $21.26 per share (subject to a 60-day exclusivity period for due diligence and negotiation of definitive documentation).</t>
        </is>
      </c>
    </row>
    <row r="21">
      <c r="A21" s="18" t="inlineStr">
        <is>
          <t>P-0502</t>
        </is>
      </c>
      <c r="B21" s="18" t="inlineStr">
        <is>
          <t>Background of the Merger</t>
        </is>
      </c>
      <c r="C21" s="18" t="n">
        <v>30</v>
      </c>
      <c r="D21" s="6" t="inlineStr">
        <is>
          <t>• Party D (a financial buyer) submitted an LOI to acquire the Company for a price of $21.00 per share (subject to a four-week diligence period).</t>
        </is>
      </c>
    </row>
    <row r="22">
      <c r="A22" s="18" t="inlineStr">
        <is>
          <t>P-0503</t>
        </is>
      </c>
      <c r="B22" s="18" t="inlineStr">
        <is>
          <t>Background of the Merger</t>
        </is>
      </c>
      <c r="C22" s="18" t="n">
        <v>30</v>
      </c>
      <c r="D22" s="6" t="inlineStr">
        <is>
          <t>• Party C submitted an LOI to acquire the Company for a price of $19.30 per share (subject to a 30-day diligence period).</t>
        </is>
      </c>
    </row>
    <row r="23">
      <c r="A23" s="18" t="inlineStr">
        <is>
          <t>P-0504</t>
        </is>
      </c>
      <c r="B23" s="18" t="inlineStr">
        <is>
          <t>Background of the Merger</t>
        </is>
      </c>
      <c r="C23" s="18" t="n">
        <v>30</v>
      </c>
      <c r="D23" s="6" t="inlineStr">
        <is>
          <t>• Party F (a strategic buyer) submitted an LOI to acquire the Company for a price of $19.20 per share (subject to a 30-day due diligence period).</t>
        </is>
      </c>
    </row>
    <row r="24">
      <c r="A24" s="18" t="inlineStr">
        <is>
          <t>P-0505</t>
        </is>
      </c>
      <c r="B24" s="18" t="inlineStr">
        <is>
          <t>Background of the Merger</t>
        </is>
      </c>
      <c r="C24" s="18" t="n">
        <v>30</v>
      </c>
      <c r="D24" s="6" t="inlineStr">
        <is>
          <t>In addition to various due diligence requirements, the LOI prices were based on different assumptions and requirements related to transaction expenses and change in control payments, which GHF and the Transaction Committee observed could affect the ultimate offer price. One strategic buyer and one financial buyer elected not to submit an LOI.</t>
        </is>
      </c>
    </row>
    <row r="25">
      <c r="A25" s="18" t="inlineStr">
        <is>
          <t>P-0506</t>
        </is>
      </c>
      <c r="B25" s="18" t="inlineStr">
        <is>
          <t>Background of the Merger</t>
        </is>
      </c>
      <c r="C25" s="18" t="n">
        <v>30</v>
      </c>
      <c r="D25" s="6" t="inlineStr">
        <is>
          <t>The Transaction Committee met by telephone conference on July 22, 2016 and in person after the regular quarterly Board meeting on July 27, 2016, to review the LOIs with representatives of GHF. Representatives of GHF reviewed the material financial terms of each LOI, including the offer price, and additional due diligence requested. The Transaction Committee discussed the process for the on-site due diligence requested by the bidders, the delays inherent in managing on-site due diligence by multiple parties and the difficulties of maintaining the confidentiality of the discussions. 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 The Transaction Committee updated the independent directors (other than Director Smith) regarding the process at a meeting held immediately prior to the Board’s regular quarterly meeting on July 27, 2016. Director Smith is Vice President and Group Executive, Locomotive Group of GATX Corporation (“GATX”), which owns 4.92% of the Company’s common stock. In order to avoid any potential conflict, Mr. Smith elected to recuse himself from participating in this and other Board meetings at which the bidding process and any potential transaction were to be discussed because of the possibility that GATX might be a potential buyer of the Company.</t>
        </is>
      </c>
    </row>
    <row r="26">
      <c r="A26" s="18" t="inlineStr">
        <is>
          <t>P-0507</t>
        </is>
      </c>
      <c r="B26" s="18" t="inlineStr">
        <is>
          <t>Background of the Merger</t>
        </is>
      </c>
      <c r="C26" s="18" t="n">
        <v>30</v>
      </c>
      <c r="D26" s="6" t="inlineStr">
        <is>
          <t>On July 29, 2016, representatives of GHF had calls with Party D and Party E. During those calls, Party D and Party E both expressed interest in reengaging and enhancing their offers. On August 1, 2016, Party D submitted a revised LOI at a price of $24.00 per share and Party E submitted a revised LOI, along with financing support, from Party F, at a price of $23.81 per share. Both revised proposals contained a 30-day due diligence period. The Transaction Committee convened by telephone conference on August 1, 2016, to consider the revised LOIs submitted by Party D and Party E and subsequently directed representatives of BMO (which acquired the business of GHF on August 1, 2016) to clarify certain elements of the revised proposals and the bidders’ respective due diligence requirements. Party E withdrew its revised proposal on August 2, 2016 (but confirmed its original proposal of $21.26 per share) and Party D declined to shorten its due diligence period and requested that the Company commit that it would not enter into an agreement with another bidder during its 30-day due diligence period. In light of the active interest of Party B and G&amp;W, the Company declined to make such a commitment, at which point Party D indicated that it would not proceed with further due diligence at that time.</t>
        </is>
      </c>
    </row>
    <row r="27">
      <c r="A27" s="18" t="inlineStr">
        <is>
          <t>P-0508</t>
        </is>
      </c>
      <c r="B27" s="18" t="inlineStr">
        <is>
          <t>Background of the Merger</t>
        </is>
      </c>
      <c r="C27" s="18" t="n">
        <v>30</v>
      </c>
      <c r="D27" s="6" t="inlineStr">
        <is>
          <t>On August 1, 2016, Hinckley Allen provided Party B with a revised merger agreement and voting agreement, reflecting changes from the marked-up documents included with Party B’s LOI. On August 3, 2016, Hinckley Allen provided G&amp;W with a revised merger agreement and voting agreement, reflecting changes from the marked-up documents included with G&amp;W’s LOI. On August 3, 2016, the Company and Hinckley Allen also responded to additional due diligence questions submitted by Party B. On August 4, 2016, the Transaction Committee met by conference call to discuss the process with representatives of BMO and Hinckley Allen on the</t>
        </is>
      </c>
    </row>
    <row r="28">
      <c r="A28" s="18" t="inlineStr">
        <is>
          <t>P-0510</t>
        </is>
      </c>
      <c r="B28" s="18" t="inlineStr">
        <is>
          <t>Background of the Merger</t>
        </is>
      </c>
      <c r="C28" s="18" t="n">
        <v>31</v>
      </c>
      <c r="D28" s="6" t="inlineStr">
        <is>
          <t>status of negotiations and due diligence. During that discussion, the Transaction Committee directed the management team and representatives of each of BMO and Hinckley Allen to continue diligence and negotiations with both G&amp;W and Party B, but given the higher price offered by Party B, to prioritize Party B and proceed to complete the negotiation of the merger agreement with Party B. From July 27, 2016 through August 11, 2016, Party B and G&amp;W conducted on-site financial, legal and environmental due diligence, including hi-rail trips to inspect the Company’s track infrastructure.</t>
        </is>
      </c>
    </row>
    <row r="29">
      <c r="A29" s="18" t="inlineStr">
        <is>
          <t>P-0511</t>
        </is>
      </c>
      <c r="B29" s="18" t="inlineStr">
        <is>
          <t>Background of the Merger</t>
        </is>
      </c>
      <c r="C29" s="18" t="n">
        <v>31</v>
      </c>
      <c r="D29" s="6" t="inlineStr">
        <is>
          <t>On August 4, 2016, legal counsel for Party B provided a revised draft of the merger agreement and, following negotiations between their respective legal counsels, the Company provided Party B with a revised draft of the merger agreement and disclosure letter on August 5, 2016. On August 9, 2016, the Transaction Committee met by telephone conference to review the status of the negotiations and due diligence. Following that discussion, the Transaction Committee directed representatives of BMO to inform G&amp;W that the Company intended to enter into a merger agreement with another bidder. G&amp;W requested that it be allowed to continue its due diligence, including physical due diligence on August 10 and August 11, 2016, to potentially facilitate an improved offer, which request was granted. On August 10, 2016, representatives of Hinckley Allen and Simpson Thacher &amp; Bartlett LLP (which we refer to as “Simpson Thacher”), G&amp;W’s legal counsel, discussed various provisions of the draft merger agreement and voting agreement that had been provided to G&amp;W on August 3, 2016, and Hinckley Allen provided Simpson Thacher with a revised disclosure letter to accompany the August 3 draft merger agreement. On August 11, 2016, G&amp;W indicated its possible intention to submit a revised LOI on August 12, 2016, having just completed its physical diligence of the Company’s track infrastructure.</t>
        </is>
      </c>
    </row>
    <row r="30">
      <c r="A30" s="18" t="inlineStr">
        <is>
          <t>P-0512</t>
        </is>
      </c>
      <c r="B30" s="18" t="inlineStr">
        <is>
          <t>Background of the Merger</t>
        </is>
      </c>
      <c r="C30" s="18" t="n">
        <v>31</v>
      </c>
      <c r="D30" s="6" t="inlineStr">
        <is>
          <t>Based upon progress made in due diligence and the negotiations with Party B during the week of August 8, 2016, meetings of the Transaction Committee and Board were scheduled for August 12, 2016 in anticipation of reviewing final agreements and approving a transaction with Party B. On the morning of August 12, 2016, following a discussion between representatives of BMO and G&amp;W in which G&amp;W indicated it would be submitting a revised LOI,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Later that day, Simpson Thacher submitted a mark-up of the disclosure letter. Upon receipt of the revised LOI and related merger documents, Hinckley Allen and Simpson Thacher negotiated revisions to the merger agreement and disclosure letter. The Transaction Committee met at 10:30 a.m. on August 12, 2016, and reviewed the status of the negotiations and merger documents with both Party B and G&amp;W. Following that discussion, the Transaction Committee directed representatives of BMO to inform Party B that another party had submitted a revised LOI at a higher price.</t>
        </is>
      </c>
    </row>
    <row r="31">
      <c r="A31" s="18" t="inlineStr">
        <is>
          <t>P-0513</t>
        </is>
      </c>
      <c r="B31" s="18" t="inlineStr">
        <is>
          <t>Background of the Merger</t>
        </is>
      </c>
      <c r="C31" s="18" t="n">
        <v>31</v>
      </c>
      <c r="D31" s="6" t="inlineStr">
        <is>
          <t>On the afternoon of August 12, 2016, following the meeting of the Transaction Committee, the Board held a special meeting to review and consider the recommendation of the Transaction Committee with respect to a potential sale transaction. All directors were present in person or by telephone other than Director Smith. The Transaction Committee reported on the process and the status of the negotiations with Party B and G&amp;W. Drafts of the Party B merger agreement, voting agreement and disclosure letter and drafts of the G&amp;W merger agreement, voting agreement and disclosure letter were provided to the directors at the meeting. Hinckley Allen reviewed the material terms of the draft merger agreements provided by Party B and G&amp;W, and the differences between the G&amp;W draft merger agreement and the Party B draft merger agreement. Hinckley Allen also reviewed the Board’s fiduciary obligations in connection with the proposed transaction and responded to questions from the directors. Hinckley Allen advised the Board that both Party B’s and G&amp;W’s draft merger agreements restricted the Company from soliciting a competing proposal, subject to a “fiduciary out” for an unsolicited superior proposal, which required the Company to pay a termination fee equal to 3% of the transaction value in the case of G&amp;W (which the Company had negotiated down from 3.85%) and 3% plus Party B’s transaction expenses (capped at 1% of transaction value) in the case of Party B, in the event the merger agreement was terminated as a result of the Board’s decision to pursue such a proposal.</t>
        </is>
      </c>
    </row>
    <row r="32">
      <c r="A32" s="18" t="inlineStr">
        <is>
          <t>P-0514</t>
        </is>
      </c>
      <c r="B32" s="18" t="inlineStr">
        <is>
          <t>Background of the Merger</t>
        </is>
      </c>
      <c r="C32" s="18" t="n">
        <v>31</v>
      </c>
      <c r="D32" s="6" t="inlineStr">
        <is>
          <t>Hinckley Allen advised the Board that the draft merger agreement and disclosure letter for both Party B and G&amp;W had minor differences but were substantively the same, except for the following: (1) the price offered by</t>
        </is>
      </c>
    </row>
    <row r="33">
      <c r="A33" s="18" t="inlineStr">
        <is>
          <t>P-0516</t>
        </is>
      </c>
      <c r="B33" s="18" t="inlineStr">
        <is>
          <t>Background of the Merger</t>
        </is>
      </c>
      <c r="C33" s="18" t="n">
        <v>32</v>
      </c>
      <c r="D33" s="6" t="inlineStr">
        <is>
          <t>G&amp;W was $1.00 more per share; (2) the termination fee payable by the Company in the event the Board exercised its “fiduciary out” in order to accept a superior proposal was less under the G&amp;W draft agreement than the Party B draft agreement; and (3) the STB approval process for G&amp;W and Party B would be different since G&amp;W owned connecting railroads. The Board arranged a telephone call with the Company’s STB counsel to discuss the process for obtaining the required regulatory approval or exemption for the transaction, the risks associated with each process, the use of a voting trust to enable an earlier closing of the transaction (as contemplated by the G&amp;W merger agreement) and the likely timeframe for obtaining any regulatory clearance for a transaction with either Party B or G&amp;W. Based upon that discussion, the Board determined that the timeframe for, and the likelihood of, obtaining the required regulatory approval was not materially different for a transaction with G&amp;W versus a transaction with Party B. At the request of the Board, representatives of BMO then contacted Party B to determine if it would increase its offer price. Party B indicated that it would not increase its price.</t>
        </is>
      </c>
    </row>
    <row r="34">
      <c r="A34" s="18" t="inlineStr">
        <is>
          <t>P-0517</t>
        </is>
      </c>
      <c r="B34" s="18" t="inlineStr">
        <is>
          <t>Background of the Merger</t>
        </is>
      </c>
      <c r="C34" s="18" t="n">
        <v>32</v>
      </c>
      <c r="D34" s="6" t="inlineStr">
        <is>
          <t>The Board determined that the G&amp;W offer represented the superior proposal. At the request of the Board, representatives of BMO reviewed BMO’s financial analyses supporting its opinion to the Board as to the fairness, from a financial point of view, to the holders of our common stock of the consideration to be received by those holders (other than the Eder Trusts) in the merger pursuant to the merger agreement as of August 12, 2016. At the request of the Board, BMO confirmed that it did not have any existing or contemplated material relationships with G&amp;W in connection with the provision of any financial advisory or financing services to G&amp;W. BMO then rendered an oral opinion to the Board, subsequently confirmed by delivery of a written opinion, dated August 12, 2016 to the effect that, as of that date, and based upon and subject to the various assumptions made, procedures followed, matters considered and qualifications and limitations on the scope of review undertaken by BMO as set forth in its written opinion, the merger consideration to be received by the holders of our common stock in the merger pursuant to the merger agreement was fair, from a financial point of view, to those holders (other than the Eder Trusts). Following a discussion of the terms of the merger agreement and related matters, the Board (other than Director Smith, who recused himself from the August 12, 2016 meeting) (i) determined that the merger agreement, the plan of merger and the merger and other transactions contemplated by the merger agreement are fair to, advisable and in the best interests of the Company and its shareholders, (ii) approved and declared advisable the merger agreement and the transactions contemplated thereby, including the merger and the plan of merger, (iii) directed that the merger agreement be submitted to the Company’s shareholders for approval and (iv) resolved to recommend that the Company’s shareholders approve the merger agreement and the transactions contemplated thereby, including the merger and the plan of merger.</t>
        </is>
      </c>
    </row>
    <row r="35">
      <c r="A35" s="18" t="inlineStr">
        <is>
          <t>P-0518</t>
        </is>
      </c>
      <c r="B35" s="18" t="inlineStr">
        <is>
          <t>Background of the Merger</t>
        </is>
      </c>
      <c r="C35" s="18" t="n">
        <v>32</v>
      </c>
      <c r="D35" s="6" t="inlineStr">
        <is>
          <t>Shortly thereafter, Hinckley Allen and Simpson Thacher finalized the transaction documents and the Company and G&amp;W executed the merger agreement, and the Company, G&amp;W and the Eder Trusts executed the voting agreement. The Company issued a press release publicly announcing the transaction on Monday, August 15, 2016 prior to the opening of trading of the Company’s common stock on the NASDAQ.</t>
        </is>
      </c>
    </row>
    <row r="36">
      <c r="A36" s="18" t="inlineStr">
        <is>
          <t>P-0519</t>
        </is>
      </c>
      <c r="B36" s="18" t="inlineStr">
        <is>
          <t>Background of the Merger</t>
        </is>
      </c>
      <c r="C36" s="18" t="n">
        <v>32</v>
      </c>
      <c r="D36" s="6" t="inlineStr">
        <is>
          <t>Subsequent to the delivery of BMO’s opinion and the Board’s approval of the merger agreement and voting agreement, representatives of BMO advised the Board that when checking to determine if there were any financial advisory or financing relationships with G&amp;W, it had inadvertently failed to identify that a BMO affiliate has a participation in G&amp;W’s existing secured syndicated debt facility as described under the section titled “Summary of Financial Analysis of BMO Capital Markets Corp.— Miscellaneous ” on page 41. On September 6, 2016, the Board considered this new information, determined this relationship was not material to BMO’s independence and confirmed that the Board remained comfortable with the engagement and opinion of BMO.</t>
        </is>
      </c>
    </row>
    <row r="37">
      <c r="A37" s="18" t="inlineStr">
        <is>
          <t>X-001</t>
        </is>
      </c>
      <c r="B37" s="18" t="inlineStr">
        <is>
          <t>The Merger (merger consideration summary)</t>
        </is>
      </c>
      <c r="C37" s="18" t="n">
        <v>27</v>
      </c>
      <c r="D37" s="6" t="inlineStr">
        <is>
          <t>Under the terms and conditions set forth in the merger agreement, Merger Sub will merge with and into the Company, with the Company being the surviving corporation and becoming a wholly-owned subsidiary of G&amp;W. At the effective time of the merger, each share of preferred stock outstanding immediately prior to the effective time of the merger, other than preferred stock held by a holder who is entitled to and makes a proper demand for dissenters’ rights, shall be deemed to be automatically converted, along with the aggregate accrued or accumulated and unpaid dividends thereon, into 100 shares of common stock (based on the existing conversion ratio of the preferred stock), without any further action by the holder of such preferred stock or the Company. At the effective time of the merger, each share of common stock issued and outstanding immediately prior to the effective time of the merger (including any preferred stock deemed to be converted into common stock, but excluding shares that are owned by G&amp;W or any of its direct or indirect subsidiaries, including Merger Sub) will be canceled and will be converted automatically into the right to receive $25.00 in cash, without interest.</t>
        </is>
      </c>
    </row>
    <row r="38">
      <c r="A38" s="18" t="inlineStr">
        <is>
          <t>X-002</t>
        </is>
      </c>
      <c r="B38" s="18" t="inlineStr">
        <is>
          <t>Reasons for the Merger and Recommendation</t>
        </is>
      </c>
      <c r="C38" s="18" t="n">
        <v>34</v>
      </c>
      <c r="D38" s="6" t="inlineStr">
        <is>
          <t>• the absence of a financing condition in the merger agreement and the representation of G&amp;W in the merger agreement as to its financial wherewithal;</t>
        </is>
      </c>
    </row>
    <row r="39">
      <c r="A39" s="18" t="inlineStr">
        <is>
          <t>X-003</t>
        </is>
      </c>
      <c r="B39" s="18" t="inlineStr">
        <is>
          <t>The Merger Agreement — Termination Fee</t>
        </is>
      </c>
      <c r="C39" s="18" t="n">
        <v>55</v>
      </c>
      <c r="D39" s="6" t="inlineStr">
        <is>
          <t>Under the terms of the merger agreement, the Company must pay G&amp;W a termination fee of $3,785,000 if:</t>
        </is>
      </c>
    </row>
    <row r="40">
      <c r="A40" s="18" t="inlineStr">
        <is>
          <t>X-004</t>
        </is>
      </c>
      <c r="B40" s="18" t="inlineStr">
        <is>
          <t>The Voting Agreement</t>
        </is>
      </c>
      <c r="C40" s="18" t="n">
        <v>72</v>
      </c>
      <c r="D40" s="6" t="inlineStr">
        <is>
          <t>In connection with the execution of the merger agreement, G&amp;W and the Company entered into a voting agreement with the Robert H. Eder Trust and the Linda Eder Trust (which we refer to as the “Eder Trusts”), which, as of the date of the voting agreement, collectively owned 842,742 shares of common stock and 500 shares of preferred stock. Under the voting agreement, each Eder Trust must vote all of its shares of Company stock:</t>
        </is>
      </c>
    </row>
    <row r="41">
      <c r="A41" s="18" t="inlineStr">
        <is>
          <t>X-005</t>
        </is>
      </c>
      <c r="B41" s="18" t="inlineStr">
        <is>
          <t>Letter to Shareholders — transaction summary</t>
        </is>
      </c>
      <c r="C41" s="18" t="n"/>
      <c r="D41" s="6" t="inlineStr">
        <is>
          <t>On August 12, 2016, Providence and Worcester Railroad Company (“PWRR” or the “Company”) entered into a merger agreement among the Company, Genesee &amp; Wyoming Inc. (“G&amp;W”) and Pullman Acquisition Sub Inc. (“Merger Sub”), providing for the acquisition of the Company by G&amp;W through the merger of Merger Sub with and into the Company (the “merger”), with the Company surviving the merger. If completed, the merger will result in the Company becoming a wholly-owned subsidiary of G&amp;W.</t>
        </is>
      </c>
    </row>
    <row r="42">
      <c r="A42" s="18" t="inlineStr">
        <is>
          <t>X-006</t>
        </is>
      </c>
      <c r="B42" s="18" t="inlineStr">
        <is>
          <t>The Parties to the Merger — G&amp;W</t>
        </is>
      </c>
      <c r="C42" s="18" t="n">
        <v>1</v>
      </c>
      <c r="D42" s="6" t="inlineStr">
        <is>
          <t>G&amp;W, a Delaware corporation, owns or leases 121 freight railroads worldwide that are organized in 10 operating regions with approximately 7,200 employees and more than 2,800 customers. G&amp;W’s eight North American regions serve 41 U.S. states and four Canadian provinces and include 114 short line and regional freight railroads with more than 13,000 track-miles. G&amp;W’s Australia Region provides rail freight services in New South Wales, the Northern Territory and South Australia and operates the 1,400-mile Tarcoola-to-Darwin rail line. G&amp;W’s U.K./Europe Region is led by Freightliner, the U.K.’s largest rail maritime intermodal operator and second-largest rail freight company and whose operations also include heavy-haul in Poland and Germany and cross-border intermodal services connecting Northern European seaports with key industrial regions</t>
        </is>
      </c>
    </row>
    <row r="43">
      <c r="A43" s="18" t="inlineStr">
        <is>
          <t>X-007</t>
        </is>
      </c>
      <c r="B43" s="18" t="inlineStr">
        <is>
          <t>The Special Meeting of the Shareholders — ownership</t>
        </is>
      </c>
      <c r="C43" s="18" t="n">
        <v>4</v>
      </c>
      <c r="D43" s="6" t="inlineStr">
        <is>
          <t>As of the record date, the directors and executive officers of the Company and their affiliates collectively beneficially owned 1,107,002 shares of common stock (excluding common stock issuable upon conversion of the preferred stock) and 500 shares of preferred stock, or approximately 22.7% of the outstanding common stock and approximately 78.1% of the outstanding preferred stock.</t>
        </is>
      </c>
    </row>
    <row r="44">
      <c r="A44" s="18" t="inlineStr">
        <is>
          <t>X-008</t>
        </is>
      </c>
      <c r="B44" s="18" t="inlineStr">
        <is>
          <t>The Special Meeting of the Shareholders — Eder Trusts</t>
        </is>
      </c>
      <c r="C44" s="18" t="n">
        <v>4</v>
      </c>
      <c r="D44" s="6" t="inlineStr">
        <is>
          <t>The Robert H. Eder Trust and the Linda Eder Trust, which we refer to as the “Eder Trusts,” have executed a voting agreement with G&amp;W and the Company under which the Eder Trusts have agreed to vote their shares in favor of approving the merger agreement. As of the record date, the Eder Trusts held 842,742 shares of common stock, representing approximately 17.3% of the outstanding shares of common stock, and 500 shares of preferred stock, representing approximately 78.1% of the outstanding shares of preferred stock.</t>
        </is>
      </c>
    </row>
    <row r="45">
      <c r="A45" s="18" t="inlineStr">
        <is>
          <t>X-009</t>
        </is>
      </c>
      <c r="B45" s="18" t="inlineStr">
        <is>
          <t>The Merger</t>
        </is>
      </c>
      <c r="C45" s="18" t="n">
        <v>5</v>
      </c>
      <c r="D45" s="6" t="inlineStr">
        <is>
          <t>G&amp;W, Merger Sub and the Company entered into the merger agreement on August 12, 2016. The merger agreement provides for the merger of Merger Sub with and into the Company, with the Company being the surviving corporation and becoming a wholly-owned subsidiary of G&amp;W.</t>
        </is>
      </c>
    </row>
    <row r="46">
      <c r="A46" s="18" t="inlineStr">
        <is>
          <t>X-010</t>
        </is>
      </c>
      <c r="B46" s="18" t="inlineStr">
        <is>
          <t>The Merger — BMO opinion</t>
        </is>
      </c>
      <c r="C46" s="18" t="n">
        <v>6</v>
      </c>
      <c r="D46" s="6" t="inlineStr">
        <is>
          <t>In connection with the merger, at the meeting of the Board on August 12, 2016, our financial advisor, BMO Capital Markets Corp., which we refer to as “BMO,” rendered to the Board its oral opinion, subsequently confirmed by delivery of a written opinion dated August 12, 2016, as to the fairness, from a financial point of view, to the holders of our common stock (other than the Eder Trusts) as of that date and based upon and subject to the various assumptions made, procedures followed, matters considered and qualifications and limitations on the scope of review undertaken by BMO as set forth in its written opinion, of the merger consideration per share of our common stock to be received by those holders in the merger pursuant to the merger agreement.</t>
        </is>
      </c>
    </row>
    <row r="47">
      <c r="A47" s="18" t="inlineStr">
        <is>
          <t>X-011</t>
        </is>
      </c>
      <c r="B47" s="18" t="inlineStr">
        <is>
          <t>Questions and Answers — termination fee</t>
        </is>
      </c>
      <c r="C47" s="18" t="n">
        <v>16</v>
      </c>
      <c r="D47" s="6" t="inlineStr">
        <is>
          <t>Under specified circumstances, the Company may be required to pay G&amp;W a termination fee of $3,785,000 upon the termination of the merger agreement, as described in the section of this proxy statement titled “The Merger Agreement—Termination Fee” beginning on page 55.</t>
        </is>
      </c>
    </row>
    <row r="48">
      <c r="A48" s="18" t="inlineStr">
        <is>
          <t>X-012</t>
        </is>
      </c>
      <c r="B48" s="18" t="inlineStr">
        <is>
          <t>Reasons for the Merger — premium</t>
        </is>
      </c>
      <c r="C48" s="18" t="n">
        <v>33</v>
      </c>
      <c r="D48" s="6" t="inlineStr">
        <is>
          <t>• the fact that the value of the merger consideration of $25.00 per share in cash represents a 53% premium over the per share closing price of the Company’s common stock of $16.30 on August 12, 2016, the last trading day concluded prior to the Company and G&amp;W entering into the merger agreement;</t>
        </is>
      </c>
    </row>
    <row r="49">
      <c r="A49" s="18" t="inlineStr">
        <is>
          <t>X-013</t>
        </is>
      </c>
      <c r="B49" s="18" t="inlineStr">
        <is>
          <t>Summary of Financial Analysis — BMO fee</t>
        </is>
      </c>
      <c r="C49" s="18" t="n">
        <v>41</v>
      </c>
      <c r="D49" s="6" t="inlineStr">
        <is>
          <t>In connection with BMO’s services as the Company’s financial advisor and as successor to the business of GHF, the Company will pay BMO an aggregate fee of approximately $2.52 million, a portion of which was paid upon the signing of GHF’s engagement letter with the Company and in three monthly installments thereafter, a portion of which was paid upon delivery of BMO’s opinion, and the remainder and majority of which is payable upon consummation of the merger. In addition, the Company has agreed to reimburse BMO for certain of its expenses and to indemnify BMO and related persons against various potential liabilities arising out of or in connection with its engagement.</t>
        </is>
      </c>
    </row>
    <row r="50">
      <c r="A50" s="18" t="inlineStr">
        <is>
          <t>X-014</t>
        </is>
      </c>
      <c r="B50" s="18" t="inlineStr">
        <is>
          <t>Summary of Financial Analysis — BMO relationships</t>
        </is>
      </c>
      <c r="C50" s="18" t="n">
        <v>42</v>
      </c>
      <c r="D50" s="6" t="inlineStr">
        <is>
          <t>connection with the provision of any financial advisory or financing services by BMO to G&amp;W or any of its affiliates. G&amp;W has a Second Amended and Restated Senior Secured Syndicated Facility Agreement dated as of March 20, 2015 under which an affiliate of BMO is a lender with an approximately 5% participation in the syndicate and for which such affiliate has been paid revenue (fees and interest) between $1 million and $5 million, in the aggregate, since January 1, 2014. In the two years prior to the date of BMO’s opinion, BMO did not have any material relationships, nor were any material relationships mutually understood to be contemplated, in which any compensation was received or was intended to be received by BMO as a result of any such relationship with the Company or its affiliates, other than to act as the Company’s financial advisor in connection with the merger.</t>
        </is>
      </c>
    </row>
    <row r="51">
      <c r="A51" s="18" t="inlineStr">
        <is>
          <t>X-015</t>
        </is>
      </c>
      <c r="B51" s="18" t="inlineStr">
        <is>
          <t>Market Price of Common Stock</t>
        </is>
      </c>
      <c r="C51" s="18" t="n">
        <v>71</v>
      </c>
      <c r="D51" s="6" t="inlineStr">
        <is>
          <t>Third Quarter (through September 16, 2016) | 25.00 | 15.60 | –0– | 0.04</t>
        </is>
      </c>
    </row>
    <row r="52">
      <c r="A52" s="18" t="inlineStr">
        <is>
          <t>X-016</t>
        </is>
      </c>
      <c r="B52" s="18" t="inlineStr">
        <is>
          <t>Market Price of Common Stock — shares outstanding</t>
        </is>
      </c>
      <c r="C52" s="18" t="n">
        <v>71</v>
      </c>
      <c r="D52" s="6" t="inlineStr">
        <is>
          <t>As of September 16, 2016, there were 4,866,593 shares of common stock outstanding, held by approximately 540 holders of record of common stock and 640 shares of preferred stock outstanding, held by 8 holders of record of preferred stock.</t>
        </is>
      </c>
    </row>
    <row r="53">
      <c r="A53" s="18" t="inlineStr">
        <is>
          <t>X-017</t>
        </is>
      </c>
      <c r="B53" s="18" t="inlineStr">
        <is>
          <t>Security Ownership of 5% Beneficial Owners</t>
        </is>
      </c>
      <c r="C53" s="18" t="n">
        <v>76</v>
      </c>
      <c r="D53" s="6" t="inlineStr">
        <is>
          <t>Robert H. Eder Trust Linda Eder Trust (a) 130 Sunrise Avenue Palm Beach, Florida 33480 | 842,742 (Common) 500 (Preferred) | 17.3% (b) 78.1%</t>
        </is>
      </c>
    </row>
    <row r="54">
      <c r="A54" s="18" t="inlineStr">
        <is>
          <t>X-018</t>
        </is>
      </c>
      <c r="B54" s="18" t="inlineStr">
        <is>
          <t>Security Ownership of 5% Beneficial Owners — footnotes</t>
        </is>
      </c>
      <c r="C54" s="18" t="n">
        <v>76</v>
      </c>
      <c r="D54" s="6" t="inlineStr">
        <is>
          <t>(b) | Ownership is based on a Schedule 13D/A filed with the SEC on February 21, 2014. If the preferred stock held by the Eder Trusts were converted in whole to common stock, then the Eder Trusts would collectively own 18.4% of the present outstanding common stock. Of the shares owned by the Robert H. Eder and Linda Eder Trusts, 768,162 shares of common stock and 500 shares of preferred stock are held directly by the Robert H. Eder Trust, and 74,580 shares of common stock are held directly by the Linda Eder Trust. By reason of this ownership, Mr. and Mrs. Eder may be deemed to be “control persons” with respect to the Company.</t>
        </is>
      </c>
    </row>
    <row r="55">
      <c r="A55" s="18" t="inlineStr">
        <is>
          <t>X-019</t>
        </is>
      </c>
      <c r="B55" s="18" t="inlineStr">
        <is>
          <t>The Companies — G&amp;W</t>
        </is>
      </c>
      <c r="C55" s="18" t="n">
        <v>21</v>
      </c>
      <c r="D55" s="6" t="inlineStr">
        <is>
          <t>G&amp;W, a Delaware corporation, owns or leases 121 freight railroads worldwide that are organized in 10 operating regions with approximately 7,200 employees and more than 2,800 customers. G&amp;W’s eight North American regions serve 41 U.S. states and four Canadian provinces and include 114 short-line and regional freight railroads with more than 13,000 track-miles. G&amp;W’s Australia Region provides rail freight services in New South Wales, the Northern Territory and South Australia and operates the 1,400-mile Tarcoola-to-Darwin rail line. G&amp;W’s U.K./Europe Region is led by Freightliner, the U.K.’s largest rail maritime intermodal operator and second-largest rail freight company and whose operations also include heavy-haul in Poland and Germany and cross-border intermodal services connecting Northern European seaports with key industrial regions throughout the continent. G&amp;W subsidiaries provide rail service at more than 40 major ports in North America, Australia and Europe and perform contract coal loading and railcar switching for industrial customers.</t>
        </is>
      </c>
    </row>
    <row r="56">
      <c r="A56" s="18" t="inlineStr">
        <is>
          <t>X-020</t>
        </is>
      </c>
      <c r="B56" s="18" t="inlineStr">
        <is>
          <t>Merger Agreement notices — G&amp;W counsel</t>
        </is>
      </c>
      <c r="C56" s="18" t="n"/>
      <c r="D56" s="6" t="inlineStr">
        <is>
          <t>Simpson Thacher &amp; Bartlett LLP</t>
        </is>
      </c>
    </row>
  </sheetData>
  <autoFilter ref="A1:D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56"/>
  <sheetViews>
    <sheetView workbookViewId="0">
      <selection activeCell="A1" sqref="A1"/>
    </sheetView>
  </sheetViews>
  <sheetFormatPr baseColWidth="8" defaultRowHeight="15"/>
  <sheetData>
    <row r="1">
      <c r="A1" s="19" t="inlineStr">
        <is>
          <t>AI original baseline — Providence &amp; Worcester (PWRR–G&amp;W, 2016) — values-only copy on delivery (do not edit)</t>
        </is>
      </c>
    </row>
    <row r="2">
      <c r="A2" t="inlineStr">
        <is>
          <t>#</t>
        </is>
      </c>
      <c r="B2" t="inlineStr">
        <is>
          <t>When</t>
        </is>
      </c>
      <c r="C2" t="inlineStr">
        <is>
          <t>Who</t>
        </is>
      </c>
      <c r="D2" t="inlineStr">
        <is>
          <t>What happened</t>
        </is>
      </c>
      <c r="E2" t="inlineStr">
        <is>
          <t>Process</t>
        </is>
      </c>
      <c r="F2" t="inlineStr">
        <is>
          <t>Round</t>
        </is>
      </c>
      <c r="G2" t="inlineStr">
        <is>
          <t>Type</t>
        </is>
      </c>
      <c r="H2" t="inlineStr">
        <is>
          <t>Terms or outcome</t>
        </is>
      </c>
      <c r="I2" t="inlineStr">
        <is>
          <t>Formality</t>
        </is>
      </c>
      <c r="J2" t="inlineStr">
        <is>
          <t>Conditions level</t>
        </is>
      </c>
      <c r="K2" t="inlineStr">
        <is>
          <t>Why and evidence</t>
        </is>
      </c>
      <c r="L2" t="inlineStr">
        <is>
          <t>Source</t>
        </is>
      </c>
      <c r="M2" t="inlineStr">
        <is>
          <t>Review</t>
        </is>
      </c>
      <c r="N2" t="inlineStr">
        <is>
          <t>Reviewer note</t>
        </is>
      </c>
      <c r="O2" t="inlineStr">
        <is>
          <t>Row id</t>
        </is>
      </c>
      <c r="P2" t="inlineStr">
        <is>
          <t>Include</t>
        </is>
      </c>
      <c r="Q2" t="inlineStr">
        <is>
          <t>Count</t>
        </is>
      </c>
      <c r="R2" t="inlineStr">
        <is>
          <t>Date from</t>
        </is>
      </c>
      <c r="S2" t="inlineStr">
        <is>
          <t>Date to</t>
        </is>
      </c>
      <c r="T2" t="inlineStr">
        <is>
          <t>Working date</t>
        </is>
      </c>
      <c r="U2" t="inlineStr">
        <is>
          <t>Date basis</t>
        </is>
      </c>
      <c r="V2" t="inlineStr">
        <is>
          <t>Date method</t>
        </is>
      </c>
      <c r="W2" t="inlineStr">
        <is>
          <t>Price low</t>
        </is>
      </c>
      <c r="X2" t="inlineStr">
        <is>
          <t>Price high</t>
        </is>
      </c>
      <c r="Y2" t="inlineStr">
        <is>
          <t>Price kind</t>
        </is>
      </c>
      <c r="Z2" t="inlineStr">
        <is>
          <t>Price origin</t>
        </is>
      </c>
      <c r="AA2" t="inlineStr">
        <is>
          <t>Currency</t>
        </is>
      </c>
      <c r="AB2" t="inlineStr">
        <is>
          <t>All cash</t>
        </is>
      </c>
      <c r="AC2" t="inlineStr">
        <is>
          <t>Cash at closing</t>
        </is>
      </c>
      <c r="AD2" t="inlineStr">
        <is>
          <t>Conditions detail</t>
        </is>
      </c>
      <c r="AE2" t="inlineStr">
        <is>
          <t>Due date</t>
        </is>
      </c>
      <c r="AF2" t="inlineStr">
        <is>
          <t>Deadline treatment</t>
        </is>
      </c>
      <c r="AG2" t="inlineStr">
        <is>
          <t>Round finality</t>
        </is>
      </c>
      <c r="AH2" t="inlineStr">
        <is>
          <t>Decided by</t>
        </is>
      </c>
      <c r="AI2" t="inlineStr">
        <is>
          <t>Exit reason</t>
        </is>
      </c>
      <c r="AJ2" t="inlineStr">
        <is>
          <t>Outcome basis</t>
        </is>
      </c>
      <c r="AK2" t="inlineStr">
        <is>
          <t>Page</t>
        </is>
      </c>
      <c r="AL2" t="inlineStr">
        <is>
          <t>Related rows</t>
        </is>
      </c>
      <c r="AM2" t="inlineStr">
        <is>
          <t>Deal</t>
        </is>
      </c>
    </row>
    <row r="3">
      <c r="A3" t="n">
        <v>1</v>
      </c>
      <c r="B3" t="inlineStr">
        <is>
          <t>Q4 2015</t>
        </is>
      </c>
      <c r="C3" t="inlineStr">
        <is>
          <t>Party A (Class I rail partner)</t>
        </is>
      </c>
      <c r="D3" t="inlineStr">
        <is>
          <t>Bidder interest</t>
        </is>
      </c>
      <c r="E3" t="n">
        <v>1</v>
      </c>
      <c r="F3" t="inlineStr">
        <is>
          <t>0</t>
        </is>
      </c>
      <c r="G3" t="inlineStr">
        <is>
          <t>Strategic</t>
        </is>
      </c>
      <c r="H3" t="inlineStr">
        <is>
          <t>Unpriced: Party A, one of PWRR’s Class I rail partners, suggested possible joint venture arrangements and "expressed some interest in acquiring equity in the Company to further develop strategic opportunities and enhance regional connectivity." Acquisition scope is not stated as whole-company equity; no price, no offer.</t>
        </is>
      </c>
      <c r="K3" t="inlineStr">
        <is>
          <t>Stated: "In the fourth quarter of 2015, Robert H. Eder (the Company’s Chairman and Chief Executive Officer) and Frank K. Rogers (the Company’s Vice President and Chief Commercial Officer) met with one of the Company’s Class I rail partners (“Party A”) to discuss joint commercial opportunities." (p.27) The meeting prompted the Board to appoint a banker-selection subcommittee; treated as round 0 bidder interest, not a Bid.</t>
        </is>
      </c>
      <c r="M3" t="inlineStr">
        <is>
          <t>Q1; Q4</t>
        </is>
      </c>
      <c r="O3" t="inlineStr">
        <is>
          <t>R001</t>
        </is>
      </c>
      <c r="P3" t="inlineStr">
        <is>
          <t>Yes</t>
        </is>
      </c>
      <c r="R3" t="inlineStr">
        <is>
          <t>10/01/2015</t>
        </is>
      </c>
      <c r="S3" t="inlineStr">
        <is>
          <t>12/31/2015</t>
        </is>
      </c>
      <c r="T3" t="inlineStr">
        <is>
          <t>11/15/2015</t>
        </is>
      </c>
      <c r="U3" t="inlineStr">
        <is>
          <t>Approximate window</t>
        </is>
      </c>
      <c r="V3" t="inlineStr">
        <is>
          <t>Assigned: midpoint</t>
        </is>
      </c>
      <c r="AK3" t="n">
        <v>27</v>
      </c>
      <c r="AM3" t="inlineStr">
        <is>
          <t>PWRR–G&amp;W</t>
        </is>
      </c>
    </row>
    <row r="4">
      <c r="A4" t="n">
        <v>2</v>
      </c>
      <c r="B4" t="inlineStr">
        <is>
          <t>01/27/2016</t>
        </is>
      </c>
      <c r="C4" t="inlineStr">
        <is>
          <t>Providence &amp; Worcester (Board) / Greene Holcomb &amp; Fisher LLC (GHF)</t>
        </is>
      </c>
      <c r="D4" t="inlineStr">
        <is>
          <t>Adviser engaged</t>
        </is>
      </c>
      <c r="E4" t="n">
        <v>1</v>
      </c>
      <c r="F4" t="inlineStr">
        <is>
          <t>0</t>
        </is>
      </c>
      <c r="H4" t="inlineStr">
        <is>
          <t>Board approved the subcommittee recommendation and the Company engaged GHF (financial adviser; business later acquired by BMO Capital Markets Corp. on 08/01/2016, one continuing relationship). GHF committed not to represent a buyer or financing provider for the Company. Subcommittee (Messrs. Barrett and Anderson) interviewed several firms; Director Smith did not attend the 01/27/2016 executive session.</t>
        </is>
      </c>
      <c r="K4" t="inlineStr">
        <is>
          <t>Stated: "During the executive session of the Board’s regular quarterly meeting held on January 27, 2016 (which Director Alfred P. Smith did not attend), the subcommittee recommended to the Board that the Company retain GHF as its investment banking firm." and "Following this presentation, the Board approved the subcommittee’s recommendation and the Company engaged GHF." (p.27)</t>
        </is>
      </c>
      <c r="M4" t="inlineStr">
        <is>
          <t>Q8</t>
        </is>
      </c>
      <c r="O4" t="inlineStr">
        <is>
          <t>R002</t>
        </is>
      </c>
      <c r="P4" t="inlineStr">
        <is>
          <t>Yes</t>
        </is>
      </c>
      <c r="R4" t="inlineStr">
        <is>
          <t>01/27/2016</t>
        </is>
      </c>
      <c r="S4" t="inlineStr">
        <is>
          <t>01/27/2016</t>
        </is>
      </c>
      <c r="T4" t="inlineStr">
        <is>
          <t>01/27/2016</t>
        </is>
      </c>
      <c r="U4" t="inlineStr">
        <is>
          <t>Reported day</t>
        </is>
      </c>
      <c r="V4" t="inlineStr">
        <is>
          <t>Reported</t>
        </is>
      </c>
      <c r="AK4" t="n">
        <v>27</v>
      </c>
      <c r="AM4" t="inlineStr">
        <is>
          <t>PWRR–G&amp;W</t>
        </is>
      </c>
    </row>
    <row r="5">
      <c r="A5" t="n">
        <v>3</v>
      </c>
      <c r="B5" t="inlineStr">
        <is>
          <t>03/14/2016</t>
        </is>
      </c>
      <c r="C5" t="inlineStr">
        <is>
          <t>Providence &amp; Worcester (Board)</t>
        </is>
      </c>
      <c r="D5" t="inlineStr">
        <is>
          <t>Target sale decision</t>
        </is>
      </c>
      <c r="E5" t="n">
        <v>1</v>
      </c>
      <c r="F5" t="inlineStr">
        <is>
          <t>0</t>
        </is>
      </c>
      <c r="H5" t="inlineStr">
        <is>
          <t>Special Board meeting: GHF proposed a process of discussions with Party A plus solicitation of other third parties for a change in control transaction; the Board concluded it was in the best interests of the Company and its shareholders to proceed and appointed the Transaction Committee (Barrett (Chair), Anderson, Garvey) to supervise the process and recommend to the full Board, without authority to approve a transaction.</t>
        </is>
      </c>
      <c r="K5" t="inlineStr">
        <is>
          <t>Stated: "Representatives of GHF then proposed a process pursuant to which the Company would proceed with discussions with Party A and also solicit interest from other potential third parties regarding a change in control transaction." and "concluded, based upon its examination of these and other factors, that it was in the best interest of the Company" (p.27); the Board appointed the Transaction Committee (p.28).</t>
        </is>
      </c>
      <c r="M5" t="inlineStr">
        <is>
          <t>Q1</t>
        </is>
      </c>
      <c r="O5" t="inlineStr">
        <is>
          <t>R003</t>
        </is>
      </c>
      <c r="P5" t="inlineStr">
        <is>
          <t>Yes</t>
        </is>
      </c>
      <c r="R5" t="inlineStr">
        <is>
          <t>03/14/2016</t>
        </is>
      </c>
      <c r="S5" t="inlineStr">
        <is>
          <t>03/14/2016</t>
        </is>
      </c>
      <c r="T5" t="inlineStr">
        <is>
          <t>03/14/2016</t>
        </is>
      </c>
      <c r="U5" t="inlineStr">
        <is>
          <t>Reported day</t>
        </is>
      </c>
      <c r="V5" t="inlineStr">
        <is>
          <t>Reported</t>
        </is>
      </c>
      <c r="AK5" t="n">
        <v>27</v>
      </c>
      <c r="AM5" t="inlineStr">
        <is>
          <t>PWRR–G&amp;W</t>
        </is>
      </c>
    </row>
    <row r="6">
      <c r="A6" t="n">
        <v>4</v>
      </c>
      <c r="B6" t="inlineStr">
        <is>
          <t>03/24/2016</t>
        </is>
      </c>
      <c r="C6" t="inlineStr">
        <is>
          <t>Providence &amp; Worcester (Transaction Committee)</t>
        </is>
      </c>
      <c r="D6" t="inlineStr">
        <is>
          <t>Target decision</t>
        </is>
      </c>
      <c r="E6" t="n">
        <v>1</v>
      </c>
      <c r="F6" t="inlineStr">
        <is>
          <t>0</t>
        </is>
      </c>
      <c r="H6" t="inlineStr">
        <is>
          <t>Transaction Committee met by telephone; heard that management had met Party A on 03/22–03/23/2016 and had informed Party A of GHF’s engagement; authorized GHF to contact Party A and other potential buyers to determine interest in a change in control transaction. This authorization launched the outreach executed in the week of 03/28/2016 (candidate round-1 anchor, not used).</t>
        </is>
      </c>
      <c r="K6" t="inlineStr">
        <is>
          <t>Stated: "The Transaction Committee authorized GHF to contact Party A as well as other potential buyers to determine their level of interest in a change in control transaction." (p.28) The outreach began "During the week of March 28, 2016" (same paragraph), about four days later.</t>
        </is>
      </c>
      <c r="M6" t="inlineStr">
        <is>
          <t>Q1</t>
        </is>
      </c>
      <c r="O6" t="inlineStr">
        <is>
          <t>R004</t>
        </is>
      </c>
      <c r="P6" t="inlineStr">
        <is>
          <t>Yes</t>
        </is>
      </c>
      <c r="R6" t="inlineStr">
        <is>
          <t>03/24/2016</t>
        </is>
      </c>
      <c r="S6" t="inlineStr">
        <is>
          <t>03/24/2016</t>
        </is>
      </c>
      <c r="T6" t="inlineStr">
        <is>
          <t>03/24/2016</t>
        </is>
      </c>
      <c r="U6" t="inlineStr">
        <is>
          <t>Reported day</t>
        </is>
      </c>
      <c r="V6" t="inlineStr">
        <is>
          <t>Reported</t>
        </is>
      </c>
      <c r="AK6" t="n">
        <v>28</v>
      </c>
      <c r="AM6" t="inlineStr">
        <is>
          <t>PWRR–G&amp;W</t>
        </is>
      </c>
    </row>
    <row r="7">
      <c r="A7" t="n">
        <v>5</v>
      </c>
      <c r="B7" t="inlineStr">
        <is>
          <t>Week of 03/28/2016</t>
        </is>
      </c>
      <c r="C7" t="inlineStr">
        <is>
          <t>GHF / 29 potential buyers (11 strategic; 18 financial)</t>
        </is>
      </c>
      <c r="D7" t="inlineStr">
        <is>
          <t>Contact</t>
        </is>
      </c>
      <c r="E7" t="n">
        <v>1</v>
      </c>
      <c r="F7" t="inlineStr">
        <is>
          <t>1</t>
        </is>
      </c>
      <c r="H7" t="inlineStr">
        <is>
          <t>First sale-process outreach wave: GHF contacted 11 potential strategic buyers (including Party A) and 18 potential financial buyers to gauge interest in a change in control transaction. Direction: target-side. Used as the round-1 anchor.</t>
        </is>
      </c>
      <c r="K7" t="inlineStr">
        <is>
          <t>Stated: "During the week of March 28, 2016, in accordance with the Transaction Committee’s directives, representatives of GHF contacted 11 potential strategic buyers (including Party A) and 18 potential financial buyers. Each of the potential strategic buyers and 14 potential financial buyers subsequently executed confidentiality agreements." (p.28)</t>
        </is>
      </c>
      <c r="M7" t="inlineStr">
        <is>
          <t>Q1; Q3</t>
        </is>
      </c>
      <c r="O7" t="inlineStr">
        <is>
          <t>R005</t>
        </is>
      </c>
      <c r="P7" t="inlineStr">
        <is>
          <t>Yes</t>
        </is>
      </c>
      <c r="Q7" t="n">
        <v>29</v>
      </c>
      <c r="R7" t="inlineStr">
        <is>
          <t>03/28/2016</t>
        </is>
      </c>
      <c r="S7" t="inlineStr">
        <is>
          <t>04/03/2016</t>
        </is>
      </c>
      <c r="T7" t="inlineStr">
        <is>
          <t>03/28/2016</t>
        </is>
      </c>
      <c r="U7" t="inlineStr">
        <is>
          <t>Reported interval</t>
        </is>
      </c>
      <c r="V7" t="inlineStr">
        <is>
          <t>Assigned: bound</t>
        </is>
      </c>
      <c r="AK7" t="n">
        <v>28</v>
      </c>
      <c r="AM7" t="inlineStr">
        <is>
          <t>PWRR–G&amp;W</t>
        </is>
      </c>
    </row>
    <row r="8">
      <c r="A8" t="n">
        <v>6</v>
      </c>
      <c r="B8" t="inlineStr">
        <is>
          <t>after 03/28/2016; date not disclosed</t>
        </is>
      </c>
      <c r="C8" t="inlineStr">
        <is>
          <t>11 strategic NDA signers (incl. Party A, Party B, G&amp;W)</t>
        </is>
      </c>
      <c r="D8" t="inlineStr">
        <is>
          <t>NDA signed</t>
        </is>
      </c>
      <c r="E8" t="n">
        <v>1</v>
      </c>
      <c r="F8" t="inlineStr">
        <is>
          <t>1</t>
        </is>
      </c>
      <c r="G8" t="inlineStr">
        <is>
          <t>Strategic</t>
        </is>
      </c>
      <c r="H8" t="inlineStr">
        <is>
          <t>Confidentiality agreements executed by each of the 11 contacted potential strategic buyers; no standstill or similar provision restricting proposals. Individual signature dates not disclosed; execution is stated as subsequent to the week-of-03/28/2016 contacts. Party B and G&amp;W are among this population (Party B not individually dated).</t>
        </is>
      </c>
      <c r="K8" t="inlineStr">
        <is>
          <t>Stated: "Each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 (p.28) Date is relative only; Working date is the first supported bound of the contact week.</t>
        </is>
      </c>
      <c r="M8" t="inlineStr">
        <is>
          <t>Q3</t>
        </is>
      </c>
      <c r="O8" t="inlineStr">
        <is>
          <t>R006</t>
        </is>
      </c>
      <c r="P8" t="inlineStr">
        <is>
          <t>Yes</t>
        </is>
      </c>
      <c r="Q8" t="n">
        <v>11</v>
      </c>
      <c r="R8" t="inlineStr">
        <is>
          <t>03/28/2016</t>
        </is>
      </c>
      <c r="T8" t="inlineStr">
        <is>
          <t>03/28/2016</t>
        </is>
      </c>
      <c r="U8" t="inlineStr">
        <is>
          <t>Relative only</t>
        </is>
      </c>
      <c r="V8" t="inlineStr">
        <is>
          <t>Assigned: bound</t>
        </is>
      </c>
      <c r="AK8" t="n">
        <v>28</v>
      </c>
      <c r="AM8" t="inlineStr">
        <is>
          <t>PWRR–G&amp;W</t>
        </is>
      </c>
    </row>
    <row r="9">
      <c r="A9" t="n">
        <v>7</v>
      </c>
      <c r="B9" t="inlineStr">
        <is>
          <t>after 03/28/2016; date not disclosed</t>
        </is>
      </c>
      <c r="C9" t="inlineStr">
        <is>
          <t>14 financial NDA signers (of 18 contacted)</t>
        </is>
      </c>
      <c r="D9" t="inlineStr">
        <is>
          <t>NDA signed</t>
        </is>
      </c>
      <c r="E9" t="n">
        <v>1</v>
      </c>
      <c r="F9" t="inlineStr">
        <is>
          <t>1</t>
        </is>
      </c>
      <c r="G9" t="inlineStr">
        <is>
          <t>Financial</t>
        </is>
      </c>
      <c r="H9" t="inlineStr">
        <is>
          <t>14 of the 18 contacted potential financial buyers executed confidentiality agreements; 4 did not execute. Individual signature dates not disclosed. Count 14 is the disjoint financial-signer population; the 4 non-signers never entered the process and are not closed out.</t>
        </is>
      </c>
      <c r="K9" t="inlineStr">
        <is>
          <t>Stated: "Each of the potential strategic buyers and 14 potential financial buyers subsequently executed confidentiality agreements." (p.28) The 4 contacted financial buyers who did not sign are outside the 25-signer base used for the section 10.2 residual.</t>
        </is>
      </c>
      <c r="M9" t="inlineStr">
        <is>
          <t>Q3</t>
        </is>
      </c>
      <c r="O9" t="inlineStr">
        <is>
          <t>R007</t>
        </is>
      </c>
      <c r="P9" t="inlineStr">
        <is>
          <t>Yes</t>
        </is>
      </c>
      <c r="Q9" t="n">
        <v>14</v>
      </c>
      <c r="R9" t="inlineStr">
        <is>
          <t>03/28/2016</t>
        </is>
      </c>
      <c r="T9" t="inlineStr">
        <is>
          <t>03/28/2016</t>
        </is>
      </c>
      <c r="U9" t="inlineStr">
        <is>
          <t>Relative only</t>
        </is>
      </c>
      <c r="V9" t="inlineStr">
        <is>
          <t>Assigned: bound</t>
        </is>
      </c>
      <c r="AK9" t="n">
        <v>28</v>
      </c>
      <c r="AM9" t="inlineStr">
        <is>
          <t>PWRR–G&amp;W</t>
        </is>
      </c>
    </row>
    <row r="10">
      <c r="A10" t="n">
        <v>8</v>
      </c>
      <c r="B10" t="inlineStr">
        <is>
          <t>Week of 03/28/2016</t>
        </is>
      </c>
      <c r="C10" t="inlineStr">
        <is>
          <t>Providence &amp; Worcester / GHF</t>
        </is>
      </c>
      <c r="D10" t="inlineStr">
        <is>
          <t>Round opened</t>
        </is>
      </c>
      <c r="E10" t="n">
        <v>1</v>
      </c>
      <c r="F10" t="inlineStr">
        <is>
          <t>1</t>
        </is>
      </c>
      <c r="H10" t="inlineStr">
        <is>
          <t>R1 anchor: first outreach wave (R005). Round 1 objective: solicit non-binding indications of interest from confidentiality-agreement signers. Candidate anchors kept as rows: R004 (03/24/2016 Transaction Committee authorization) and R003 (03/14/2016 Board process decision). A memorandum on the Company and its prospects was later distributed to all signers (uniform stage access, stated here). Finality: Not final — non-binding IOIs were solicited and no final/binding stage was announced.</t>
        </is>
      </c>
      <c r="K10" t="inlineStr">
        <is>
          <t>Convention: round 1 opens on the first outreach wave under the instruction’s order of anchors; the wave is a stated event ("During the week of March 28, 2016, in accordance with the Transaction Committee’s directives, representatives of GHF contacted 11 potential strategic buyers (including Party A) and 18 potential financial buyers.", p.28). Rejected candidates remain on the ledger so the boundary can be moved.</t>
        </is>
      </c>
      <c r="M10" t="inlineStr">
        <is>
          <t>Q1</t>
        </is>
      </c>
      <c r="O10" t="inlineStr">
        <is>
          <t>R008</t>
        </is>
      </c>
      <c r="P10" t="inlineStr">
        <is>
          <t>Yes</t>
        </is>
      </c>
      <c r="R10" t="inlineStr">
        <is>
          <t>03/28/2016</t>
        </is>
      </c>
      <c r="S10" t="inlineStr">
        <is>
          <t>04/03/2016</t>
        </is>
      </c>
      <c r="T10" t="inlineStr">
        <is>
          <t>03/28/2016</t>
        </is>
      </c>
      <c r="U10" t="inlineStr">
        <is>
          <t>Reported interval</t>
        </is>
      </c>
      <c r="V10" t="inlineStr">
        <is>
          <t>Assigned: bound</t>
        </is>
      </c>
      <c r="AG10" t="inlineStr">
        <is>
          <t>Not final</t>
        </is>
      </c>
      <c r="AK10" t="n">
        <v>28</v>
      </c>
      <c r="AM10" t="inlineStr">
        <is>
          <t>PWRR–G&amp;W</t>
        </is>
      </c>
    </row>
    <row r="11">
      <c r="A11" t="n">
        <v>9</v>
      </c>
      <c r="B11" t="inlineStr">
        <is>
          <t>04/03/2016–04/06/2016</t>
        </is>
      </c>
      <c r="C11" t="inlineStr">
        <is>
          <t>Five potential strategic buyers (incl. G&amp;W)</t>
        </is>
      </c>
      <c r="D11" t="inlineStr">
        <is>
          <t>Contact</t>
        </is>
      </c>
      <c r="E11" t="n">
        <v>1</v>
      </c>
      <c r="F11" t="inlineStr">
        <is>
          <t>1</t>
        </is>
      </c>
      <c r="G11" t="inlineStr">
        <is>
          <t>Strategic</t>
        </is>
      </c>
      <c r="H11" t="inlineStr">
        <is>
          <t>GHF and Company management held a series of introductory meetings with five potential strategic buyers, including G&amp;W, at the 2016 Connections Convention. These buyers later remained in the process; the five are included within the contacted/signing populations and no separate additive count is entered because overlap with R005 is not established.</t>
        </is>
      </c>
      <c r="K11" t="inlineStr">
        <is>
          <t>Stated: "Between April 3, 2016 and April 6, 2016, representatives of GHF and members of the Company’s management held a series of introductory meetings with five potential strategic buyers (including G&amp;W) at the American Short Line and Regional Railroad Association’s 2016 Connections Convention (“2016 Connections Convention”)." (p.28)</t>
        </is>
      </c>
      <c r="M11" t="inlineStr">
        <is>
          <t>Q3</t>
        </is>
      </c>
      <c r="O11" t="inlineStr">
        <is>
          <t>R009</t>
        </is>
      </c>
      <c r="P11" t="inlineStr">
        <is>
          <t>Yes</t>
        </is>
      </c>
      <c r="R11" t="inlineStr">
        <is>
          <t>04/03/2016</t>
        </is>
      </c>
      <c r="S11" t="inlineStr">
        <is>
          <t>04/06/2016</t>
        </is>
      </c>
      <c r="T11" t="inlineStr">
        <is>
          <t>04/03/2016</t>
        </is>
      </c>
      <c r="U11" t="inlineStr">
        <is>
          <t>Reported interval</t>
        </is>
      </c>
      <c r="V11" t="inlineStr">
        <is>
          <t>Assigned: bound</t>
        </is>
      </c>
      <c r="AK11" t="n">
        <v>28</v>
      </c>
      <c r="AM11" t="inlineStr">
        <is>
          <t>PWRR–G&amp;W</t>
        </is>
      </c>
    </row>
    <row r="12">
      <c r="A12" t="n">
        <v>10</v>
      </c>
      <c r="B12" t="inlineStr">
        <is>
          <t>by 04/07/2016</t>
        </is>
      </c>
      <c r="C12" t="inlineStr">
        <is>
          <t>Two additional Class I railroads</t>
        </is>
      </c>
      <c r="D12" t="inlineStr">
        <is>
          <t>Contact</t>
        </is>
      </c>
      <c r="E12" t="n">
        <v>1</v>
      </c>
      <c r="F12" t="inlineStr">
        <is>
          <t>1</t>
        </is>
      </c>
      <c r="G12" t="inlineStr">
        <is>
          <t>Strategic</t>
        </is>
      </c>
      <c r="H12" t="inlineStr">
        <is>
          <t>The Company also approached two additional Class I railroads to determine their interest in a possible transaction. No confidentiality agreement, bid or further activity by these parties is reported; they never entered the process and are not closed out.</t>
        </is>
      </c>
      <c r="K12" t="inlineStr">
        <is>
          <t>Stated: "Mr. Noreck reported that the Company had also approached two additional Class I railroads to determine their interest in a possible transaction." (p.28) Reported at the 04/07/2016 Transaction Committee meeting; the approach date itself is not disclosed, so the report day is the only bound.</t>
        </is>
      </c>
      <c r="M12" t="inlineStr">
        <is>
          <t>Q3</t>
        </is>
      </c>
      <c r="O12" t="inlineStr">
        <is>
          <t>R010</t>
        </is>
      </c>
      <c r="P12" t="inlineStr">
        <is>
          <t>Yes</t>
        </is>
      </c>
      <c r="Q12" t="n">
        <v>2</v>
      </c>
      <c r="S12" t="inlineStr">
        <is>
          <t>04/07/2016</t>
        </is>
      </c>
      <c r="T12" t="inlineStr">
        <is>
          <t>04/07/2016</t>
        </is>
      </c>
      <c r="U12" t="inlineStr">
        <is>
          <t>Relative only</t>
        </is>
      </c>
      <c r="V12" t="inlineStr">
        <is>
          <t>Assigned: bound</t>
        </is>
      </c>
      <c r="AK12" t="n">
        <v>28</v>
      </c>
      <c r="AM12" t="inlineStr">
        <is>
          <t>PWRR–G&amp;W</t>
        </is>
      </c>
    </row>
    <row r="13">
      <c r="A13" t="n">
        <v>11</v>
      </c>
      <c r="B13" t="inlineStr">
        <is>
          <t>04/21/2016</t>
        </is>
      </c>
      <c r="C13" t="inlineStr">
        <is>
          <t>Party B</t>
        </is>
      </c>
      <c r="D13" t="inlineStr">
        <is>
          <t>Contact</t>
        </is>
      </c>
      <c r="E13" t="n">
        <v>1</v>
      </c>
      <c r="F13" t="inlineStr">
        <is>
          <t>1</t>
        </is>
      </c>
      <c r="G13" t="inlineStr">
        <is>
          <t>Strategic</t>
        </is>
      </c>
      <c r="H13" t="inlineStr">
        <is>
          <t>Introductory meeting between the Company, GHF and Party B, another potential strategic buyer. Party B later signed a confidentiality agreement, received the memorandum and bid. Count blank: whether Party B was already inside the week-of-03/28/2016 contact cohort is not established, so no additive contact contribution is entered.</t>
        </is>
      </c>
      <c r="K13" t="inlineStr">
        <is>
          <t>Stated: "Subsequently, on April 21, 2016, the Company and representatives of GHF held an introductory meeting with another potential strategic buyer (“Party B”)." (p.28)</t>
        </is>
      </c>
      <c r="M13" t="inlineStr">
        <is>
          <t>Q3</t>
        </is>
      </c>
      <c r="O13" t="inlineStr">
        <is>
          <t>R011</t>
        </is>
      </c>
      <c r="P13" t="inlineStr">
        <is>
          <t>Yes</t>
        </is>
      </c>
      <c r="R13" t="inlineStr">
        <is>
          <t>04/21/2016</t>
        </is>
      </c>
      <c r="S13" t="inlineStr">
        <is>
          <t>04/21/2016</t>
        </is>
      </c>
      <c r="T13" t="inlineStr">
        <is>
          <t>04/21/2016</t>
        </is>
      </c>
      <c r="U13" t="inlineStr">
        <is>
          <t>Reported day</t>
        </is>
      </c>
      <c r="V13" t="inlineStr">
        <is>
          <t>Reported</t>
        </is>
      </c>
      <c r="AK13" t="n">
        <v>28</v>
      </c>
      <c r="AM13" t="inlineStr">
        <is>
          <t>PWRR–G&amp;W</t>
        </is>
      </c>
    </row>
    <row r="14">
      <c r="A14" t="n">
        <v>12</v>
      </c>
      <c r="B14" t="inlineStr">
        <is>
          <t>by 04/27/2016 (communication day not disclosed)</t>
        </is>
      </c>
      <c r="C14" t="inlineStr">
        <is>
          <t>Providence &amp; Worcester / GHF</t>
        </is>
      </c>
      <c r="D14" t="inlineStr">
        <is>
          <t>Deadline set</t>
        </is>
      </c>
      <c r="E14" t="n">
        <v>1</v>
      </c>
      <c r="F14" t="inlineStr">
        <is>
          <t>1</t>
        </is>
      </c>
      <c r="H14" t="inlineStr">
        <is>
          <t>Potential buyers were advised to submit non-binding indications of interest by 05/10/2016. Date first reported at the 04/27/2016 Board executive session; the advice itself is undated. The memorandum had been distributed to signed buyers by this stage (uniform access). A Transaction Committee call on 04/22/2016 discussed status. Superseded before arrival by the 05/19/2016 postponement (R013).</t>
        </is>
      </c>
      <c r="K14" t="inlineStr">
        <is>
          <t>Stated: "the Board met in executive session (without Mr. Eder present) with representatives of GHF and discussed the status of the process, including that each potential buyer had been advised to submit a non-binding indication of interest by May 10, 2016 (which deadline was subsequently postponed to May 19, 2016 to ensure the potential buyers had sufficient time to formulate their most compelling offers)." (p.29) The Board report bounds the communication.</t>
        </is>
      </c>
      <c r="M14" t="inlineStr">
        <is>
          <t>Q2</t>
        </is>
      </c>
      <c r="O14" t="inlineStr">
        <is>
          <t>R012</t>
        </is>
      </c>
      <c r="P14" t="inlineStr">
        <is>
          <t>Yes</t>
        </is>
      </c>
      <c r="S14" t="inlineStr">
        <is>
          <t>04/27/2016</t>
        </is>
      </c>
      <c r="T14" t="inlineStr">
        <is>
          <t>04/27/2016</t>
        </is>
      </c>
      <c r="U14" t="inlineStr">
        <is>
          <t>Relative only</t>
        </is>
      </c>
      <c r="V14" t="inlineStr">
        <is>
          <t>Assigned: bound</t>
        </is>
      </c>
      <c r="AK14" t="n">
        <v>29</v>
      </c>
      <c r="AM14" t="inlineStr">
        <is>
          <t>PWRR–G&amp;W</t>
        </is>
      </c>
    </row>
    <row r="15">
      <c r="A15" t="n">
        <v>13</v>
      </c>
      <c r="B15" t="inlineStr">
        <is>
          <t>after 04/27/2016; before 05/19/2016; date not disclosed</t>
        </is>
      </c>
      <c r="C15" t="inlineStr">
        <is>
          <t>Providence &amp; Worcester / GHF</t>
        </is>
      </c>
      <c r="D15" t="inlineStr">
        <is>
          <t>Deadline revised</t>
        </is>
      </c>
      <c r="E15" t="n">
        <v>1</v>
      </c>
      <c r="F15" t="inlineStr">
        <is>
          <t>1</t>
        </is>
      </c>
      <c r="H15" t="inlineStr">
        <is>
          <t>IOI due date postponed from 05/10/2016 to 05/19/2016 "to ensure the potential buyers had sufficient time to formulate their most compelling offers"; communicated to the potential buyers. Old due date 05/10/2016; new due date 05/19/2016. Treatment: Extended.</t>
        </is>
      </c>
      <c r="K15" t="inlineStr">
        <is>
          <t>Stated: deadline "was subsequently postponed to May 19, 2016 to ensure the potential buyers had sufficient time to formulate their most compelling offers" (p.29). The communication day is not disclosed; the Working date is the midpoint of the only supported window (after the 04/27/2016 report, before the 05/19/2016 due date).</t>
        </is>
      </c>
      <c r="M15" t="inlineStr">
        <is>
          <t>Q2</t>
        </is>
      </c>
      <c r="O15" t="inlineStr">
        <is>
          <t>R013</t>
        </is>
      </c>
      <c r="P15" t="inlineStr">
        <is>
          <t>Yes</t>
        </is>
      </c>
      <c r="R15" t="inlineStr">
        <is>
          <t>04/27/2016</t>
        </is>
      </c>
      <c r="S15" t="inlineStr">
        <is>
          <t>05/19/2016</t>
        </is>
      </c>
      <c r="T15" t="inlineStr">
        <is>
          <t>05/08/2016</t>
        </is>
      </c>
      <c r="U15" t="inlineStr">
        <is>
          <t>Approximate window</t>
        </is>
      </c>
      <c r="V15" t="inlineStr">
        <is>
          <t>Assigned: midpoint</t>
        </is>
      </c>
      <c r="AF15" t="inlineStr">
        <is>
          <t>Extended</t>
        </is>
      </c>
      <c r="AK15" t="n">
        <v>29</v>
      </c>
      <c r="AM15" t="inlineStr">
        <is>
          <t>PWRR–G&amp;W</t>
        </is>
      </c>
    </row>
    <row r="16">
      <c r="A16" t="n">
        <v>14</v>
      </c>
      <c r="B16" t="inlineStr">
        <is>
          <t>05/19/2016</t>
        </is>
      </c>
      <c r="C16" t="inlineStr">
        <is>
          <t>Providence &amp; Worcester / GHF</t>
        </is>
      </c>
      <c r="D16" t="inlineStr">
        <is>
          <t>Deadline</t>
        </is>
      </c>
      <c r="E16" t="n">
        <v>1</v>
      </c>
      <c r="F16" t="inlineStr">
        <is>
          <t>1</t>
        </is>
      </c>
      <c r="H16" t="inlineStr">
        <is>
          <t>IOI due date reached (current due date; replaced 05/10/2016). Treatment: Late bids accepted — IOIs kept arriving through 06/01/2016 and the Transaction Committee considered them at its 05/23/2016 call, with the advancement decision taken at the 06/01/2016 meeting. The extension itself is recorded on R013.</t>
        </is>
      </c>
      <c r="K16" t="inlineStr">
        <is>
          <t>Stated: "Between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and "The Transaction Committee met by telephone conference on May 23, 2016 and again on June 1, 2016 to consider the IOIs." (p.29) No revised due date after 05/19/2016 is reported.</t>
        </is>
      </c>
      <c r="M16" t="inlineStr">
        <is>
          <t>Q2</t>
        </is>
      </c>
      <c r="O16" t="inlineStr">
        <is>
          <t>R014</t>
        </is>
      </c>
      <c r="P16" t="inlineStr">
        <is>
          <t>Yes</t>
        </is>
      </c>
      <c r="R16" t="inlineStr">
        <is>
          <t>05/19/2016</t>
        </is>
      </c>
      <c r="S16" t="inlineStr">
        <is>
          <t>05/19/2016</t>
        </is>
      </c>
      <c r="T16" t="inlineStr">
        <is>
          <t>05/19/2016</t>
        </is>
      </c>
      <c r="U16" t="inlineStr">
        <is>
          <t>Reported day</t>
        </is>
      </c>
      <c r="V16" t="inlineStr">
        <is>
          <t>Reported</t>
        </is>
      </c>
      <c r="AE16" t="inlineStr">
        <is>
          <t>05/19/2016</t>
        </is>
      </c>
      <c r="AF16" t="inlineStr">
        <is>
          <t>Late bids accepted</t>
        </is>
      </c>
      <c r="AK16" t="n">
        <v>29</v>
      </c>
      <c r="AM16" t="inlineStr">
        <is>
          <t>PWRR–G&amp;W</t>
        </is>
      </c>
    </row>
    <row r="17">
      <c r="A17" t="n">
        <v>15</v>
      </c>
      <c r="B17" t="inlineStr">
        <is>
          <t>05/19/2016–06/01/2016</t>
        </is>
      </c>
      <c r="C17" t="inlineStr">
        <is>
          <t>Nine potential buyers (IOI submitters)</t>
        </is>
      </c>
      <c r="D17" t="inlineStr">
        <is>
          <t>Bid</t>
        </is>
      </c>
      <c r="E17" t="n">
        <v>1</v>
      </c>
      <c r="F17" t="inlineStr">
        <is>
          <t>1</t>
        </is>
      </c>
      <c r="G17" t="inlineStr">
        <is>
          <t>Unknown</t>
        </is>
      </c>
      <c r="H17" t="inlineStr">
        <is>
          <t>Nine written non-binding indications of interest, offer prices $17.93–$26.50 per share (assuming preferred conversion), implying equity values of $90–134 million. Prices were communicated as an envelope; no individual prices are disclosed. The submitter population is anonymous and its type composition is not reported.</t>
        </is>
      </c>
      <c r="I17" t="inlineStr">
        <is>
          <t>Informal</t>
        </is>
      </c>
      <c r="J17" t="inlineStr">
        <is>
          <t>Heavy</t>
        </is>
      </c>
      <c r="K17" t="inlineStr">
        <is>
          <t>Stated: "Between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(p.29) Group envelope priced across the nine; Formality: Formal signals absent — preliminary non-binding indications. Conditions: Heavy by context — made before substantive diligence access (data site came only after selection).</t>
        </is>
      </c>
      <c r="M17" t="inlineStr">
        <is>
          <t>Q3; Q5; Q6</t>
        </is>
      </c>
      <c r="O17" t="inlineStr">
        <is>
          <t>R015</t>
        </is>
      </c>
      <c r="P17" t="inlineStr">
        <is>
          <t>Yes</t>
        </is>
      </c>
      <c r="Q17" t="n">
        <v>9</v>
      </c>
      <c r="R17" t="inlineStr">
        <is>
          <t>05/19/2016</t>
        </is>
      </c>
      <c r="S17" t="inlineStr">
        <is>
          <t>06/01/2016</t>
        </is>
      </c>
      <c r="T17" t="inlineStr">
        <is>
          <t>05/19/2016</t>
        </is>
      </c>
      <c r="U17" t="inlineStr">
        <is>
          <t>Reported interval</t>
        </is>
      </c>
      <c r="V17" t="inlineStr">
        <is>
          <t>Assigned: deadline</t>
        </is>
      </c>
      <c r="W17" t="n">
        <v>17.93</v>
      </c>
      <c r="X17" t="n">
        <v>26.5</v>
      </c>
      <c r="Y17" t="inlineStr">
        <is>
          <t>Group envelope</t>
        </is>
      </c>
      <c r="Z17" t="inlineStr">
        <is>
          <t>Stated</t>
        </is>
      </c>
      <c r="AA17" t="inlineStr">
        <is>
          <t>USD</t>
        </is>
      </c>
      <c r="AD17" t="inlineStr">
        <is>
          <t>Fin: not stated; DD required: not stated; DD open: no; Excl: not stated</t>
        </is>
      </c>
      <c r="AK17" t="n">
        <v>29</v>
      </c>
      <c r="AM17" t="inlineStr">
        <is>
          <t>PWRR–G&amp;W</t>
        </is>
      </c>
    </row>
    <row r="18">
      <c r="A18" t="n">
        <v>16</v>
      </c>
      <c r="B18" t="inlineStr">
        <is>
          <t>by 05/19/2016</t>
        </is>
      </c>
      <c r="C18" t="inlineStr">
        <is>
          <t>16 NDA signers (inferred residual)</t>
        </is>
      </c>
      <c r="D18" t="inlineStr">
        <is>
          <t>Did not submit</t>
        </is>
      </c>
      <c r="E18" t="n">
        <v>1</v>
      </c>
      <c r="F18" t="inlineStr">
        <is>
          <t>1</t>
        </is>
      </c>
      <c r="G18" t="inlineStr">
        <is>
          <t>Unknown</t>
        </is>
      </c>
      <c r="H18" t="inlineStr">
        <is>
          <t>Inferred: residual — 25 NDA signers − 9 IOI submitters = 16 non-submitters. Unknown agency; no notice to them is reported. Includes any signer that never bid; the filing does not say whether any voluntarily declined or was discouraged.</t>
        </is>
      </c>
      <c r="K18" t="inlineStr">
        <is>
          <t>Calculated from "Each of the potential strategic buyers and 14 potential financial buyers subsequently executed confidentiality agreements" (p.28; 11 + 14 = 25) and "the Company received nine written indications of interest" (p.29). No submission by the balance is reported; inferred closing at the solicitation due date.</t>
        </is>
      </c>
      <c r="M18" t="inlineStr">
        <is>
          <t>Q3; Q4</t>
        </is>
      </c>
      <c r="O18" t="inlineStr">
        <is>
          <t>R016</t>
        </is>
      </c>
      <c r="P18" t="inlineStr">
        <is>
          <t>Yes</t>
        </is>
      </c>
      <c r="Q18" t="n">
        <v>16</v>
      </c>
      <c r="S18" t="inlineStr">
        <is>
          <t>05/19/2016</t>
        </is>
      </c>
      <c r="T18" t="inlineStr">
        <is>
          <t>05/19/2016</t>
        </is>
      </c>
      <c r="U18" t="inlineStr">
        <is>
          <t>Relative only</t>
        </is>
      </c>
      <c r="V18" t="inlineStr">
        <is>
          <t>Assigned: deadline</t>
        </is>
      </c>
      <c r="AH18" t="inlineStr">
        <is>
          <t>Unknown</t>
        </is>
      </c>
      <c r="AI18" t="inlineStr">
        <is>
          <t>Not stated</t>
        </is>
      </c>
      <c r="AJ18" t="inlineStr">
        <is>
          <t>Inferred: residual</t>
        </is>
      </c>
      <c r="AK18" t="n">
        <v>28</v>
      </c>
      <c r="AM18" t="inlineStr">
        <is>
          <t>PWRR–G&amp;W</t>
        </is>
      </c>
    </row>
    <row r="19">
      <c r="A19" t="n">
        <v>17</v>
      </c>
      <c r="B19" t="inlineStr">
        <is>
          <t>05/23/2016–06/01/2016</t>
        </is>
      </c>
      <c r="C19" t="inlineStr">
        <is>
          <t>Two low bidders (anonymous)</t>
        </is>
      </c>
      <c r="D19" t="inlineStr">
        <is>
          <t>Dropped by target</t>
        </is>
      </c>
      <c r="E19" t="n">
        <v>1</v>
      </c>
      <c r="F19" t="inlineStr">
        <is>
          <t>1</t>
        </is>
      </c>
      <c r="G19" t="inlineStr">
        <is>
          <t>Unknown</t>
        </is>
      </c>
      <c r="H19" t="inlineStr">
        <is>
          <t>The Transaction Committee concluded that the two low bidders among the nine IOI submitters should be excluded from management presentations, citing the substantial management time required; the remaining seven were advanced. Exit reason: Lower offer than rivals (the two lowest IOIs). Decisions reported after the 05/23 and 06/01/2016 committee meetings, before the 06/01/2016 advancement.</t>
        </is>
      </c>
      <c r="K19" t="inlineStr">
        <is>
          <t>Stated: "In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 (p.29)</t>
        </is>
      </c>
      <c r="M19" t="inlineStr">
        <is>
          <t>Q4</t>
        </is>
      </c>
      <c r="O19" t="inlineStr">
        <is>
          <t>R017</t>
        </is>
      </c>
      <c r="P19" t="inlineStr">
        <is>
          <t>Yes</t>
        </is>
      </c>
      <c r="Q19" t="n">
        <v>2</v>
      </c>
      <c r="R19" t="inlineStr">
        <is>
          <t>05/23/2016</t>
        </is>
      </c>
      <c r="S19" t="inlineStr">
        <is>
          <t>06/01/2016</t>
        </is>
      </c>
      <c r="T19" t="inlineStr">
        <is>
          <t>06/01/2016</t>
        </is>
      </c>
      <c r="U19" t="inlineStr">
        <is>
          <t>Reported interval</t>
        </is>
      </c>
      <c r="V19" t="inlineStr">
        <is>
          <t>Assigned: decision day</t>
        </is>
      </c>
      <c r="AH19" t="inlineStr">
        <is>
          <t>Target</t>
        </is>
      </c>
      <c r="AI19" t="inlineStr">
        <is>
          <t>Lower offer than rivals</t>
        </is>
      </c>
      <c r="AJ19" t="inlineStr">
        <is>
          <t>Stated</t>
        </is>
      </c>
      <c r="AK19" t="n">
        <v>29</v>
      </c>
      <c r="AM19" t="inlineStr">
        <is>
          <t>PWRR–G&amp;W</t>
        </is>
      </c>
    </row>
    <row r="20">
      <c r="A20" t="n">
        <v>18</v>
      </c>
      <c r="B20" t="inlineStr">
        <is>
          <t>06/01/2016</t>
        </is>
      </c>
      <c r="C20" t="inlineStr">
        <is>
          <t>Providence &amp; Worcester / GHF</t>
        </is>
      </c>
      <c r="D20" t="inlineStr">
        <is>
          <t>Round opened</t>
        </is>
      </c>
      <c r="E20" t="n">
        <v>1</v>
      </c>
      <c r="F20" t="inlineStr">
        <is>
          <t>2</t>
        </is>
      </c>
      <c r="H20" t="inlineStr">
        <is>
          <t>Round 2 objective: management presentations, data-site diligence and non-binding LOIs with transaction-document markups. Seven remaining IOI bidders advanced and given access to an internet data site for legal and financial due diligence (uniform stage access, stated here); Party C joined later (R020–R023). In mid-June the Committee directed all potential buyers to submit LOIs by 07/20/2016 with markups of the merger agreement, disclosure letter and voting agreement (R019). Finality: Not final — non-binding LOIs; the stage ended with selection of two bidders for confirmatory diligence and definitive negotiation.</t>
        </is>
      </c>
      <c r="K20" t="inlineStr">
        <is>
          <t>Stated: "The Transaction Committee authorized representatives of GHF to schedule in-person management presentations with the remaining seven potential buyers and allow these parties to conduct additional due diligence. These potential buyers were given access to an internet data site ..." (p.29); LOI instruction at p.29. Round opening assigned to the 06/01/2016 committee meeting that completed evaluation of the IOIs.</t>
        </is>
      </c>
      <c r="M20" t="inlineStr">
        <is>
          <t>Q1</t>
        </is>
      </c>
      <c r="O20" t="inlineStr">
        <is>
          <t>R018</t>
        </is>
      </c>
      <c r="P20" t="inlineStr">
        <is>
          <t>Yes</t>
        </is>
      </c>
      <c r="R20" t="inlineStr">
        <is>
          <t>06/01/2016</t>
        </is>
      </c>
      <c r="S20" t="inlineStr">
        <is>
          <t>06/01/2016</t>
        </is>
      </c>
      <c r="T20" t="inlineStr">
        <is>
          <t>06/01/2016</t>
        </is>
      </c>
      <c r="U20" t="inlineStr">
        <is>
          <t>Reported day</t>
        </is>
      </c>
      <c r="V20" t="inlineStr">
        <is>
          <t>Assigned: decision day</t>
        </is>
      </c>
      <c r="AG20" t="inlineStr">
        <is>
          <t>Not final</t>
        </is>
      </c>
      <c r="AK20" t="n">
        <v>29</v>
      </c>
      <c r="AM20" t="inlineStr">
        <is>
          <t>PWRR–G&amp;W</t>
        </is>
      </c>
    </row>
    <row r="21">
      <c r="A21" t="n">
        <v>19</v>
      </c>
      <c r="B21" t="inlineStr">
        <is>
          <t>mid-June 2016</t>
        </is>
      </c>
      <c r="C21" t="inlineStr">
        <is>
          <t>Providence &amp; Worcester / GHF</t>
        </is>
      </c>
      <c r="D21" t="inlineStr">
        <is>
          <t>Deadline set</t>
        </is>
      </c>
      <c r="E21" t="n">
        <v>1</v>
      </c>
      <c r="F21" t="inlineStr">
        <is>
          <t>2</t>
        </is>
      </c>
      <c r="H21" t="inlineStr">
        <is>
          <t>All potential buyers instructed to submit non-binding LOIs by 07/20/2016, together with mark-ups of the forms of merger agreement, disclosure letter and voting agreement (posted to the data site). Buyers were to value 100% of outstanding common stock per share (assuming preferred conversion) or give financial terms of any non-cash proposal.</t>
        </is>
      </c>
      <c r="K21" t="inlineStr">
        <is>
          <t>Stated: "In mid-June 2016, at the direction of the Transaction Committee, representatives of GHF instructed all potential buyers to submit non-binding letters of intent (“LOIs”) by July 20, 2016, together with mark-ups of the forms of merger agreement, disclosure letter and voting agreement ..." (p.29) Working date is the midpoint of the mid-June window.</t>
        </is>
      </c>
      <c r="M21" t="inlineStr">
        <is>
          <t>Q2</t>
        </is>
      </c>
      <c r="O21" t="inlineStr">
        <is>
          <t>R019</t>
        </is>
      </c>
      <c r="P21" t="inlineStr">
        <is>
          <t>Yes</t>
        </is>
      </c>
      <c r="R21" t="inlineStr">
        <is>
          <t>06/11/2016</t>
        </is>
      </c>
      <c r="S21" t="inlineStr">
        <is>
          <t>06/19/2016</t>
        </is>
      </c>
      <c r="T21" t="inlineStr">
        <is>
          <t>06/15/2016</t>
        </is>
      </c>
      <c r="U21" t="inlineStr">
        <is>
          <t>Approximate window</t>
        </is>
      </c>
      <c r="V21" t="inlineStr">
        <is>
          <t>Assigned: midpoint</t>
        </is>
      </c>
      <c r="AE21" t="inlineStr">
        <is>
          <t>07/20/2016</t>
        </is>
      </c>
      <c r="AK21" t="n">
        <v>29</v>
      </c>
      <c r="AM21" t="inlineStr">
        <is>
          <t>PWRR–G&amp;W</t>
        </is>
      </c>
    </row>
    <row r="22">
      <c r="A22" t="n">
        <v>20</v>
      </c>
      <c r="B22" t="inlineStr">
        <is>
          <t>early July 2016</t>
        </is>
      </c>
      <c r="C22" t="inlineStr">
        <is>
          <t>Party C (late-entrant strategic buyer)</t>
        </is>
      </c>
      <c r="D22" t="inlineStr">
        <is>
          <t>Contact</t>
        </is>
      </c>
      <c r="E22" t="n">
        <v>1</v>
      </c>
      <c r="F22" t="inlineStr">
        <is>
          <t>2</t>
        </is>
      </c>
      <c r="G22" t="inlineStr">
        <is>
          <t>Strategic</t>
        </is>
      </c>
      <c r="H22" t="inlineStr">
        <is>
          <t>Party C, a potential strategic buyer not previously part of the process, approached Company management and expressed interest in acquiring the Company. Direction: bidder-side.</t>
        </is>
      </c>
      <c r="K22" t="inlineStr">
        <is>
          <t>Stated: "In early July 2016, a potential strategic buyer that had not previously been part of the process (“Party C”) approached the Company’s management and expressed interest in acquiring the Company." (p.29) Working date is the midpoint of the early-July band (1–10).</t>
        </is>
      </c>
      <c r="M22" t="inlineStr">
        <is>
          <t>Q3</t>
        </is>
      </c>
      <c r="O22" t="inlineStr">
        <is>
          <t>R020</t>
        </is>
      </c>
      <c r="P22" t="inlineStr">
        <is>
          <t>Yes</t>
        </is>
      </c>
      <c r="Q22" t="n">
        <v>1</v>
      </c>
      <c r="R22" t="inlineStr">
        <is>
          <t>07/01/2016</t>
        </is>
      </c>
      <c r="S22" t="inlineStr">
        <is>
          <t>07/10/2016</t>
        </is>
      </c>
      <c r="T22" t="inlineStr">
        <is>
          <t>07/05/2016</t>
        </is>
      </c>
      <c r="U22" t="inlineStr">
        <is>
          <t>Approximate window</t>
        </is>
      </c>
      <c r="V22" t="inlineStr">
        <is>
          <t>Assigned: midpoint</t>
        </is>
      </c>
      <c r="AK22" t="n">
        <v>29</v>
      </c>
      <c r="AM22" t="inlineStr">
        <is>
          <t>PWRR–G&amp;W</t>
        </is>
      </c>
    </row>
    <row r="23">
      <c r="A23" t="n">
        <v>21</v>
      </c>
      <c r="B23" t="inlineStr">
        <is>
          <t>early July 2016; before 07/12/2016</t>
        </is>
      </c>
      <c r="C23" t="inlineStr">
        <is>
          <t>Party C</t>
        </is>
      </c>
      <c r="D23" t="inlineStr">
        <is>
          <t>NDA signed</t>
        </is>
      </c>
      <c r="E23" t="n">
        <v>1</v>
      </c>
      <c r="F23" t="inlineStr">
        <is>
          <t>2</t>
        </is>
      </c>
      <c r="G23" t="inlineStr">
        <is>
          <t>Strategic</t>
        </is>
      </c>
      <c r="H23" t="inlineStr">
        <is>
          <t>After executing a confidentiality agreement, Party C was provided the memorandum concerning the Company given to the other potential buyers. Individual execution date not disclosed; Working date is the midpoint of the early-July to 07/12/2016 window.</t>
        </is>
      </c>
      <c r="K23" t="inlineStr">
        <is>
          <t>Stated: "After executing a confidentiality agreement, Party C was provided the memorandum concerning the Company provided to the other potential buyers." (p.29) Tightened by the 07/12/2016 IOI that follows.</t>
        </is>
      </c>
      <c r="M23" t="inlineStr">
        <is>
          <t>Q3</t>
        </is>
      </c>
      <c r="O23" t="inlineStr">
        <is>
          <t>R021</t>
        </is>
      </c>
      <c r="P23" t="inlineStr">
        <is>
          <t>Yes</t>
        </is>
      </c>
      <c r="Q23" t="n">
        <v>1</v>
      </c>
      <c r="R23" t="inlineStr">
        <is>
          <t>07/01/2016</t>
        </is>
      </c>
      <c r="S23" t="inlineStr">
        <is>
          <t>07/12/2016</t>
        </is>
      </c>
      <c r="T23" t="inlineStr">
        <is>
          <t>07/06/2016</t>
        </is>
      </c>
      <c r="U23" t="inlineStr">
        <is>
          <t>Approximate window</t>
        </is>
      </c>
      <c r="V23" t="inlineStr">
        <is>
          <t>Assigned: midpoint</t>
        </is>
      </c>
      <c r="AK23" t="n">
        <v>29</v>
      </c>
      <c r="AM23" t="inlineStr">
        <is>
          <t>PWRR–G&amp;W</t>
        </is>
      </c>
    </row>
    <row r="24">
      <c r="A24" t="n">
        <v>22</v>
      </c>
      <c r="B24" t="inlineStr">
        <is>
          <t>07/12/2016</t>
        </is>
      </c>
      <c r="C24" t="inlineStr">
        <is>
          <t>Party C</t>
        </is>
      </c>
      <c r="D24" t="inlineStr">
        <is>
          <t>Bid</t>
        </is>
      </c>
      <c r="E24" t="n">
        <v>1</v>
      </c>
      <c r="F24" t="inlineStr">
        <is>
          <t>2</t>
        </is>
      </c>
      <c r="G24" t="inlineStr">
        <is>
          <t>Strategic</t>
        </is>
      </c>
      <c r="H24" t="inlineStr">
        <is>
          <t>IOI at $21.00 per share, implying an equity value of $108 million. Informal late-entrant indication made before data-site access; Party C was subsequently given data-site access and a management presentation by telephone on 07/14/2016.</t>
        </is>
      </c>
      <c r="I24" t="inlineStr">
        <is>
          <t>Informal</t>
        </is>
      </c>
      <c r="J24" t="inlineStr">
        <is>
          <t>Heavy</t>
        </is>
      </c>
      <c r="K24" t="inlineStr">
        <is>
          <t>Stated: "On July 12, 2016, Party C submitted an IOI with an offer price per share of $21.00 (implying an equity value of $108 million)." (p.29) Formality: Informal — preliminary indication, no transaction-document markup or final-solicitation response. Conditions: Heavy by context — no substantive diligence access at the time of the indication.</t>
        </is>
      </c>
      <c r="M24" t="inlineStr">
        <is>
          <t>Q5; Q6</t>
        </is>
      </c>
      <c r="O24" t="inlineStr">
        <is>
          <t>R022</t>
        </is>
      </c>
      <c r="P24" t="inlineStr">
        <is>
          <t>Yes</t>
        </is>
      </c>
      <c r="Q24" t="n">
        <v>1</v>
      </c>
      <c r="R24" t="inlineStr">
        <is>
          <t>07/12/2016</t>
        </is>
      </c>
      <c r="S24" t="inlineStr">
        <is>
          <t>07/12/2016</t>
        </is>
      </c>
      <c r="T24" t="inlineStr">
        <is>
          <t>07/12/2016</t>
        </is>
      </c>
      <c r="U24" t="inlineStr">
        <is>
          <t>Reported day</t>
        </is>
      </c>
      <c r="V24" t="inlineStr">
        <is>
          <t>Reported</t>
        </is>
      </c>
      <c r="W24" t="n">
        <v>21</v>
      </c>
      <c r="X24" t="n">
        <v>21</v>
      </c>
      <c r="Y24" t="inlineStr">
        <is>
          <t>Point</t>
        </is>
      </c>
      <c r="Z24" t="inlineStr">
        <is>
          <t>Stated</t>
        </is>
      </c>
      <c r="AA24" t="inlineStr">
        <is>
          <t>USD</t>
        </is>
      </c>
      <c r="AD24" t="inlineStr">
        <is>
          <t>Fin: not stated; DD required: not stated; DD open: no; Excl: not stated</t>
        </is>
      </c>
      <c r="AK24" t="n">
        <v>29</v>
      </c>
      <c r="AM24" t="inlineStr">
        <is>
          <t>PWRR–G&amp;W</t>
        </is>
      </c>
    </row>
    <row r="25">
      <c r="A25" t="n">
        <v>23</v>
      </c>
      <c r="B25" t="inlineStr">
        <is>
          <t>07/14/2016</t>
        </is>
      </c>
      <c r="C25" t="inlineStr">
        <is>
          <t>Party C</t>
        </is>
      </c>
      <c r="D25" t="inlineStr">
        <is>
          <t>Information access changed</t>
        </is>
      </c>
      <c r="E25" t="n">
        <v>1</v>
      </c>
      <c r="F25" t="inlineStr">
        <is>
          <t>2</t>
        </is>
      </c>
      <c r="G25" t="inlineStr">
        <is>
          <t>Strategic</t>
        </is>
      </c>
      <c r="H25" t="inlineStr">
        <is>
          <t>Catch-up access for a late entrant: after its IOI, Party C was given access to the internet data site and the Company held a management presentation with Party C by telephone on 07/14/2016, whereas the original seven bidders had received data-site access from 06/01/2016 and in-person presentations over June–July. No reason is stated beyond the late entry.</t>
        </is>
      </c>
      <c r="K25" t="inlineStr">
        <is>
          <t>Stated: "Subsequently, Party C was provided access to the internet data site and the Company’s management held a management presentation with Party C by telephone on July 14, 2016." (p.29) Differentiated/catch-up access among live bidders, so a separate information-access row.</t>
        </is>
      </c>
      <c r="M25" t="inlineStr">
        <is>
          <t>Q1</t>
        </is>
      </c>
      <c r="O25" t="inlineStr">
        <is>
          <t>R023</t>
        </is>
      </c>
      <c r="P25" t="inlineStr">
        <is>
          <t>Yes</t>
        </is>
      </c>
      <c r="R25" t="inlineStr">
        <is>
          <t>07/14/2016</t>
        </is>
      </c>
      <c r="S25" t="inlineStr">
        <is>
          <t>07/14/2016</t>
        </is>
      </c>
      <c r="T25" t="inlineStr">
        <is>
          <t>07/14/2016</t>
        </is>
      </c>
      <c r="U25" t="inlineStr">
        <is>
          <t>Reported day</t>
        </is>
      </c>
      <c r="V25" t="inlineStr">
        <is>
          <t>Reported</t>
        </is>
      </c>
      <c r="AK25" t="n">
        <v>29</v>
      </c>
      <c r="AM25" t="inlineStr">
        <is>
          <t>PWRR–G&amp;W</t>
        </is>
      </c>
    </row>
    <row r="26">
      <c r="A26" t="n">
        <v>24</v>
      </c>
      <c r="B26" t="inlineStr">
        <is>
          <t>07/20/2016</t>
        </is>
      </c>
      <c r="C26" t="inlineStr">
        <is>
          <t>Providence &amp; Worcester / GHF</t>
        </is>
      </c>
      <c r="D26" t="inlineStr">
        <is>
          <t>Deadline</t>
        </is>
      </c>
      <c r="E26" t="n">
        <v>1</v>
      </c>
      <c r="F26" t="inlineStr">
        <is>
          <t>2</t>
        </is>
      </c>
      <c r="H26" t="inlineStr">
        <is>
          <t>LOI due date reached. Treatment: Late bids accepted — G&amp;W submitted its LOI on 07/21/2016 (and a revised LOI on 07/26/2016) and the Company considered both in the same round. No extension of the 07/20/2016 date is reported.</t>
        </is>
      </c>
      <c r="K26" t="inlineStr">
        <is>
          <t>Stated: LOIs to be submitted "by July 20, 2016" (p.29); "G&amp;W submitted an LOI on July 21, 2016" (p.29) and the Transaction Committee reviewed the LOIs on 07/22 and 07/27/2016 (p.30) — a late submission considered without a stated revision.</t>
        </is>
      </c>
      <c r="M26" t="inlineStr">
        <is>
          <t>Q2</t>
        </is>
      </c>
      <c r="O26" t="inlineStr">
        <is>
          <t>R024</t>
        </is>
      </c>
      <c r="P26" t="inlineStr">
        <is>
          <t>Yes</t>
        </is>
      </c>
      <c r="R26" t="inlineStr">
        <is>
          <t>07/20/2016</t>
        </is>
      </c>
      <c r="S26" t="inlineStr">
        <is>
          <t>07/20/2016</t>
        </is>
      </c>
      <c r="T26" t="inlineStr">
        <is>
          <t>07/20/2016</t>
        </is>
      </c>
      <c r="U26" t="inlineStr">
        <is>
          <t>Reported day</t>
        </is>
      </c>
      <c r="V26" t="inlineStr">
        <is>
          <t>Reported</t>
        </is>
      </c>
      <c r="AE26" t="inlineStr">
        <is>
          <t>07/20/2016</t>
        </is>
      </c>
      <c r="AF26" t="inlineStr">
        <is>
          <t>Late bids accepted</t>
        </is>
      </c>
      <c r="AK26" t="n">
        <v>29</v>
      </c>
      <c r="AM26" t="inlineStr">
        <is>
          <t>PWRR–G&amp;W</t>
        </is>
      </c>
    </row>
    <row r="27">
      <c r="A27" t="n">
        <v>25</v>
      </c>
      <c r="B27" t="inlineStr">
        <is>
          <t>late July 2016 (date not disclosed); by 07/20/2016</t>
        </is>
      </c>
      <c r="C27" t="inlineStr">
        <is>
          <t>Party B</t>
        </is>
      </c>
      <c r="D27" t="inlineStr">
        <is>
          <t>Bid</t>
        </is>
      </c>
      <c r="E27" t="n">
        <v>1</v>
      </c>
      <c r="F27" t="inlineStr">
        <is>
          <t>2</t>
        </is>
      </c>
      <c r="G27" t="inlineStr">
        <is>
          <t>Strategic</t>
        </is>
      </c>
      <c r="H27" t="inlineStr">
        <is>
          <t>LOI at $24.00 per share, subject to an expedited diligence review. Party B also provided mark-ups of the draft merger agreement and voting agreement. Highest LOI price. Individual submission day is not disclosed; the filing’s five undated LOIs are assigned the 07/20/2016 due date for display and placed ahead of G&amp;W’s dated 07/21/2016 LOI.</t>
        </is>
      </c>
      <c r="I27" t="inlineStr">
        <is>
          <t>Formal</t>
        </is>
      </c>
      <c r="J27" t="inlineStr">
        <is>
          <t>Light</t>
        </is>
      </c>
      <c r="K27" t="inlineStr">
        <is>
          <t>Stated: "• Party B submitted an LOI to acquire the Company for a price of $24.00 per share (subject to an expedited diligence review)." (p.29) and "Party B, G&amp;W and another bidder (“Party D”) also provided mark-ups of the draft merger agreement and voting agreement." (p.29) Formality: Formal — returned agreement markups. Conditions: Light — expedited/confirmatory diligence only.</t>
        </is>
      </c>
      <c r="M27" t="inlineStr">
        <is>
          <t>Q5; Q6</t>
        </is>
      </c>
      <c r="O27" t="inlineStr">
        <is>
          <t>R025</t>
        </is>
      </c>
      <c r="P27" t="inlineStr">
        <is>
          <t>Yes</t>
        </is>
      </c>
      <c r="Q27" t="n">
        <v>1</v>
      </c>
      <c r="R27" t="inlineStr">
        <is>
          <t>07/20/2016</t>
        </is>
      </c>
      <c r="S27" t="inlineStr">
        <is>
          <t>07/27/2016</t>
        </is>
      </c>
      <c r="T27" t="inlineStr">
        <is>
          <t>07/20/2016</t>
        </is>
      </c>
      <c r="U27" t="inlineStr">
        <is>
          <t>Relative only</t>
        </is>
      </c>
      <c r="V27" t="inlineStr">
        <is>
          <t>Assigned: deadline</t>
        </is>
      </c>
      <c r="W27" t="n">
        <v>24</v>
      </c>
      <c r="X27" t="n">
        <v>24</v>
      </c>
      <c r="Y27" t="inlineStr">
        <is>
          <t>Point</t>
        </is>
      </c>
      <c r="Z27" t="inlineStr">
        <is>
          <t>Stated</t>
        </is>
      </c>
      <c r="AA27" t="inlineStr">
        <is>
          <t>USD</t>
        </is>
      </c>
      <c r="AD27" t="inlineStr">
        <is>
          <t>Fin: not stated; DD required: confirmatory; DD open: yes; Excl: not stated</t>
        </is>
      </c>
      <c r="AK27" t="n">
        <v>29</v>
      </c>
      <c r="AM27" t="inlineStr">
        <is>
          <t>PWRR–G&amp;W</t>
        </is>
      </c>
    </row>
    <row r="28">
      <c r="A28" t="n">
        <v>26</v>
      </c>
      <c r="B28" t="inlineStr">
        <is>
          <t>late July 2016 (date not disclosed); by 07/20/2016</t>
        </is>
      </c>
      <c r="C28" t="inlineStr">
        <is>
          <t>Party E</t>
        </is>
      </c>
      <c r="D28" t="inlineStr">
        <is>
          <t>Bid</t>
        </is>
      </c>
      <c r="E28" t="n">
        <v>1</v>
      </c>
      <c r="F28" t="inlineStr">
        <is>
          <t>2</t>
        </is>
      </c>
      <c r="G28" t="inlineStr">
        <is>
          <t>Strategic</t>
        </is>
      </c>
      <c r="H28" t="inlineStr">
        <is>
          <t>LOI at $21.26 per share, subject to a 60-day exclusivity period for due diligence and negotiation of definitive documentation. Party E provided only a summary of material issues and proposed changes to the merger agreement and voting agreement. Exclusivity requested (60 days); never granted.</t>
        </is>
      </c>
      <c r="I28" t="inlineStr">
        <is>
          <t>Informal</t>
        </is>
      </c>
      <c r="J28" t="inlineStr">
        <is>
          <t>Heavy</t>
        </is>
      </c>
      <c r="K28" t="inlineStr">
        <is>
          <t>Stated: "• Party E (a strategic buyer) submitted an LOI to acquire the Company for a price of $21.26 per share (subject to a 60-day exclusivity period for due diligence and negotiation of definitive documentation)." (p.30); "One bidder (“Party E”) provided a summary of material issues and proposed changes to the merger agreement and voting agreement with respect to those issues." (p.29) Formality: Informal — issues list alone is not a returned agreement markup (borderline; see Questions). Conditions: Heavy — stated 60-day exclusive diligence/negotiation period (Excl: requested (60 days), not granted).</t>
        </is>
      </c>
      <c r="M28" t="inlineStr">
        <is>
          <t>Q5; Q6</t>
        </is>
      </c>
      <c r="O28" t="inlineStr">
        <is>
          <t>R026</t>
        </is>
      </c>
      <c r="P28" t="inlineStr">
        <is>
          <t>Yes</t>
        </is>
      </c>
      <c r="Q28" t="n">
        <v>1</v>
      </c>
      <c r="R28" t="inlineStr">
        <is>
          <t>07/20/2016</t>
        </is>
      </c>
      <c r="S28" t="inlineStr">
        <is>
          <t>07/27/2016</t>
        </is>
      </c>
      <c r="T28" t="inlineStr">
        <is>
          <t>07/20/2016</t>
        </is>
      </c>
      <c r="U28" t="inlineStr">
        <is>
          <t>Relative only</t>
        </is>
      </c>
      <c r="V28" t="inlineStr">
        <is>
          <t>Assigned: deadline</t>
        </is>
      </c>
      <c r="W28" t="n">
        <v>21.26</v>
      </c>
      <c r="X28" t="n">
        <v>21.26</v>
      </c>
      <c r="Y28" t="inlineStr">
        <is>
          <t>Point</t>
        </is>
      </c>
      <c r="Z28" t="inlineStr">
        <is>
          <t>Stated</t>
        </is>
      </c>
      <c r="AA28" t="inlineStr">
        <is>
          <t>USD</t>
        </is>
      </c>
      <c r="AD28" t="inlineStr">
        <is>
          <t>Fin: not stated; DD required: substantive (60 days); DD open: yes; Excl: requested (60 days)</t>
        </is>
      </c>
      <c r="AK28" t="n">
        <v>30</v>
      </c>
      <c r="AM28" t="inlineStr">
        <is>
          <t>PWRR–G&amp;W</t>
        </is>
      </c>
    </row>
    <row r="29">
      <c r="A29" t="n">
        <v>27</v>
      </c>
      <c r="B29" t="inlineStr">
        <is>
          <t>late July 2016 (date not disclosed); by 07/20/2016</t>
        </is>
      </c>
      <c r="C29" t="inlineStr">
        <is>
          <t>Party D</t>
        </is>
      </c>
      <c r="D29" t="inlineStr">
        <is>
          <t>Bid</t>
        </is>
      </c>
      <c r="E29" t="n">
        <v>1</v>
      </c>
      <c r="F29" t="inlineStr">
        <is>
          <t>2</t>
        </is>
      </c>
      <c r="G29" t="inlineStr">
        <is>
          <t>Financial</t>
        </is>
      </c>
      <c r="H29" t="inlineStr">
        <is>
          <t>LOI at $21.00 per share, subject to a four-week diligence period. Party D also provided mark-ups of the draft merger agreement and voting agreement.</t>
        </is>
      </c>
      <c r="I29" t="inlineStr">
        <is>
          <t>Formal</t>
        </is>
      </c>
      <c r="J29" t="inlineStr">
        <is>
          <t>Heavy</t>
        </is>
      </c>
      <c r="K29" t="inlineStr">
        <is>
          <t>Stated: "• Party D (a financial buyer) submitted an LOI to acquire the Company for a price of $21.00 per share (subject to a four-week diligence period)." (p.30); Party D provided mark-ups (p.29). Formality: Formal — returned agreement markups. Conditions: Heavy — stated four-week diligence period.</t>
        </is>
      </c>
      <c r="M29" t="inlineStr">
        <is>
          <t>Q5; Q6</t>
        </is>
      </c>
      <c r="O29" t="inlineStr">
        <is>
          <t>R027</t>
        </is>
      </c>
      <c r="P29" t="inlineStr">
        <is>
          <t>Yes</t>
        </is>
      </c>
      <c r="Q29" t="n">
        <v>1</v>
      </c>
      <c r="R29" t="inlineStr">
        <is>
          <t>07/20/2016</t>
        </is>
      </c>
      <c r="S29" t="inlineStr">
        <is>
          <t>07/27/2016</t>
        </is>
      </c>
      <c r="T29" t="inlineStr">
        <is>
          <t>07/20/2016</t>
        </is>
      </c>
      <c r="U29" t="inlineStr">
        <is>
          <t>Relative only</t>
        </is>
      </c>
      <c r="V29" t="inlineStr">
        <is>
          <t>Assigned: deadline</t>
        </is>
      </c>
      <c r="W29" t="n">
        <v>21</v>
      </c>
      <c r="X29" t="n">
        <v>21</v>
      </c>
      <c r="Y29" t="inlineStr">
        <is>
          <t>Point</t>
        </is>
      </c>
      <c r="Z29" t="inlineStr">
        <is>
          <t>Stated</t>
        </is>
      </c>
      <c r="AA29" t="inlineStr">
        <is>
          <t>USD</t>
        </is>
      </c>
      <c r="AD29" t="inlineStr">
        <is>
          <t>Fin: not stated; DD required: substantive (4 wks); DD open: yes; Excl: not stated</t>
        </is>
      </c>
      <c r="AK29" t="n">
        <v>30</v>
      </c>
      <c r="AM29" t="inlineStr">
        <is>
          <t>PWRR–G&amp;W</t>
        </is>
      </c>
    </row>
    <row r="30">
      <c r="A30" t="n">
        <v>28</v>
      </c>
      <c r="B30" t="inlineStr">
        <is>
          <t>late July 2016 (date not disclosed); by 07/20/2016</t>
        </is>
      </c>
      <c r="C30" t="inlineStr">
        <is>
          <t>Party C</t>
        </is>
      </c>
      <c r="D30" t="inlineStr">
        <is>
          <t>Bid</t>
        </is>
      </c>
      <c r="E30" t="n">
        <v>1</v>
      </c>
      <c r="F30" t="inlineStr">
        <is>
          <t>2</t>
        </is>
      </c>
      <c r="G30" t="inlineStr">
        <is>
          <t>Strategic</t>
        </is>
      </c>
      <c r="H30" t="inlineStr">
        <is>
          <t>LOI at $19.30 per share, subject to a 30-day diligence period. First priced row for Party C in this round was its 07/12/2016 IOI (Count 1); this LOI is a subsequent bid by the same unit in the same round, so Count 0.</t>
        </is>
      </c>
      <c r="I30" t="inlineStr">
        <is>
          <t>Informal</t>
        </is>
      </c>
      <c r="J30" t="inlineStr">
        <is>
          <t>Heavy</t>
        </is>
      </c>
      <c r="K30" t="inlineStr">
        <is>
          <t>Stated: "• Party C submitted an LOI to acquire the Company for a price of $19.30 per share (subject to a 30-day diligence period)." (p.30) Formality: Informal — no transaction-document markup or formal-solicitation signal is reported. Conditions: Heavy — stated 30-day diligence period.</t>
        </is>
      </c>
      <c r="M30" t="inlineStr">
        <is>
          <t>Q5; Q6</t>
        </is>
      </c>
      <c r="O30" t="inlineStr">
        <is>
          <t>R028</t>
        </is>
      </c>
      <c r="P30" t="inlineStr">
        <is>
          <t>Yes</t>
        </is>
      </c>
      <c r="Q30" t="n">
        <v>0</v>
      </c>
      <c r="R30" t="inlineStr">
        <is>
          <t>07/20/2016</t>
        </is>
      </c>
      <c r="S30" t="inlineStr">
        <is>
          <t>07/27/2016</t>
        </is>
      </c>
      <c r="T30" t="inlineStr">
        <is>
          <t>07/20/2016</t>
        </is>
      </c>
      <c r="U30" t="inlineStr">
        <is>
          <t>Relative only</t>
        </is>
      </c>
      <c r="V30" t="inlineStr">
        <is>
          <t>Assigned: deadline</t>
        </is>
      </c>
      <c r="W30" t="n">
        <v>19.3</v>
      </c>
      <c r="X30" t="n">
        <v>19.3</v>
      </c>
      <c r="Y30" t="inlineStr">
        <is>
          <t>Point</t>
        </is>
      </c>
      <c r="Z30" t="inlineStr">
        <is>
          <t>Stated</t>
        </is>
      </c>
      <c r="AA30" t="inlineStr">
        <is>
          <t>USD</t>
        </is>
      </c>
      <c r="AD30" t="inlineStr">
        <is>
          <t>Fin: not stated; DD required: substantive (30 days); DD open: yes; Excl: not stated</t>
        </is>
      </c>
      <c r="AK30" t="n">
        <v>30</v>
      </c>
      <c r="AM30" t="inlineStr">
        <is>
          <t>PWRR–G&amp;W</t>
        </is>
      </c>
    </row>
    <row r="31">
      <c r="A31" t="n">
        <v>29</v>
      </c>
      <c r="B31" t="inlineStr">
        <is>
          <t>late July 2016 (date not disclosed); by 07/20/2016</t>
        </is>
      </c>
      <c r="C31" t="inlineStr">
        <is>
          <t>Party F</t>
        </is>
      </c>
      <c r="D31" t="inlineStr">
        <is>
          <t>Bid</t>
        </is>
      </c>
      <c r="E31" t="n">
        <v>1</v>
      </c>
      <c r="F31" t="inlineStr">
        <is>
          <t>2</t>
        </is>
      </c>
      <c r="G31" t="inlineStr">
        <is>
          <t>Strategic</t>
        </is>
      </c>
      <c r="H31" t="inlineStr">
        <is>
          <t>LOI at $19.20 per share, subject to a 30-day due diligence period. Lowest LOI price.</t>
        </is>
      </c>
      <c r="I31" t="inlineStr">
        <is>
          <t>Informal</t>
        </is>
      </c>
      <c r="J31" t="inlineStr">
        <is>
          <t>Heavy</t>
        </is>
      </c>
      <c r="K31" t="inlineStr">
        <is>
          <t>Stated: "• Party F (a strategic buyer) submitted an LOI to acquire the Company for a price of $19.20 per share (subject to a 30-day due diligence period)." (p.30) Formality: Informal — no transaction-document markup or formal-solicitation signal is reported. Conditions: Heavy — stated 30-day diligence period.</t>
        </is>
      </c>
      <c r="M31" t="inlineStr">
        <is>
          <t>Q5; Q6</t>
        </is>
      </c>
      <c r="O31" t="inlineStr">
        <is>
          <t>R029</t>
        </is>
      </c>
      <c r="P31" t="inlineStr">
        <is>
          <t>Yes</t>
        </is>
      </c>
      <c r="Q31" t="n">
        <v>1</v>
      </c>
      <c r="R31" t="inlineStr">
        <is>
          <t>07/20/2016</t>
        </is>
      </c>
      <c r="S31" t="inlineStr">
        <is>
          <t>07/27/2016</t>
        </is>
      </c>
      <c r="T31" t="inlineStr">
        <is>
          <t>07/20/2016</t>
        </is>
      </c>
      <c r="U31" t="inlineStr">
        <is>
          <t>Relative only</t>
        </is>
      </c>
      <c r="V31" t="inlineStr">
        <is>
          <t>Assigned: deadline</t>
        </is>
      </c>
      <c r="W31" t="n">
        <v>19.2</v>
      </c>
      <c r="X31" t="n">
        <v>19.2</v>
      </c>
      <c r="Y31" t="inlineStr">
        <is>
          <t>Point</t>
        </is>
      </c>
      <c r="Z31" t="inlineStr">
        <is>
          <t>Stated</t>
        </is>
      </c>
      <c r="AA31" t="inlineStr">
        <is>
          <t>USD</t>
        </is>
      </c>
      <c r="AD31" t="inlineStr">
        <is>
          <t>Fin: not stated; DD required: substantive (30 days); DD open: yes; Excl: not stated</t>
        </is>
      </c>
      <c r="AK31" t="n">
        <v>30</v>
      </c>
      <c r="AM31" t="inlineStr">
        <is>
          <t>PWRR–G&amp;W</t>
        </is>
      </c>
    </row>
    <row r="32">
      <c r="A32" t="n">
        <v>30</v>
      </c>
      <c r="B32" t="inlineStr">
        <is>
          <t>by 07/20/2016</t>
        </is>
      </c>
      <c r="C32" t="inlineStr">
        <is>
          <t>One strategic buyer (anonymous)</t>
        </is>
      </c>
      <c r="D32" t="inlineStr">
        <is>
          <t>Did not submit</t>
        </is>
      </c>
      <c r="E32" t="n">
        <v>1</v>
      </c>
      <c r="F32" t="inlineStr">
        <is>
          <t>2</t>
        </is>
      </c>
      <c r="G32" t="inlineStr">
        <is>
          <t>Strategic</t>
        </is>
      </c>
      <c r="H32" t="inlineStr">
        <is>
          <t>One strategic buyer eligible to submit an LOI elected not to submit. Election is stated by the filing; the filing gives no reason and no identity. Base: eight potential buyers eligible at this stage (seven advanced IOI bidders plus late entrant Party C) less the six named LOI submitters.</t>
        </is>
      </c>
      <c r="K32" t="inlineStr">
        <is>
          <t>Stated: "One strategic buyer and one financial buyer elected not to submit an LOI." (p.30) Stated non-submission, not an inferred residual; Count 1 for this type split.</t>
        </is>
      </c>
      <c r="M32" t="inlineStr">
        <is>
          <t>Q3; Q4</t>
        </is>
      </c>
      <c r="O32" t="inlineStr">
        <is>
          <t>R030</t>
        </is>
      </c>
      <c r="P32" t="inlineStr">
        <is>
          <t>Yes</t>
        </is>
      </c>
      <c r="Q32" t="n">
        <v>1</v>
      </c>
      <c r="S32" t="inlineStr">
        <is>
          <t>07/20/2016</t>
        </is>
      </c>
      <c r="T32" t="inlineStr">
        <is>
          <t>07/20/2016</t>
        </is>
      </c>
      <c r="U32" t="inlineStr">
        <is>
          <t>Relative only</t>
        </is>
      </c>
      <c r="V32" t="inlineStr">
        <is>
          <t>Assigned: deadline</t>
        </is>
      </c>
      <c r="AH32" t="inlineStr">
        <is>
          <t>Bidder</t>
        </is>
      </c>
      <c r="AI32" t="inlineStr">
        <is>
          <t>Not stated</t>
        </is>
      </c>
      <c r="AJ32" t="inlineStr">
        <is>
          <t>Stated</t>
        </is>
      </c>
      <c r="AK32" t="n">
        <v>30</v>
      </c>
      <c r="AM32" t="inlineStr">
        <is>
          <t>PWRR–G&amp;W</t>
        </is>
      </c>
    </row>
    <row r="33">
      <c r="A33" t="n">
        <v>31</v>
      </c>
      <c r="B33" t="inlineStr">
        <is>
          <t>by 07/20/2016</t>
        </is>
      </c>
      <c r="C33" t="inlineStr">
        <is>
          <t>One financial buyer (anonymous)</t>
        </is>
      </c>
      <c r="D33" t="inlineStr">
        <is>
          <t>Did not submit</t>
        </is>
      </c>
      <c r="E33" t="n">
        <v>1</v>
      </c>
      <c r="F33" t="inlineStr">
        <is>
          <t>2</t>
        </is>
      </c>
      <c r="G33" t="inlineStr">
        <is>
          <t>Financial</t>
        </is>
      </c>
      <c r="H33" t="inlineStr">
        <is>
          <t>One financial buyer eligible to submit an LOI elected not to submit. Election is stated by the filing; the filing gives no reason and no identity.</t>
        </is>
      </c>
      <c r="K33" t="inlineStr">
        <is>
          <t>Stated: "One strategic buyer and one financial buyer elected not to submit an LOI." (p.30)</t>
        </is>
      </c>
      <c r="M33" t="inlineStr">
        <is>
          <t>Q3; Q4</t>
        </is>
      </c>
      <c r="O33" t="inlineStr">
        <is>
          <t>R031</t>
        </is>
      </c>
      <c r="P33" t="inlineStr">
        <is>
          <t>Yes</t>
        </is>
      </c>
      <c r="Q33" t="n">
        <v>1</v>
      </c>
      <c r="S33" t="inlineStr">
        <is>
          <t>07/20/2016</t>
        </is>
      </c>
      <c r="T33" t="inlineStr">
        <is>
          <t>07/20/2016</t>
        </is>
      </c>
      <c r="U33" t="inlineStr">
        <is>
          <t>Relative only</t>
        </is>
      </c>
      <c r="V33" t="inlineStr">
        <is>
          <t>Assigned: deadline</t>
        </is>
      </c>
      <c r="AH33" t="inlineStr">
        <is>
          <t>Bidder</t>
        </is>
      </c>
      <c r="AI33" t="inlineStr">
        <is>
          <t>Not stated</t>
        </is>
      </c>
      <c r="AJ33" t="inlineStr">
        <is>
          <t>Stated</t>
        </is>
      </c>
      <c r="AK33" t="n">
        <v>30</v>
      </c>
      <c r="AM33" t="inlineStr">
        <is>
          <t>PWRR–G&amp;W</t>
        </is>
      </c>
    </row>
    <row r="34">
      <c r="A34" t="n">
        <v>32</v>
      </c>
      <c r="B34" t="inlineStr">
        <is>
          <t>by 07/20/2016</t>
        </is>
      </c>
      <c r="C34" t="inlineStr">
        <is>
          <t>Party A</t>
        </is>
      </c>
      <c r="D34" t="inlineStr">
        <is>
          <t>Did not submit</t>
        </is>
      </c>
      <c r="E34" t="n">
        <v>1</v>
      </c>
      <c r="F34" t="inlineStr">
        <is>
          <t>2</t>
        </is>
      </c>
      <c r="G34" t="inlineStr">
        <is>
          <t>Strategic</t>
        </is>
      </c>
      <c r="H34" t="inlineStr">
        <is>
          <t>Inferred: identity — Party A is introduced in Q4 2015 and last individually recorded when the memorandum went to signers including Party A; never mentioned again. It is out by this transition under either covering cohort: R030 (the one strategic buyer that elected not to submit an LOI; recommended reading, since Party A is a strategic signer and the filing otherwise names every LOI submitter) or R016 (16 NDA signers that did not submit IOIs). Count 0: no count is moved from either cohort.</t>
        </is>
      </c>
      <c r="K34" t="inlineStr">
        <is>
          <t>Identity hypothesis, not a stated outcome. Covering rows: "One strategic buyer and one financial buyer elected not to submit an LOI." (p.30); "the Company received nine written indications of interest" (p.29). Listed for review; the first transition whose continuing set is individually identified without Party A is the LOI stage (all six submitters named at pp.29–30).</t>
        </is>
      </c>
      <c r="M34" t="inlineStr">
        <is>
          <t>Q3; Q4</t>
        </is>
      </c>
      <c r="O34" t="inlineStr">
        <is>
          <t>R032</t>
        </is>
      </c>
      <c r="P34" t="inlineStr">
        <is>
          <t>Yes</t>
        </is>
      </c>
      <c r="Q34" t="n">
        <v>0</v>
      </c>
      <c r="S34" t="inlineStr">
        <is>
          <t>07/20/2016</t>
        </is>
      </c>
      <c r="T34" t="inlineStr">
        <is>
          <t>07/20/2016</t>
        </is>
      </c>
      <c r="U34" t="inlineStr">
        <is>
          <t>Relative only</t>
        </is>
      </c>
      <c r="V34" t="inlineStr">
        <is>
          <t>Assigned: deadline</t>
        </is>
      </c>
      <c r="AH34" t="inlineStr">
        <is>
          <t>Unknown</t>
        </is>
      </c>
      <c r="AI34" t="inlineStr">
        <is>
          <t>Not stated</t>
        </is>
      </c>
      <c r="AJ34" t="inlineStr">
        <is>
          <t>Inferred: identity</t>
        </is>
      </c>
      <c r="AK34" t="n">
        <v>30</v>
      </c>
      <c r="AM34" t="inlineStr">
        <is>
          <t>PWRR–G&amp;W</t>
        </is>
      </c>
    </row>
    <row r="35">
      <c r="A35" t="n">
        <v>33</v>
      </c>
      <c r="B35" t="inlineStr">
        <is>
          <t>07/21/2016</t>
        </is>
      </c>
      <c r="C35" t="inlineStr">
        <is>
          <t>G&amp;W</t>
        </is>
      </c>
      <c r="D35" t="inlineStr">
        <is>
          <t>Bid</t>
        </is>
      </c>
      <c r="E35" t="n">
        <v>1</v>
      </c>
      <c r="F35" t="inlineStr">
        <is>
          <t>2</t>
        </is>
      </c>
      <c r="G35" t="inlineStr">
        <is>
          <t>Strategic</t>
        </is>
      </c>
      <c r="H35" t="inlineStr">
        <is>
          <t>LOI at $21.15 per share, including $20.02 cash at closing and $1.13 in the form of a contingent value right (CVR) valued on the subsequent sale of the Company’s South Quay property. Subject to a three-week exclusive diligence period; G&amp;W also provided a mark-up of the disclosure letter (plus merger agreement and voting agreement markups, p.29). Exclusivity requested (3 weeks); not granted.</t>
        </is>
      </c>
      <c r="I35" t="inlineStr">
        <is>
          <t>Formal</t>
        </is>
      </c>
      <c r="J35" t="inlineStr">
        <is>
          <t>Heavy</t>
        </is>
      </c>
      <c r="K35" t="inlineStr">
        <is>
          <t>Stated: "• 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(p.29) Formality: Formal — returned agreement/voting/disclosure-document markups. Conditions: Heavy — stated three-week exclusive diligence period.</t>
        </is>
      </c>
      <c r="M35" t="inlineStr">
        <is>
          <t>Q6</t>
        </is>
      </c>
      <c r="O35" t="inlineStr">
        <is>
          <t>R033</t>
        </is>
      </c>
      <c r="P35" t="inlineStr">
        <is>
          <t>Yes</t>
        </is>
      </c>
      <c r="Q35" t="n">
        <v>1</v>
      </c>
      <c r="R35" t="inlineStr">
        <is>
          <t>07/21/2016</t>
        </is>
      </c>
      <c r="S35" t="inlineStr">
        <is>
          <t>07/21/2016</t>
        </is>
      </c>
      <c r="T35" t="inlineStr">
        <is>
          <t>07/21/2016</t>
        </is>
      </c>
      <c r="U35" t="inlineStr">
        <is>
          <t>Reported day</t>
        </is>
      </c>
      <c r="V35" t="inlineStr">
        <is>
          <t>Reported</t>
        </is>
      </c>
      <c r="W35" t="n">
        <v>21.15</v>
      </c>
      <c r="X35" t="n">
        <v>21.15</v>
      </c>
      <c r="Y35" t="inlineStr">
        <is>
          <t>Point</t>
        </is>
      </c>
      <c r="Z35" t="inlineStr">
        <is>
          <t>Stated</t>
        </is>
      </c>
      <c r="AA35" t="inlineStr">
        <is>
          <t>USD</t>
        </is>
      </c>
      <c r="AB35" t="inlineStr">
        <is>
          <t>Yes</t>
        </is>
      </c>
      <c r="AC35" t="n">
        <v>20.02</v>
      </c>
      <c r="AD35" t="inlineStr">
        <is>
          <t>Fin: not stated; DD required: substantive (3 wks); DD open: yes; Excl: requested (3 wks)</t>
        </is>
      </c>
      <c r="AK35" t="n">
        <v>29</v>
      </c>
      <c r="AM35" t="inlineStr">
        <is>
          <t>PWRR–G&amp;W</t>
        </is>
      </c>
    </row>
    <row r="36">
      <c r="A36" t="n">
        <v>34</v>
      </c>
      <c r="B36" t="inlineStr">
        <is>
          <t>07/26/2016</t>
        </is>
      </c>
      <c r="C36" t="inlineStr">
        <is>
          <t>G&amp;W</t>
        </is>
      </c>
      <c r="D36" t="inlineStr">
        <is>
          <t>Bid</t>
        </is>
      </c>
      <c r="E36" t="n">
        <v>1</v>
      </c>
      <c r="F36" t="inlineStr">
        <is>
          <t>2</t>
        </is>
      </c>
      <c r="G36" t="inlineStr">
        <is>
          <t>Strategic</t>
        </is>
      </c>
      <c r="H36" t="inlineStr">
        <is>
          <t>Revised LOI: increased to $22.15 per share, including $21.02 cash at closing and the same $1.13 CVR. Submitted after GHF feedback that the prior price and CVR structure were not competitive. Same three-week exclusive diligence condition; Count 0 as a subsequent bid row for the same unit in the same round.</t>
        </is>
      </c>
      <c r="I36" t="inlineStr">
        <is>
          <t>Formal</t>
        </is>
      </c>
      <c r="J36" t="inlineStr">
        <is>
          <t>Heavy</t>
        </is>
      </c>
      <c r="K36" t="inlineStr">
        <is>
          <t>Stated: "On July 26, 2016, in response to feedback from representatives of GHF indicating its price and CVR structure were not competitive, G&amp;W submitted a revised LOI, which increased its offer to $22.15 per share (including $21.02 in cash and $1.13 CVR)." (p.29)</t>
        </is>
      </c>
      <c r="M36" t="inlineStr">
        <is>
          <t>Q6</t>
        </is>
      </c>
      <c r="O36" t="inlineStr">
        <is>
          <t>R034</t>
        </is>
      </c>
      <c r="P36" t="inlineStr">
        <is>
          <t>Yes</t>
        </is>
      </c>
      <c r="Q36" t="n">
        <v>0</v>
      </c>
      <c r="R36" t="inlineStr">
        <is>
          <t>07/26/2016</t>
        </is>
      </c>
      <c r="S36" t="inlineStr">
        <is>
          <t>07/26/2016</t>
        </is>
      </c>
      <c r="T36" t="inlineStr">
        <is>
          <t>07/26/2016</t>
        </is>
      </c>
      <c r="U36" t="inlineStr">
        <is>
          <t>Reported day</t>
        </is>
      </c>
      <c r="V36" t="inlineStr">
        <is>
          <t>Reported</t>
        </is>
      </c>
      <c r="W36" t="n">
        <v>22.15</v>
      </c>
      <c r="X36" t="n">
        <v>22.15</v>
      </c>
      <c r="Y36" t="inlineStr">
        <is>
          <t>Point</t>
        </is>
      </c>
      <c r="Z36" t="inlineStr">
        <is>
          <t>Stated</t>
        </is>
      </c>
      <c r="AA36" t="inlineStr">
        <is>
          <t>USD</t>
        </is>
      </c>
      <c r="AB36" t="inlineStr">
        <is>
          <t>Yes</t>
        </is>
      </c>
      <c r="AC36" t="n">
        <v>21.02</v>
      </c>
      <c r="AD36" t="inlineStr">
        <is>
          <t>Fin: not stated; DD required: substantive (3 wks); DD open: yes; Excl: requested (3 wks)</t>
        </is>
      </c>
      <c r="AK36" t="n">
        <v>29</v>
      </c>
      <c r="AL36" t="inlineStr">
        <is>
          <t>revises R033</t>
        </is>
      </c>
      <c r="AM36" t="inlineStr">
        <is>
          <t>PWRR–G&amp;W</t>
        </is>
      </c>
    </row>
    <row r="37">
      <c r="A37" t="n">
        <v>35</v>
      </c>
      <c r="B37" t="inlineStr">
        <is>
          <t>07/27/2016</t>
        </is>
      </c>
      <c r="C37" t="inlineStr">
        <is>
          <t>Providence &amp; Worcester (Transaction Committee / Board)</t>
        </is>
      </c>
      <c r="D37" t="inlineStr">
        <is>
          <t>Round opened</t>
        </is>
      </c>
      <c r="E37" t="n">
        <v>1</v>
      </c>
      <c r="F37" t="inlineStr">
        <is>
          <t>3</t>
        </is>
      </c>
      <c r="H37" t="inlineStr">
        <is>
          <t>Round 3 objective: confirmatory due diligence and negotiation of definitive documentation with selected bidders. The Committee met 07/22 and after the regular quarterly Board meeting on 07/27/2016, reviewed the six LOIs and concluded the Company should proceed with confirmatory due diligence and negotiations with G&amp;W and Party B because of their higher offers; remaining bidders were subsequently told they were no longer involved (R036–R039). On-site financial, legal and environmental diligence, including hi-rail track inspections, ran 07/27–08/11/2016 for G&amp;W and Party B (uniform stage access, stated here). Finality: Inferred final — no final/binding announcement, but the target moved to definitive negotiation with selected bidders and then signed.</t>
        </is>
      </c>
      <c r="K37" t="inlineStr">
        <is>
          <t>Stated: "The Transaction Committee concluded that the Company should proceed with confirmatory due diligence and negotiations with G&amp;W and Party B because of the higher offers made by each of G&amp;W and Party B relative to the other potential buyers." (p.30); on-site diligence "From July 27, 2016 through August 11, 2016" (p.31).</t>
        </is>
      </c>
      <c r="M37" t="inlineStr">
        <is>
          <t>Q1</t>
        </is>
      </c>
      <c r="O37" t="inlineStr">
        <is>
          <t>R035</t>
        </is>
      </c>
      <c r="P37" t="inlineStr">
        <is>
          <t>Yes</t>
        </is>
      </c>
      <c r="R37" t="inlineStr">
        <is>
          <t>07/27/2016</t>
        </is>
      </c>
      <c r="S37" t="inlineStr">
        <is>
          <t>07/27/2016</t>
        </is>
      </c>
      <c r="T37" t="inlineStr">
        <is>
          <t>07/27/2016</t>
        </is>
      </c>
      <c r="U37" t="inlineStr">
        <is>
          <t>Reported day</t>
        </is>
      </c>
      <c r="V37" t="inlineStr">
        <is>
          <t>Assigned: decision day</t>
        </is>
      </c>
      <c r="AG37" t="inlineStr">
        <is>
          <t>Inferred final</t>
        </is>
      </c>
      <c r="AK37" t="n">
        <v>30</v>
      </c>
      <c r="AM37" t="inlineStr">
        <is>
          <t>PWRR–G&amp;W</t>
        </is>
      </c>
    </row>
    <row r="38">
      <c r="A38" t="n">
        <v>36</v>
      </c>
      <c r="B38" t="inlineStr">
        <is>
          <t>after 07/27/2016; before 07/29/2016</t>
        </is>
      </c>
      <c r="C38" t="inlineStr">
        <is>
          <t>Party C</t>
        </is>
      </c>
      <c r="D38" t="inlineStr">
        <is>
          <t>Dropped by target</t>
        </is>
      </c>
      <c r="E38" t="n">
        <v>1</v>
      </c>
      <c r="F38" t="inlineStr">
        <is>
          <t>3</t>
        </is>
      </c>
      <c r="G38" t="inlineStr">
        <is>
          <t>Strategic</t>
        </is>
      </c>
      <c r="H38" t="inlineStr">
        <is>
          <t>Told by GHF that it was no longer involved in the process, following the Committee’s decision to proceed with G&amp;W and Party B. Exit reason: Lower offer than rivals ($19.30 LOI vs the two selected offers). Agency: Target.</t>
        </is>
      </c>
      <c r="K38" t="inlineStr">
        <is>
          <t>Stated: "At the direction of the Transaction Committee, representatives of GHF subsequently contacted the remaining bidders to inform them that they were no longer involved in the process." (p.30) Undated consequence of the 07/27/2016 decision; the 07/29/2016 calls show notice by then.</t>
        </is>
      </c>
      <c r="M38" t="inlineStr">
        <is>
          <t>Q4</t>
        </is>
      </c>
      <c r="O38" t="inlineStr">
        <is>
          <t>R036</t>
        </is>
      </c>
      <c r="P38" t="inlineStr">
        <is>
          <t>Yes</t>
        </is>
      </c>
      <c r="Q38" t="n">
        <v>1</v>
      </c>
      <c r="R38" t="inlineStr">
        <is>
          <t>07/27/2016</t>
        </is>
      </c>
      <c r="S38" t="inlineStr">
        <is>
          <t>07/29/2016</t>
        </is>
      </c>
      <c r="T38" t="inlineStr">
        <is>
          <t>07/27/2016</t>
        </is>
      </c>
      <c r="U38" t="inlineStr">
        <is>
          <t>Approximate window</t>
        </is>
      </c>
      <c r="V38" t="inlineStr">
        <is>
          <t>Assigned: decision day</t>
        </is>
      </c>
      <c r="AH38" t="inlineStr">
        <is>
          <t>Target</t>
        </is>
      </c>
      <c r="AI38" t="inlineStr">
        <is>
          <t>Lower offer than rivals</t>
        </is>
      </c>
      <c r="AJ38" t="inlineStr">
        <is>
          <t>Stated</t>
        </is>
      </c>
      <c r="AK38" t="n">
        <v>30</v>
      </c>
      <c r="AM38" t="inlineStr">
        <is>
          <t>PWRR–G&amp;W</t>
        </is>
      </c>
    </row>
    <row r="39">
      <c r="A39" t="n">
        <v>37</v>
      </c>
      <c r="B39" t="inlineStr">
        <is>
          <t>after 07/27/2016; before 07/29/2016</t>
        </is>
      </c>
      <c r="C39" t="inlineStr">
        <is>
          <t>Party D</t>
        </is>
      </c>
      <c r="D39" t="inlineStr">
        <is>
          <t>Dropped by target</t>
        </is>
      </c>
      <c r="E39" t="n">
        <v>1</v>
      </c>
      <c r="F39" t="inlineStr">
        <is>
          <t>3</t>
        </is>
      </c>
      <c r="G39" t="inlineStr">
        <is>
          <t>Financial</t>
        </is>
      </c>
      <c r="H39" t="inlineStr">
        <is>
          <t>Told it was no longer involved, following selection of G&amp;W and Party B. Later re-entered (R040). Exit reason: Lower offer than rivals ($21.00 LOI vs the two selected offers).</t>
        </is>
      </c>
      <c r="K39" t="inlineStr">
        <is>
          <t>Stated: "representatives of GHF subsequently contacted the remaining bidders to inform them that they were no longer involved in the process." (p.30); Party D was among the LOI submitters not selected.</t>
        </is>
      </c>
      <c r="M39" t="inlineStr">
        <is>
          <t>Q4</t>
        </is>
      </c>
      <c r="O39" t="inlineStr">
        <is>
          <t>R037</t>
        </is>
      </c>
      <c r="P39" t="inlineStr">
        <is>
          <t>Yes</t>
        </is>
      </c>
      <c r="Q39" t="n">
        <v>1</v>
      </c>
      <c r="R39" t="inlineStr">
        <is>
          <t>07/27/2016</t>
        </is>
      </c>
      <c r="S39" t="inlineStr">
        <is>
          <t>07/29/2016</t>
        </is>
      </c>
      <c r="T39" t="inlineStr">
        <is>
          <t>07/27/2016</t>
        </is>
      </c>
      <c r="U39" t="inlineStr">
        <is>
          <t>Approximate window</t>
        </is>
      </c>
      <c r="V39" t="inlineStr">
        <is>
          <t>Assigned: decision day</t>
        </is>
      </c>
      <c r="AH39" t="inlineStr">
        <is>
          <t>Target</t>
        </is>
      </c>
      <c r="AI39" t="inlineStr">
        <is>
          <t>Lower offer than rivals</t>
        </is>
      </c>
      <c r="AJ39" t="inlineStr">
        <is>
          <t>Stated</t>
        </is>
      </c>
      <c r="AK39" t="n">
        <v>30</v>
      </c>
      <c r="AL39" t="inlineStr">
        <is>
          <t>re-entered at R040</t>
        </is>
      </c>
      <c r="AM39" t="inlineStr">
        <is>
          <t>PWRR–G&amp;W</t>
        </is>
      </c>
    </row>
    <row r="40">
      <c r="A40" t="n">
        <v>38</v>
      </c>
      <c r="B40" t="inlineStr">
        <is>
          <t>after 07/27/2016; before 07/29/2016</t>
        </is>
      </c>
      <c r="C40" t="inlineStr">
        <is>
          <t>Party E</t>
        </is>
      </c>
      <c r="D40" t="inlineStr">
        <is>
          <t>Dropped by target</t>
        </is>
      </c>
      <c r="E40" t="n">
        <v>1</v>
      </c>
      <c r="F40" t="inlineStr">
        <is>
          <t>3</t>
        </is>
      </c>
      <c r="G40" t="inlineStr">
        <is>
          <t>Strategic</t>
        </is>
      </c>
      <c r="H40" t="inlineStr">
        <is>
          <t>Told it was no longer involved, following selection of G&amp;W and Party B. Its $21.26 nominal price was slightly above G&amp;W’s first ($21.15) but below G&amp;W’s revised ($22.15) and Party B’s ($24.00) offers; the filing states G&amp;W’s and Party B’s offers were higher and records that LOI prices rested on different assumptions about transaction expenses and change-in-control payments. Later re-entered (R042). Exit reason: Lower offer than rivals (filing’s stated basis; see Questions).</t>
        </is>
      </c>
      <c r="K40" t="inlineStr">
        <is>
          <t>Stated: "representatives of GHF subsequently contacted the remaining bidders to inform them that they were no longer involved in the process." (p.30); "the LOI prices were based on different assumptions and requirements related to transaction expenses and change in control payments" (p.30).</t>
        </is>
      </c>
      <c r="M40" t="inlineStr">
        <is>
          <t>Q4</t>
        </is>
      </c>
      <c r="O40" t="inlineStr">
        <is>
          <t>R038</t>
        </is>
      </c>
      <c r="P40" t="inlineStr">
        <is>
          <t>Yes</t>
        </is>
      </c>
      <c r="Q40" t="n">
        <v>1</v>
      </c>
      <c r="R40" t="inlineStr">
        <is>
          <t>07/27/2016</t>
        </is>
      </c>
      <c r="S40" t="inlineStr">
        <is>
          <t>07/29/2016</t>
        </is>
      </c>
      <c r="T40" t="inlineStr">
        <is>
          <t>07/27/2016</t>
        </is>
      </c>
      <c r="U40" t="inlineStr">
        <is>
          <t>Approximate window</t>
        </is>
      </c>
      <c r="V40" t="inlineStr">
        <is>
          <t>Assigned: decision day</t>
        </is>
      </c>
      <c r="AH40" t="inlineStr">
        <is>
          <t>Target</t>
        </is>
      </c>
      <c r="AI40" t="inlineStr">
        <is>
          <t>Lower offer than rivals</t>
        </is>
      </c>
      <c r="AJ40" t="inlineStr">
        <is>
          <t>Stated</t>
        </is>
      </c>
      <c r="AK40" t="n">
        <v>30</v>
      </c>
      <c r="AL40" t="inlineStr">
        <is>
          <t>re-entered at R042</t>
        </is>
      </c>
      <c r="AM40" t="inlineStr">
        <is>
          <t>PWRR–G&amp;W</t>
        </is>
      </c>
    </row>
    <row r="41">
      <c r="A41" t="n">
        <v>39</v>
      </c>
      <c r="B41" t="inlineStr">
        <is>
          <t>after 07/27/2016; before 07/29/2016</t>
        </is>
      </c>
      <c r="C41" t="inlineStr">
        <is>
          <t>Party F</t>
        </is>
      </c>
      <c r="D41" t="inlineStr">
        <is>
          <t>Dropped by target</t>
        </is>
      </c>
      <c r="E41" t="n">
        <v>1</v>
      </c>
      <c r="F41" t="inlineStr">
        <is>
          <t>3</t>
        </is>
      </c>
      <c r="G41" t="inlineStr">
        <is>
          <t>Strategic</t>
        </is>
      </c>
      <c r="H41" t="inlineStr">
        <is>
          <t>Told it was no longer involved, following selection of G&amp;W and Party B. Exit reason: Lower offer than rivals ($19.20 LOI). It later provided financing support to Party E’s 08/01/2016 revised proposal; because Party F had already exited, no new row or re-entry is recorded (Support recorded on R043).</t>
        </is>
      </c>
      <c r="K41" t="inlineStr">
        <is>
          <t>Stated: "representatives of GHF subsequently contacted the remaining bidders to inform them that they were no longer involved in the process." (p.30); Party E’s revised LOI was submitted "along with financing support, from Party F" (p.30).</t>
        </is>
      </c>
      <c r="M41" t="inlineStr">
        <is>
          <t>Q4</t>
        </is>
      </c>
      <c r="O41" t="inlineStr">
        <is>
          <t>R039</t>
        </is>
      </c>
      <c r="P41" t="inlineStr">
        <is>
          <t>Yes</t>
        </is>
      </c>
      <c r="Q41" t="n">
        <v>1</v>
      </c>
      <c r="R41" t="inlineStr">
        <is>
          <t>07/27/2016</t>
        </is>
      </c>
      <c r="S41" t="inlineStr">
        <is>
          <t>07/29/2016</t>
        </is>
      </c>
      <c r="T41" t="inlineStr">
        <is>
          <t>07/27/2016</t>
        </is>
      </c>
      <c r="U41" t="inlineStr">
        <is>
          <t>Approximate window</t>
        </is>
      </c>
      <c r="V41" t="inlineStr">
        <is>
          <t>Assigned: decision day</t>
        </is>
      </c>
      <c r="AH41" t="inlineStr">
        <is>
          <t>Target</t>
        </is>
      </c>
      <c r="AI41" t="inlineStr">
        <is>
          <t>Lower offer than rivals</t>
        </is>
      </c>
      <c r="AJ41" t="inlineStr">
        <is>
          <t>Stated</t>
        </is>
      </c>
      <c r="AK41" t="n">
        <v>30</v>
      </c>
      <c r="AM41" t="inlineStr">
        <is>
          <t>PWRR–G&amp;W</t>
        </is>
      </c>
    </row>
    <row r="42">
      <c r="A42" t="n">
        <v>40</v>
      </c>
      <c r="B42" t="inlineStr">
        <is>
          <t>08/01/2016</t>
        </is>
      </c>
      <c r="C42" t="inlineStr">
        <is>
          <t>Party D</t>
        </is>
      </c>
      <c r="D42" t="inlineStr">
        <is>
          <t>Re-entered</t>
        </is>
      </c>
      <c r="E42" t="n">
        <v>1</v>
      </c>
      <c r="F42" t="inlineStr">
        <is>
          <t>3</t>
        </is>
      </c>
      <c r="G42" t="inlineStr">
        <is>
          <t>Financial</t>
        </is>
      </c>
      <c r="H42" t="inlineStr">
        <is>
          <t>Renewed participation: after the 07/29/2016 GHF calls on which Party D expressed interest in reengaging and enhancing its offer, Party D submitted a revised LOI on 08/01/2016. Re-entered after the 07/27/2016 drop.</t>
        </is>
      </c>
      <c r="K42" t="inlineStr">
        <is>
          <t>Stated: "On July 29, 2016, representatives of GHF had calls with Party D and Party E. During those calls, Party D and Party E both expressed interest in reengaging and enhancing their offers. On August 1, 2016, Party D submitted a revised LOI at a price of $24.00 per share ..." (p.30)</t>
        </is>
      </c>
      <c r="M42" t="inlineStr">
        <is>
          <t>Q4</t>
        </is>
      </c>
      <c r="O42" t="inlineStr">
        <is>
          <t>R040</t>
        </is>
      </c>
      <c r="P42" t="inlineStr">
        <is>
          <t>Yes</t>
        </is>
      </c>
      <c r="Q42" t="n">
        <v>1</v>
      </c>
      <c r="R42" t="inlineStr">
        <is>
          <t>08/01/2016</t>
        </is>
      </c>
      <c r="S42" t="inlineStr">
        <is>
          <t>08/01/2016</t>
        </is>
      </c>
      <c r="T42" t="inlineStr">
        <is>
          <t>08/01/2016</t>
        </is>
      </c>
      <c r="U42" t="inlineStr">
        <is>
          <t>Reported day</t>
        </is>
      </c>
      <c r="V42" t="inlineStr">
        <is>
          <t>Reported</t>
        </is>
      </c>
      <c r="AK42" t="n">
        <v>30</v>
      </c>
      <c r="AL42" t="inlineStr">
        <is>
          <t>after R037</t>
        </is>
      </c>
      <c r="AM42" t="inlineStr">
        <is>
          <t>PWRR–G&amp;W</t>
        </is>
      </c>
    </row>
    <row r="43">
      <c r="A43" t="n">
        <v>41</v>
      </c>
      <c r="B43" t="inlineStr">
        <is>
          <t>08/01/2016</t>
        </is>
      </c>
      <c r="C43" t="inlineStr">
        <is>
          <t>Party D</t>
        </is>
      </c>
      <c r="D43" t="inlineStr">
        <is>
          <t>Bid</t>
        </is>
      </c>
      <c r="E43" t="n">
        <v>1</v>
      </c>
      <c r="F43" t="inlineStr">
        <is>
          <t>3</t>
        </is>
      </c>
      <c r="G43" t="inlineStr">
        <is>
          <t>Financial</t>
        </is>
      </c>
      <c r="H43" t="inlineStr">
        <is>
          <t>Revised LOI at $24.00 per share, with a 30-day due diligence period; on 08/02/2016 Party D declined to shorten the period and requested that the Company commit not to enter an agreement with another bidder during its 30-day diligence period (declined). First bid row for this unit in round 3.</t>
        </is>
      </c>
      <c r="I43" t="inlineStr">
        <is>
          <t>Formal</t>
        </is>
      </c>
      <c r="J43" t="inlineStr">
        <is>
          <t>Heavy</t>
        </is>
      </c>
      <c r="K43" t="inlineStr">
        <is>
          <t>Stated: "Party D submitted a revised LOI at a price of $24.00 per share" and "Both revised proposals contained a 30-day due diligence period." (p.30); "Party D declined to shorten its due diligence period and requested that the Company commit that it would not enter into an agreement with another bidder during its 30-day due diligence period." (p.30) Formality carried forward (Formal; markups at LOI stage). Conditions: Heavy — 30-day diligence; exclusivity-like commitment requested and refused.</t>
        </is>
      </c>
      <c r="M43" t="inlineStr">
        <is>
          <t>Q5; Q6</t>
        </is>
      </c>
      <c r="O43" t="inlineStr">
        <is>
          <t>R041</t>
        </is>
      </c>
      <c r="P43" t="inlineStr">
        <is>
          <t>Yes</t>
        </is>
      </c>
      <c r="Q43" t="n">
        <v>1</v>
      </c>
      <c r="R43" t="inlineStr">
        <is>
          <t>08/01/2016</t>
        </is>
      </c>
      <c r="S43" t="inlineStr">
        <is>
          <t>08/01/2016</t>
        </is>
      </c>
      <c r="T43" t="inlineStr">
        <is>
          <t>08/01/2016</t>
        </is>
      </c>
      <c r="U43" t="inlineStr">
        <is>
          <t>Reported day</t>
        </is>
      </c>
      <c r="V43" t="inlineStr">
        <is>
          <t>Reported</t>
        </is>
      </c>
      <c r="W43" t="n">
        <v>24</v>
      </c>
      <c r="X43" t="n">
        <v>24</v>
      </c>
      <c r="Y43" t="inlineStr">
        <is>
          <t>Point</t>
        </is>
      </c>
      <c r="Z43" t="inlineStr">
        <is>
          <t>Stated</t>
        </is>
      </c>
      <c r="AA43" t="inlineStr">
        <is>
          <t>USD</t>
        </is>
      </c>
      <c r="AD43" t="inlineStr">
        <is>
          <t>Fin: not stated; DD required: substantive (30 days); DD open: yes; Excl: requested (30 days)</t>
        </is>
      </c>
      <c r="AK43" t="n">
        <v>30</v>
      </c>
      <c r="AL43" t="inlineStr">
        <is>
          <t>revises R027</t>
        </is>
      </c>
      <c r="AM43" t="inlineStr">
        <is>
          <t>PWRR–G&amp;W</t>
        </is>
      </c>
    </row>
    <row r="44">
      <c r="A44" t="n">
        <v>42</v>
      </c>
      <c r="B44" t="inlineStr">
        <is>
          <t>08/01/2016</t>
        </is>
      </c>
      <c r="C44" t="inlineStr">
        <is>
          <t>Party E</t>
        </is>
      </c>
      <c r="D44" t="inlineStr">
        <is>
          <t>Re-entered</t>
        </is>
      </c>
      <c r="E44" t="n">
        <v>1</v>
      </c>
      <c r="F44" t="inlineStr">
        <is>
          <t>3</t>
        </is>
      </c>
      <c r="G44" t="inlineStr">
        <is>
          <t>Strategic</t>
        </is>
      </c>
      <c r="H44" t="inlineStr">
        <is>
          <t>Renewed participation: after the 07/29/2016 GHF calls, Party E submitted a revised LOI on 08/01/2016 with financing support from Party F. Re-entered after the 07/27/2016 drop.</t>
        </is>
      </c>
      <c r="K44" t="inlineStr">
        <is>
          <t>Stated: "During those calls, Party D and Party E both expressed interest in reengaging and enhancing their offers." and "Party E submitted a revised LOI, along with financing support, from Party F, at a price of $23.81 per share." (p.30)</t>
        </is>
      </c>
      <c r="M44" t="inlineStr">
        <is>
          <t>Q4</t>
        </is>
      </c>
      <c r="O44" t="inlineStr">
        <is>
          <t>R042</t>
        </is>
      </c>
      <c r="P44" t="inlineStr">
        <is>
          <t>Yes</t>
        </is>
      </c>
      <c r="Q44" t="n">
        <v>1</v>
      </c>
      <c r="R44" t="inlineStr">
        <is>
          <t>08/01/2016</t>
        </is>
      </c>
      <c r="S44" t="inlineStr">
        <is>
          <t>08/01/2016</t>
        </is>
      </c>
      <c r="T44" t="inlineStr">
        <is>
          <t>08/01/2016</t>
        </is>
      </c>
      <c r="U44" t="inlineStr">
        <is>
          <t>Reported day</t>
        </is>
      </c>
      <c r="V44" t="inlineStr">
        <is>
          <t>Reported</t>
        </is>
      </c>
      <c r="AK44" t="n">
        <v>30</v>
      </c>
      <c r="AL44" t="inlineStr">
        <is>
          <t>after R038</t>
        </is>
      </c>
      <c r="AM44" t="inlineStr">
        <is>
          <t>PWRR–G&amp;W</t>
        </is>
      </c>
    </row>
    <row r="45">
      <c r="A45" t="n">
        <v>43</v>
      </c>
      <c r="B45" t="inlineStr">
        <is>
          <t>08/01/2016</t>
        </is>
      </c>
      <c r="C45" t="inlineStr">
        <is>
          <t>Party E</t>
        </is>
      </c>
      <c r="D45" t="inlineStr">
        <is>
          <t>Bid</t>
        </is>
      </c>
      <c r="E45" t="n">
        <v>1</v>
      </c>
      <c r="F45" t="inlineStr">
        <is>
          <t>3</t>
        </is>
      </c>
      <c r="G45" t="inlineStr">
        <is>
          <t>Strategic</t>
        </is>
      </c>
      <c r="H45" t="inlineStr">
        <is>
          <t>Support: Party F (financing) — revised LOI at $23.81 per share, with a 30-day due diligence period. Party F had already exited on 07/27/2016 and provides no separate row or re-entry. First bid row for this unit in round 3.</t>
        </is>
      </c>
      <c r="I45" t="inlineStr">
        <is>
          <t>Informal</t>
        </is>
      </c>
      <c r="J45" t="inlineStr">
        <is>
          <t>Heavy</t>
        </is>
      </c>
      <c r="K45" t="inlineStr">
        <is>
          <t>Stated: "Party E submitted a revised LOI, along with financing support, from Party F, at a price of $23.81 per share. Both revised proposals contained a 30-day due diligence period." (p.30) Formality: Informal (no markup reported; its issues-list basis continues). Conditions: Heavy — 30-day diligence; Excl: none stated.</t>
        </is>
      </c>
      <c r="M45" t="inlineStr">
        <is>
          <t>Q4; Q6</t>
        </is>
      </c>
      <c r="O45" t="inlineStr">
        <is>
          <t>R043</t>
        </is>
      </c>
      <c r="P45" t="inlineStr">
        <is>
          <t>Yes</t>
        </is>
      </c>
      <c r="Q45" t="n">
        <v>1</v>
      </c>
      <c r="R45" t="inlineStr">
        <is>
          <t>08/01/2016</t>
        </is>
      </c>
      <c r="S45" t="inlineStr">
        <is>
          <t>08/01/2016</t>
        </is>
      </c>
      <c r="T45" t="inlineStr">
        <is>
          <t>08/01/2016</t>
        </is>
      </c>
      <c r="U45" t="inlineStr">
        <is>
          <t>Reported day</t>
        </is>
      </c>
      <c r="V45" t="inlineStr">
        <is>
          <t>Reported</t>
        </is>
      </c>
      <c r="W45" t="n">
        <v>23.81</v>
      </c>
      <c r="X45" t="n">
        <v>23.81</v>
      </c>
      <c r="Y45" t="inlineStr">
        <is>
          <t>Point</t>
        </is>
      </c>
      <c r="Z45" t="inlineStr">
        <is>
          <t>Stated</t>
        </is>
      </c>
      <c r="AA45" t="inlineStr">
        <is>
          <t>USD</t>
        </is>
      </c>
      <c r="AD45" t="inlineStr">
        <is>
          <t>Fin: represented; DD required: substantive (30 days); DD open: yes; Excl: not stated</t>
        </is>
      </c>
      <c r="AK45" t="n">
        <v>30</v>
      </c>
      <c r="AL45" t="inlineStr">
        <is>
          <t>revises R026; Support: Party F (financing)</t>
        </is>
      </c>
      <c r="AM45" t="inlineStr">
        <is>
          <t>PWRR–G&amp;W</t>
        </is>
      </c>
    </row>
    <row r="46">
      <c r="A46" t="n">
        <v>44</v>
      </c>
      <c r="B46" t="inlineStr">
        <is>
          <t>08/02/2016</t>
        </is>
      </c>
      <c r="C46" t="inlineStr">
        <is>
          <t>Party E</t>
        </is>
      </c>
      <c r="D46" t="inlineStr">
        <is>
          <t>Bid</t>
        </is>
      </c>
      <c r="E46" t="n">
        <v>1</v>
      </c>
      <c r="F46" t="inlineStr">
        <is>
          <t>3</t>
        </is>
      </c>
      <c r="G46" t="inlineStr">
        <is>
          <t>Strategic</t>
        </is>
      </c>
      <c r="H46" t="inlineStr">
        <is>
          <t>Reversion: withdrew its $23.81 revised proposal but confirmed its original $21.26 per share proposal. The $21.26 price is carried from R026 (Price origin Stated as re-confirmed).</t>
        </is>
      </c>
      <c r="I46" t="inlineStr">
        <is>
          <t>Informal</t>
        </is>
      </c>
      <c r="J46" t="inlineStr">
        <is>
          <t>Heavy</t>
        </is>
      </c>
      <c r="K46" t="inlineStr">
        <is>
          <t>Stated: "Party E withdrew its revised proposal on August 2, 2016 (but confirmed its original proposal of $21.26 per share)" (p.30). A withdrawal of a higher proposal while confirming an older one is a bid reversion, not a process withdrawal. Formality and conditions carried from R026 (Informal; Heavy, 60-day exclusivity request).</t>
        </is>
      </c>
      <c r="M46" t="inlineStr">
        <is>
          <t>Q4</t>
        </is>
      </c>
      <c r="O46" t="inlineStr">
        <is>
          <t>R044</t>
        </is>
      </c>
      <c r="P46" t="inlineStr">
        <is>
          <t>Yes</t>
        </is>
      </c>
      <c r="Q46" t="n">
        <v>0</v>
      </c>
      <c r="R46" t="inlineStr">
        <is>
          <t>08/02/2016</t>
        </is>
      </c>
      <c r="S46" t="inlineStr">
        <is>
          <t>08/02/2016</t>
        </is>
      </c>
      <c r="T46" t="inlineStr">
        <is>
          <t>08/02/2016</t>
        </is>
      </c>
      <c r="U46" t="inlineStr">
        <is>
          <t>Reported day</t>
        </is>
      </c>
      <c r="V46" t="inlineStr">
        <is>
          <t>Reported</t>
        </is>
      </c>
      <c r="W46" t="n">
        <v>21.26</v>
      </c>
      <c r="X46" t="n">
        <v>21.26</v>
      </c>
      <c r="Y46" t="inlineStr">
        <is>
          <t>Point</t>
        </is>
      </c>
      <c r="Z46" t="inlineStr">
        <is>
          <t>Stated</t>
        </is>
      </c>
      <c r="AA46" t="inlineStr">
        <is>
          <t>USD</t>
        </is>
      </c>
      <c r="AD46" t="inlineStr">
        <is>
          <t>Fin: not stated; DD required: substantive (60 days); DD open: yes; Excl: requested (60 days)</t>
        </is>
      </c>
      <c r="AK46" t="n">
        <v>30</v>
      </c>
      <c r="AL46" t="inlineStr">
        <is>
          <t>reverts to R026; withdraws R043</t>
        </is>
      </c>
      <c r="AM46" t="inlineStr">
        <is>
          <t>PWRR–G&amp;W</t>
        </is>
      </c>
    </row>
    <row r="47">
      <c r="A47" t="n">
        <v>45</v>
      </c>
      <c r="B47" t="inlineStr">
        <is>
          <t>08/02/2016</t>
        </is>
      </c>
      <c r="C47" t="inlineStr">
        <is>
          <t>Party D</t>
        </is>
      </c>
      <c r="D47" t="inlineStr">
        <is>
          <t>Participation paused</t>
        </is>
      </c>
      <c r="E47" t="n">
        <v>1</v>
      </c>
      <c r="F47" t="inlineStr">
        <is>
          <t>3</t>
        </is>
      </c>
      <c r="G47" t="inlineStr">
        <is>
          <t>Financial</t>
        </is>
      </c>
      <c r="H47" t="inlineStr">
        <is>
          <t>After the Company declined to commit not to sign with another bidder during Party D’s 30-day diligence period, Party D "indicated that it would not proceed with further due diligence at that time." Agency: Bidder. Exit reason: Terms or process (refused to shorten diligence; requested commitment not granted). A pause does not close the participant; Party D is closed at signing (R053).</t>
        </is>
      </c>
      <c r="K47" t="inlineStr">
        <is>
          <t>Stated: "In light of the active interest of Party B and G&amp;W, the Company declined to make such a commitment, at which point Party D indicated that it would not proceed with further due diligence at that time." (p.30) "At that time" is treated as a stated temporary stop (see Questions).</t>
        </is>
      </c>
      <c r="M47" t="inlineStr">
        <is>
          <t>Q4</t>
        </is>
      </c>
      <c r="O47" t="inlineStr">
        <is>
          <t>R045</t>
        </is>
      </c>
      <c r="P47" t="inlineStr">
        <is>
          <t>Yes</t>
        </is>
      </c>
      <c r="Q47" t="n">
        <v>1</v>
      </c>
      <c r="R47" t="inlineStr">
        <is>
          <t>08/02/2016</t>
        </is>
      </c>
      <c r="S47" t="inlineStr">
        <is>
          <t>08/02/2016</t>
        </is>
      </c>
      <c r="T47" t="inlineStr">
        <is>
          <t>08/02/2016</t>
        </is>
      </c>
      <c r="U47" t="inlineStr">
        <is>
          <t>Reported day</t>
        </is>
      </c>
      <c r="V47" t="inlineStr">
        <is>
          <t>Reported</t>
        </is>
      </c>
      <c r="AH47" t="inlineStr">
        <is>
          <t>Bidder</t>
        </is>
      </c>
      <c r="AI47" t="inlineStr">
        <is>
          <t>Terms or process</t>
        </is>
      </c>
      <c r="AJ47" t="inlineStr">
        <is>
          <t>Stated</t>
        </is>
      </c>
      <c r="AK47" t="n">
        <v>30</v>
      </c>
      <c r="AM47" t="inlineStr">
        <is>
          <t>PWRR–G&amp;W</t>
        </is>
      </c>
    </row>
    <row r="48">
      <c r="A48" t="n">
        <v>46</v>
      </c>
      <c r="B48" t="inlineStr">
        <is>
          <t>08/04/2016</t>
        </is>
      </c>
      <c r="C48" t="inlineStr">
        <is>
          <t>Providence &amp; Worcester (Transaction Committee)</t>
        </is>
      </c>
      <c r="D48" t="inlineStr">
        <is>
          <t>Target decision</t>
        </is>
      </c>
      <c r="E48" t="n">
        <v>1</v>
      </c>
      <c r="F48" t="inlineStr">
        <is>
          <t>3</t>
        </is>
      </c>
      <c r="H48" t="inlineStr">
        <is>
          <t>Committee directed management, BMO and Hinckley Allen to continue diligence and negotiations with both G&amp;W and Party B, but "given the higher price offered by Party B, to prioritize Party B and proceed to complete the negotiation of the merger agreement with Party B." Preferred-bidder decision; no exclusivity granted.</t>
        </is>
      </c>
      <c r="K48" t="inlineStr">
        <is>
          <t>Stated: "the Transaction Committee directed the management team and representatives of each of BMO and Hinckley Allen to continue diligence and negotiations with both G&amp;W and Party B, but given the higher price offered by Party B, to prioritize Party B and proceed to complete the negotiation of the merger agreement with Party B." (p.31)</t>
        </is>
      </c>
      <c r="M48" t="inlineStr">
        <is>
          <t>Q1</t>
        </is>
      </c>
      <c r="O48" t="inlineStr">
        <is>
          <t>R046</t>
        </is>
      </c>
      <c r="P48" t="inlineStr">
        <is>
          <t>Yes</t>
        </is>
      </c>
      <c r="R48" t="inlineStr">
        <is>
          <t>08/04/2016</t>
        </is>
      </c>
      <c r="S48" t="inlineStr">
        <is>
          <t>08/04/2016</t>
        </is>
      </c>
      <c r="T48" t="inlineStr">
        <is>
          <t>08/04/2016</t>
        </is>
      </c>
      <c r="U48" t="inlineStr">
        <is>
          <t>Reported day</t>
        </is>
      </c>
      <c r="V48" t="inlineStr">
        <is>
          <t>Reported</t>
        </is>
      </c>
      <c r="AK48" t="n">
        <v>31</v>
      </c>
      <c r="AM48" t="inlineStr">
        <is>
          <t>PWRR–G&amp;W</t>
        </is>
      </c>
    </row>
    <row r="49">
      <c r="A49" t="n">
        <v>47</v>
      </c>
      <c r="B49" t="inlineStr">
        <is>
          <t>08/04/2016</t>
        </is>
      </c>
      <c r="C49" t="inlineStr">
        <is>
          <t>Party B</t>
        </is>
      </c>
      <c r="D49" t="inlineStr">
        <is>
          <t>Bid reaffirmed</t>
        </is>
      </c>
      <c r="E49" t="n">
        <v>1</v>
      </c>
      <c r="F49" t="inlineStr">
        <is>
          <t>3</t>
        </is>
      </c>
      <c r="G49" t="inlineStr">
        <is>
          <t>Strategic</t>
        </is>
      </c>
      <c r="H49" t="inlineStr">
        <is>
          <t>Reaffirmed by: returned draft — Party B’s legal counsel provided a revised merger agreement draft, the first bidder-side act after the target moved to finalize a definitive agreement with Party B ($24.00 standing LOI; no new price). Third condition met; flagged for review (Q5). Conditions as of this date: diligence still open (on-site 07/27–08/11/2016). First row for this unit in round 3.</t>
        </is>
      </c>
      <c r="I49" t="inlineStr">
        <is>
          <t>Formal</t>
        </is>
      </c>
      <c r="J49" t="inlineStr">
        <is>
          <t>Light</t>
        </is>
      </c>
      <c r="K49" t="inlineStr">
        <is>
          <t>Stated: "On August 4, 2016, legal counsel for Party B provided a revised draft of the merger agreement" (p.31); target had directed completion of the agreement with Party B on 08/04/2016 (p.31) and diligence ran "From July 27, 2016 through August 11, 2016" (p.31). Late-reconfirmation criteria: target finalizing on the standing offer; latest priced row (R025) sits in a Not-final round; bidder-side returned draft. A returned draft does not by itself show diligence or financing conditions have fallen away.</t>
        </is>
      </c>
      <c r="M49" t="inlineStr">
        <is>
          <t>Q5</t>
        </is>
      </c>
      <c r="O49" t="inlineStr">
        <is>
          <t>R047</t>
        </is>
      </c>
      <c r="P49" t="inlineStr">
        <is>
          <t>Yes</t>
        </is>
      </c>
      <c r="Q49" t="n">
        <v>1</v>
      </c>
      <c r="R49" t="inlineStr">
        <is>
          <t>08/04/2016</t>
        </is>
      </c>
      <c r="S49" t="inlineStr">
        <is>
          <t>08/04/2016</t>
        </is>
      </c>
      <c r="T49" t="inlineStr">
        <is>
          <t>08/04/2016</t>
        </is>
      </c>
      <c r="U49" t="inlineStr">
        <is>
          <t>Reported day</t>
        </is>
      </c>
      <c r="V49" t="inlineStr">
        <is>
          <t>Reported</t>
        </is>
      </c>
      <c r="W49" t="n">
        <v>24</v>
      </c>
      <c r="X49" t="n">
        <v>24</v>
      </c>
      <c r="Y49" t="inlineStr">
        <is>
          <t>Point</t>
        </is>
      </c>
      <c r="Z49" t="inlineStr">
        <is>
          <t>Carried forward</t>
        </is>
      </c>
      <c r="AA49" t="inlineStr">
        <is>
          <t>USD</t>
        </is>
      </c>
      <c r="AD49" t="inlineStr">
        <is>
          <t>Fin: not stated; DD required: confirmatory; DD open: yes; Excl: not stated</t>
        </is>
      </c>
      <c r="AK49" t="n">
        <v>31</v>
      </c>
      <c r="AL49" t="inlineStr">
        <is>
          <t>reaffirms R025</t>
        </is>
      </c>
      <c r="AM49" t="inlineStr">
        <is>
          <t>PWRR–G&amp;W</t>
        </is>
      </c>
    </row>
    <row r="50">
      <c r="A50" t="n">
        <v>48</v>
      </c>
      <c r="B50" t="inlineStr">
        <is>
          <t>08/09/2016</t>
        </is>
      </c>
      <c r="C50" t="inlineStr">
        <is>
          <t>G&amp;W</t>
        </is>
      </c>
      <c r="D50" t="inlineStr">
        <is>
          <t>Information access changed</t>
        </is>
      </c>
      <c r="E50" t="n">
        <v>1</v>
      </c>
      <c r="F50" t="inlineStr">
        <is>
          <t>3</t>
        </is>
      </c>
      <c r="G50" t="inlineStr">
        <is>
          <t>Strategic</t>
        </is>
      </c>
      <c r="H50" t="inlineStr">
        <is>
          <t>After the Committee directed BMO to tell G&amp;W the Company intended to enter a merger agreement with another bidder, G&amp;W asked to continue diligence, including physical diligence on 08/10 and 08/11/2016, to potentially facilitate an improved offer; the request was granted. Party B was not offered equivalent post-notice access. No reason stated beyond potentially facilitating an improved offer.</t>
        </is>
      </c>
      <c r="K50" t="inlineStr">
        <is>
          <t>Stated: "the Transaction Committee directed representatives of BMO to inform G&amp;W that the Company intended to enter into a merger agreement with another bidder. G&amp;W requested that it be allowed to continue its due diligence, including physical due diligence on August 10 and August 11, 2016, to potentially facilitate an improved offer, which request was granted." (p.31)</t>
        </is>
      </c>
      <c r="M50" t="inlineStr">
        <is>
          <t>Q1</t>
        </is>
      </c>
      <c r="O50" t="inlineStr">
        <is>
          <t>R048</t>
        </is>
      </c>
      <c r="P50" t="inlineStr">
        <is>
          <t>Yes</t>
        </is>
      </c>
      <c r="R50" t="inlineStr">
        <is>
          <t>08/09/2016</t>
        </is>
      </c>
      <c r="S50" t="inlineStr">
        <is>
          <t>08/11/2016</t>
        </is>
      </c>
      <c r="T50" t="inlineStr">
        <is>
          <t>08/09/2016</t>
        </is>
      </c>
      <c r="U50" t="inlineStr">
        <is>
          <t>Reported interval</t>
        </is>
      </c>
      <c r="V50" t="inlineStr">
        <is>
          <t>Assigned: decision day</t>
        </is>
      </c>
      <c r="AK50" t="n">
        <v>31</v>
      </c>
      <c r="AM50" t="inlineStr">
        <is>
          <t>PWRR–G&amp;W</t>
        </is>
      </c>
    </row>
    <row r="51">
      <c r="A51" t="n">
        <v>49</v>
      </c>
      <c r="B51" t="inlineStr">
        <is>
          <t>08/12/2016</t>
        </is>
      </c>
      <c r="C51" t="inlineStr">
        <is>
          <t>G&amp;W</t>
        </is>
      </c>
      <c r="D51" t="inlineStr">
        <is>
          <t>Bid</t>
        </is>
      </c>
      <c r="E51" t="n">
        <v>1</v>
      </c>
      <c r="F51" t="inlineStr">
        <is>
          <t>3</t>
        </is>
      </c>
      <c r="G51" t="inlineStr">
        <is>
          <t>Strategic</t>
        </is>
      </c>
      <c r="H51" t="inlineStr">
        <is>
          <t>Final revised LOI: $25.00 per share in cash, excluding the previously proposed CVR, with mark-ups of the merger agreement and voting agreement. Offer stated to expire at 6:00 p.m. on the following day (offer expiry, not a bid deadline). Submitted on the morning of 08/12/2016 after G&amp;W completed physical diligence and after the Company had told it on 08/09/2016 of the intent to sign with another bidder. First G&amp;W bid row in round 3.</t>
        </is>
      </c>
      <c r="I51" t="inlineStr">
        <is>
          <t>Formal</t>
        </is>
      </c>
      <c r="J51" t="inlineStr">
        <is>
          <t>None</t>
        </is>
      </c>
      <c r="K51" t="inlineStr">
        <is>
          <t>Stated: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(p.31) Formality: Formal — returned agreement markups (signal 1). Conditions: None — diligence completed 08/11/2016, no further diligence condition stated; all-cash price; merger agreement contains no financing condition and G&amp;W represents its financial wherewithal (p.34).</t>
        </is>
      </c>
      <c r="M51" t="inlineStr">
        <is>
          <t>Q5; Q6</t>
        </is>
      </c>
      <c r="O51" t="inlineStr">
        <is>
          <t>R049</t>
        </is>
      </c>
      <c r="P51" t="inlineStr">
        <is>
          <t>Yes</t>
        </is>
      </c>
      <c r="Q51" t="n">
        <v>1</v>
      </c>
      <c r="R51" t="inlineStr">
        <is>
          <t>08/12/2016</t>
        </is>
      </c>
      <c r="S51" t="inlineStr">
        <is>
          <t>08/12/2016</t>
        </is>
      </c>
      <c r="T51" t="inlineStr">
        <is>
          <t>08/12/2016</t>
        </is>
      </c>
      <c r="U51" t="inlineStr">
        <is>
          <t>Reported day</t>
        </is>
      </c>
      <c r="V51" t="inlineStr">
        <is>
          <t>Reported</t>
        </is>
      </c>
      <c r="W51" t="n">
        <v>25</v>
      </c>
      <c r="X51" t="n">
        <v>25</v>
      </c>
      <c r="Y51" t="inlineStr">
        <is>
          <t>Point</t>
        </is>
      </c>
      <c r="Z51" t="inlineStr">
        <is>
          <t>Stated</t>
        </is>
      </c>
      <c r="AA51" t="inlineStr">
        <is>
          <t>USD</t>
        </is>
      </c>
      <c r="AB51" t="inlineStr">
        <is>
          <t>Yes</t>
        </is>
      </c>
      <c r="AC51" t="n">
        <v>25</v>
      </c>
      <c r="AD51" t="inlineStr">
        <is>
          <t>Fin: represented; DD required: none; DD open: no; Excl: none</t>
        </is>
      </c>
      <c r="AK51" t="n">
        <v>31</v>
      </c>
      <c r="AL51" t="inlineStr">
        <is>
          <t>revises R034; excludes CVR in R033–R034</t>
        </is>
      </c>
      <c r="AM51" t="inlineStr">
        <is>
          <t>PWRR–G&amp;W</t>
        </is>
      </c>
    </row>
    <row r="52">
      <c r="A52" t="n">
        <v>50</v>
      </c>
      <c r="B52" t="inlineStr">
        <is>
          <t>08/12/2016</t>
        </is>
      </c>
      <c r="C52" t="inlineStr">
        <is>
          <t>G&amp;W / Providence &amp; Worcester (Board) / Eder Trusts</t>
        </is>
      </c>
      <c r="D52" t="inlineStr">
        <is>
          <t>Merger agreement signed</t>
        </is>
      </c>
      <c r="E52" t="n">
        <v>1</v>
      </c>
      <c r="F52" t="inlineStr">
        <is>
          <t>3</t>
        </is>
      </c>
      <c r="H52" t="inlineStr">
        <is>
          <t>Board approved and executed the merger agreement with G&amp;W and Pullman Acquisition Sub Inc.: each common share converted into $25.00 in cash without interest; each preferred share deemed converted into 100 common shares plus accrued dividends. Board determined G&amp;W’s offer the superior proposal after (i) STB-process briefing, (ii) BMO fairness opinion, and (iii) Party B declining to increase its $24.00 price when asked. Termination fee $3,785,000 (about 3% of transaction value; reduced from 3.85% in negotiation). No financing condition. The Company, G&amp;W and the Eder Trusts executed a voting agreement covering the Eder Trusts’ shares (842,742 common; 500 preferred). Director Smith recused.</t>
        </is>
      </c>
      <c r="K52" t="inlineStr">
        <is>
          <t>Stated: "the Company and G&amp;W executed the merger agreement, and the Company, G&amp;W and the Eder Trusts executed the voting agreement" (p.32); "Party B indicated that it would not increase its price" and "The Board determined that the G&amp;W offer represented the superior proposal" (p.32); "$25.00 in cash, without interest" (p.27); termination fee "equal to 3% of the transaction value in the case of G&amp;W (which the Company had negotiated down from 3.85%)" (p.31) and "$3,785,000" (p.55).</t>
        </is>
      </c>
      <c r="M52" t="inlineStr">
        <is>
          <t>Q6</t>
        </is>
      </c>
      <c r="O52" t="inlineStr">
        <is>
          <t>R050</t>
        </is>
      </c>
      <c r="P52" t="inlineStr">
        <is>
          <t>Yes</t>
        </is>
      </c>
      <c r="R52" t="inlineStr">
        <is>
          <t>08/12/2016</t>
        </is>
      </c>
      <c r="S52" t="inlineStr">
        <is>
          <t>08/12/2016</t>
        </is>
      </c>
      <c r="T52" t="inlineStr">
        <is>
          <t>08/12/2016</t>
        </is>
      </c>
      <c r="U52" t="inlineStr">
        <is>
          <t>Reported day</t>
        </is>
      </c>
      <c r="V52" t="inlineStr">
        <is>
          <t>Reported</t>
        </is>
      </c>
      <c r="AK52" t="n">
        <v>32</v>
      </c>
      <c r="AL52" t="inlineStr">
        <is>
          <t>agreement dated as of 08/12/2016</t>
        </is>
      </c>
      <c r="AM52" t="inlineStr">
        <is>
          <t>PWRR–G&amp;W</t>
        </is>
      </c>
    </row>
    <row r="53">
      <c r="A53" t="n">
        <v>51</v>
      </c>
      <c r="B53" t="inlineStr">
        <is>
          <t>08/12/2016</t>
        </is>
      </c>
      <c r="C53" t="inlineStr">
        <is>
          <t>Party B</t>
        </is>
      </c>
      <c r="D53" t="inlineStr">
        <is>
          <t>Not selected at signing</t>
        </is>
      </c>
      <c r="E53" t="n">
        <v>1</v>
      </c>
      <c r="F53" t="inlineStr">
        <is>
          <t>3</t>
        </is>
      </c>
      <c r="G53" t="inlineStr">
        <is>
          <t>Strategic</t>
        </is>
      </c>
      <c r="H53" t="inlineStr">
        <is>
          <t>Asked by the Board whether it would increase its $24.00 price after G&amp;W submitted $25.00; Party B indicated it would not increase its price. The Board chose G&amp;W. Exit reason: Would not improve earlier offer (stated constraint); agency: Target (board chose G&amp;W). Diligence had ended 08/11/2016.</t>
        </is>
      </c>
      <c r="K53" t="inlineStr">
        <is>
          <t>Stated: "At the request of the Board, representatives of BMO then contacted Party B to determine if it would increase its offer price. Party B indicated that it would not increase its price." (p.32); "The Board determined that the G&amp;W offer represented the superior proposal." (p.32)</t>
        </is>
      </c>
      <c r="M53" t="inlineStr">
        <is>
          <t>Q4; Q5</t>
        </is>
      </c>
      <c r="O53" t="inlineStr">
        <is>
          <t>R051</t>
        </is>
      </c>
      <c r="P53" t="inlineStr">
        <is>
          <t>Yes</t>
        </is>
      </c>
      <c r="Q53" t="n">
        <v>1</v>
      </c>
      <c r="R53" t="inlineStr">
        <is>
          <t>08/12/2016</t>
        </is>
      </c>
      <c r="S53" t="inlineStr">
        <is>
          <t>08/12/2016</t>
        </is>
      </c>
      <c r="T53" t="inlineStr">
        <is>
          <t>08/12/2016</t>
        </is>
      </c>
      <c r="U53" t="inlineStr">
        <is>
          <t>Reported day</t>
        </is>
      </c>
      <c r="V53" t="inlineStr">
        <is>
          <t>Reported</t>
        </is>
      </c>
      <c r="AH53" t="inlineStr">
        <is>
          <t>Target</t>
        </is>
      </c>
      <c r="AI53" t="inlineStr">
        <is>
          <t>Would not improve earlier offer</t>
        </is>
      </c>
      <c r="AJ53" t="inlineStr">
        <is>
          <t>Stated</t>
        </is>
      </c>
      <c r="AK53" t="n">
        <v>32</v>
      </c>
      <c r="AL53" t="inlineStr">
        <is>
          <t>standing offer R025/R047</t>
        </is>
      </c>
      <c r="AM53" t="inlineStr">
        <is>
          <t>PWRR–G&amp;W</t>
        </is>
      </c>
    </row>
    <row r="54">
      <c r="A54" t="n">
        <v>52</v>
      </c>
      <c r="B54" t="inlineStr">
        <is>
          <t>by 08/12/2016</t>
        </is>
      </c>
      <c r="C54" t="inlineStr">
        <is>
          <t>Party E</t>
        </is>
      </c>
      <c r="D54" t="inlineStr">
        <is>
          <t>Not selected at signing</t>
        </is>
      </c>
      <c r="E54" t="n">
        <v>1</v>
      </c>
      <c r="F54" t="inlineStr">
        <is>
          <t>3</t>
        </is>
      </c>
      <c r="G54" t="inlineStr">
        <is>
          <t>Strategic</t>
        </is>
      </c>
      <c r="H54" t="inlineStr">
        <is>
          <t>Inferred: silent — still live after its 08/02/2016 reversion to $21.26; never mentioned again before signing. Closing is inferred from silence (its $21.26 standing proposal). No motive is inferred; exit reason Not stated.</t>
        </is>
      </c>
      <c r="K54" t="inlineStr">
        <is>
          <t>Last record: "Party E withdrew its revised proposal on August 2, 2016 (but confirmed its original proposal of $21.26 per share)" (p.30). Signing with G&amp;W on 08/12/2016 (p.32); Party E is not mentioned after 08/02/2016.</t>
        </is>
      </c>
      <c r="M54" t="inlineStr">
        <is>
          <t>Q4</t>
        </is>
      </c>
      <c r="O54" t="inlineStr">
        <is>
          <t>R052</t>
        </is>
      </c>
      <c r="P54" t="inlineStr">
        <is>
          <t>Yes</t>
        </is>
      </c>
      <c r="Q54" t="n">
        <v>1</v>
      </c>
      <c r="S54" t="inlineStr">
        <is>
          <t>08/12/2016</t>
        </is>
      </c>
      <c r="T54" t="inlineStr">
        <is>
          <t>08/12/2016</t>
        </is>
      </c>
      <c r="U54" t="inlineStr">
        <is>
          <t>Relative only</t>
        </is>
      </c>
      <c r="V54" t="inlineStr">
        <is>
          <t>Assigned: bound</t>
        </is>
      </c>
      <c r="AH54" t="inlineStr">
        <is>
          <t>Unknown</t>
        </is>
      </c>
      <c r="AI54" t="inlineStr">
        <is>
          <t>Not stated</t>
        </is>
      </c>
      <c r="AJ54" t="inlineStr">
        <is>
          <t>Inferred: silent</t>
        </is>
      </c>
      <c r="AK54" t="n">
        <v>32</v>
      </c>
      <c r="AM54" t="inlineStr">
        <is>
          <t>PWRR–G&amp;W</t>
        </is>
      </c>
    </row>
    <row r="55">
      <c r="A55" t="n">
        <v>53</v>
      </c>
      <c r="B55" t="inlineStr">
        <is>
          <t>by 08/12/2016</t>
        </is>
      </c>
      <c r="C55" t="inlineStr">
        <is>
          <t>Party D</t>
        </is>
      </c>
      <c r="D55" t="inlineStr">
        <is>
          <t>Not selected at signing</t>
        </is>
      </c>
      <c r="E55" t="n">
        <v>1</v>
      </c>
      <c r="F55" t="inlineStr">
        <is>
          <t>3</t>
        </is>
      </c>
      <c r="G55" t="inlineStr">
        <is>
          <t>Financial</t>
        </is>
      </c>
      <c r="H55" t="inlineStr">
        <is>
          <t>Inferred: silent — live (paused) after the 08/02/2016 statement and its $24.00 revised LOI; never mentioned again before signing. Closing inferred from silence. No motive is inferred; exit reason Not stated.</t>
        </is>
      </c>
      <c r="K55" t="inlineStr">
        <is>
          <t>Last record: "Party D indicated that it would not proceed with further due diligence at that time." (p.30); signing with G&amp;W on 08/12/2016 (p.32); Party D is not mentioned after 08/02/2016.</t>
        </is>
      </c>
      <c r="M55" t="inlineStr">
        <is>
          <t>Q4</t>
        </is>
      </c>
      <c r="O55" t="inlineStr">
        <is>
          <t>R053</t>
        </is>
      </c>
      <c r="P55" t="inlineStr">
        <is>
          <t>Yes</t>
        </is>
      </c>
      <c r="Q55" t="n">
        <v>1</v>
      </c>
      <c r="S55" t="inlineStr">
        <is>
          <t>08/12/2016</t>
        </is>
      </c>
      <c r="T55" t="inlineStr">
        <is>
          <t>08/12/2016</t>
        </is>
      </c>
      <c r="U55" t="inlineStr">
        <is>
          <t>Relative only</t>
        </is>
      </c>
      <c r="V55" t="inlineStr">
        <is>
          <t>Assigned: bound</t>
        </is>
      </c>
      <c r="AH55" t="inlineStr">
        <is>
          <t>Unknown</t>
        </is>
      </c>
      <c r="AI55" t="inlineStr">
        <is>
          <t>Not stated</t>
        </is>
      </c>
      <c r="AJ55" t="inlineStr">
        <is>
          <t>Inferred: silent</t>
        </is>
      </c>
      <c r="AK55" t="n">
        <v>32</v>
      </c>
      <c r="AM55" t="inlineStr">
        <is>
          <t>PWRR–G&amp;W</t>
        </is>
      </c>
    </row>
    <row r="56">
      <c r="A56" t="n">
        <v>54</v>
      </c>
      <c r="B56" t="inlineStr">
        <is>
          <t>08/15/2016</t>
        </is>
      </c>
      <c r="C56" t="inlineStr">
        <is>
          <t>Providence &amp; Worcester / G&amp;W</t>
        </is>
      </c>
      <c r="D56" t="inlineStr">
        <is>
          <t>Merger announced</t>
        </is>
      </c>
      <c r="E56" t="n">
        <v>1</v>
      </c>
      <c r="F56" t="inlineStr">
        <is>
          <t>post</t>
        </is>
      </c>
      <c r="H56" t="inlineStr">
        <is>
          <t>The Company issued a press release publicly announcing the transaction on Monday, August 15, 2016 prior to the opening of trading of the common stock on NASDAQ. Issuer: Providence &amp; Worcester Railroad Company.</t>
        </is>
      </c>
      <c r="K56" t="inlineStr">
        <is>
          <t>Stated: "The Company issued a press release publicly announcing the transaction on Monday, August 15, 2016 prior to the opening of trading of the Company’s common stock on the NASDAQ." (p.32)</t>
        </is>
      </c>
      <c r="M56" t="inlineStr">
        <is>
          <t>Q1</t>
        </is>
      </c>
      <c r="O56" t="inlineStr">
        <is>
          <t>R054</t>
        </is>
      </c>
      <c r="P56" t="inlineStr">
        <is>
          <t>Yes</t>
        </is>
      </c>
      <c r="R56" t="inlineStr">
        <is>
          <t>08/15/2016</t>
        </is>
      </c>
      <c r="S56" t="inlineStr">
        <is>
          <t>08/15/2016</t>
        </is>
      </c>
      <c r="T56" t="inlineStr">
        <is>
          <t>08/15/2016</t>
        </is>
      </c>
      <c r="U56" t="inlineStr">
        <is>
          <t>Reported day</t>
        </is>
      </c>
      <c r="V56" t="inlineStr">
        <is>
          <t>Reported</t>
        </is>
      </c>
      <c r="AK56" t="n">
        <v>32</v>
      </c>
      <c r="AM56" t="inlineStr">
        <is>
          <t>PWRR–G&amp;W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cols>
    <col width="17" customWidth="1" min="1" max="1"/>
    <col width="14" customWidth="1" min="2" max="2"/>
    <col width="14" customWidth="1" min="3" max="3"/>
    <col width="20" customWidth="1" min="4" max="4"/>
    <col width="14" customWidth="1" min="5" max="5"/>
    <col width="14" customWidth="1" min="6" max="6"/>
    <col width="15" customWidth="1" min="7" max="7"/>
    <col width="14" customWidth="1" min="8" max="8"/>
    <col width="16" customWidth="1" min="9" max="9"/>
    <col width="14" customWidth="1" min="10" max="10"/>
    <col width="22" customWidth="1" min="11" max="11"/>
    <col width="18" customWidth="1" min="12" max="12"/>
    <col width="14" customWidth="1" min="13" max="13"/>
    <col width="15" customWidth="1" min="14" max="14"/>
    <col width="17" customWidth="1" min="15" max="15"/>
  </cols>
  <sheetData>
    <row r="1">
      <c r="A1" s="20" t="inlineStr">
        <is>
          <t>What happened</t>
        </is>
      </c>
      <c r="B1" s="20" t="inlineStr">
        <is>
          <t>Type</t>
        </is>
      </c>
      <c r="C1" s="20" t="inlineStr">
        <is>
          <t>Formality</t>
        </is>
      </c>
      <c r="D1" s="20" t="inlineStr">
        <is>
          <t>Conditions level</t>
        </is>
      </c>
      <c r="E1" s="20" t="inlineStr">
        <is>
          <t>Include</t>
        </is>
      </c>
      <c r="F1" s="20" t="inlineStr">
        <is>
          <t>Date basis</t>
        </is>
      </c>
      <c r="G1" s="20" t="inlineStr">
        <is>
          <t>Date method</t>
        </is>
      </c>
      <c r="H1" s="20" t="inlineStr">
        <is>
          <t>Price kind</t>
        </is>
      </c>
      <c r="I1" s="20" t="inlineStr">
        <is>
          <t>Price origin</t>
        </is>
      </c>
      <c r="J1" s="20" t="inlineStr">
        <is>
          <t>All cash</t>
        </is>
      </c>
      <c r="K1" s="20" t="inlineStr">
        <is>
          <t>Deadline treatment</t>
        </is>
      </c>
      <c r="L1" s="20" t="inlineStr">
        <is>
          <t>Round finality</t>
        </is>
      </c>
      <c r="M1" s="20" t="inlineStr">
        <is>
          <t>Decided by</t>
        </is>
      </c>
      <c r="N1" s="20" t="inlineStr">
        <is>
          <t>Exit reason</t>
        </is>
      </c>
      <c r="O1" s="20" t="inlineStr">
        <is>
          <t>Outcome basis</t>
        </is>
      </c>
    </row>
    <row r="2">
      <c r="A2" t="inlineStr">
        <is>
          <t>Target interest</t>
        </is>
      </c>
      <c r="B2" t="inlineStr">
        <is>
          <t>Strategic</t>
        </is>
      </c>
      <c r="C2" t="inlineStr">
        <is>
          <t>Formal</t>
        </is>
      </c>
      <c r="D2" t="inlineStr">
        <is>
          <t>None</t>
        </is>
      </c>
      <c r="E2" t="inlineStr">
        <is>
          <t>Yes</t>
        </is>
      </c>
      <c r="F2" t="inlineStr">
        <is>
          <t>Reported day</t>
        </is>
      </c>
      <c r="G2" t="inlineStr">
        <is>
          <t>Reported</t>
        </is>
      </c>
      <c r="H2" t="inlineStr">
        <is>
          <t>Point</t>
        </is>
      </c>
      <c r="I2" t="inlineStr">
        <is>
          <t>Stated</t>
        </is>
      </c>
      <c r="J2" t="inlineStr">
        <is>
          <t>Yes</t>
        </is>
      </c>
      <c r="K2" t="inlineStr">
        <is>
          <t>Enforced</t>
        </is>
      </c>
      <c r="L2" t="inlineStr">
        <is>
          <t>Announced as final</t>
        </is>
      </c>
      <c r="M2" t="inlineStr">
        <is>
          <t>Bidder</t>
        </is>
      </c>
      <c r="N2" t="inlineStr">
        <is>
          <t>Value below market price</t>
        </is>
      </c>
      <c r="O2" t="inlineStr">
        <is>
          <t>Stated</t>
        </is>
      </c>
    </row>
    <row r="3">
      <c r="A3" t="inlineStr">
        <is>
          <t>Bidder interest</t>
        </is>
      </c>
      <c r="B3" t="inlineStr">
        <is>
          <t>Financial</t>
        </is>
      </c>
      <c r="C3" t="inlineStr">
        <is>
          <t>Informal</t>
        </is>
      </c>
      <c r="D3" t="inlineStr">
        <is>
          <t>Light</t>
        </is>
      </c>
      <c r="E3" t="inlineStr">
        <is>
          <t>No</t>
        </is>
      </c>
      <c r="F3" t="inlineStr">
        <is>
          <t>Inferred day</t>
        </is>
      </c>
      <c r="G3" t="inlineStr">
        <is>
          <t>Inferred</t>
        </is>
      </c>
      <c r="H3" t="inlineStr">
        <is>
          <t>Bidder range</t>
        </is>
      </c>
      <c r="I3" t="inlineStr">
        <is>
          <t>Carried forward</t>
        </is>
      </c>
      <c r="J3" t="inlineStr">
        <is>
          <t>No</t>
        </is>
      </c>
      <c r="K3" t="inlineStr">
        <is>
          <t>Extended</t>
        </is>
      </c>
      <c r="L3" t="inlineStr">
        <is>
          <t>Inferred final</t>
        </is>
      </c>
      <c r="M3" t="inlineStr">
        <is>
          <t>Target</t>
        </is>
      </c>
      <c r="N3" t="inlineStr">
        <is>
          <t>Value at or below market price</t>
        </is>
      </c>
      <c r="O3" t="inlineStr">
        <is>
          <t>Inferred: residual</t>
        </is>
      </c>
    </row>
    <row r="4">
      <c r="A4" t="inlineStr">
        <is>
          <t>Target sale decision</t>
        </is>
      </c>
      <c r="B4" t="inlineStr">
        <is>
          <t>Mixed</t>
        </is>
      </c>
      <c r="C4" t="inlineStr">
        <is>
          <t>Insufficient evidence</t>
        </is>
      </c>
      <c r="D4" t="inlineStr">
        <is>
          <t>Heavy</t>
        </is>
      </c>
      <c r="F4" t="inlineStr">
        <is>
          <t>Reported interval</t>
        </is>
      </c>
      <c r="G4" t="inlineStr">
        <is>
          <t>Assigned: deadline</t>
        </is>
      </c>
      <c r="H4" t="inlineStr">
        <is>
          <t>Group envelope</t>
        </is>
      </c>
      <c r="I4" t="inlineStr">
        <is>
          <t>Inferred</t>
        </is>
      </c>
      <c r="J4" t="inlineStr">
        <is>
          <t>Not stated</t>
        </is>
      </c>
      <c r="K4" t="inlineStr">
        <is>
          <t>Late bids accepted</t>
        </is>
      </c>
      <c r="L4" t="inlineStr">
        <is>
          <t>Not final</t>
        </is>
      </c>
      <c r="M4" t="inlineStr">
        <is>
          <t>Both</t>
        </is>
      </c>
      <c r="N4" t="inlineStr">
        <is>
          <t>Value below earlier offer</t>
        </is>
      </c>
      <c r="O4" t="inlineStr">
        <is>
          <t>Inferred: exclusivity</t>
        </is>
      </c>
    </row>
    <row r="5">
      <c r="A5" t="inlineStr">
        <is>
          <t>Activist pressure</t>
        </is>
      </c>
      <c r="B5" t="inlineStr">
        <is>
          <t>Unknown</t>
        </is>
      </c>
      <c r="C5" t="inlineStr">
        <is>
          <t>Varies</t>
        </is>
      </c>
      <c r="D5" t="inlineStr">
        <is>
          <t>Insufficient evidence</t>
        </is>
      </c>
      <c r="F5" t="inlineStr">
        <is>
          <t>Approximate window</t>
        </is>
      </c>
      <c r="G5" t="inlineStr">
        <is>
          <t>Assigned: decision day</t>
        </is>
      </c>
      <c r="H5" t="inlineStr">
        <is>
          <t>Bound only</t>
        </is>
      </c>
      <c r="K5" t="inlineStr">
        <is>
          <t>Extended; Late bids accepted</t>
        </is>
      </c>
      <c r="M5" t="inlineStr">
        <is>
          <t>Unknown</t>
        </is>
      </c>
      <c r="N5" t="inlineStr">
        <is>
          <t>Value at earlier offer</t>
        </is>
      </c>
      <c r="O5" t="inlineStr">
        <is>
          <t>Inferred: silent</t>
        </is>
      </c>
    </row>
    <row r="6">
      <c r="A6" t="inlineStr">
        <is>
          <t>Activist involvement</t>
        </is>
      </c>
      <c r="D6" t="inlineStr">
        <is>
          <t>Varies</t>
        </is>
      </c>
      <c r="F6" t="inlineStr">
        <is>
          <t>Relative only</t>
        </is>
      </c>
      <c r="G6" t="inlineStr">
        <is>
          <t>Assigned: midpoint</t>
        </is>
      </c>
      <c r="H6" t="inlineStr">
        <is>
          <t>Undisclosed</t>
        </is>
      </c>
      <c r="K6" t="inlineStr">
        <is>
          <t>Passed without action</t>
        </is>
      </c>
      <c r="N6" t="inlineStr">
        <is>
          <t>Would not improve earlier offer</t>
        </is>
      </c>
      <c r="O6" t="inlineStr">
        <is>
          <t>Inferred: identity</t>
        </is>
      </c>
    </row>
    <row r="7">
      <c r="A7" t="inlineStr">
        <is>
          <t>Adviser engaged</t>
        </is>
      </c>
      <c r="F7" t="inlineStr">
        <is>
          <t>Undated</t>
        </is>
      </c>
      <c r="G7" t="inlineStr">
        <is>
          <t>Assigned: bound</t>
        </is>
      </c>
      <c r="K7" t="inlineStr">
        <is>
          <t>Unclear</t>
        </is>
      </c>
      <c r="N7" t="inlineStr">
        <is>
          <t>Lower offer than rivals</t>
        </is>
      </c>
    </row>
    <row r="8">
      <c r="A8" t="inlineStr">
        <is>
          <t>Adviser service observed</t>
        </is>
      </c>
      <c r="G8" t="inlineStr">
        <is>
          <t>Assigned: sequence</t>
        </is>
      </c>
      <c r="K8" t="inlineStr">
        <is>
          <t>No deadline stated</t>
        </is>
      </c>
      <c r="N8" t="inlineStr">
        <is>
          <t>Terms or process</t>
        </is>
      </c>
    </row>
    <row r="9">
      <c r="A9" t="inlineStr">
        <is>
          <t>Adviser ended</t>
        </is>
      </c>
      <c r="N9" t="inlineStr">
        <is>
          <t>Other stated reason</t>
        </is>
      </c>
    </row>
    <row r="10">
      <c r="A10" t="inlineStr">
        <is>
          <t>Contact</t>
        </is>
      </c>
      <c r="N10" t="inlineStr">
        <is>
          <t>Not stated</t>
        </is>
      </c>
    </row>
    <row r="11">
      <c r="A11" t="inlineStr">
        <is>
          <t>NDA signed</t>
        </is>
      </c>
    </row>
    <row r="12">
      <c r="A12" t="inlineStr">
        <is>
          <t>Round opened</t>
        </is>
      </c>
    </row>
    <row r="13">
      <c r="A13" t="inlineStr">
        <is>
          <t>Deadline set</t>
        </is>
      </c>
    </row>
    <row r="14">
      <c r="A14" t="inlineStr">
        <is>
          <t>Deadline revised</t>
        </is>
      </c>
    </row>
    <row r="15">
      <c r="A15" t="inlineStr">
        <is>
          <t>Deadline</t>
        </is>
      </c>
    </row>
    <row r="16">
      <c r="A16" t="inlineStr">
        <is>
          <t>Target decision</t>
        </is>
      </c>
    </row>
    <row r="17">
      <c r="A17" t="inlineStr">
        <is>
          <t>Information access changed</t>
        </is>
      </c>
    </row>
    <row r="18">
      <c r="A18" t="inlineStr">
        <is>
          <t>Material process update</t>
        </is>
      </c>
    </row>
    <row r="19">
      <c r="A19" t="inlineStr">
        <is>
          <t>Exclusivity changed</t>
        </is>
      </c>
    </row>
    <row r="20">
      <c r="A20" t="inlineStr">
        <is>
          <t>Bid</t>
        </is>
      </c>
    </row>
    <row r="21">
      <c r="A21" t="inlineStr">
        <is>
          <t>Bid reaffirmed</t>
        </is>
      </c>
    </row>
    <row r="22">
      <c r="A22" t="inlineStr">
        <is>
          <t>Offer update</t>
        </is>
      </c>
    </row>
    <row r="23">
      <c r="A23" t="inlineStr">
        <is>
          <t>Other-scope bid</t>
        </is>
      </c>
    </row>
    <row r="24">
      <c r="A24" t="inlineStr">
        <is>
          <t>Valuation statement</t>
        </is>
      </c>
    </row>
    <row r="25">
      <c r="A25" t="inlineStr">
        <is>
          <t>Bidding group changed</t>
        </is>
      </c>
    </row>
    <row r="26">
      <c r="A26" t="inlineStr">
        <is>
          <t>Joined group</t>
        </is>
      </c>
    </row>
    <row r="27">
      <c r="A27" t="inlineStr">
        <is>
          <t>Dropped by target</t>
        </is>
      </c>
    </row>
    <row r="28">
      <c r="A28" t="inlineStr">
        <is>
          <t>Withdrew</t>
        </is>
      </c>
    </row>
    <row r="29">
      <c r="A29" t="inlineStr">
        <is>
          <t>Did not submit</t>
        </is>
      </c>
    </row>
    <row r="30">
      <c r="A30" t="inlineStr">
        <is>
          <t>Participation paused</t>
        </is>
      </c>
    </row>
    <row r="31">
      <c r="A31" t="inlineStr">
        <is>
          <t>Re-entered</t>
        </is>
      </c>
    </row>
    <row r="32">
      <c r="A32" t="inlineStr">
        <is>
          <t>Not selected at signing</t>
        </is>
      </c>
    </row>
    <row r="33">
      <c r="A33" t="inlineStr">
        <is>
          <t>Sale process announced</t>
        </is>
      </c>
    </row>
    <row r="34">
      <c r="A34" t="inlineStr">
        <is>
          <t>Bid announced</t>
        </is>
      </c>
    </row>
    <row r="35">
      <c r="A35" t="inlineStr">
        <is>
          <t>Merger announced</t>
        </is>
      </c>
    </row>
    <row r="36">
      <c r="A36" t="inlineStr">
        <is>
          <t>Merger agreement signed</t>
        </is>
      </c>
    </row>
    <row r="37">
      <c r="A37" t="inlineStr">
        <is>
          <t>Go-shop changed</t>
        </is>
      </c>
    </row>
    <row r="38">
      <c r="A38" t="inlineStr">
        <is>
          <t>Process terminated</t>
        </is>
      </c>
    </row>
    <row r="39">
      <c r="A39" t="inlineStr">
        <is>
          <t>Process restarted</t>
        </is>
      </c>
    </row>
    <row r="40">
      <c r="A40" t="inlineStr">
        <is>
          <t>Agreement terminated</t>
        </is>
      </c>
    </row>
    <row r="41">
      <c r="A41"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2026-09-19T12:16:47Z</dcterms:created>
  <dcterms:modified xmlns:dcterms="http://purl.org/dc/terms/" xmlns:xsi="http://www.w3.org/2001/XMLSchema-instance" xsi:type="dcterms:W3CDTF">2026-09-19T12:16:47Z</dcterms:modified>
</cp:coreProperties>
</file>