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2.xml" ContentType="application/vnd.openxmlformats-officedocument.spreadsheetml.worksheet+xml"/>
  <Override PartName="/xl/tables/table6.xml" ContentType="application/vnd.openxmlformats-officedocument.spreadsheetml.table+xml"/>
  <Override PartName="/xl/worksheets/sheet3.xml" ContentType="application/vnd.openxmlformats-officedocument.spreadsheetml.worksheet+xml"/>
  <Override PartName="/xl/tables/table7.xml" ContentType="application/vnd.openxmlformats-officedocument.spreadsheetml.table+xml"/>
  <Override PartName="/xl/worksheets/sheet4.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3e26f9eaf514696" /></Relationships>
</file>

<file path=xl/workbook.xml><?xml version="1.0" encoding="utf-8"?>
<workbook xmlns="http://schemas.openxmlformats.org/spreadsheetml/2006/main" xmlns:ns1="http://schemas.openxmlformats.org/officeDocument/2006/relationships">
  <sheets>
    <sheet name="Deal guide" sheetId="1" ns1:id="Rbafb7771dbb84f86"/>
    <sheet name="Timeline" sheetId="2" ns1:id="R7e78a19774334b7b"/>
    <sheet name="Offers" sheetId="3" ns1:id="Ree8e6b9044f2459b"/>
    <sheet name="Review decisions" sheetId="4" ns1:id="R2aaa675057e542d5"/>
    <sheet name="Sources" sheetId="5" ns1:id="Rce1898d2762940d4"/>
  </sheets>
  <calcPr calcMode="auto" fullCalcOnLoad="1"/>
</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quot;≥ &quot;0"/>
    <x:numFmt numFmtId="202" formatCode="yyyy-mm-dd"/>
  </x:numFmts>
  <x:fonts count="10">
    <x:font>
      <x:sz val="11"/>
      <x:name val="Carlito"/>
    </x:font>
    <x:font>
      <x:b/>
      <x:sz val="18"/>
      <x:color rgb="FFFFFFFF"/>
      <x:name val="Carlito"/>
    </x:font>
    <x:font>
      <x:sz val="11"/>
      <x:color rgb="FF23333D"/>
      <x:name val="Carlito"/>
    </x:font>
    <x:font>
      <x:sz val="10"/>
      <x:color rgb="FF23333D"/>
      <x:name val="Aptos"/>
    </x:font>
    <x:font>
      <x:b/>
      <x:sz val="10"/>
      <x:color rgb="FFFFFFFF"/>
      <x:name val="Aptos"/>
    </x:font>
    <x:font>
      <x:sz val="10"/>
      <x:color rgb="FF15607A"/>
      <x:name val="Aptos"/>
    </x:font>
    <x:font>
      <x:sz val="10"/>
      <x:name val="Carlito"/>
    </x:font>
    <x:font>
      <x:sz val="10"/>
      <x:color rgb="FF15607A"/>
      <x:name val="Carlito"/>
    </x:font>
    <x:font>
      <x:b/>
      <x:sz val="12"/>
      <x:color rgb="FFFFFFFF"/>
      <x:name val="Carlito"/>
    </x:font>
    <x:font>
      <x:sz val="10"/>
      <x:color rgb="FF23333D"/>
      <x:name val="Carlito"/>
    </x:font>
  </x:fonts>
  <x:fills count="5">
    <x:fill>
      <x:patternFill patternType="none"/>
    </x:fill>
    <x:fill>
      <x:patternFill patternType="gray125"/>
    </x:fill>
    <x:fill>
      <x:patternFill patternType="solid">
        <x:fgColor rgb="FF18374A"/>
      </x:patternFill>
    </x:fill>
    <x:fill>
      <x:patternFill patternType="solid">
        <x:fgColor rgb="FF146C78"/>
      </x:patternFill>
    </x:fill>
    <x:fill>
      <x:patternFill patternType="solid">
        <x:fgColor rgb="FFFFF2D8"/>
      </x:patternFill>
    </x:fill>
  </x:fills>
  <x:borders count="2">
    <x:border/>
    <x:border/>
  </x:borders>
  <x:cellStyleXfs count="1">
    <x:xf numFmtId="0" fontId="0" fillId="0" borderId="0"/>
  </x:cellStyleXfs>
  <x:cellXfs count="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1" xfId="0" applyNumberFormat="1" applyFont="1" applyFill="1" applyBorder="1"/>
    <x:xf numFmtId="0" fontId="6" fillId="0" borderId="1" xfId="0" applyNumberFormat="1" applyFont="1" applyFill="1" applyBorder="1" applyAlignment="1">
      <x:alignment wrapText="1"/>
    </x:xf>
    <x:xf numFmtId="0" fontId="7" fillId="0" borderId="0" xfId="0" applyNumberFormat="1" applyFont="1" applyFill="1" applyBorder="1"/>
    <x:xf numFmtId="0" fontId="7" fillId="0" borderId="1" xfId="0" applyNumberFormat="1" applyFont="1" applyFill="1" applyBorder="1"/>
    <x:xf numFmtId="0" fontId="3" fillId="4"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3" fillId="0" borderId="0" xfId="0" applyNumberFormat="1" applyFont="1" applyFill="1" applyBorder="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0" borderId="1" xfId="0" applyNumberFormat="1" applyFont="1" applyFill="1" applyBorder="1">
      <x:extLst>
        <x:ext uri="{C7286773-470A-42A8-94C5-96B5CB345126}">
          <xfpb:xfComplement xmlns:xfpb="http://schemas.microsoft.com/office/spreadsheetml/2022/featurepropertybag" i="0"/>
        </x:ext>
      </x:extLst>
    </x:xf>
    <x:xf numFmtId="0" fontId="3"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3" fillId="0" borderId="0" xfId="0" applyNumberFormat="1" applyFont="1" applyFill="1" applyBorder="1" applyAlignment="1">
      <x:alignment vertical="top" wrapText="1"/>
    </x:xf>
    <x:xf numFmtId="200" fontId="3" fillId="0" borderId="1" xfId="0" applyNumberFormat="1" applyFont="1" applyFill="1" applyBorder="1" applyAlignment="1">
      <x:alignment vertical="top" wrapText="1"/>
    </x:xf>
    <x:xf numFmtId="0" fontId="8" fillId="2" borderId="0" xfId="0" applyNumberFormat="1" applyFont="1" applyFill="1" applyBorder="1"/>
    <x:xf numFmtId="0" fontId="8" fillId="2" borderId="1" xfId="0" applyNumberFormat="1" applyFont="1" applyFill="1" applyBorder="1"/>
    <x:xf numFmtId="201" fontId="3" fillId="0" borderId="0" xfId="0" applyNumberFormat="1" applyFont="1" applyFill="1" applyBorder="1" applyAlignment="1">
      <x:alignment vertical="top" wrapText="1"/>
    </x:xf>
    <x:xf numFmtId="201" fontId="3" fillId="0" borderId="1" xfId="0" applyNumberFormat="1" applyFont="1" applyFill="1" applyBorder="1" applyAlignment="1">
      <x:alignment vertical="top" wrapText="1"/>
    </x:xf>
    <x:xf numFmtId="0" fontId="9" fillId="0" borderId="0" xfId="0" applyNumberFormat="1" applyFont="1" applyFill="1" applyBorder="1"/>
    <x:xf numFmtId="0" fontId="9" fillId="0" borderId="1" xfId="0" applyNumberFormat="1" applyFont="1" applyFill="1" applyBorder="1"/>
    <x:xf numFmtId="202" fontId="3" fillId="0" borderId="0" xfId="0" applyNumberFormat="1" applyFont="1" applyFill="1" applyBorder="1" applyAlignment="1">
      <x:alignment vertical="top" wrapText="1"/>
    </x:xf>
    <x:xf numFmtId="202" fontId="3"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e8018b8981141be" /><Relationship Type="http://schemas.openxmlformats.org/officeDocument/2006/relationships/theme" Target="/xl/theme/theme1.xml" Id="R1358fc7f68894b24" /><Relationship Type="http://schemas.microsoft.com/office/2022/11/relationships/FeaturePropertyBag" Target="/xl/featurePropertyBag/featurePropertyBag.xml" Id="R49fdce39f7f748e0" /><Relationship Type="http://schemas.openxmlformats.org/officeDocument/2006/relationships/sharedStrings" Target="/xl/sharedStrings.xml" Id="R9965c5a273b84adb" /><Relationship Type="http://schemas.openxmlformats.org/officeDocument/2006/relationships/worksheet" Target="/xl/worksheets/sheet1.xml" Id="Rbafb7771dbb84f86" /><Relationship Type="http://schemas.openxmlformats.org/officeDocument/2006/relationships/worksheet" Target="/xl/worksheets/sheet2.xml" Id="R7e78a19774334b7b" /><Relationship Type="http://schemas.openxmlformats.org/officeDocument/2006/relationships/worksheet" Target="/xl/worksheets/sheet3.xml" Id="Ree8e6b9044f2459b" /><Relationship Type="http://schemas.openxmlformats.org/officeDocument/2006/relationships/worksheet" Target="/xl/worksheets/sheet4.xml" Id="R2aaa675057e542d5" /><Relationship Type="http://schemas.openxmlformats.org/officeDocument/2006/relationships/worksheet" Target="/xl/worksheets/sheet5.xml" Id="Rce1898d2762940d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6" name="DealFacts" displayName="DealFacts" ref="A5:E12" headerRowCount="1" totalsRowCount="0" totalsRowShown="0">
  <x:tableColumns count="5">
    <x:tableColumn id="1" name="Topic"/>
    <x:tableColumn id="2" name="Model answer / review route"/>
    <x:tableColumn id="3" name="Explanation"/>
    <x:tableColumn id="4" name="Source / navigation"/>
    <x:tableColumn id="5" name="Human note"/>
  </x:tableColumns>
  <x:tableStyleInfo name="TableStyleMedium2" showFirstColumn="0" showLastColumn="0" showRowStripes="1" showColumnStripes="0"/>
</x:table>
</file>

<file path=xl/tables/table2.xml><?xml version="1.0" encoding="utf-8"?>
<x:table xmlns:x="http://schemas.openxmlformats.org/spreadsheetml/2006/main" id="7" name="StageMap" displayName="StageMap" ref="A16:E19" headerRowCount="1" totalsRowCount="0" totalsRowShown="0">
  <x:tableColumns count="5">
    <x:tableColumn id="1" name="Analytical stage"/>
    <x:tableColumn id="2" name="Working timing"/>
    <x:tableColumn id="3" name="What changes and why"/>
    <x:tableColumn id="4" name="Source"/>
    <x:tableColumn id="5" name="Human note"/>
  </x:tableColumns>
  <x:tableStyleInfo name="TableStyleMedium2" showFirstColumn="0" showLastColumn="0" showRowStripes="1" showColumnStripes="0"/>
</x:table>
</file>

<file path=xl/tables/table3.xml><?xml version="1.0" encoding="utf-8"?>
<x:table xmlns:x="http://schemas.openxmlformats.org/spreadsheetml/2006/main" id="8" name="ParticipantGuide" displayName="ParticipantGuide" ref="A23:E37" headerRowCount="1" totalsRowCount="0" totalsRowShown="0">
  <x:tableColumns count="5">
    <x:tableColumn id="1" name="Participant"/>
    <x:tableColumn id="2" name="Type / role"/>
    <x:tableColumn id="3" name="Research-relevant history and limits"/>
    <x:tableColumn id="4" name="Source"/>
    <x:tableColumn id="5" name="Human note"/>
  </x:tableColumns>
  <x:tableStyleInfo name="TableStyleMedium2" showFirstColumn="0" showLastColumn="0" showRowStripes="1" showColumnStripes="0"/>
</x:table>
</file>

<file path=xl/tables/table4.xml><?xml version="1.0" encoding="utf-8"?>
<x:table xmlns:x="http://schemas.openxmlformats.org/spreadsheetml/2006/main" id="9" name="ParticipationChecks" displayName="ParticipationChecks" ref="A41:E58" headerRowCount="1" totalsRowCount="0" totalsRowShown="0">
  <x:tableColumns count="5">
    <x:tableColumn id="1" name="Count and population"/>
    <x:tableColumn id="2" name="Value"/>
    <x:tableColumn id="3" name="Meaning / qualification"/>
    <x:tableColumn id="4" name="Source"/>
    <x:tableColumn id="5" name="Human note"/>
  </x:tableColumns>
  <x:tableStyleInfo name="TableStyleMedium2" showFirstColumn="0" showLastColumn="0" showRowStripes="1" showColumnStripes="0"/>
</x:table>
</file>

<file path=xl/tables/table5.xml><?xml version="1.0" encoding="utf-8"?>
<x:table xmlns:x="http://schemas.openxmlformats.org/spreadsheetml/2006/main" id="10" name="PlainGlossary" displayName="PlainGlossary" ref="A64:E71" headerRowCount="1" totalsRowCount="0" totalsRowShown="0">
  <x:tableColumns count="5">
    <x:tableColumn id="1" name="Term"/>
    <x:tableColumn id="2" name="Meaning"/>
    <x:tableColumn id="3" name="How to use it"/>
    <x:tableColumn id="4" name="Reference"/>
    <x:tableColumn id="5" name="Human note"/>
  </x:tableColumns>
  <x:tableStyleInfo name="TableStyleMedium2" showFirstColumn="0" showLastColumn="0" showRowStripes="1" showColumnStripes="0"/>
</x:table>
</file>

<file path=xl/tables/table6.xml><?xml version="1.0" encoding="utf-8"?>
<x:table xmlns:x="http://schemas.openxmlformats.org/spreadsheetml/2006/main" id="11" name="TimelineData" displayName="TimelineData" ref="A5:V65" headerRowCount="1" totalsRowCount="0" totalsRowShown="0">
  <x:tableColumns count="22">
    <x:tableColumn id="1" name="Order"/>
    <x:tableColumn id="2" name="When"/>
    <x:tableColumn id="3" name="Stage"/>
    <x:tableColumn id="4" name="Participant"/>
    <x:tableColumn id="5" name="What happened"/>
    <x:tableColumn id="6" name="Model assessment — why / limits"/>
    <x:tableColumn id="7" name="Source quotation / locator"/>
    <x:tableColumn id="8" name="Review"/>
    <x:tableColumn id="9" name="Human correction / note"/>
    <x:tableColumn id="10" name="record_id"/>
    <x:tableColumn id="11" name="event_code"/>
    <x:tableColumn id="12" name="reported_exact_date"/>
    <x:tableColumn id="13" name="date_lower"/>
    <x:tableColumn id="14" name="date_upper"/>
    <x:tableColumn id="15" name="date_basis"/>
    <x:tableColumn id="16" name="source_ids"/>
    <x:tableColumn id="17" name="after_record_id"/>
    <x:tableColumn id="18" name="order_basis"/>
    <x:tableColumn id="19" name="source_document"/>
    <x:tableColumn id="20" name="unique_contact_count_contribution"/>
    <x:tableColumn id="21" name="new_NDA_count_contribution"/>
    <x:tableColumn id="22" name="count_scope_note"/>
  </x:tableColumns>
  <x:tableStyleInfo name="TableStyleMedium2" showFirstColumn="0" showLastColumn="0" showRowStripes="1" showColumnStripes="0"/>
</x:table>
</file>

<file path=xl/tables/table7.xml><?xml version="1.0" encoding="utf-8"?>
<x:table xmlns:x="http://schemas.openxmlformats.org/spreadsheetml/2006/main" id="3" name="OfferData" displayName="OfferData" ref="A5:AG21" headerRowCount="1" totalsRowCount="0" totalsRowShown="0">
  <x:tableColumns count="33">
    <x:tableColumn id="1" name="When"/>
    <x:tableColumn id="2" name="Bidder"/>
    <x:tableColumn id="3" name="Offer and change"/>
    <x:tableColumn id="4" name="Formality — model assessment"/>
    <x:tableColumn id="5" name="Completion conditions — assessment"/>
    <x:tableColumn id="6" name="Other terms / interpretation"/>
    <x:tableColumn id="7" name="Evidence — click to read"/>
    <x:tableColumn id="8" name="Review"/>
    <x:tableColumn id="9" name="Human correction / note"/>
    <x:tableColumn id="10" name="offer_id"/>
    <x:tableColumn id="11" name="timeline_id"/>
    <x:tableColumn id="12" name="round_number"/>
    <x:tableColumn id="13" name="observation_kind"/>
    <x:tableColumn id="14" name="previous_observation_id"/>
    <x:tableColumn id="15" name="price_origin"/>
    <x:tableColumn id="16" name="price_form"/>
    <x:tableColumn id="17" name="point_per_share"/>
    <x:tableColumn id="18" name="individual_range_low"/>
    <x:tableColumn id="19" name="individual_range_high"/>
    <x:tableColumn id="20" name="group_envelope_low"/>
    <x:tableColumn id="21" name="group_envelope_high"/>
    <x:tableColumn id="22" name="fixed_cash_per_share"/>
    <x:tableColumn id="23" name="stated_CVR_component"/>
    <x:tableColumn id="24" name="currency"/>
    <x:tableColumn id="25" name="share_basis"/>
    <x:tableColumn id="26" name="settlement_medium"/>
    <x:tableColumn id="27" name="all_cash"/>
    <x:tableColumn id="28" name="assessed_formality"/>
    <x:tableColumn id="29" name="assessed_conditionality"/>
    <x:tableColumn id="30" name="individual_bid_eligible"/>
    <x:tableColumn id="31" name="individual_submission_or_reaffirmation"/>
    <x:tableColumn id="32" name="source_ids"/>
    <x:tableColumn id="33" name="source_document"/>
  </x:tableColumns>
  <x:tableStyleInfo name="TableStyleMedium2" showFirstColumn="0" showLastColumn="0" showRowStripes="1" showColumnStripes="0"/>
</x:table>
</file>

<file path=xl/tables/table8.xml><?xml version="1.0" encoding="utf-8"?>
<x:table xmlns:x="http://schemas.openxmlformats.org/spreadsheetml/2006/main" id="4" name="ReviewPackets" displayName="ReviewPackets" ref="A5:K12" headerRowCount="1" totalsRowCount="0" totalsRowShown="0">
  <x:tableColumns count="11">
    <x:tableColumn id="1" name="Issue / priority"/>
    <x:tableColumn id="2" name="Decision and model answer"/>
    <x:tableColumn id="3" name="Reason and remaining uncertainty"/>
    <x:tableColumn id="4" name="Affected entries"/>
    <x:tableColumn id="5" name="Evidence"/>
    <x:tableColumn id="6" name="Suggested action"/>
    <x:tableColumn id="7" name="Human status"/>
    <x:tableColumn id="8" name="Human correction / reason"/>
    <x:tableColumn id="9" name="Reviewer / date"/>
    <x:tableColumn id="10" name="issue_id"/>
    <x:tableColumn id="11" name="alternative"/>
  </x:tableColumns>
  <x:tableStyleInfo name="TableStyleMedium2" showFirstColumn="0" showLastColumn="0" showRowStripes="1" showColumnStripes="0"/>
</x:table>
</file>

<file path=xl/tables/table9.xml><?xml version="1.0" encoding="utf-8"?>
<x:table xmlns:x="http://schemas.openxmlformats.org/spreadsheetml/2006/main" id="5" name="DemoChanges" displayName="DemoChanges" ref="A17:I29" headerRowCount="1" totalsRowCount="0" totalsRowShown="0">
  <x:tableColumns count="9">
    <x:tableColumn id="1" name="Change"/>
    <x:tableColumn id="2" name="Topic"/>
    <x:tableColumn id="3" name="Original workbook cells / source"/>
    <x:tableColumn id="4" name="Problem or alternative"/>
    <x:tableColumn id="5" name="Demonstration treatment"/>
    <x:tableColumn id="6" name="Where to inspect"/>
    <x:tableColumn id="7" name="Filing support"/>
    <x:tableColumn id="8" name="Change type"/>
    <x:tableColumn id="9" name="Human note"/>
  </x:tableColumns>
  <x:tableStyleInfo name="TableStyleMedium2" showFirstColumn="0" showLastColumn="0" showRowStripes="1" showColumnStripes="0"/>
</x:table>
</file>

<file path=xl/tables/table10.xml><?xml version="1.0" encoding="utf-8"?>
<x:table xmlns:x="http://schemas.openxmlformats.org/spreadsheetml/2006/main" id="1" name="SourcePassages" displayName="SourcePassages" ref="A5:E47" headerRowCount="1" totalsRowCount="0" totalsRowShown="0">
  <x:tableColumns count="5">
    <x:tableColumn id="1" name="Passage"/>
    <x:tableColumn id="2" name="Where in filing"/>
    <x:tableColumn id="3" name="Source text — exact words"/>
    <x:tableColumn id="4" name="Source document"/>
    <x:tableColumn id="5" name="Provena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6e50906a5d7401c" /><Relationship Type="http://schemas.openxmlformats.org/officeDocument/2006/relationships/table" Target="/xl/tables/table2.xml" Id="Rbeff0531fb3643dc" /><Relationship Type="http://schemas.openxmlformats.org/officeDocument/2006/relationships/table" Target="/xl/tables/table3.xml" Id="Rcc14f7064a514542" /><Relationship Type="http://schemas.openxmlformats.org/officeDocument/2006/relationships/table" Target="/xl/tables/table4.xml" Id="R4622c44ef42a439c" /><Relationship Type="http://schemas.openxmlformats.org/officeDocument/2006/relationships/table" Target="/xl/tables/table5.xml" Id="R7421cb3b62b04535" /></Relationships>
</file>

<file path=xl/worksheets/_rels/sheet2.xml.rels>&#65279;<?xml version="1.0" encoding="utf-8"?><Relationships xmlns="http://schemas.openxmlformats.org/package/2006/relationships"><Relationship Type="http://schemas.openxmlformats.org/officeDocument/2006/relationships/table" Target="/xl/tables/table6.xml" Id="R685580122b5c4113" /></Relationships>
</file>

<file path=xl/worksheets/_rels/sheet3.xml.rels>&#65279;<?xml version="1.0" encoding="utf-8"?><Relationships xmlns="http://schemas.openxmlformats.org/package/2006/relationships"><Relationship Type="http://schemas.openxmlformats.org/officeDocument/2006/relationships/table" Target="/xl/tables/table7.xml" Id="R65d934626e994fac" /></Relationships>
</file>

<file path=xl/worksheets/_rels/sheet4.xml.rels>&#65279;<?xml version="1.0" encoding="utf-8"?><Relationships xmlns="http://schemas.openxmlformats.org/package/2006/relationships"><Relationship Type="http://schemas.openxmlformats.org/officeDocument/2006/relationships/table" Target="/xl/tables/table8.xml" Id="Rdb01feb298d345d5" /><Relationship Type="http://schemas.openxmlformats.org/officeDocument/2006/relationships/table" Target="/xl/tables/table9.xml" Id="Rbbc17af297424f62" /></Relationships>
</file>

<file path=xl/worksheets/_rels/sheet5.xml.rels>&#65279;<?xml version="1.0" encoding="utf-8"?><Relationships xmlns="http://schemas.openxmlformats.org/package/2006/relationships"><Relationship Type="http://schemas.openxmlformats.org/officeDocument/2006/relationships/table" Target="/xl/tables/table10.xml" Id="R68443ac05bf74cf0" /></Relationships>
</file>

<file path=xl/worksheets/sheet1.xml><?xml version="1.0" encoding="utf-8"?>
<worksheet xmlns="http://schemas.openxmlformats.org/spreadsheetml/2006/main" xmlns:ns1="http://schemas.openxmlformats.org/officeDocument/2006/relationships">
  <sheetViews>
    <sheetView showGridLines="0" workbookViewId="0" zoomScale="90">
      <pane ySplit="5" topLeftCell="A6" activePane="bottomLeft" state="frozen"/>
      <selection pane="bottomLeft" activeCell="A6" sqref="A6"/>
    </sheetView>
  </sheetViews>
  <sheetFormatPr defaultRowHeight="15"/>
  <cols>
    <col min="1" max="1" width="27" hidden="0" customWidth="1"/>
    <col min="2" max="2" width="53" hidden="0" customWidth="1"/>
    <col min="3" max="3" width="55" hidden="0" customWidth="1"/>
    <col min="4" max="4" width="38" hidden="0" customWidth="1"/>
    <col min="5" max="5" width="23" hidden="0" customWidth="1"/>
  </cols>
  <sheetData>
    <row r="1" ht="34" customHeight="1">
      <c r="A1" s="3" t="str">
        <v>PROVIDENCE &amp; WORCESTER | Research review workbook</v>
      </c>
      <c r="B1" s="3"/>
      <c r="C1" s="3"/>
      <c r="D1" s="3"/>
      <c r="E1" s="3"/>
    </row>
    <row r="2" ht="21" customHeight="1">
      <c r="A2" s="8" t="str">
        <v>Independent AI adjudication of the supplied filing. Start here, read Timeline, inspect Offers, then record decisions. The four submitted outputs are untouched; this is not an additional benchmark run or an Alex-approved dataset.</v>
      </c>
      <c r="B2" s="8"/>
      <c r="C2" s="8"/>
      <c r="D2" s="8"/>
      <c r="E2" s="8"/>
    </row>
    <row r="3" ht="21" customHeight="1">
      <c r="A3" s="8"/>
      <c r="B3" s="8"/>
      <c r="C3" s="8"/>
      <c r="D3" s="8"/>
      <c r="E3" s="8"/>
    </row>
    <row r="5" ht="30" customHeight="1">
      <c r="A5" s="19" t="str">
        <v>Topic</v>
      </c>
      <c r="B5" s="19" t="str">
        <v>Model answer / review route</v>
      </c>
      <c r="C5" s="19" t="str">
        <v>Explanation</v>
      </c>
      <c r="D5" s="19" t="str">
        <v>Source / navigation</v>
      </c>
      <c r="E5" s="19" t="str">
        <v>Human note</v>
      </c>
    </row>
    <row r="6" ht="50" customHeight="1">
      <c r="A6" s="14" t="str">
        <v>Transaction</v>
      </c>
      <c r="B6" s="14" t="str">
        <v>PWRR → Genesee &amp; Wyoming (G&amp;W)</v>
      </c>
      <c r="C6" s="14" t="str">
        <v>Whole-company acquisition; operating railroad buyer. Pullman Acquisition Sub is a legal vehicle, not a separate competitor.</v>
      </c>
      <c r="D6" s="14" t="str">
        <v>FULL-01; FULL-02; FULL-04</v>
      </c>
      <c r="E6" s="30" t="str"/>
    </row>
    <row r="7" ht="50" customHeight="1">
      <c r="A7" s="14" t="str">
        <v>Agreed consideration</v>
      </c>
      <c r="B7" s="14" t="str">
        <v>$25.00 cash per common-equivalent share</v>
      </c>
      <c r="C7" s="14" t="str">
        <v>Preferred shares convert 100:1 into common before payment; do not price a preferred share at $25.</v>
      </c>
      <c r="D7" s="14" t="str">
        <v>FULL-09</v>
      </c>
      <c r="E7" s="30" t="str"/>
    </row>
    <row r="8" ht="50" customHeight="1">
      <c r="A8" s="14" t="str">
        <v>Dates</v>
      </c>
      <c r="B8" s="14" t="str">
        <v>Signed 08/12/2016; announced 08/15/2016</v>
      </c>
      <c r="C8" s="14" t="str">
        <v>Closing not disclosed in this pre-closing filing. Proxy dated 09/19; supplied filename bears 09/20. Neither is the signing date.</v>
      </c>
      <c r="D8" s="14" t="str">
        <v>Timeline: signing → announcement</v>
      </c>
      <c r="E8" s="30" t="str"/>
    </row>
    <row r="9" ht="50" customHeight="1">
      <c r="A9" s="14" t="str">
        <v>Commercial account</v>
      </c>
      <c r="B9" s="14" t="str">
        <v>Nine initial IOIs → seven admitted → late entrant C → six LOI bidders → two selected finalists</v>
      </c>
      <c r="C9" s="14" t="str">
        <v>B initially led at $24. G&amp;W improved from a cash/CVR structure to $25 cash at the final board stage and won. D/E re-entered without displacing the two finalists.</v>
      </c>
      <c r="D9" s="14" t="str">
        <v>Timeline: read chronologically</v>
      </c>
      <c r="E9" s="30" t="str"/>
    </row>
    <row r="10" ht="50" customHeight="1">
      <c r="A10" s="14" t="str">
        <v>Research eligibility</v>
      </c>
      <c r="B10" s="14" t="str">
        <v>Multiple-NDA auction screen: met</v>
      </c>
      <c r="C10" s="14" t="str">
        <v>The 25-versus-26+ total conflict does not threaten the existence of multiple NDA signers. Exact participation statistics remain qualified.</v>
      </c>
      <c r="D10" s="14" t="str">
        <v>R2; FULL-05; BG-004; BG-011</v>
      </c>
      <c r="E10" s="30" t="str"/>
    </row>
    <row r="11" ht="50" customHeight="1">
      <c r="A11" s="14" t="str">
        <v>How to review</v>
      </c>
      <c r="B11" s="14" t="str">
        <v>Timeline for sequence; Offers for each price and judgment; Review decisions for grouped decisions</v>
      </c>
      <c r="C11" s="14" t="str">
        <v>Evidence is printed beside each assessment; select an evidence cell to open the full passage in Sources. Amber columns are for human corrections. Do not overwrite the AI baseline.</v>
      </c>
      <c r="D11" s="14" t="str">
        <v>Review decisions: grouped checks</v>
      </c>
      <c r="E11" s="30" t="str"/>
    </row>
    <row r="12" ht="50" customHeight="1">
      <c r="A12" s="14" t="str">
        <v>Technical/export data</v>
      </c>
      <c r="B12" s="14" t="str">
        <v>Collapsed columns J onward on Timeline and Offers</v>
      </c>
      <c r="C12" s="14" t="str">
        <v>To inspect technical fields, unhide columns J:AG on Offers or J:V on Timeline. They retain typed prices, dates, count scope and keys; ordinary review does not require them.</v>
      </c>
      <c r="D12" s="14" t="str">
        <v>Offers: focused review</v>
      </c>
      <c r="E12" s="30" t="str"/>
    </row>
    <row r="16" ht="30" customHeight="1">
      <c r="A16" s="19" t="str">
        <v>Analytical stage</v>
      </c>
      <c r="B16" s="19" t="str">
        <v>Working timing</v>
      </c>
      <c r="C16" s="19" t="str">
        <v>What changes and why</v>
      </c>
      <c r="D16" s="19" t="str">
        <v>Source</v>
      </c>
      <c r="E16" s="19" t="str">
        <v>Human note</v>
      </c>
    </row>
    <row r="17" ht="100" customHeight="1">
      <c r="A17" s="14" t="str">
        <v>1 · Initial indications</v>
      </c>
      <c r="B17" s="14" t="str">
        <v>Actual outreach: week of 03/28; ends at selection by 06/01</v>
      </c>
      <c r="C17" s="14" t="str">
        <v>Earlier March 14/24 authorizations remain separately dated. May 10 deadline extended to May 19; receipts continue through June 1.</v>
      </c>
      <c r="D17" s="14" t="str">
        <v>BG-004; BG-007; BG-008</v>
      </c>
      <c r="E17" s="30" t="str"/>
    </row>
    <row r="18" ht="100" customHeight="1">
      <c r="A18" s="14" t="str">
        <v>2 · Updated proposals</v>
      </c>
      <c r="B18" s="14" t="str">
        <v>Seven-party admission by 06/01 → selection by 07/27</v>
      </c>
      <c r="C18" s="14" t="str">
        <v>Expanded access; mid-June LOI/markup request; July 20 deadline with late accepted offers. C joins in early July. Not expressly announced final.</v>
      </c>
      <c r="D18" s="14" t="str">
        <v>BG-008–BG-020</v>
      </c>
      <c r="E18" s="30" t="str"/>
    </row>
    <row r="19" ht="100" customHeight="1">
      <c r="A19" s="14" t="str">
        <v>3 · Final negotiations</v>
      </c>
      <c r="B19" s="14" t="str">
        <v>Selection by 07/27 → signing 08/12</v>
      </c>
      <c r="C19" s="14" t="str">
        <v>B/G&amp;W advanced; D/E sought re-entry. B prioritized, but G&amp;W allowed to continue and ultimately wins. No announced final submission deadline.</v>
      </c>
      <c r="D19" s="14" t="str">
        <v>BG-020–BG-028</v>
      </c>
      <c r="E19" s="30" t="str"/>
    </row>
    <row r="23" ht="30" customHeight="1">
      <c r="A23" s="19" t="str">
        <v>Participant</v>
      </c>
      <c r="B23" s="19" t="str">
        <v>Type / role</v>
      </c>
      <c r="C23" s="19" t="str">
        <v>Research-relevant history and limits</v>
      </c>
      <c r="D23" s="19" t="str">
        <v>Source</v>
      </c>
      <c r="E23" s="19" t="str">
        <v>Human note</v>
      </c>
    </row>
    <row r="24" ht="89" customHeight="1">
      <c r="A24" s="14" t="str">
        <v>PWRR / board / committee</v>
      </c>
      <c r="B24" s="14" t="str">
        <v>Target and process decision-makers</v>
      </c>
      <c r="C24" s="14" t="str">
        <v>Board authorizes/approves; Transaction Committee oversees and recommends. Committee formation is not a bidding group.</v>
      </c>
      <c r="D24" s="14" t="str">
        <v>BG-001; BG-002</v>
      </c>
      <c r="E24" s="30" t="str"/>
    </row>
    <row r="25" ht="89" customHeight="1">
      <c r="A25" s="14" t="str">
        <v>G&amp;W</v>
      </c>
      <c r="B25" s="14" t="str">
        <v>Strategic · public · U.S.</v>
      </c>
      <c r="C25" s="14" t="str">
        <v>Operating railroad; NYSE GWR; Delaware corporation. Final buyer. Public/U.S. attributes come from the filing, not present-day knowledge.</v>
      </c>
      <c r="D25" s="14" t="str">
        <v>FULL-02; FULL-03</v>
      </c>
      <c r="E25" s="30" t="str"/>
    </row>
    <row r="26" ht="89" customHeight="1">
      <c r="A26" s="14" t="str">
        <v>Party A</v>
      </c>
      <c r="B26" s="14" t="str">
        <v>Strategic · anonymous</v>
      </c>
      <c r="C26" s="14" t="str">
        <v>Class I rail partner; initiation-related equity interest and NDA participation. Initial bid and exit stage not individually disclosed.</v>
      </c>
      <c r="D26" s="14" t="str">
        <v>BG-001; BG-007</v>
      </c>
      <c r="E26" s="30" t="str"/>
    </row>
    <row r="27" ht="89" customHeight="1">
      <c r="A27" s="14" t="str">
        <v>Party B</v>
      </c>
      <c r="B27" s="14" t="str">
        <v>Strategic · anonymous</v>
      </c>
      <c r="C27" s="14" t="str">
        <v>$24 finalist; initial expedited diligence; advanced final documents; refused to raise price. Public/private and country not disclosed.</v>
      </c>
      <c r="D27" s="14" t="str">
        <v>BG-006; BG-013; BG-026</v>
      </c>
      <c r="E27" s="30" t="str"/>
    </row>
    <row r="28" ht="89" customHeight="1">
      <c r="A28" s="14" t="str">
        <v>Party C</v>
      </c>
      <c r="B28" s="14" t="str">
        <v>Strategic · anonymous</v>
      </c>
      <c r="C28" s="14" t="str">
        <v>Late entrant; $21 IOI followed by $19.30 LOI. Excluded when B/G&amp;W selected. Country/ownership not disclosed.</v>
      </c>
      <c r="D28" s="14" t="str">
        <v>BG-011; BG-017; BG-020</v>
      </c>
      <c r="E28" s="30" t="str"/>
    </row>
    <row r="29" ht="89" customHeight="1">
      <c r="A29" s="14" t="str">
        <v>Party D</v>
      </c>
      <c r="B29" s="14" t="str">
        <v>Financial · anonymous</v>
      </c>
      <c r="C29" s="14" t="str">
        <v>$21 → $24; excluded, sought re-entry, then would not continue diligence without a no-signing commitment.</v>
      </c>
      <c r="D29" s="14" t="str">
        <v>BG-016; BG-021</v>
      </c>
      <c r="E29" s="30" t="str"/>
    </row>
    <row r="30" ht="89" customHeight="1">
      <c r="A30" s="14" t="str">
        <v>Parties E and F</v>
      </c>
      <c r="B30" s="14" t="str">
        <v>Both strategic · separate bidder units</v>
      </c>
      <c r="C30" s="14" t="str">
        <v>E: $21.26 → $23.81 → $21.26. F: $19.20, then financing support to E. No established joint E/F bidder.</v>
      </c>
      <c r="D30" s="14" t="str">
        <v>BG-015; BG-018; BG-021</v>
      </c>
      <c r="E30" s="30" t="str"/>
    </row>
    <row r="31" ht="89" customHeight="1">
      <c r="A31" s="14" t="str">
        <v>GHF → BMO</v>
      </c>
      <c r="B31" s="14" t="str">
        <v>Target financial adviser · one continuing mandate</v>
      </c>
      <c r="C31" s="14" t="str">
        <v>Engaged Jan 27; business acquired Aug 1. Later disclosure of an affiliate's existing G&amp;W credit exposure led to Sept 6 board review.</v>
      </c>
      <c r="D31" s="14" t="str">
        <v>BG-001; BG-021; BG-029</v>
      </c>
      <c r="E31" s="30" t="str"/>
    </row>
    <row r="32" ht="89" customHeight="1">
      <c r="A32" s="14" t="str">
        <v>Hinckley Allen</v>
      </c>
      <c r="B32" s="14" t="str">
        <v>PWRR legal counsel</v>
      </c>
      <c r="C32" s="14" t="str">
        <v>First observed at Mar 24 committee meeting; original retention date not reported.</v>
      </c>
      <c r="D32" s="14" t="str">
        <v>BG-004</v>
      </c>
      <c r="E32" s="30" t="str"/>
    </row>
    <row r="33" ht="89" customHeight="1">
      <c r="A33" s="14" t="str">
        <v>Simpson Thacher</v>
      </c>
      <c r="B33" s="14" t="str">
        <v>G&amp;W legal counsel</v>
      </c>
      <c r="C33" s="14" t="str">
        <v>Named in Aug 10 negotiations. Do not infer first engagement was Aug 10.</v>
      </c>
      <c r="D33" s="14" t="str">
        <v>BG-023</v>
      </c>
      <c r="E33" s="30" t="str"/>
    </row>
    <row r="34" ht="89" customHeight="1">
      <c r="A34" s="14" t="str">
        <v>Party B counsel; STB counsel</v>
      </c>
      <c r="B34" s="14" t="str">
        <v>B legal adviser; target regulatory adviser</v>
      </c>
      <c r="C34" s="14" t="str">
        <v>Names not disclosed in background. Keep client affiliations; do not invent organizations.</v>
      </c>
      <c r="D34" s="14" t="str">
        <v>BG-023; BG-026</v>
      </c>
      <c r="E34" s="30" t="str"/>
    </row>
    <row r="35" ht="89" customHeight="1">
      <c r="A35" s="14" t="str">
        <v>Eder Trusts; Pullman</v>
      </c>
      <c r="B35" s="14" t="str">
        <v>Target voting-support holders; G&amp;W acquisition vehicle</v>
      </c>
      <c r="C35" s="14" t="str">
        <v>Voting support is not rollover or consortium formation. Pullman is wholly owned by G&amp;W.</v>
      </c>
      <c r="D35" s="14" t="str">
        <v>BG-028; FULL-04</v>
      </c>
      <c r="E35" s="30" t="str"/>
    </row>
    <row r="36" ht="89" customHeight="1">
      <c r="A36" s="14" t="str">
        <v>GATX / Director Smith</v>
      </c>
      <c r="B36" s="14" t="str">
        <v>Potential conflict context, not a proven bidder</v>
      </c>
      <c r="C36" s="14" t="str">
        <v>GATX held 4.92% common; Smith recused because GATX might be a buyer. No basis to identify GATX as Party A–F.</v>
      </c>
      <c r="D36" s="14" t="str">
        <v>BG-020</v>
      </c>
      <c r="E36" s="30" t="str"/>
    </row>
    <row r="37" ht="89" customHeight="1">
      <c r="A37" s="14" t="str">
        <v>Anonymous populations</v>
      </c>
      <c r="B37" s="14" t="str">
        <v>Initial nine IOIs; two low exclusions; two LOI non-submitters</v>
      </c>
      <c r="C37" s="14" t="str">
        <v>Do not expand unidentified cohorts into invented persistent bidder histories. One LOI non-submitter was strategic; one financial.</v>
      </c>
      <c r="D37" s="14" t="str">
        <v>BG-008; BG-019</v>
      </c>
      <c r="E37" s="30" t="str"/>
    </row>
    <row r="41" ht="30" customHeight="1">
      <c r="A41" s="19" t="str">
        <v>Count and population</v>
      </c>
      <c r="B41" s="19" t="str">
        <v>Value</v>
      </c>
      <c r="C41" s="19" t="str">
        <v>Meaning / qualification</v>
      </c>
      <c r="D41" s="19" t="str">
        <v>Source</v>
      </c>
      <c r="E41" s="19" t="str">
        <v>Human note</v>
      </c>
    </row>
    <row r="42" ht="75" customHeight="1">
      <c r="A42" s="14" t="str">
        <v>Initial strategic contacts</v>
      </c>
      <c r="B42" s="14" t="n">
        <v>11</v>
      </c>
      <c r="C42" s="14" t="str">
        <v>Reported; includes Party A. Not the total unique strategic contacts over the entire filing.</v>
      </c>
      <c r="D42" s="14" t="str">
        <v>BG-004</v>
      </c>
      <c r="E42" s="30" t="str"/>
    </row>
    <row r="43" ht="75" customHeight="1">
      <c r="A43" s="14" t="str">
        <v>Initial financial contacts</v>
      </c>
      <c r="B43" s="14" t="n">
        <v>18</v>
      </c>
      <c r="C43" s="14" t="str">
        <v>Reported; initial campaign only.</v>
      </c>
      <c r="D43" s="14" t="str">
        <v>BG-004</v>
      </c>
      <c r="E43" s="30" t="str"/>
    </row>
    <row r="44" ht="75" customHeight="1">
      <c r="A44" s="14" t="str">
        <v>Initial outreach total</v>
      </c>
      <c r="B44" s="14" t="n">
        <f>B42+B43</f>
        <v>29</v>
      </c>
      <c r="C44" s="14" t="str">
        <v>Calculated as 11+18. Convention meetings and later recontacts are not automatically additive.</v>
      </c>
      <c r="D44" s="14" t="str">
        <v>BG-004</v>
      </c>
      <c r="E44" s="30" t="str"/>
    </row>
    <row r="45" ht="75" customHeight="1">
      <c r="A45" s="14" t="str">
        <v>Initial strategic NDA signers</v>
      </c>
      <c r="B45" s="14" t="n">
        <v>11</v>
      </c>
      <c r="C45" s="14" t="str">
        <v>Reported population: each of the 11 initial strategic contacts.</v>
      </c>
      <c r="D45" s="14" t="str">
        <v>BG-004</v>
      </c>
      <c r="E45" s="30" t="str"/>
    </row>
    <row r="46" ht="75" customHeight="1">
      <c r="A46" s="14" t="str">
        <v>Initial financial NDA signers</v>
      </c>
      <c r="B46" s="14" t="n">
        <v>14</v>
      </c>
      <c r="C46" s="14" t="str">
        <v>Reported; not 18 financial signers.</v>
      </c>
      <c r="D46" s="14" t="str">
        <v>BG-004</v>
      </c>
      <c r="E46" s="30" t="str"/>
    </row>
    <row r="47" ht="75" customHeight="1">
      <c r="A47" s="14" t="str">
        <v>Initial NDA total</v>
      </c>
      <c r="B47" s="14" t="n">
        <f>B45+B46</f>
        <v>25</v>
      </c>
      <c r="C47" s="14" t="str">
        <v>Calculated 11+14, with unspecified execution dates.</v>
      </c>
      <c r="D47" s="14" t="str">
        <v>BG-004</v>
      </c>
      <c r="E47" s="30" t="str"/>
    </row>
    <row r="48" ht="75" customHeight="1">
      <c r="A48" s="14" t="str">
        <v>New Party C NDA</v>
      </c>
      <c r="B48" s="14" t="n">
        <v>1</v>
      </c>
      <c r="C48" s="14" t="str">
        <v>Reported new entrant in July. Natural chronological reading makes this disjoint from initial signers.</v>
      </c>
      <c r="D48" s="14" t="str">
        <v>BG-011</v>
      </c>
      <c r="E48" s="30" t="str"/>
    </row>
    <row r="49" ht="75" customHeight="1">
      <c r="A49" s="14" t="str">
        <v>Preferred chronological NDA floor</v>
      </c>
      <c r="B49" s="44" t="n">
        <f>B47+B48</f>
        <v>26</v>
      </c>
      <c r="C49" s="14" t="str">
        <v>Conditional inference only: early 25 plus C. More signers cannot be ruled out because some contact overlap is unresolved.</v>
      </c>
      <c r="D49" s="14" t="str">
        <v>BG-004; BG-011; R2</v>
      </c>
      <c r="E49" s="30" t="str"/>
    </row>
    <row r="50" ht="75" customHeight="1">
      <c r="A50" s="14" t="str">
        <v>Board's overall NDA summary</v>
      </c>
      <c r="B50" s="14" t="n">
        <v>25</v>
      </c>
      <c r="C50" s="14" t="str">
        <v>Reported 25 for the process; conflicts with the natural chronological count above. Do not silently reconcile.</v>
      </c>
      <c r="D50" s="14" t="str">
        <v>FULL-05; R2</v>
      </c>
      <c r="E50" s="30" t="str"/>
    </row>
    <row r="51" ht="75" customHeight="1">
      <c r="A51" s="14" t="str">
        <v>Initial IOI submissions</v>
      </c>
      <c r="B51" s="14" t="n">
        <v>9</v>
      </c>
      <c r="C51" s="14" t="str">
        <v>Reported nine; price envelope $17.93–$26.50. Individual mappings unavailable.</v>
      </c>
      <c r="D51" s="14" t="str">
        <v>BG-008</v>
      </c>
      <c r="E51" s="30" t="str"/>
    </row>
    <row r="52" ht="75" customHeight="1">
      <c r="A52" s="14" t="str">
        <v>Low IOI bidders excluded</v>
      </c>
      <c r="B52" s="14" t="n">
        <v>2</v>
      </c>
      <c r="C52" s="14" t="str">
        <v>Reported; exact decision day/identities not known.</v>
      </c>
      <c r="D52" s="14" t="str">
        <v>BG-008</v>
      </c>
      <c r="E52" s="30" t="str"/>
    </row>
    <row r="53" ht="75" customHeight="1">
      <c r="A53" s="14" t="str">
        <v>IOI bidders admitted onward</v>
      </c>
      <c r="B53" s="14" t="n">
        <v>7</v>
      </c>
      <c r="C53" s="14" t="str">
        <v>Reported seven; partition of nine, not an independent second estimate.</v>
      </c>
      <c r="D53" s="14" t="str">
        <v>BG-008</v>
      </c>
      <c r="E53" s="30" t="str"/>
    </row>
    <row r="54" ht="75" customHeight="1">
      <c r="A54" s="14" t="str">
        <v>LOI-stage eligible population</v>
      </c>
      <c r="B54" s="14" t="n">
        <f>B53+B48</f>
        <v>8</v>
      </c>
      <c r="C54" s="14" t="str">
        <v>Seven continuing + new C = eight under the supported continuation reading.</v>
      </c>
      <c r="D54" s="14" t="str">
        <v>BG-008; BG-011; BG-019</v>
      </c>
      <c r="E54" s="30" t="str"/>
    </row>
    <row r="55" ht="75" customHeight="1">
      <c r="A55" s="14" t="str">
        <v>Late-July LOI bidding units</v>
      </c>
      <c r="B55" s="14" t="n">
        <v>6</v>
      </c>
      <c r="C55" s="14" t="str">
        <v>B, C, D, E, F and G&amp;W. G&amp;W's July 26 revision does not add a bidder.</v>
      </c>
      <c r="D55" s="14" t="str">
        <v>BG-012–BG-018</v>
      </c>
      <c r="E55" s="30" t="str"/>
    </row>
    <row r="56" ht="75" customHeight="1">
      <c r="A56" s="14" t="str">
        <v>LOI non-submitters</v>
      </c>
      <c r="B56" s="14" t="n">
        <v>2</v>
      </c>
      <c r="C56" s="14" t="str">
        <v>One strategic + one financial; reasons and identities unknown.</v>
      </c>
      <c r="D56" s="14" t="str">
        <v>BG-019</v>
      </c>
      <c r="E56" s="30" t="str"/>
    </row>
    <row r="57" ht="75" customHeight="1">
      <c r="A57" s="14" t="str">
        <v>Late-July LOI versions</v>
      </c>
      <c r="B57" s="14" t="n">
        <f>B55+B60</f>
        <v>7</v>
      </c>
      <c r="C57" s="14" t="str">
        <v>Six initial LOIs + G&amp;W's July 26 revision. Different denominator from unique bidding units.</v>
      </c>
      <c r="D57" s="14" t="str">
        <v>BG-012; BG-014</v>
      </c>
      <c r="E57" s="30" t="str"/>
    </row>
    <row r="58" ht="75" customHeight="1">
      <c r="A58" s="14" t="str">
        <v>Selected finalists</v>
      </c>
      <c r="B58" s="14" t="n">
        <v>2</v>
      </c>
      <c r="C58" s="14" t="str">
        <v>G&amp;W and Party B, with later D/E re-entry efforts recorded separately.</v>
      </c>
      <c r="D58" s="14" t="str">
        <v>BG-020; BG-021</v>
      </c>
      <c r="E58" s="30" t="str"/>
    </row>
    <row r="60" ht="35" customHeight="1">
      <c r="A60" s="25" t="str">
        <v>G&amp;W July 26 additional version</v>
      </c>
      <c r="B60" s="25" t="n">
        <v>1</v>
      </c>
      <c r="C60" s="25" t="str">
        <v>Observed price revision, not a new bidder.</v>
      </c>
      <c r="D60" s="25" t="str">
        <v>BG-014</v>
      </c>
      <c r="E60" s="25" t="str"/>
    </row>
    <row r="64" ht="30" customHeight="1">
      <c r="A64" s="19" t="str">
        <v>Term</v>
      </c>
      <c r="B64" s="19" t="str">
        <v>Meaning</v>
      </c>
      <c r="C64" s="19" t="str">
        <v>How to use it</v>
      </c>
      <c r="D64" s="19" t="str">
        <v>Reference</v>
      </c>
      <c r="E64" s="19" t="str">
        <v>Human note</v>
      </c>
    </row>
    <row r="65" ht="70" customHeight="1">
      <c r="A65" s="14" t="str">
        <v>IOI / LOI</v>
      </c>
      <c r="B65" s="14" t="str">
        <v>Indication of interest / letter of intent</v>
      </c>
      <c r="C65" s="14" t="str">
        <v>Source labels, not automatic research formality decisions.</v>
      </c>
      <c r="D65" s="14" t="str">
        <v>Prior instruction §8</v>
      </c>
      <c r="E65" s="30" t="str"/>
    </row>
    <row r="66" ht="70" customHeight="1">
      <c r="A66" s="14" t="str">
        <v>Formal / informal</v>
      </c>
      <c r="B66" s="14" t="str">
        <v>Research assessment of offer documentation/context</v>
      </c>
      <c r="C66" s="14" t="str">
        <v>Formal does not mean legally binding or unconditional. Reasons and alternatives stay beside each offer.</v>
      </c>
      <c r="D66" s="14" t="str">
        <v>Offers; R4</v>
      </c>
      <c r="E66" s="30" t="str"/>
    </row>
    <row r="67" ht="70" customHeight="1">
      <c r="A67" s="14" t="str">
        <v>Completion conditionality</v>
      </c>
      <c r="B67" s="14" t="str">
        <v>None / light / heavy / not assessable</v>
      </c>
      <c r="C67" s="14" t="str">
        <v>Degree of unresolved diligence, financing, completion or repricing exposure; separate from payoff uncertainty.</v>
      </c>
      <c r="D67" s="14" t="str">
        <v>Offers; R4</v>
      </c>
      <c r="E67" s="30" t="str"/>
    </row>
    <row r="68" ht="70" customHeight="1">
      <c r="A68" s="14" t="str">
        <v>CVR</v>
      </c>
      <c r="B68" s="14" t="str">
        <v>Contingent value right</v>
      </c>
      <c r="C68" s="14" t="str">
        <v>Here linked to a later South Quay property sale. $1.13 is not certain closing cash; cash settlement itself is not expressly stated.</v>
      </c>
      <c r="D68" s="14" t="str">
        <v>BG-014; R5</v>
      </c>
      <c r="E68" s="30" t="str"/>
    </row>
    <row r="69" ht="70" customHeight="1">
      <c r="A69" s="14" t="str">
        <v>Checkpoint</v>
      </c>
      <c r="B69" s="14" t="str">
        <v>Document or condition observation</v>
      </c>
      <c r="C69" s="14" t="str">
        <v>Preserves a live offer's development without claiming a new price or submission merely because a draft was exchanged.</v>
      </c>
      <c r="D69" s="14" t="str">
        <v>Offers O13/O14</v>
      </c>
      <c r="E69" s="30" t="str"/>
    </row>
    <row r="70" ht="70" customHeight="1">
      <c r="A70" s="14" t="str">
        <v>Evidence basis</v>
      </c>
      <c r="B70" s="14" t="str">
        <v>Reported / inference / calculation / convention</v>
      </c>
      <c r="C70" s="14" t="str">
        <v>An offer can contain different bases for different fields. Confidence is attached to the judgment, not treated as calibrated probability.</v>
      </c>
      <c r="D70" s="14" t="str">
        <v>Timeline; Offers</v>
      </c>
      <c r="E70" s="30" t="str"/>
    </row>
    <row r="71" ht="70" customHeight="1">
      <c r="A71" s="14" t="str">
        <v>Correction workflow</v>
      </c>
      <c r="B71" s="14" t="str">
        <v>Note → accept/correct/defer → regenerate</v>
      </c>
      <c r="C71" s="14" t="str">
        <v>Keep AI fields unchanged. A subsequent accepted correction must propagate to dependent fields, then be verified in a versioned output.</v>
      </c>
      <c r="D71" s="14" t="str">
        <v>Review decisions</v>
      </c>
      <c r="E71" s="30" t="str"/>
    </row>
  </sheetData>
  <mergeCells>
    <mergeCell ref="A1:E1"/>
    <mergeCell ref="A2:E3"/>
  </mergeCells>
  <hyperlinks>
    <hyperlink ref="D6" location="'Sources'!A39" tooltip="Open supporting passage or grouped review decision"/>
    <hyperlink ref="D7" location="'Sources'!A47" tooltip="Open supporting passage or grouped review decision"/>
    <hyperlink ref="D8" location="'Timeline'!A61" tooltip="Open supporting passage or grouped review decision"/>
    <hyperlink ref="D9" location="'Timeline'!A6" tooltip="Open supporting passage or grouped review decision"/>
    <hyperlink ref="D11" location="'Review decisions'!A5" tooltip="Open supporting passage or grouped review decision"/>
    <hyperlink ref="D12" location="'Offers'!A5" tooltip="Open supporting passage or grouped review decision"/>
    <hyperlink ref="D24" location="'Sources'!A6" tooltip="Open supporting passage or grouped review decision"/>
    <hyperlink ref="D25" location="'Sources'!A40" tooltip="Open supporting passage or grouped review decision"/>
    <hyperlink ref="D26" location="'Sources'!A6" tooltip="Open supporting passage or grouped review decision"/>
    <hyperlink ref="D27" location="'Sources'!A13" tooltip="Open supporting passage or grouped review decision"/>
    <hyperlink ref="D28" location="'Sources'!A18" tooltip="Open supporting passage or grouped review decision"/>
    <hyperlink ref="D29" location="'Sources'!A23" tooltip="Open supporting passage or grouped review decision"/>
    <hyperlink ref="D30" location="'Sources'!A22" tooltip="Open supporting passage or grouped review decision"/>
    <hyperlink ref="D31" location="'Sources'!A6" tooltip="Open supporting passage or grouped review decision"/>
    <hyperlink ref="D32" location="'Sources'!A11" tooltip="Open supporting passage or grouped review decision"/>
    <hyperlink ref="D33" location="'Sources'!A31" tooltip="Open supporting passage or grouped review decision"/>
    <hyperlink ref="D34" location="'Sources'!A31" tooltip="Open supporting passage or grouped review decision"/>
    <hyperlink ref="D35" location="'Sources'!A37" tooltip="Open supporting passage or grouped review decision"/>
    <hyperlink ref="D36" location="'Sources'!A27" tooltip="Open supporting passage or grouped review decision"/>
    <hyperlink ref="D37" location="'Sources'!A15" tooltip="Open supporting passage or grouped review decision"/>
    <hyperlink ref="D42" location="'Sources'!A11" tooltip="Open supporting passage or grouped review decision"/>
    <hyperlink ref="D43" location="'Sources'!A11" tooltip="Open supporting passage or grouped review decision"/>
    <hyperlink ref="D44" location="'Sources'!A11" tooltip="Open supporting passage or grouped review decision"/>
    <hyperlink ref="D45" location="'Sources'!A11" tooltip="Open supporting passage or grouped review decision"/>
    <hyperlink ref="D46" location="'Sources'!A11" tooltip="Open supporting passage or grouped review decision"/>
    <hyperlink ref="D47" location="'Sources'!A11" tooltip="Open supporting passage or grouped review decision"/>
    <hyperlink ref="D48" location="'Sources'!A18" tooltip="Open supporting passage or grouped review decision"/>
    <hyperlink ref="D49" location="'Sources'!A11" tooltip="Open supporting passage or grouped review decision"/>
    <hyperlink ref="D50" location="'Sources'!A43" tooltip="Open supporting passage or grouped review decision"/>
    <hyperlink ref="D51" location="'Sources'!A15" tooltip="Open supporting passage or grouped review decision"/>
    <hyperlink ref="D52" location="'Sources'!A15" tooltip="Open supporting passage or grouped review decision"/>
    <hyperlink ref="D53" location="'Sources'!A15" tooltip="Open supporting passage or grouped review decision"/>
    <hyperlink ref="D54" location="'Sources'!A15" tooltip="Open supporting passage or grouped review decision"/>
    <hyperlink ref="D55" location="'Sources'!A19" tooltip="Open supporting passage or grouped review decision"/>
    <hyperlink ref="D56" location="'Sources'!A26" tooltip="Open supporting passage or grouped review decision"/>
    <hyperlink ref="D57" location="'Sources'!A19" tooltip="Open supporting passage or grouped review decision"/>
    <hyperlink ref="D58" location="'Sources'!A27" tooltip="Open supporting passage or grouped review decision"/>
  </hyperlinks>
  <pageMargins left="0.7" right="0.7" top="0.75" bottom="0.75" header="0.3" footer="0.3"/>
  <tableParts count="5">
    <tablePart ns1:id="Re6e50906a5d7401c"/>
    <tablePart ns1:id="Rbeff0531fb3643dc"/>
    <tablePart ns1:id="Rcc14f7064a514542"/>
    <tablePart ns1:id="R4622c44ef42a439c"/>
    <tablePart ns1:id="R7421cb3b62b04535"/>
  </tableParts>
</worksheet>
</file>

<file path=xl/worksheets/sheet2.xml><?xml version="1.0" encoding="utf-8"?>
<worksheet xmlns="http://schemas.openxmlformats.org/spreadsheetml/2006/main" xmlns:ns1="http://schemas.openxmlformats.org/officeDocument/2006/relationships">
  <sheetViews>
    <sheetView showGridLines="0" workbookViewId="0" zoomScale="85">
      <pane ySplit="5" topLeftCell="C6" activePane="bottomRight" state="frozen" xSplit="2"/>
      <selection pane="bottomRight" activeCell="C6" sqref="C6"/>
    </sheetView>
  </sheetViews>
  <sheetFormatPr defaultRowHeight="15"/>
  <cols>
    <col min="1" max="1" width="6" hidden="0" customWidth="1"/>
    <col min="2" max="2" width="21" hidden="0" customWidth="1"/>
    <col min="3" max="3" width="17" hidden="0" customWidth="1"/>
    <col min="4" max="4" width="21" hidden="0" customWidth="1"/>
    <col min="5" max="5" width="38" hidden="0" customWidth="1"/>
    <col min="6" max="6" width="35" hidden="0" customWidth="1"/>
    <col min="7" max="7" width="37" hidden="0" customWidth="1"/>
    <col min="8" max="8" width="8" hidden="0" customWidth="1"/>
    <col min="9" max="9" width="23" hidden="0" customWidth="1"/>
    <col min="10" max="10" width="18" hidden="1" customWidth="1" outlineLevel="1"/>
    <col min="11" max="11" width="18" hidden="1" customWidth="1" outlineLevel="1"/>
    <col min="12" max="12" width="18" hidden="1" customWidth="1" outlineLevel="1"/>
    <col min="13" max="13" width="18" hidden="1" customWidth="1" outlineLevel="1"/>
    <col min="14" max="14" width="18" hidden="1" customWidth="1" outlineLevel="1"/>
    <col min="15" max="15" width="18" hidden="1" customWidth="1" outlineLevel="1"/>
    <col min="16" max="16" width="18" hidden="1" customWidth="1" outlineLevel="1"/>
    <col min="17" max="17" width="18" hidden="1" customWidth="1" outlineLevel="1"/>
    <col min="18" max="18" width="18" hidden="1" customWidth="1" outlineLevel="1"/>
    <col min="19" max="19" width="18" hidden="1" customWidth="1" outlineLevel="1"/>
    <col min="20" max="20" width="18" hidden="1" customWidth="1" outlineLevel="1"/>
    <col min="21" max="21" width="18" hidden="1" customWidth="1" outlineLevel="1"/>
    <col min="22" max="22" width="18" hidden="1" customWidth="1" outlineLevel="1"/>
  </cols>
  <sheetData>
    <row r="1" ht="34" customHeight="1">
      <c r="A1" s="3" t="str">
        <v>DEAL TIMELINE | Read the transaction in order</v>
      </c>
      <c r="B1" s="3"/>
      <c r="C1" s="3"/>
      <c r="D1" s="3"/>
      <c r="E1" s="3"/>
      <c r="F1" s="3"/>
      <c r="G1" s="3"/>
      <c r="H1" s="3"/>
      <c r="I1" s="3"/>
    </row>
    <row r="2" ht="21" customHeight="1">
      <c r="A2" s="8" t="str">
        <v>Intervals and wording are intentional. Order is a reading aid, not a claim that overlapping windows are strictly ordered. Amber cells are for human notes; evidence cells open the local source reader.</v>
      </c>
      <c r="B2" s="8"/>
      <c r="C2" s="8"/>
      <c r="D2" s="8"/>
      <c r="E2" s="8"/>
      <c r="F2" s="8"/>
      <c r="G2" s="8"/>
      <c r="H2" s="8"/>
      <c r="I2" s="8"/>
    </row>
    <row r="3" ht="21" customHeight="1">
      <c r="A3" s="8"/>
      <c r="B3" s="8"/>
      <c r="C3" s="8"/>
      <c r="D3" s="8"/>
      <c r="E3" s="8"/>
      <c r="F3" s="8"/>
      <c r="G3" s="8"/>
      <c r="H3" s="8"/>
      <c r="I3" s="8"/>
    </row>
    <row r="5" ht="30" customHeight="1">
      <c r="A5" s="19" t="str">
        <v>Order</v>
      </c>
      <c r="B5" s="19" t="str">
        <v>When</v>
      </c>
      <c r="C5" s="19" t="str">
        <v>Stage</v>
      </c>
      <c r="D5" s="19" t="str">
        <v>Participant</v>
      </c>
      <c r="E5" s="19" t="str">
        <v>What happened</v>
      </c>
      <c r="F5" s="19" t="str">
        <v>Model assessment — why / limits</v>
      </c>
      <c r="G5" s="19" t="str">
        <v>Evidence — open source</v>
      </c>
      <c r="H5" s="19" t="str">
        <v>Review</v>
      </c>
      <c r="I5" s="19" t="str">
        <v>Human correction / note</v>
      </c>
      <c r="J5" s="19" t="str">
        <v>record_id</v>
      </c>
      <c r="K5" s="19" t="str">
        <v>event_code</v>
      </c>
      <c r="L5" s="19" t="str">
        <v>reported_exact_date</v>
      </c>
      <c r="M5" s="19" t="str">
        <v>date_lower</v>
      </c>
      <c r="N5" s="19" t="str">
        <v>date_upper</v>
      </c>
      <c r="O5" s="19" t="str">
        <v>date_basis</v>
      </c>
      <c r="P5" s="19" t="str">
        <v>source_ids</v>
      </c>
      <c r="Q5" s="19" t="str">
        <v>after_record_id</v>
      </c>
      <c r="R5" s="19" t="str">
        <v>order_basis</v>
      </c>
      <c r="S5" s="19" t="str">
        <v>source_document</v>
      </c>
      <c r="T5" t="str">
        <v>unique_contact_count_contribution</v>
      </c>
      <c r="U5" t="str">
        <v>new_NDA_count_contribution</v>
      </c>
      <c r="V5" t="str">
        <v>count_scope_note</v>
      </c>
    </row>
    <row r="6" ht="74.5" customHeight="1">
      <c r="A6" s="14" t="n">
        <v>1</v>
      </c>
      <c r="B6" s="14" t="str">
        <v>Q4 2015</v>
      </c>
      <c r="C6" s="14" t="str">
        <v>Before bidding</v>
      </c>
      <c r="D6" s="14" t="str">
        <v>Party A → PWRR</v>
      </c>
      <c r="E6" s="14" t="str">
        <v>Acquisition interest
Rail partner Party A raised joint ventures and an equity acquisition during commercial discussions. No priced whole-company offer is disclosed.</v>
      </c>
      <c r="F6" s="14" t="str">
        <v>Initiation: bidder interest followed by target-led exploration; mixed chain [high]. Equity scope initially unclear; not a core bid.</v>
      </c>
      <c r="G6" s="22" t="str">
        <v>BG-001 · p.27
“expressed some interest in acquiring equity in the Company”</v>
      </c>
      <c r="H6" s="22" t="str">
        <v>R1</v>
      </c>
      <c r="I6" s="30" t="str"/>
      <c r="J6" s="14" t="str">
        <v>T01</v>
      </c>
      <c r="K6" s="14" t="str">
        <v>acquisition_interest_expressed</v>
      </c>
      <c r="L6" s="14"/>
      <c r="M6" s="48" t="n">
        <v>42278</v>
      </c>
      <c r="N6" s="48" t="n">
        <v>42369</v>
      </c>
      <c r="O6" s="14" t="str">
        <v>reported</v>
      </c>
      <c r="P6" s="14" t="str">
        <v>BG-001</v>
      </c>
      <c r="Q6" s="14" t="str"/>
      <c r="R6" s="14" t="str">
        <v>display_only</v>
      </c>
      <c r="S6" s="14" t="str">
        <v>providence-worcester_2016-09-20_DEFM14A.htm</v>
      </c>
      <c r="T6" t="n">
        <v>0</v>
      </c>
      <c r="U6"/>
      <c r="V6" t="str">
        <v>Zero added to current unique-contact count; overlap or repeat contact, not proof of no contact</v>
      </c>
    </row>
    <row r="7" ht="74.5" customHeight="1">
      <c r="A7" s="14" t="n">
        <v>2</v>
      </c>
      <c r="B7" s="14" t="str">
        <v>01/27/2016</v>
      </c>
      <c r="C7" s="14" t="str">
        <v>Before bidding</v>
      </c>
      <c r="D7" s="14" t="str">
        <v>PWRR board; GHF</v>
      </c>
      <c r="E7" s="14" t="str">
        <v>Financial adviser engaged
The board approved and engaged Greene Holcomb &amp; Fisher after interviewing banks. GHF later became BMO; one continuing mandate.</v>
      </c>
      <c r="F7" s="14" t="str">
        <v>Engagement date reported [high]. Bank-name change does not add an adviser or a new mandate.</v>
      </c>
      <c r="G7" s="22" t="str">
        <v>BG-001 · p.27
“Following this presentation, the Board approved the subcommittee’s recommendation and the Company engaged GHF.”</v>
      </c>
      <c r="H7" s="22" t="str"/>
      <c r="I7" s="30" t="str"/>
      <c r="J7" s="14" t="str">
        <v>T02</v>
      </c>
      <c r="K7" s="14" t="str">
        <v>financial_adviser_engagement</v>
      </c>
      <c r="L7" s="48" t="n">
        <v>42396</v>
      </c>
      <c r="M7" s="14"/>
      <c r="N7" s="14"/>
      <c r="O7" s="14" t="str">
        <v>reported</v>
      </c>
      <c r="P7" s="14" t="str">
        <v>BG-001</v>
      </c>
      <c r="Q7" s="14" t="str">
        <v>T01</v>
      </c>
      <c r="R7" s="14" t="str">
        <v>reported_sequence</v>
      </c>
      <c r="S7" s="14" t="str">
        <v>providence-worcester_2016-09-20_DEFM14A.htm</v>
      </c>
      <c r="T7"/>
      <c r="U7"/>
      <c r="V7" t="str"/>
    </row>
    <row r="8" ht="74.5" customHeight="1">
      <c r="A8" s="14" t="n">
        <v>3</v>
      </c>
      <c r="B8" s="14" t="str">
        <v>03/14/2016</v>
      </c>
      <c r="C8" s="14" t="str">
        <v>Before bidding</v>
      </c>
      <c r="D8" s="14" t="str">
        <v>PWRR board</v>
      </c>
      <c r="E8" s="14" t="str">
        <v>Sale exploration authorized
The board approved discussions with Party A and solicitation of other change-of-control buyers; a Transaction Committee would oversee the process.</v>
      </c>
      <c r="F8" s="14" t="str">
        <v>Authorization is not an irrevocable sale decision. Keep distinct from subsequent outreach [high].</v>
      </c>
      <c r="G8" s="22" t="str">
        <v>BG-002 · p.27/28
“the Company would proceed with discussions with Party A and also solicit interest from other potential third parties regarding a change in control transaction.”</v>
      </c>
      <c r="H8" s="22" t="str">
        <v>R1</v>
      </c>
      <c r="I8" s="30" t="str"/>
      <c r="J8" s="14" t="str">
        <v>T03</v>
      </c>
      <c r="K8" s="14" t="str">
        <v>sale_exploration_authorized</v>
      </c>
      <c r="L8" s="48" t="n">
        <v>42443</v>
      </c>
      <c r="M8" s="14"/>
      <c r="N8" s="14"/>
      <c r="O8" s="14" t="str">
        <v>reported</v>
      </c>
      <c r="P8" s="14" t="str">
        <v>BG-002</v>
      </c>
      <c r="Q8" s="14" t="str"/>
      <c r="R8" s="14" t="str">
        <v>display_only</v>
      </c>
      <c r="S8" s="14" t="str">
        <v>providence-worcester_2016-09-20_DEFM14A.htm</v>
      </c>
      <c r="T8"/>
      <c r="U8"/>
      <c r="V8" t="str"/>
    </row>
    <row r="9" ht="74.5" customHeight="1">
      <c r="A9" s="14" t="n">
        <v>4</v>
      </c>
      <c r="B9" s="14" t="str">
        <v>03/22–03/23/2016</v>
      </c>
      <c r="C9" s="14" t="str">
        <v>Before bidding</v>
      </c>
      <c r="D9" s="14" t="str">
        <v>PWRR management; Party A</v>
      </c>
      <c r="E9" s="14" t="str">
        <v>Pre-launch discussions
Management met Party A and reported the adviser engagement.</v>
      </c>
      <c r="F9" s="14" t="str">
        <v>Continuation of the initiating discussion, not a second unique bidder or a submitted offer. Initial-contact code here describes context; count contribution is zero.</v>
      </c>
      <c r="G9" s="22" t="str">
        <v>BG-003 · p.28; BG-004 · p.28
“met with various representatives of Party A on March 22 and 23, 2016”</v>
      </c>
      <c r="H9" s="22" t="str"/>
      <c r="I9" s="30" t="str"/>
      <c r="J9" s="14" t="str">
        <v>T04</v>
      </c>
      <c r="K9" s="14" t="str">
        <v>initial_sale_contact</v>
      </c>
      <c r="L9" s="14"/>
      <c r="M9" s="48" t="n">
        <v>42451</v>
      </c>
      <c r="N9" s="48" t="n">
        <v>42452</v>
      </c>
      <c r="O9" s="14" t="str">
        <v>reported</v>
      </c>
      <c r="P9" s="14" t="str">
        <v>BG-003|BG-004</v>
      </c>
      <c r="Q9" s="14" t="str"/>
      <c r="R9" s="14" t="str">
        <v>display_only</v>
      </c>
      <c r="S9" s="14" t="str">
        <v>providence-worcester_2016-09-20_DEFM14A.htm</v>
      </c>
      <c r="T9" t="n">
        <v>0</v>
      </c>
      <c r="U9"/>
      <c r="V9" t="str">
        <v>Zero added to current unique-contact count; overlap or repeat contact, not proof of no contact</v>
      </c>
    </row>
    <row r="10" ht="74.5" customHeight="1">
      <c r="A10" s="14" t="n">
        <v>5</v>
      </c>
      <c r="B10" s="14" t="str">
        <v>03/24/2016</v>
      </c>
      <c r="C10" s="14" t="str">
        <v>Before bidding</v>
      </c>
      <c r="D10" s="14" t="str">
        <v>Transaction Committee; GHF</v>
      </c>
      <c r="E10" s="14" t="str">
        <v>Outreach authorized
The committee authorized GHF to contact Party A and other potential buyers. Hinckley Allen is first observed as target legal counsel at this meeting.</v>
      </c>
      <c r="F10" s="14" t="str">
        <v>First observed legal service is not a known retention date. Working round 1 starts with actual outreach, not this authorization.</v>
      </c>
      <c r="G10" s="22" t="str">
        <v>BG-004 · p.28
“The Transaction Committee authorized GHF to contact Party A as well as other potential buyers”</v>
      </c>
      <c r="H10" s="22" t="str">
        <v>R1</v>
      </c>
      <c r="I10" s="30" t="str"/>
      <c r="J10" s="14" t="str">
        <v>T05</v>
      </c>
      <c r="K10" s="14" t="str">
        <v>other_material_process_event</v>
      </c>
      <c r="L10" s="48" t="n">
        <v>42453</v>
      </c>
      <c r="M10" s="14"/>
      <c r="N10" s="14"/>
      <c r="O10" s="14" t="str">
        <v>reported</v>
      </c>
      <c r="P10" s="14" t="str">
        <v>BG-004</v>
      </c>
      <c r="Q10" s="14" t="str"/>
      <c r="R10" s="14" t="str">
        <v>display_only</v>
      </c>
      <c r="S10" s="14" t="str">
        <v>providence-worcester_2016-09-20_DEFM14A.htm</v>
      </c>
      <c r="T10"/>
      <c r="U10"/>
      <c r="V10" t="str"/>
    </row>
    <row r="11" ht="72" customHeight="1">
      <c r="A11" s="14" t="n">
        <v>6</v>
      </c>
      <c r="B11" s="14" t="str">
        <v>Week of 03/28/2016</v>
      </c>
      <c r="C11" s="14" t="str">
        <v>1 · Initial indications</v>
      </c>
      <c r="D11" s="14" t="str">
        <v>GHF → 29 potential buyers</v>
      </c>
      <c r="E11" s="14" t="str">
        <v>Broad outreach begins
GHF contacted 11 strategic buyers, including Party A, and 18 financial buyers.</v>
      </c>
      <c r="F11" s="14" t="str">
        <v>Round 1 launch [medium]: actual solicitation. Seven-day display window 03/28–04/03 is a convention, not 29 contacts on one exact day.</v>
      </c>
      <c r="G11" s="22" t="str">
        <v>BG-004 · p.28
“contacted 11 potential strategic buyers (including Party A) and 18 potential financial buyers.”</v>
      </c>
      <c r="H11" s="22" t="str">
        <v>R1</v>
      </c>
      <c r="I11" s="30" t="str"/>
      <c r="J11" s="14" t="str">
        <v>T06</v>
      </c>
      <c r="K11" s="14" t="str">
        <v>initial_sale_contact</v>
      </c>
      <c r="L11" s="14"/>
      <c r="M11" s="48" t="n">
        <v>42457</v>
      </c>
      <c r="N11" s="48" t="n">
        <v>42463</v>
      </c>
      <c r="O11" s="14" t="str">
        <v>reported + calendar convention</v>
      </c>
      <c r="P11" s="14" t="str">
        <v>BG-004</v>
      </c>
      <c r="Q11" s="14" t="str"/>
      <c r="R11" s="14" t="str">
        <v>display_only</v>
      </c>
      <c r="S11" s="14" t="str">
        <v>providence-worcester_2016-09-20_DEFM14A.htm</v>
      </c>
      <c r="T11" t="n">
        <v>29</v>
      </c>
      <c r="U11"/>
      <c r="V11" t="str">
        <v>Initial outreach only; not a certified full-process total</v>
      </c>
    </row>
    <row r="12" ht="74.5" customHeight="1">
      <c r="A12" s="14" t="n">
        <v>7</v>
      </c>
      <c r="B12" s="14" t="str">
        <v>After initial contacts; exact dates undisclosed</v>
      </c>
      <c r="C12" s="14" t="str">
        <v>1 · Initial indications</v>
      </c>
      <c r="D12" s="14" t="str">
        <v>11 strategic + 14 financial buyers</v>
      </c>
      <c r="E12" s="14" t="str">
        <v>Confidentiality agreements signed
The initial outreach population subsequently yielded 25 NDA signers. Their agreements contained no standstill prohibition on acquisition proposals.</v>
      </c>
      <c r="F12" s="14" t="str">
        <v>Count: 11+14=25 [high for this reported population]. Do not redouble these signers when information memoranda arrive. Whole-process total is conflicted.</v>
      </c>
      <c r="G12" s="22" t="str">
        <v>BG-004 · p.28; FULL-05 · p.33; BG-011 · p.29
“Each of the potential strategic buyers and 14 potential financial buyers subsequently executed confidentiality agreements.”</v>
      </c>
      <c r="H12" s="22" t="str">
        <v>R2</v>
      </c>
      <c r="I12" s="30" t="str"/>
      <c r="J12" s="14" t="str">
        <v>T07</v>
      </c>
      <c r="K12" s="14" t="str">
        <v>confidentiality_agreement_executed</v>
      </c>
      <c r="L12" s="14"/>
      <c r="M12" s="14"/>
      <c r="N12" s="14"/>
      <c r="O12" s="14" t="str">
        <v>reported; relative timing</v>
      </c>
      <c r="P12" s="14" t="str">
        <v>BG-004|FULL-05|BG-011</v>
      </c>
      <c r="Q12" s="14" t="str">
        <v>T06</v>
      </c>
      <c r="R12" s="14" t="str">
        <v>reported_sequence</v>
      </c>
      <c r="S12" s="14" t="str">
        <v>providence-worcester_2016-09-20_DEFM14A.htm</v>
      </c>
      <c r="T12"/>
      <c r="U12" t="n">
        <v>25</v>
      </c>
      <c r="V12" t="str">
        <v>Early 25 conflicts with global summary when combined with new C</v>
      </c>
    </row>
    <row r="13" ht="72" customHeight="1">
      <c r="A13" s="14" t="n">
        <v>8</v>
      </c>
      <c r="B13" s="14" t="str">
        <v>04/03–04/06/2016</v>
      </c>
      <c r="C13" s="14" t="str">
        <v>1 · Initial indications</v>
      </c>
      <c r="D13" s="14" t="str">
        <v>Five strategic buyers, including G&amp;W</v>
      </c>
      <c r="E13" s="14" t="str">
        <v>Introductory meetings
Management and GHF met five potential strategic buyers at the rail convention.</v>
      </c>
      <c r="F13" s="14" t="str">
        <v>Not five proven additional unique contacts. Overlap with the initial campaign is unresolved; avoid adding the populations.</v>
      </c>
      <c r="G13" s="22" t="str">
        <v>BG-005 · p.28
“held a series of introductory meetings with five potential strategic buyers (including G&amp;W)”</v>
      </c>
      <c r="H13" s="22" t="str">
        <v>R2</v>
      </c>
      <c r="I13" s="30" t="str"/>
      <c r="J13" s="14" t="str">
        <v>T08</v>
      </c>
      <c r="K13" s="14" t="str">
        <v>initial_sale_contact</v>
      </c>
      <c r="L13" s="14"/>
      <c r="M13" s="48" t="n">
        <v>42463</v>
      </c>
      <c r="N13" s="48" t="n">
        <v>42466</v>
      </c>
      <c r="O13" s="14" t="str">
        <v>reported</v>
      </c>
      <c r="P13" s="14" t="str">
        <v>BG-005</v>
      </c>
      <c r="Q13" s="14" t="str"/>
      <c r="R13" s="14" t="str">
        <v>display_only</v>
      </c>
      <c r="S13" s="14" t="str">
        <v>providence-worcester_2016-09-20_DEFM14A.htm</v>
      </c>
      <c r="T13"/>
      <c r="U13"/>
      <c r="V13" t="str">
        <v>Unique contribution unknown because population overlap is unresolved; do not treat blank as zero.</v>
      </c>
    </row>
    <row r="14" ht="72" customHeight="1">
      <c r="A14" s="14" t="n">
        <v>9</v>
      </c>
      <c r="B14" s="14" t="str">
        <v>By 04/07/2016; exact date undisclosed</v>
      </c>
      <c r="C14" s="14" t="str">
        <v>1 · Initial indications</v>
      </c>
      <c r="D14" s="14" t="str">
        <v>PWRR → two Class I railroads</v>
      </c>
      <c r="E14" s="14" t="str">
        <v>Additional approaches reported
At the April 7 committee meeting, management reported that two additional Class I railroads had already been approached.</v>
      </c>
      <c r="F14" s="14" t="str">
        <v>The reporting date is not the contact date [high]. 'Additional' does not resolve overlap with every earlier population.</v>
      </c>
      <c r="G14" s="22" t="str">
        <v>BG-006 · p.28
“the Company had also approached two additional Class I railroads”</v>
      </c>
      <c r="H14" s="22" t="str">
        <v>R2</v>
      </c>
      <c r="I14" s="30" t="str"/>
      <c r="J14" s="14" t="str">
        <v>T09</v>
      </c>
      <c r="K14" s="14" t="str">
        <v>initial_sale_contact</v>
      </c>
      <c r="L14" s="14"/>
      <c r="M14" s="14"/>
      <c r="N14" s="48" t="n">
        <v>42467</v>
      </c>
      <c r="O14" s="14" t="str">
        <v>reported; one-sided bound</v>
      </c>
      <c r="P14" s="14" t="str">
        <v>BG-006</v>
      </c>
      <c r="Q14" s="14" t="str"/>
      <c r="R14" s="14" t="str">
        <v>display_only</v>
      </c>
      <c r="S14" s="14" t="str">
        <v>providence-worcester_2016-09-20_DEFM14A.htm</v>
      </c>
      <c r="T14"/>
      <c r="U14"/>
      <c r="V14" t="str"/>
    </row>
    <row r="15" ht="74.5" customHeight="1">
      <c r="A15" s="14" t="n">
        <v>10</v>
      </c>
      <c r="B15" s="14" t="str">
        <v>04/21/2016</v>
      </c>
      <c r="C15" s="14" t="str">
        <v>1 · Initial indications</v>
      </c>
      <c r="D15" s="14" t="str">
        <v>Party B; PWRR; GHF</v>
      </c>
      <c r="E15" s="14" t="str">
        <v>Introductory meeting
PWRR and GHF met Party B, a strategic buyer.</v>
      </c>
      <c r="F15" s="14" t="str">
        <v>Party B is a distinct named buyer; the meeting does not establish a new contact outside the original 11.</v>
      </c>
      <c r="G15" s="22" t="str">
        <v>BG-006 · p.28
“on April 21, 2016, the Company and representatives of GHF held an introductory meeting with another potential strategic buyer (“Party B”).”</v>
      </c>
      <c r="H15" s="22" t="str">
        <v>R2</v>
      </c>
      <c r="I15" s="30" t="str"/>
      <c r="J15" s="14" t="str">
        <v>T10</v>
      </c>
      <c r="K15" s="14" t="str">
        <v>initial_sale_contact</v>
      </c>
      <c r="L15" s="48" t="n">
        <v>42481</v>
      </c>
      <c r="M15" s="14"/>
      <c r="N15" s="14"/>
      <c r="O15" s="14" t="str">
        <v>reported</v>
      </c>
      <c r="P15" s="14" t="str">
        <v>BG-006</v>
      </c>
      <c r="Q15" s="14" t="str"/>
      <c r="R15" s="14" t="str">
        <v>display_only</v>
      </c>
      <c r="S15" s="14" t="str">
        <v>providence-worcester_2016-09-20_DEFM14A.htm</v>
      </c>
      <c r="T15"/>
      <c r="U15"/>
      <c r="V15" t="str">
        <v>Unique contribution unknown because population overlap is unresolved; do not treat blank as zero.</v>
      </c>
    </row>
    <row r="16" ht="72" customHeight="1">
      <c r="A16" s="14" t="n">
        <v>11</v>
      </c>
      <c r="B16" s="14" t="str">
        <v>Before initial offers; exact date undisclosed</v>
      </c>
      <c r="C16" s="14" t="str">
        <v>1 · Initial indications</v>
      </c>
      <c r="D16" s="14" t="str">
        <v>PWRR/GHF → NDA signers</v>
      </c>
      <c r="E16" s="14" t="str">
        <v>Information memorandum distributed
Information was distributed to NDA signers, expressly including Party A, Party B and G&amp;W.</v>
      </c>
      <c r="F16" s="14" t="str">
        <v>Confirms those three signed NDAs; supplies neither three extra signers nor exact execution dates.</v>
      </c>
      <c r="G16" s="22" t="str">
        <v>BG-007 · p.28/29
“including Party A, Party B and G&amp;W, that had executed confidentiality agreements.”</v>
      </c>
      <c r="H16" s="22" t="str">
        <v>R2</v>
      </c>
      <c r="I16" s="30" t="str"/>
      <c r="J16" s="14" t="str">
        <v>T11</v>
      </c>
      <c r="K16" s="14" t="str">
        <v>due_diligence_access_changed</v>
      </c>
      <c r="L16" s="14"/>
      <c r="M16" s="14"/>
      <c r="N16" s="14"/>
      <c r="O16" s="14" t="str">
        <v>reported; relative timing</v>
      </c>
      <c r="P16" s="14" t="str">
        <v>BG-007</v>
      </c>
      <c r="Q16" s="14" t="str">
        <v>T07</v>
      </c>
      <c r="R16" s="14" t="str">
        <v>display_only</v>
      </c>
      <c r="S16" s="14" t="str">
        <v>providence-worcester_2016-09-20_DEFM14A.htm</v>
      </c>
      <c r="T16"/>
      <c r="U16"/>
      <c r="V16" t="str"/>
    </row>
    <row r="17" ht="74.5" customHeight="1">
      <c r="A17" s="14" t="n">
        <v>12</v>
      </c>
      <c r="B17" s="14" t="str">
        <v>By 04/27/2016</v>
      </c>
      <c r="C17" s="14" t="str">
        <v>1 · Initial indications</v>
      </c>
      <c r="D17" s="14" t="str">
        <v>GHF → potential buyers</v>
      </c>
      <c r="E17" s="14" t="str">
        <v>Initial bid deadline set
Buyers had been instructed to submit non-binding indications by May 10. The April 27 board meeting reported this existing instruction.</v>
      </c>
      <c r="F17" s="14" t="str">
        <v>Deadline-setting date unknown; May 10 is the scheduled submission date, not the communication date.</v>
      </c>
      <c r="G17" s="22" t="str">
        <v>BG-007 · p.28/29
“each potential buyer had been advised to submit a non-binding indication of interest by May 10, 2016”</v>
      </c>
      <c r="H17" s="22" t="str">
        <v>R3</v>
      </c>
      <c r="I17" s="30" t="str"/>
      <c r="J17" s="14" t="str">
        <v>T12</v>
      </c>
      <c r="K17" s="14" t="str">
        <v>bid_deadline_set</v>
      </c>
      <c r="L17" s="14"/>
      <c r="M17" s="14"/>
      <c r="N17" s="48" t="n">
        <v>42487</v>
      </c>
      <c r="O17" s="14" t="str">
        <v>reported; one-sided bound</v>
      </c>
      <c r="P17" s="14" t="str">
        <v>BG-007</v>
      </c>
      <c r="Q17" s="14" t="str"/>
      <c r="R17" s="14" t="str">
        <v>display_only</v>
      </c>
      <c r="S17" s="14" t="str">
        <v>providence-worcester_2016-09-20_DEFM14A.htm</v>
      </c>
      <c r="T17"/>
      <c r="U17"/>
      <c r="V17" t="str"/>
    </row>
    <row r="18" ht="74.5" customHeight="1">
      <c r="A18" s="14" t="n">
        <v>13</v>
      </c>
      <c r="B18" s="14" t="str">
        <v>After 04/27; by 05/19/2016</v>
      </c>
      <c r="C18" s="14" t="str">
        <v>1 · Initial indications</v>
      </c>
      <c r="D18" s="14" t="str">
        <v>PWRR/GHF → potential buyers</v>
      </c>
      <c r="E18" s="14" t="str">
        <v>Bid deadline extended
The May 10 deadline was postponed to May 19 to give bidders time to formulate stronger offers.</v>
      </c>
      <c r="F18" s="14" t="str">
        <v>Preserve both dates. Exact communication day is not disclosed; it need not have preceded May 10.</v>
      </c>
      <c r="G18" s="22" t="str">
        <v>BG-007 · p.28/29
“which deadline was subsequently postponed to May 19, 2016 to ensure the potential buyers had sufficient time to formulate their most compelling offers”</v>
      </c>
      <c r="H18" s="22" t="str">
        <v>R3</v>
      </c>
      <c r="I18" s="30" t="str"/>
      <c r="J18" s="14" t="str">
        <v>T13</v>
      </c>
      <c r="K18" s="14" t="str">
        <v>bid_deadline_revised</v>
      </c>
      <c r="L18" s="14"/>
      <c r="M18" s="48" t="n">
        <v>42488</v>
      </c>
      <c r="N18" s="48" t="n">
        <v>42509</v>
      </c>
      <c r="O18" s="14" t="str">
        <v>contextual bound</v>
      </c>
      <c r="P18" s="14" t="str">
        <v>BG-007</v>
      </c>
      <c r="Q18" s="14" t="str"/>
      <c r="R18" s="14" t="str">
        <v>display_only</v>
      </c>
      <c r="S18" s="14" t="str">
        <v>providence-worcester_2016-09-20_DEFM14A.htm</v>
      </c>
      <c r="T18"/>
      <c r="U18"/>
      <c r="V18" t="str"/>
    </row>
    <row r="19" ht="72" customHeight="1">
      <c r="A19" s="14" t="n">
        <v>14</v>
      </c>
      <c r="B19" s="14" t="str">
        <v>05/10/2016 (superseded)</v>
      </c>
      <c r="C19" s="14" t="str">
        <v>1 · Initial indications</v>
      </c>
      <c r="D19" s="14" t="str">
        <v>Potential buyers</v>
      </c>
      <c r="E19" s="14" t="str">
        <v>Original scheduled deadline
Original deadline for initial indications; subsequently replaced by May 19.</v>
      </c>
      <c r="F19" s="14" t="str">
        <v>Scheduled milestone only. No claim that offers arrived or a selection occurred on this date.</v>
      </c>
      <c r="G19" s="22" t="str">
        <v>BG-007 · p.28/29
“submit a non-binding indication of interest by May 10, 2016”</v>
      </c>
      <c r="H19" s="22" t="str">
        <v>R3</v>
      </c>
      <c r="I19" s="30" t="str"/>
      <c r="J19" s="14" t="str">
        <v>T14</v>
      </c>
      <c r="K19" s="14" t="str">
        <v>bid_submission_deadline</v>
      </c>
      <c r="L19" s="48" t="n">
        <v>42500</v>
      </c>
      <c r="M19" s="14"/>
      <c r="N19" s="14"/>
      <c r="O19" s="14" t="str">
        <v>reported scheduled date</v>
      </c>
      <c r="P19" s="14" t="str">
        <v>BG-007</v>
      </c>
      <c r="Q19" s="14" t="str"/>
      <c r="R19" s="14" t="str">
        <v>display_only</v>
      </c>
      <c r="S19" s="14" t="str">
        <v>providence-worcester_2016-09-20_DEFM14A.htm</v>
      </c>
      <c r="T19"/>
      <c r="U19"/>
      <c r="V19" t="str"/>
    </row>
    <row r="20" ht="72" customHeight="1">
      <c r="A20" s="14" t="n">
        <v>15</v>
      </c>
      <c r="B20" s="14" t="str">
        <v>05/19/2016</v>
      </c>
      <c r="C20" s="14" t="str">
        <v>1 · Initial indications</v>
      </c>
      <c r="D20" s="14" t="str">
        <v>Potential buyers</v>
      </c>
      <c r="E20" s="14" t="str">
        <v>Revised scheduled deadline
The revised date for initial indications. The disclosed receipt window continued through June 1.</v>
      </c>
      <c r="F20" s="14" t="str">
        <v>Extension is reported; later receipt is also reported. No disclosed further extension or proof of a strict cutoff.</v>
      </c>
      <c r="G20" s="22" t="str">
        <v>BG-007 · p.28/29; BG-008 · p.29
“deadline was subsequently postponed to May 19, 2016”</v>
      </c>
      <c r="H20" s="22" t="str">
        <v>R3</v>
      </c>
      <c r="I20" s="30" t="str"/>
      <c r="J20" s="14" t="str">
        <v>T15</v>
      </c>
      <c r="K20" s="14" t="str">
        <v>bid_submission_deadline</v>
      </c>
      <c r="L20" s="48" t="n">
        <v>42509</v>
      </c>
      <c r="M20" s="14"/>
      <c r="N20" s="14"/>
      <c r="O20" s="14" t="str">
        <v>reported scheduled date</v>
      </c>
      <c r="P20" s="14" t="str">
        <v>BG-007|BG-008</v>
      </c>
      <c r="Q20" s="14" t="str"/>
      <c r="R20" s="14" t="str">
        <v>display_only</v>
      </c>
      <c r="S20" s="14" t="str">
        <v>providence-worcester_2016-09-20_DEFM14A.htm</v>
      </c>
      <c r="T20"/>
      <c r="U20"/>
      <c r="V20" t="str"/>
    </row>
    <row r="21" ht="74.5" customHeight="1">
      <c r="A21" s="14" t="n">
        <v>16</v>
      </c>
      <c r="B21" s="14" t="str">
        <v>05/19–06/01/2016</v>
      </c>
      <c r="C21" s="14" t="str">
        <v>1 · Initial indications</v>
      </c>
      <c r="D21" s="14" t="str">
        <v>Nine unidentified submitting buyers</v>
      </c>
      <c r="E21" s="14" t="str">
        <v>Initial indications received
Nine written IOIs spanned $17.93–$26.50 per common-equivalent share; implied equity values were $90m–$134m.</v>
      </c>
      <c r="F21" s="14" t="str">
        <v>One group envelope, not nine bidder-submitted ranges. Informal [high]; individual price-to-identity mapping unavailable.</v>
      </c>
      <c r="G21" s="22" t="str">
        <v>BG-008 · p.29
“nine written indications of interest (“IOIs”) from potential buyers, with offer prices per share ranging from $17.93 to $26.50”</v>
      </c>
      <c r="H21" s="22" t="str">
        <v>R2</v>
      </c>
      <c r="I21" s="30" t="str"/>
      <c r="J21" s="14" t="str">
        <v>T16</v>
      </c>
      <c r="K21" s="14" t="str">
        <v>acquisition_proposal_submitted</v>
      </c>
      <c r="L21" s="14"/>
      <c r="M21" s="48" t="n">
        <v>42509</v>
      </c>
      <c r="N21" s="48" t="n">
        <v>42522</v>
      </c>
      <c r="O21" s="14" t="str">
        <v>reported</v>
      </c>
      <c r="P21" s="14" t="str">
        <v>BG-008</v>
      </c>
      <c r="Q21" s="14" t="str"/>
      <c r="R21" s="14" t="str">
        <v>display_only</v>
      </c>
      <c r="S21" s="14" t="str">
        <v>providence-worcester_2016-09-20_DEFM14A.htm</v>
      </c>
      <c r="T21"/>
      <c r="U21"/>
      <c r="V21" t="str"/>
    </row>
    <row r="22" ht="72" customHeight="1">
      <c r="A22" s="14" t="n">
        <v>17</v>
      </c>
      <c r="B22" s="14" t="str">
        <v>05/23 and 06/01/2016</v>
      </c>
      <c r="C22" s="14" t="str">
        <v>1 → 2 · Selection</v>
      </c>
      <c r="D22" s="14" t="str">
        <v>Transaction Committee</v>
      </c>
      <c r="E22" s="14" t="str">
        <v>Initial offers evaluated
The committee reviewed the IOIs at two meetings.</v>
      </c>
      <c r="F22" s="14" t="str">
        <v>Both review dates are reported. The narrative does not uniquely date the selection decision to one meeting.</v>
      </c>
      <c r="G22" s="22" t="str">
        <v>BG-008 · p.29
“met by telephone conference on May 23, 2016 and again on June 1, 2016 to consider the IOIs.”</v>
      </c>
      <c r="H22" s="22" t="str">
        <v>R1</v>
      </c>
      <c r="I22" s="30" t="str"/>
      <c r="J22" s="14" t="str">
        <v>T17</v>
      </c>
      <c r="K22" s="14" t="str">
        <v>other_material_process_event</v>
      </c>
      <c r="L22" s="14"/>
      <c r="M22" s="48" t="n">
        <v>42513</v>
      </c>
      <c r="N22" s="48" t="n">
        <v>42522</v>
      </c>
      <c r="O22" s="14" t="str">
        <v>two reported dates, not continuous activity</v>
      </c>
      <c r="P22" s="14" t="str">
        <v>BG-008</v>
      </c>
      <c r="Q22" s="14" t="str"/>
      <c r="R22" s="14" t="str">
        <v>display_only</v>
      </c>
      <c r="S22" s="14" t="str">
        <v>providence-worcester_2016-09-20_DEFM14A.htm</v>
      </c>
      <c r="T22"/>
      <c r="U22"/>
      <c r="V22" t="str"/>
    </row>
    <row r="23" ht="72" customHeight="1">
      <c r="A23" s="14" t="n">
        <v>18</v>
      </c>
      <c r="B23" s="14" t="str">
        <v>By 06/01/2016; selection day uncertain</v>
      </c>
      <c r="C23" s="14" t="str">
        <v>1 → 2 · Selection</v>
      </c>
      <c r="D23" s="14" t="str">
        <v>Two lowest IOI bidders</v>
      </c>
      <c r="E23" s="14" t="str">
        <v>Not admitted to management stage
Two low bidders were excluded because management presentations would consume substantial management time.</v>
      </c>
      <c r="F23" s="14" t="str">
        <v>Target-driven non-admission [high]. Identity and type unknown; do not identify Party A from its later silence.</v>
      </c>
      <c r="G23" s="22" t="str">
        <v>BG-008 · p.29
“the Transaction Committee concluded that the two low bidders should be excluded from that process.”</v>
      </c>
      <c r="H23" s="22" t="str">
        <v>R1
R2</v>
      </c>
      <c r="I23" s="30" t="str"/>
      <c r="J23" s="14" t="str">
        <v>T18</v>
      </c>
      <c r="K23" s="14" t="str">
        <v>bidder_excluded</v>
      </c>
      <c r="L23" s="14"/>
      <c r="M23" s="48" t="n">
        <v>42513</v>
      </c>
      <c r="N23" s="48" t="n">
        <v>42522</v>
      </c>
      <c r="O23" s="14" t="str">
        <v>contextual selection window</v>
      </c>
      <c r="P23" s="14" t="str">
        <v>BG-008</v>
      </c>
      <c r="Q23" s="14" t="str"/>
      <c r="R23" s="14" t="str">
        <v>display_only</v>
      </c>
      <c r="S23" s="14" t="str">
        <v>providence-worcester_2016-09-20_DEFM14A.htm</v>
      </c>
      <c r="T23"/>
      <c r="U23"/>
      <c r="V23" t="str"/>
    </row>
    <row r="24" ht="74.5" customHeight="1">
      <c r="A24" s="14" t="n">
        <v>19</v>
      </c>
      <c r="B24" s="14" t="str">
        <v>By 06/01/2016; selection day uncertain</v>
      </c>
      <c r="C24" s="14" t="str">
        <v>2 · Updated proposals</v>
      </c>
      <c r="D24" s="14" t="str">
        <v>Seven remaining IOI bidders</v>
      </c>
      <c r="E24" s="14" t="str">
        <v>Seven admitted; information access expanded
Seven bidders were invited to management presentations and received additional diligence access, including an online data site.</v>
      </c>
      <c r="F24" s="14" t="str">
        <v>Round 2 starts at this substantive admission/access transition [medium]; June 1 is a working boundary, not an exact reported selection day.</v>
      </c>
      <c r="G24" s="22" t="str">
        <v>BG-008 · p.29
“schedule in-person management presentations with the remaining seven potential buyers and allow these parties to conduct additional due diligence.”</v>
      </c>
      <c r="H24" s="22" t="str">
        <v>R1</v>
      </c>
      <c r="I24" s="30" t="str"/>
      <c r="J24" s="14" t="str">
        <v>T19</v>
      </c>
      <c r="K24" s="14" t="str">
        <v>bidder_admitted</v>
      </c>
      <c r="L24" s="14"/>
      <c r="M24" s="48" t="n">
        <v>42513</v>
      </c>
      <c r="N24" s="48" t="n">
        <v>42522</v>
      </c>
      <c r="O24" s="14" t="str">
        <v>contextual selection window</v>
      </c>
      <c r="P24" s="14" t="str">
        <v>BG-008</v>
      </c>
      <c r="Q24" s="14" t="str">
        <v>T18</v>
      </c>
      <c r="R24" s="14" t="str">
        <v>display_only</v>
      </c>
      <c r="S24" s="14" t="str">
        <v>providence-worcester_2016-09-20_DEFM14A.htm</v>
      </c>
      <c r="T24"/>
      <c r="U24"/>
      <c r="V24" t="str"/>
    </row>
    <row r="25" ht="74.5" customHeight="1">
      <c r="A25" s="14" t="n">
        <v>20</v>
      </c>
      <c r="B25" s="14" t="str">
        <v>Mid-June 2016</v>
      </c>
      <c r="C25" s="14" t="str">
        <v>2 · Updated proposals</v>
      </c>
      <c r="D25" s="14" t="str">
        <v>GHF → continuing bidders</v>
      </c>
      <c r="E25" s="14" t="str">
        <v>LOI deadline and document request
Non-binding LOIs were requested by July 20 with merger, voting and disclosure-document markups; prices were to concern 100% of common-equivalent shares.</v>
      </c>
      <c r="F25" s="14" t="str">
        <v>A documented updated-proposal stage, not an expressly announced final round. Formality depends on each response, not the non-binding label alone.</v>
      </c>
      <c r="G25" s="22" t="str">
        <v>BG-009 · p.29
“submit non-binding letters of intent (“LOIs”) by July 20, 2016, together with mark-ups”</v>
      </c>
      <c r="H25" s="22" t="str">
        <v>R3
R4</v>
      </c>
      <c r="I25" s="30" t="str"/>
      <c r="J25" s="14" t="str">
        <v>T20</v>
      </c>
      <c r="K25" s="14" t="str">
        <v>bid_deadline_set</v>
      </c>
      <c r="L25" s="14"/>
      <c r="M25" s="48" t="n">
        <v>42532</v>
      </c>
      <c r="N25" s="48" t="n">
        <v>42540</v>
      </c>
      <c r="O25" s="14" t="str">
        <v>reported wording; soft lexical band</v>
      </c>
      <c r="P25" s="14" t="str">
        <v>BG-009</v>
      </c>
      <c r="Q25" s="14" t="str"/>
      <c r="R25" s="14" t="str">
        <v>display_only</v>
      </c>
      <c r="S25" s="14" t="str">
        <v>providence-worcester_2016-09-20_DEFM14A.htm</v>
      </c>
      <c r="T25"/>
      <c r="U25"/>
      <c r="V25" t="str"/>
    </row>
    <row r="26" ht="72" customHeight="1">
      <c r="A26" s="14" t="n">
        <v>21</v>
      </c>
      <c r="B26" s="14" t="str">
        <v>06/29; 06/30; 07/11/2016</v>
      </c>
      <c r="C26" s="14" t="str">
        <v>2 · Updated proposals</v>
      </c>
      <c r="D26" s="14" t="str">
        <v>PWRR → diligence site</v>
      </c>
      <c r="E26" s="14" t="str">
        <v>Target templates posted
Merger template: June 29; voting template: June 30; disclosure letter: July 11. These prepared the July 20 solicitation.</v>
      </c>
      <c r="F26" s="14" t="str">
        <v>One contextual availability note, not three bidder submissions. Exact component dates retained in the source and technical note.</v>
      </c>
      <c r="G26" s="22" t="str">
        <v>BG-010 · p.29
“On June 29, 2016, the Company posted an initial draft of merger agreement”</v>
      </c>
      <c r="H26" s="22" t="str"/>
      <c r="I26" s="30" t="str"/>
      <c r="J26" s="14" t="str">
        <v>T21</v>
      </c>
      <c r="K26" s="14" t="str">
        <v>due_diligence_access_changed</v>
      </c>
      <c r="L26" s="14"/>
      <c r="M26" s="48" t="n">
        <v>42550</v>
      </c>
      <c r="N26" s="48" t="n">
        <v>42562</v>
      </c>
      <c r="O26" s="14" t="str">
        <v>three reported dates, contextual bundle</v>
      </c>
      <c r="P26" s="14" t="str">
        <v>BG-010</v>
      </c>
      <c r="Q26" s="14" t="str"/>
      <c r="R26" s="14" t="str">
        <v>display_only</v>
      </c>
      <c r="S26" s="14" t="str">
        <v>providence-worcester_2016-09-20_DEFM14A.htm</v>
      </c>
      <c r="T26"/>
      <c r="U26"/>
      <c r="V26" t="str"/>
    </row>
    <row r="27" ht="72" customHeight="1">
      <c r="A27" s="14" t="n">
        <v>22</v>
      </c>
      <c r="B27" s="14" t="str">
        <v>Early July 2016</v>
      </c>
      <c r="C27" s="14" t="str">
        <v>2 · Updated proposals</v>
      </c>
      <c r="D27" s="14" t="str">
        <v>Party C → PWRR</v>
      </c>
      <c r="E27" s="14" t="str">
        <v>New bidder expresses interest
Party C, a strategic buyer not previously in the process, approached management.</v>
      </c>
      <c r="F27" s="14" t="str">
        <v>Genuine new entrant [high]. Keep its subsequent NDA and proposal separate.</v>
      </c>
      <c r="G27" s="22" t="str">
        <v>BG-011 · p.29
“a potential strategic buyer that had not previously been part of the process (“Party C”)”</v>
      </c>
      <c r="H27" s="22" t="str">
        <v>R2</v>
      </c>
      <c r="I27" s="30" t="str"/>
      <c r="J27" s="14" t="str">
        <v>T22</v>
      </c>
      <c r="K27" s="14" t="str">
        <v>acquisition_interest_expressed</v>
      </c>
      <c r="L27" s="14"/>
      <c r="M27" s="48" t="n">
        <v>42552</v>
      </c>
      <c r="N27" s="48" t="n">
        <v>42561</v>
      </c>
      <c r="O27" s="14" t="str">
        <v>reported wording; soft lexical band</v>
      </c>
      <c r="P27" s="14" t="str">
        <v>BG-011</v>
      </c>
      <c r="Q27" s="14" t="str"/>
      <c r="R27" s="14" t="str">
        <v>display_only</v>
      </c>
      <c r="S27" s="14" t="str">
        <v>providence-worcester_2016-09-20_DEFM14A.htm</v>
      </c>
      <c r="T27" t="n">
        <v>1</v>
      </c>
      <c r="U27"/>
      <c r="V27" t="str">
        <v>New entrant; do not add named identities to their cohorts</v>
      </c>
    </row>
    <row r="28" ht="74.5" customHeight="1">
      <c r="A28" s="14" t="n">
        <v>23</v>
      </c>
      <c r="B28" s="14" t="str">
        <v>After approach; by 07/12/2016</v>
      </c>
      <c r="C28" s="14" t="str">
        <v>2 · Updated proposals</v>
      </c>
      <c r="D28" s="14" t="str">
        <v>Party C; PWRR</v>
      </c>
      <c r="E28" s="14" t="str">
        <v>New entrant signs NDA
Party C executed a confidentiality agreement and received the information memorandum before its July 12 IOI.</v>
      </c>
      <c r="F28" s="14" t="str">
        <v>Distinct from the early 25 on the natural chronological reading. The board's overall 25-count conflicts with that reading.</v>
      </c>
      <c r="G28" s="22" t="str">
        <v>BG-011 · p.29; BG-004 · p.28; FULL-05 · p.33
“After executing a confidentiality agreement, Party C was provided the memorandum”</v>
      </c>
      <c r="H28" s="22" t="str">
        <v>R2</v>
      </c>
      <c r="I28" s="30" t="str"/>
      <c r="J28" s="14" t="str">
        <v>T23</v>
      </c>
      <c r="K28" s="14" t="str">
        <v>confidentiality_agreement_executed</v>
      </c>
      <c r="L28" s="14"/>
      <c r="M28" s="48" t="n">
        <v>42552</v>
      </c>
      <c r="N28" s="48" t="n">
        <v>42563</v>
      </c>
      <c r="O28" s="14" t="str">
        <v>contextual bound</v>
      </c>
      <c r="P28" s="14" t="str">
        <v>BG-011|BG-004|FULL-05</v>
      </c>
      <c r="Q28" s="14" t="str">
        <v>T22</v>
      </c>
      <c r="R28" s="14" t="str">
        <v>reported_sequence</v>
      </c>
      <c r="S28" s="14" t="str">
        <v>providence-worcester_2016-09-20_DEFM14A.htm</v>
      </c>
      <c r="T28"/>
      <c r="U28" t="n">
        <v>1</v>
      </c>
      <c r="V28" t="str">
        <v>New C NDA; whole-process total remains conflicted</v>
      </c>
    </row>
    <row r="29" ht="72" customHeight="1">
      <c r="A29" s="14" t="n">
        <v>24</v>
      </c>
      <c r="B29" s="14" t="str">
        <v>07/12/2016</v>
      </c>
      <c r="C29" s="14" t="str">
        <v>2 · Updated proposals</v>
      </c>
      <c r="D29" s="14" t="str">
        <v>Party C</v>
      </c>
      <c r="E29" s="14" t="str">
        <v>Initial offer submitted
Party C offered $21.00 per share, implying $108m equity value.</v>
      </c>
      <c r="F29" s="14" t="str">
        <v>Informal [high]: initial IOI before expanded diligence; current round does not make it formal. See Offers.</v>
      </c>
      <c r="G29" s="22" t="str">
        <v>BG-011 · p.29
“On July 12, 2016, Party C submitted an IOI with an offer price per share of $21.00”</v>
      </c>
      <c r="H29" s="22" t="str">
        <v>R4</v>
      </c>
      <c r="I29" s="30" t="str"/>
      <c r="J29" s="14" t="str">
        <v>T24</v>
      </c>
      <c r="K29" s="14" t="str">
        <v>acquisition_proposal_submitted</v>
      </c>
      <c r="L29" s="48" t="n">
        <v>42563</v>
      </c>
      <c r="M29" s="14"/>
      <c r="N29" s="14"/>
      <c r="O29" s="14" t="str">
        <v>reported</v>
      </c>
      <c r="P29" s="14" t="str">
        <v>BG-011</v>
      </c>
      <c r="Q29" s="14" t="str">
        <v>T23</v>
      </c>
      <c r="R29" s="14" t="str">
        <v>reported_sequence</v>
      </c>
      <c r="S29" s="14" t="str">
        <v>providence-worcester_2016-09-20_DEFM14A.htm</v>
      </c>
      <c r="T29"/>
      <c r="U29"/>
      <c r="V29" t="str"/>
    </row>
    <row r="30" ht="72" customHeight="1">
      <c r="A30" s="14" t="n">
        <v>25</v>
      </c>
      <c r="B30" s="14" t="str">
        <v>After 07/12; presentation 07/14/2016</v>
      </c>
      <c r="C30" s="14" t="str">
        <v>2 · Updated proposals</v>
      </c>
      <c r="D30" s="14" t="str">
        <v>Party C; PWRR management</v>
      </c>
      <c r="E30" s="14" t="str">
        <v>Diligence access and presentation
Party C obtained data-site access after its initial offer; management presented by telephone on July 14.</v>
      </c>
      <c r="F30" s="14" t="str">
        <v>Exact presentation day is known; access day is only bounded. This differentiates the late entrant's preparation.</v>
      </c>
      <c r="G30" s="22" t="str">
        <v>BG-011 · p.29
“held a management presentation with Party C by telephone on July 14, 2016.”</v>
      </c>
      <c r="H30" s="22" t="str"/>
      <c r="I30" s="30" t="str"/>
      <c r="J30" s="14" t="str">
        <v>T25</v>
      </c>
      <c r="K30" s="14" t="str">
        <v>management_presentation</v>
      </c>
      <c r="L30" s="14"/>
      <c r="M30" s="48" t="n">
        <v>42563</v>
      </c>
      <c r="N30" s="48" t="n">
        <v>42565</v>
      </c>
      <c r="O30" s="14" t="str">
        <v>access interval; exact presentation stated</v>
      </c>
      <c r="P30" s="14" t="str">
        <v>BG-011</v>
      </c>
      <c r="Q30" s="14" t="str">
        <v>T24</v>
      </c>
      <c r="R30" s="14" t="str">
        <v>reported_sequence</v>
      </c>
      <c r="S30" s="14" t="str">
        <v>providence-worcester_2016-09-20_DEFM14A.htm</v>
      </c>
      <c r="T30"/>
      <c r="U30"/>
      <c r="V30" t="str"/>
    </row>
    <row r="31" ht="72" customHeight="1">
      <c r="A31" s="14" t="n">
        <v>26</v>
      </c>
      <c r="B31" s="14" t="str">
        <v>07/20/2016</v>
      </c>
      <c r="C31" s="14" t="str">
        <v>2 · Updated proposals</v>
      </c>
      <c r="D31" s="14" t="str">
        <v>Continuing bidders</v>
      </c>
      <c r="E31" s="14" t="str">
        <v>Scheduled LOI deadline
Target-set deadline for updated LOIs and document comments.</v>
      </c>
      <c r="F31" s="14" t="str">
        <v>G&amp;W's July 21 submission and July 26 revision were considered. Late submissions accepted; no new deadline is disclosed.</v>
      </c>
      <c r="G31" s="22" t="str">
        <v>BG-009 · p.29; BG-014 · p.29; BG-020 · p.30
“by July 20, 2016”</v>
      </c>
      <c r="H31" s="22" t="str">
        <v>R3</v>
      </c>
      <c r="I31" s="30" t="str"/>
      <c r="J31" s="14" t="str">
        <v>T26</v>
      </c>
      <c r="K31" s="14" t="str">
        <v>bid_submission_deadline</v>
      </c>
      <c r="L31" s="48" t="n">
        <v>42571</v>
      </c>
      <c r="M31" s="14"/>
      <c r="N31" s="14"/>
      <c r="O31" s="14" t="str">
        <v>reported scheduled date</v>
      </c>
      <c r="P31" s="14" t="str">
        <v>BG-009|BG-014|BG-020</v>
      </c>
      <c r="Q31" s="14" t="str"/>
      <c r="R31" s="14" t="str">
        <v>display_only</v>
      </c>
      <c r="S31" s="14" t="str">
        <v>providence-worcester_2016-09-20_DEFM14A.htm</v>
      </c>
      <c r="T31"/>
      <c r="U31"/>
      <c r="V31" t="str"/>
    </row>
    <row r="32" ht="74.5" customHeight="1">
      <c r="A32" s="14" t="n">
        <v>27</v>
      </c>
      <c r="B32" s="14" t="str">
        <v>07/21/2016</v>
      </c>
      <c r="C32" s="14" t="str">
        <v>2 · Updated proposals</v>
      </c>
      <c r="D32" s="14" t="str">
        <v>G&amp;W</v>
      </c>
      <c r="E32" s="14" t="str">
        <v>Priced LOI with markups
$21.15 package: $20.02 cash at closing plus a stated $1.13 South Quay CVR; three-week exclusive diligence requested.</v>
      </c>
      <c r="F32" s="14" t="str">
        <v>Formal [high] because bidder markups; heavy completion conditionality [medium/high] because remaining diligence and repricing terms. CVR adds separate payoff uncertainty.</v>
      </c>
      <c r="G32" s="22" t="str">
        <v>BG-012 · p.29; BG-014 · p.29; BG-019 · p.30
“The price included $20.02 cash at closing and $1.13 in the form of a contingent value right”</v>
      </c>
      <c r="H32" s="22" t="str">
        <v>R4
R5</v>
      </c>
      <c r="I32" s="30" t="str"/>
      <c r="J32" s="14" t="str">
        <v>T27</v>
      </c>
      <c r="K32" s="14" t="str">
        <v>acquisition_proposal_submitted</v>
      </c>
      <c r="L32" s="48" t="n">
        <v>42572</v>
      </c>
      <c r="M32" s="14"/>
      <c r="N32" s="14"/>
      <c r="O32" s="14" t="str">
        <v>reported</v>
      </c>
      <c r="P32" s="14" t="str">
        <v>BG-012|BG-014|BG-019</v>
      </c>
      <c r="Q32" s="14" t="str"/>
      <c r="R32" s="14" t="str">
        <v>display_only</v>
      </c>
      <c r="S32" s="14" t="str">
        <v>providence-worcester_2016-09-20_DEFM14A.htm</v>
      </c>
      <c r="T32"/>
      <c r="U32"/>
      <c r="V32" t="str"/>
    </row>
    <row r="33" ht="72" customHeight="1">
      <c r="A33" s="14" t="n">
        <v>28</v>
      </c>
      <c r="B33" s="14" t="str">
        <v>Late July; before final selection</v>
      </c>
      <c r="C33" s="14" t="str">
        <v>2 · Updated proposals</v>
      </c>
      <c r="D33" s="14" t="str">
        <v>Party B</v>
      </c>
      <c r="E33" s="14" t="str">
        <v>Updated LOI submitted
Party B submitted an LOI at $24.00 per share. Conditions and documents are detailed in Offers.</v>
      </c>
      <c r="F33" s="14" t="str">
        <v>Formal [high]: merger/voting markups. Heavy preferred [medium], light is an alternative: expedited review is not proof of completed diligence.</v>
      </c>
      <c r="G33" s="22" t="str">
        <v>BG-012 · p.29; BG-013 · p.29; BG-019 · p.30
“a price of $24.00 per share”</v>
      </c>
      <c r="H33" s="22" t="str">
        <v>R4</v>
      </c>
      <c r="I33" s="30" t="str"/>
      <c r="J33" s="14" t="str">
        <v>T28</v>
      </c>
      <c r="K33" s="14" t="str">
        <v>acquisition_proposal_submitted</v>
      </c>
      <c r="L33" s="14"/>
      <c r="M33" s="48" t="n">
        <v>42571</v>
      </c>
      <c r="N33" s="48" t="n">
        <v>42578</v>
      </c>
      <c r="O33" s="14" t="str">
        <v>soft late-month band + review bound</v>
      </c>
      <c r="P33" s="14" t="str">
        <v>BG-012|BG-013|BG-019</v>
      </c>
      <c r="Q33" s="14" t="str"/>
      <c r="R33" s="14" t="str">
        <v>display_only</v>
      </c>
      <c r="S33" s="14" t="str">
        <v>providence-worcester_2016-09-20_DEFM14A.htm</v>
      </c>
      <c r="T33"/>
      <c r="U33"/>
      <c r="V33" t="str"/>
    </row>
    <row r="34" ht="74.5" customHeight="1">
      <c r="A34" s="14" t="n">
        <v>29</v>
      </c>
      <c r="B34" s="14" t="str">
        <v>Late July; before final selection</v>
      </c>
      <c r="C34" s="14" t="str">
        <v>2 · Updated proposals</v>
      </c>
      <c r="D34" s="14" t="str">
        <v>Party E</v>
      </c>
      <c r="E34" s="14" t="str">
        <v>Updated LOI submitted
Party E submitted an LOI at $21.26 per share. Conditions and documents are detailed in Offers.</v>
      </c>
      <c r="F34" s="14" t="str">
        <v>Formal preferred [medium] from substantive proposed agreement changes; informal is defensible. Sixty-day diligence/document negotiation supports heavy conditions.</v>
      </c>
      <c r="G34" s="22" t="str">
        <v>BG-012 · p.29; BG-015 · p.30; BG-019 · p.30
“a price of $21.26 per share”</v>
      </c>
      <c r="H34" s="22" t="str">
        <v>R4</v>
      </c>
      <c r="I34" s="30" t="str"/>
      <c r="J34" s="14" t="str">
        <v>T29</v>
      </c>
      <c r="K34" s="14" t="str">
        <v>acquisition_proposal_submitted</v>
      </c>
      <c r="L34" s="14"/>
      <c r="M34" s="48" t="n">
        <v>42571</v>
      </c>
      <c r="N34" s="48" t="n">
        <v>42578</v>
      </c>
      <c r="O34" s="14" t="str">
        <v>soft late-month band + review bound</v>
      </c>
      <c r="P34" s="14" t="str">
        <v>BG-012|BG-015|BG-019</v>
      </c>
      <c r="Q34" s="14" t="str"/>
      <c r="R34" s="14" t="str">
        <v>display_only</v>
      </c>
      <c r="S34" s="14" t="str">
        <v>providence-worcester_2016-09-20_DEFM14A.htm</v>
      </c>
      <c r="T34"/>
      <c r="U34"/>
      <c r="V34" t="str"/>
    </row>
    <row r="35" ht="72" customHeight="1">
      <c r="A35" s="14" t="n">
        <v>30</v>
      </c>
      <c r="B35" s="14" t="str">
        <v>Late July; before final selection</v>
      </c>
      <c r="C35" s="14" t="str">
        <v>2 · Updated proposals</v>
      </c>
      <c r="D35" s="14" t="str">
        <v>Party D</v>
      </c>
      <c r="E35" s="14" t="str">
        <v>Updated LOI submitted
Party D submitted an LOI at $21.00 per share. Conditions and documents are detailed in Offers.</v>
      </c>
      <c r="F35" s="14" t="str">
        <v>Formal [high] from markups; heavy [high] from four-week diligence plus common repricing exposure.</v>
      </c>
      <c r="G35" s="22" t="str">
        <v>BG-012 · p.29; BG-016 · p.30; BG-019 · p.30
“a price of $21.00 per share”</v>
      </c>
      <c r="H35" s="22" t="str">
        <v>R4</v>
      </c>
      <c r="I35" s="30" t="str"/>
      <c r="J35" s="14" t="str">
        <v>T30</v>
      </c>
      <c r="K35" s="14" t="str">
        <v>acquisition_proposal_submitted</v>
      </c>
      <c r="L35" s="14"/>
      <c r="M35" s="48" t="n">
        <v>42571</v>
      </c>
      <c r="N35" s="48" t="n">
        <v>42578</v>
      </c>
      <c r="O35" s="14" t="str">
        <v>soft late-month band + review bound</v>
      </c>
      <c r="P35" s="14" t="str">
        <v>BG-012|BG-016|BG-019</v>
      </c>
      <c r="Q35" s="14" t="str"/>
      <c r="R35" s="14" t="str">
        <v>display_only</v>
      </c>
      <c r="S35" s="14" t="str">
        <v>providence-worcester_2016-09-20_DEFM14A.htm</v>
      </c>
      <c r="T35"/>
      <c r="U35"/>
      <c r="V35" t="str"/>
    </row>
    <row r="36" ht="72" customHeight="1">
      <c r="A36" s="14" t="n">
        <v>31</v>
      </c>
      <c r="B36" s="14" t="str">
        <v>Late July; before final selection</v>
      </c>
      <c r="C36" s="14" t="str">
        <v>2 · Updated proposals</v>
      </c>
      <c r="D36" s="14" t="str">
        <v>Party C</v>
      </c>
      <c r="E36" s="14" t="str">
        <v>Updated LOI submitted
Party C submitted an LOI at $19.30 per share. Conditions and documents are detailed in Offers.</v>
      </c>
      <c r="F36" s="14" t="str">
        <v>Informal [medium]: no bidder markups disclosed and substantive diligence remains. Price declined from $21.00.</v>
      </c>
      <c r="G36" s="22" t="str">
        <v>BG-012 · p.29; BG-017 · p.30; BG-019 · p.30
“a price of $19.30 per share”</v>
      </c>
      <c r="H36" s="22" t="str">
        <v>R4</v>
      </c>
      <c r="I36" s="30" t="str"/>
      <c r="J36" s="14" t="str">
        <v>T31</v>
      </c>
      <c r="K36" s="14" t="str">
        <v>acquisition_proposal_submitted</v>
      </c>
      <c r="L36" s="14"/>
      <c r="M36" s="48" t="n">
        <v>42571</v>
      </c>
      <c r="N36" s="48" t="n">
        <v>42578</v>
      </c>
      <c r="O36" s="14" t="str">
        <v>soft late-month band + review bound</v>
      </c>
      <c r="P36" s="14" t="str">
        <v>BG-012|BG-017|BG-019</v>
      </c>
      <c r="Q36" s="14" t="str"/>
      <c r="R36" s="14" t="str">
        <v>display_only</v>
      </c>
      <c r="S36" s="14" t="str">
        <v>providence-worcester_2016-09-20_DEFM14A.htm</v>
      </c>
      <c r="T36"/>
      <c r="U36"/>
      <c r="V36" t="str"/>
    </row>
    <row r="37" ht="72" customHeight="1">
      <c r="A37" s="14" t="n">
        <v>32</v>
      </c>
      <c r="B37" s="14" t="str">
        <v>Late July; before final selection</v>
      </c>
      <c r="C37" s="14" t="str">
        <v>2 · Updated proposals</v>
      </c>
      <c r="D37" s="14" t="str">
        <v>Party F</v>
      </c>
      <c r="E37" s="14" t="str">
        <v>Updated LOI submitted
Party F submitted an LOI at $19.20 per share. Conditions and documents are detailed in Offers.</v>
      </c>
      <c r="F37" s="14" t="str">
        <v>Informal [medium]: no bidder markups disclosed; heavy [high] from 30-day diligence. Party F is expressly strategic.</v>
      </c>
      <c r="G37" s="22" t="str">
        <v>BG-012 · p.29; BG-018 · p.30; BG-019 · p.30
“a price of $19.20 per share”</v>
      </c>
      <c r="H37" s="22" t="str">
        <v>R4</v>
      </c>
      <c r="I37" s="30" t="str"/>
      <c r="J37" s="14" t="str">
        <v>T32</v>
      </c>
      <c r="K37" s="14" t="str">
        <v>acquisition_proposal_submitted</v>
      </c>
      <c r="L37" s="14"/>
      <c r="M37" s="48" t="n">
        <v>42571</v>
      </c>
      <c r="N37" s="48" t="n">
        <v>42578</v>
      </c>
      <c r="O37" s="14" t="str">
        <v>soft late-month band + review bound</v>
      </c>
      <c r="P37" s="14" t="str">
        <v>BG-012|BG-018|BG-019</v>
      </c>
      <c r="Q37" s="14" t="str"/>
      <c r="R37" s="14" t="str">
        <v>display_only</v>
      </c>
      <c r="S37" s="14" t="str">
        <v>providence-worcester_2016-09-20_DEFM14A.htm</v>
      </c>
      <c r="T37"/>
      <c r="U37"/>
      <c r="V37" t="str"/>
    </row>
    <row r="38" ht="72" customHeight="1">
      <c r="A38" s="14" t="n">
        <v>33</v>
      </c>
      <c r="B38" s="14" t="str">
        <v>07/22 and 07/27/2016</v>
      </c>
      <c r="C38" s="14" t="str">
        <v>2 · Updated proposals</v>
      </c>
      <c r="D38" s="14" t="str">
        <v>Transaction Committee; GHF</v>
      </c>
      <c r="E38" s="14" t="str">
        <v>LOIs reviewed
Six bidding units were reviewed; G&amp;W's July 26 revision adds a seventh disclosed LOI version, not another bidder.</v>
      </c>
      <c r="F38" s="14" t="str">
        <v>All undated LOIs belong before final selection; their order relative to exact July 21/26 submissions is unknown. Display order is not receipt order.</v>
      </c>
      <c r="G38" s="22" t="str">
        <v>BG-012 · p.29; BG-014 · p.29; BG-020 · p.30
“met by telephone conference on July 22, 2016 and in person after the regular quarterly Board meeting on July 27, 2016”</v>
      </c>
      <c r="H38" s="22" t="str">
        <v>R1
R3</v>
      </c>
      <c r="I38" s="30" t="str"/>
      <c r="J38" s="14" t="str">
        <v>T33</v>
      </c>
      <c r="K38" s="14" t="str">
        <v>other_material_process_event</v>
      </c>
      <c r="L38" s="14"/>
      <c r="M38" s="48" t="n">
        <v>42573</v>
      </c>
      <c r="N38" s="48" t="n">
        <v>42578</v>
      </c>
      <c r="O38" s="14" t="str">
        <v>two reported review dates</v>
      </c>
      <c r="P38" s="14" t="str">
        <v>BG-012|BG-014|BG-020</v>
      </c>
      <c r="Q38" s="14" t="str"/>
      <c r="R38" s="14" t="str">
        <v>display_only</v>
      </c>
      <c r="S38" s="14" t="str">
        <v>providence-worcester_2016-09-20_DEFM14A.htm</v>
      </c>
      <c r="T38"/>
      <c r="U38"/>
      <c r="V38" t="str"/>
    </row>
    <row r="39" ht="72" customHeight="1">
      <c r="A39" s="14" t="n">
        <v>34</v>
      </c>
      <c r="B39" s="14" t="str">
        <v>07/26/2016</v>
      </c>
      <c r="C39" s="14" t="str">
        <v>2 · Updated proposals</v>
      </c>
      <c r="D39" s="14" t="str">
        <v>G&amp;W</v>
      </c>
      <c r="E39" s="14" t="str">
        <v>Price revised upward
After feedback that price and CVR structure were uncompetitive, G&amp;W raised the package to $22.15: $21.02 cash plus $1.13 CVR.</v>
      </c>
      <c r="F39" s="14" t="str">
        <v>Same bidding phase; price revision, not another bidder or a newly announced deadline.</v>
      </c>
      <c r="G39" s="22" t="str">
        <v>BG-014 · p.29
“On July 26, 2016, in response to feedback from representatives of GHF”</v>
      </c>
      <c r="H39" s="22" t="str">
        <v>R3
R5</v>
      </c>
      <c r="I39" s="30" t="str"/>
      <c r="J39" s="14" t="str">
        <v>T34</v>
      </c>
      <c r="K39" s="14" t="str">
        <v>acquisition_proposal_submitted</v>
      </c>
      <c r="L39" s="48" t="n">
        <v>42577</v>
      </c>
      <c r="M39" s="14"/>
      <c r="N39" s="14"/>
      <c r="O39" s="14" t="str">
        <v>reported</v>
      </c>
      <c r="P39" s="14" t="str">
        <v>BG-014</v>
      </c>
      <c r="Q39" s="14" t="str">
        <v>T27</v>
      </c>
      <c r="R39" s="14" t="str">
        <v>reported_sequence</v>
      </c>
      <c r="S39" s="14" t="str">
        <v>providence-worcester_2016-09-20_DEFM14A.htm</v>
      </c>
      <c r="T39"/>
      <c r="U39"/>
      <c r="V39" t="str"/>
    </row>
    <row r="40" ht="72" customHeight="1">
      <c r="A40" s="14" t="n">
        <v>35</v>
      </c>
      <c r="B40" s="14" t="str">
        <v>Late-July LOI stage; exact dates undisclosed</v>
      </c>
      <c r="C40" s="14" t="str">
        <v>2 · Updated proposals</v>
      </c>
      <c r="D40" s="14" t="str">
        <v>One strategic + one financial buyer</v>
      </c>
      <c r="E40" s="14" t="str">
        <v>LOIs not submitted
One strategic and one financial buyer elected not to submit LOIs.</v>
      </c>
      <c r="F40" s="14" t="str">
        <v>Non-submission is reported; reasons and identities are unknown. No defensible link assigns Party A to either this group or the two early exclusions.</v>
      </c>
      <c r="G40" s="22" t="str">
        <v>BG-019 · p.30
“One strategic buyer and one financial buyer elected not to submit an LOI.”</v>
      </c>
      <c r="H40" s="22" t="str">
        <v>R2
R6</v>
      </c>
      <c r="I40" s="30" t="str"/>
      <c r="J40" s="14" t="str">
        <v>T35</v>
      </c>
      <c r="K40" s="14" t="str">
        <v>bid_not_submitted</v>
      </c>
      <c r="L40" s="14"/>
      <c r="M40" s="14"/>
      <c r="N40" s="14"/>
      <c r="O40" s="14" t="str">
        <v>reported; stage timing</v>
      </c>
      <c r="P40" s="14" t="str">
        <v>BG-019</v>
      </c>
      <c r="Q40" s="14" t="str"/>
      <c r="R40" s="14" t="str">
        <v>display_only</v>
      </c>
      <c r="S40" s="14" t="str">
        <v>providence-worcester_2016-09-20_DEFM14A.htm</v>
      </c>
      <c r="T40"/>
      <c r="U40"/>
      <c r="V40" t="str"/>
    </row>
    <row r="41" ht="74.5" customHeight="1">
      <c r="A41" s="14" t="n">
        <v>36</v>
      </c>
      <c r="B41" s="14" t="str">
        <v>By 07/27/2016; selection day uncertain</v>
      </c>
      <c r="C41" s="14" t="str">
        <v>3 · Final negotiations</v>
      </c>
      <c r="D41" s="14" t="str">
        <v>PWRR → G&amp;W and Party B</v>
      </c>
      <c r="E41" s="14" t="str">
        <v>Two finalists selected
PWRR chose confirmatory diligence and negotiations with G&amp;W and Party B, citing their higher offers, on-site diligence delays and confidentiality.</v>
      </c>
      <c r="F41" s="14" t="str">
        <v>Round 3 [medium/high] is inferred, not announced finality. July 27 is a preferred boundary, not a replacement bid deadline.</v>
      </c>
      <c r="G41" s="22" t="str">
        <v>BG-020 · p.30; BG-022 · p.30/31
“proceed with confirmatory due diligence and negotiations with G&amp;W and Party B”</v>
      </c>
      <c r="H41" s="22" t="str">
        <v>R1
R3</v>
      </c>
      <c r="I41" s="30" t="str"/>
      <c r="J41" s="14" t="str">
        <v>T36</v>
      </c>
      <c r="K41" s="14" t="str">
        <v>bidder_admitted</v>
      </c>
      <c r="L41" s="14"/>
      <c r="M41" s="48" t="n">
        <v>42573</v>
      </c>
      <c r="N41" s="48" t="n">
        <v>42578</v>
      </c>
      <c r="O41" s="14" t="str">
        <v>contextual selection window</v>
      </c>
      <c r="P41" s="14" t="str">
        <v>BG-020|BG-022</v>
      </c>
      <c r="Q41" s="14" t="str">
        <v>T34</v>
      </c>
      <c r="R41" s="14" t="str">
        <v>contextual_sequence</v>
      </c>
      <c r="S41" s="14" t="str">
        <v>providence-worcester_2016-09-20_DEFM14A.htm</v>
      </c>
      <c r="T41"/>
      <c r="U41"/>
      <c r="V41" t="str"/>
    </row>
    <row r="42" ht="74.5" customHeight="1">
      <c r="A42" s="14" t="n">
        <v>37</v>
      </c>
      <c r="B42" s="14" t="str">
        <v>After selection; D/E notified before 07/29</v>
      </c>
      <c r="C42" s="14" t="str">
        <v>3 · Final negotiations</v>
      </c>
      <c r="D42" s="14" t="str">
        <v>PWRR → Parties C, D, E and F</v>
      </c>
      <c r="E42" s="14" t="str">
        <v>Other LOI bidders excluded
GHF told the remaining bidders they were no longer involved. C, D, E and F are the inferred complement of the two selected finalists.</v>
      </c>
      <c r="F42" s="14" t="str">
        <v>Target-driven exclusion [high]. Notification dates for C/F are not individually reported. Re-entry by D/E remains possible and occurs next.</v>
      </c>
      <c r="G42" s="22" t="str">
        <v>BG-020 · p.30; BG-021 · p.30
“subsequently contacted the remaining bidders to inform them that they were no longer involved in the process.”</v>
      </c>
      <c r="H42" s="22" t="str">
        <v>R6</v>
      </c>
      <c r="I42" s="30" t="str"/>
      <c r="J42" s="14" t="str">
        <v>T37</v>
      </c>
      <c r="K42" s="14" t="str">
        <v>bidder_excluded</v>
      </c>
      <c r="L42" s="14"/>
      <c r="M42" s="14"/>
      <c r="N42" s="14"/>
      <c r="O42" s="14" t="str">
        <v>reported action; inferred identities and ordering</v>
      </c>
      <c r="P42" s="14" t="str">
        <v>BG-020|BG-021</v>
      </c>
      <c r="Q42" s="14" t="str">
        <v>T36</v>
      </c>
      <c r="R42" s="14" t="str">
        <v>reported_sequence</v>
      </c>
      <c r="S42" s="14" t="str">
        <v>providence-worcester_2016-09-20_DEFM14A.htm</v>
      </c>
      <c r="T42"/>
      <c r="U42"/>
      <c r="V42" t="str"/>
    </row>
    <row r="43" ht="74.5" customHeight="1">
      <c r="A43" s="14" t="n">
        <v>38</v>
      </c>
      <c r="B43" s="14" t="str">
        <v>07/27–08/11/2016</v>
      </c>
      <c r="C43" s="14" t="str">
        <v>3 · Final negotiations</v>
      </c>
      <c r="D43" s="14" t="str">
        <v>Party B; G&amp;W</v>
      </c>
      <c r="E43" s="14" t="str">
        <v>On-site diligence continues
Both finalists undertook financial, legal, environmental and track-infrastructure diligence.</v>
      </c>
      <c r="F43" s="14" t="str">
        <v>Ongoing activity, not a new submission. This prevents treating an August 4 markup as evidence that all conditions disappeared.</v>
      </c>
      <c r="G43" s="22" t="str">
        <v>BG-022 · p.30/31
“From July 27, 2016 through August 11, 2016, Party B and G&amp;W conducted on-site financial, legal and environmental due diligence”</v>
      </c>
      <c r="H43" s="22" t="str">
        <v>R4</v>
      </c>
      <c r="I43" s="30" t="str"/>
      <c r="J43" s="14" t="str">
        <v>T38</v>
      </c>
      <c r="K43" s="14" t="str">
        <v>due_diligence_access_changed</v>
      </c>
      <c r="L43" s="14"/>
      <c r="M43" s="48" t="n">
        <v>42578</v>
      </c>
      <c r="N43" s="48" t="n">
        <v>42593</v>
      </c>
      <c r="O43" s="14" t="str">
        <v>reported</v>
      </c>
      <c r="P43" s="14" t="str">
        <v>BG-022</v>
      </c>
      <c r="Q43" s="14" t="str"/>
      <c r="R43" s="14" t="str">
        <v>display_only</v>
      </c>
      <c r="S43" s="14" t="str">
        <v>providence-worcester_2016-09-20_DEFM14A.htm</v>
      </c>
      <c r="T43"/>
      <c r="U43"/>
      <c r="V43" t="str"/>
    </row>
    <row r="44" ht="72" customHeight="1">
      <c r="A44" s="14" t="n">
        <v>39</v>
      </c>
      <c r="B44" s="14" t="str">
        <v>07/29/2016</v>
      </c>
      <c r="C44" s="14" t="str">
        <v>3 · Final negotiations</v>
      </c>
      <c r="D44" s="14" t="str">
        <v>Parties D and E; GHF</v>
      </c>
      <c r="E44" s="14" t="str">
        <v>Re-entry interest expressed
D and E each expressed interest in reengaging and improving their offers.</v>
      </c>
      <c r="F44" s="14" t="str">
        <v>Re-entry is observed; neither earlier exclusion should be erased. No new process or fourth round is needed.</v>
      </c>
      <c r="G44" s="22" t="str">
        <v>BG-021 · p.30
“Party D and Party E both expressed interest in reengaging and enhancing their offers.”</v>
      </c>
      <c r="H44" s="22" t="str">
        <v>R1
R6</v>
      </c>
      <c r="I44" s="30" t="str"/>
      <c r="J44" s="14" t="str">
        <v>T39</v>
      </c>
      <c r="K44" s="14" t="str">
        <v>acquisition_interest_expressed</v>
      </c>
      <c r="L44" s="48" t="n">
        <v>42580</v>
      </c>
      <c r="M44" s="14"/>
      <c r="N44" s="14"/>
      <c r="O44" s="14" t="str">
        <v>reported</v>
      </c>
      <c r="P44" s="14" t="str">
        <v>BG-021</v>
      </c>
      <c r="Q44" s="14" t="str">
        <v>T37</v>
      </c>
      <c r="R44" s="14" t="str">
        <v>reported_sequence</v>
      </c>
      <c r="S44" s="14" t="str">
        <v>providence-worcester_2016-09-20_DEFM14A.htm</v>
      </c>
      <c r="T44" t="n">
        <v>0</v>
      </c>
      <c r="U44"/>
      <c r="V44" t="str">
        <v>Zero added to current unique-contact count; overlap or repeat contact, not proof of no contact</v>
      </c>
    </row>
    <row r="45" ht="72" customHeight="1">
      <c r="A45" s="14" t="n">
        <v>40</v>
      </c>
      <c r="B45" s="14" t="str">
        <v>08/01/2016</v>
      </c>
      <c r="C45" s="14" t="str">
        <v>3 · Final negotiations</v>
      </c>
      <c r="D45" s="14" t="str">
        <v>Party D</v>
      </c>
      <c r="E45" s="14" t="str">
        <v>Re-entry offer submitted
Party D raised its price from $21.00 to $24.00 and requested 30 days of diligence.</v>
      </c>
      <c r="F45" s="14" t="str">
        <v>Formal [medium/high] on a continuing markup-backed offer; heavy [high]. Round 3 preferred; prior-round response mapping remains a defensible alternative.</v>
      </c>
      <c r="G45" s="22" t="str">
        <v>BG-021 · p.30
“Party D submitted a revised LOI at a price of $24.00 per share”</v>
      </c>
      <c r="H45" s="22" t="str">
        <v>R1
R4</v>
      </c>
      <c r="I45" s="30" t="str"/>
      <c r="J45" s="14" t="str">
        <v>T40</v>
      </c>
      <c r="K45" s="14" t="str">
        <v>acquisition_proposal_submitted</v>
      </c>
      <c r="L45" s="48" t="n">
        <v>42583</v>
      </c>
      <c r="M45" s="14"/>
      <c r="N45" s="14"/>
      <c r="O45" s="14" t="str">
        <v>reported</v>
      </c>
      <c r="P45" s="14" t="str">
        <v>BG-021</v>
      </c>
      <c r="Q45" s="14" t="str">
        <v>T39</v>
      </c>
      <c r="R45" s="14" t="str">
        <v>reported_sequence</v>
      </c>
      <c r="S45" s="14" t="str">
        <v>providence-worcester_2016-09-20_DEFM14A.htm</v>
      </c>
      <c r="T45"/>
      <c r="U45"/>
      <c r="V45" t="str"/>
    </row>
    <row r="46" ht="72" customHeight="1">
      <c r="A46" s="14" t="n">
        <v>41</v>
      </c>
      <c r="B46" s="14" t="str">
        <v>08/01/2016</v>
      </c>
      <c r="C46" s="14" t="str">
        <v>3 · Final negotiations</v>
      </c>
      <c r="D46" s="14" t="str">
        <v>Party E; financing support from Party F</v>
      </c>
      <c r="E46" s="14" t="str">
        <v>Re-entry offer and financing support
Party E increased to $23.81, with financing support from Party F, and requested 30 days of diligence.</v>
      </c>
      <c r="F46" s="14" t="str">
        <v>Do not rename the bidder E/F: financing support does not establish joint bidding, joint control or a committed funding amount.</v>
      </c>
      <c r="G46" s="22" t="str">
        <v>BG-021 · p.30
“Party E submitted a revised LOI, along with financing support, from Party F, at a price of $23.81 per share.”</v>
      </c>
      <c r="H46" s="22" t="str">
        <v>R4
R6</v>
      </c>
      <c r="I46" s="30" t="str"/>
      <c r="J46" s="14" t="str">
        <v>T41</v>
      </c>
      <c r="K46" s="14" t="str">
        <v>acquisition_proposal_submitted</v>
      </c>
      <c r="L46" s="48" t="n">
        <v>42583</v>
      </c>
      <c r="M46" s="14"/>
      <c r="N46" s="14"/>
      <c r="O46" s="14" t="str">
        <v>reported</v>
      </c>
      <c r="P46" s="14" t="str">
        <v>BG-021</v>
      </c>
      <c r="Q46" s="14" t="str">
        <v>T39</v>
      </c>
      <c r="R46" s="14" t="str">
        <v>reported_sequence</v>
      </c>
      <c r="S46" s="14" t="str">
        <v>providence-worcester_2016-09-20_DEFM14A.htm</v>
      </c>
      <c r="T46"/>
      <c r="U46"/>
      <c r="V46" t="str"/>
    </row>
    <row r="47" ht="87" customHeight="1">
      <c r="A47" s="14" t="n">
        <v>42</v>
      </c>
      <c r="B47" s="14" t="str">
        <v>08/01/2016</v>
      </c>
      <c r="C47" s="14" t="str">
        <v>3 · Final negotiations</v>
      </c>
      <c r="D47" s="14" t="str">
        <v>Transaction Committee; GHF/BMO</v>
      </c>
      <c r="E47" s="14" t="str">
        <v>Revised offers evaluated; adviser name changes
The committee requested clarification of D/E's revised terms. BMO acquired GHF's business that day; advisory service continued.</v>
      </c>
      <c r="F47" s="14" t="str">
        <v>Evaluation is not a further submission. Corporate succession is not a second adviser engagement.</v>
      </c>
      <c r="G47" s="22" t="str">
        <v>BG-021 · p.30
“BMO (which acquired the business of GHF on August 1, 2016)”</v>
      </c>
      <c r="H47" s="22" t="str"/>
      <c r="I47" s="30" t="str"/>
      <c r="J47" s="14" t="str">
        <v>T42</v>
      </c>
      <c r="K47" s="14" t="str">
        <v>other_material_process_event</v>
      </c>
      <c r="L47" s="48" t="n">
        <v>42583</v>
      </c>
      <c r="M47" s="14"/>
      <c r="N47" s="14"/>
      <c r="O47" s="14" t="str">
        <v>reported</v>
      </c>
      <c r="P47" s="14" t="str">
        <v>BG-021</v>
      </c>
      <c r="Q47" s="14" t="str"/>
      <c r="R47" s="14" t="str">
        <v>display_only</v>
      </c>
      <c r="S47" s="14" t="str">
        <v>providence-worcester_2016-09-20_DEFM14A.htm</v>
      </c>
      <c r="T47"/>
      <c r="U47"/>
      <c r="V47" t="str"/>
    </row>
    <row r="48" ht="72" customHeight="1">
      <c r="A48" s="14" t="n">
        <v>43</v>
      </c>
      <c r="B48" s="14" t="str">
        <v>08/02/2016</v>
      </c>
      <c r="C48" s="14" t="str">
        <v>3 · Final negotiations</v>
      </c>
      <c r="D48" s="14" t="str">
        <v>Party E</v>
      </c>
      <c r="E48" s="14" t="str">
        <v>Higher proposal withdrawn; old offer reaffirmed
Party E withdrew $23.81 but confirmed the original $21.26 proposal.</v>
      </c>
      <c r="F48" s="14" t="str">
        <v>Proposal withdrawal and reversion, not an actor-level exit. Earlier conditions are carried forward only as a qualified continuity assessment.</v>
      </c>
      <c r="G48" s="22" t="str">
        <v>BG-021 · p.30
“Party E withdrew its revised proposal on August 2, 2016 (but confirmed its original proposal of $21.26 per share)”</v>
      </c>
      <c r="H48" s="22" t="str">
        <v>R4
R6</v>
      </c>
      <c r="I48" s="30" t="str"/>
      <c r="J48" s="14" t="str">
        <v>T43</v>
      </c>
      <c r="K48" s="14" t="str">
        <v>acquisition_proposal_submitted</v>
      </c>
      <c r="L48" s="48" t="n">
        <v>42584</v>
      </c>
      <c r="M48" s="14"/>
      <c r="N48" s="14"/>
      <c r="O48" s="14" t="str">
        <v>reported</v>
      </c>
      <c r="P48" s="14" t="str">
        <v>BG-021</v>
      </c>
      <c r="Q48" s="14" t="str">
        <v>T41</v>
      </c>
      <c r="R48" s="14" t="str">
        <v>reported_sequence</v>
      </c>
      <c r="S48" s="14" t="str">
        <v>providence-worcester_2016-09-20_DEFM14A.htm</v>
      </c>
      <c r="T48"/>
      <c r="U48"/>
      <c r="V48" t="str"/>
    </row>
    <row r="49" ht="74.5" customHeight="1">
      <c r="A49" s="14" t="n">
        <v>44</v>
      </c>
      <c r="B49" s="14" t="str">
        <v>After 08/01; exact day undisclosed</v>
      </c>
      <c r="C49" s="14" t="str">
        <v>3 · Final negotiations</v>
      </c>
      <c r="D49" s="14" t="str">
        <v>Party D; PWRR</v>
      </c>
      <c r="E49" s="14" t="str">
        <v>No-signing commitment requested and declined
D would not shorten its 30-day diligence period and asked PWRR not to sign with another bidder. PWRR declined; D would not proceed with further diligence at that time.</v>
      </c>
      <c r="F49" s="14" t="str">
        <v>Bidder withdrawal from further diligence after target refusal [high]; joint commercial sequence, not unconditional abandonment forever. August 2 is plausible, not expressly D's date.</v>
      </c>
      <c r="G49" s="22" t="str">
        <v>BG-021 · p.30
“Party D indicated that it would not proceed with further due diligence at that time.”</v>
      </c>
      <c r="H49" s="22" t="str">
        <v>R6</v>
      </c>
      <c r="I49" s="30" t="str"/>
      <c r="J49" s="14" t="str">
        <v>T44</v>
      </c>
      <c r="K49" s="14" t="str">
        <v>bidder_withdrew</v>
      </c>
      <c r="L49" s="14"/>
      <c r="M49" s="48" t="n">
        <v>42583</v>
      </c>
      <c r="N49" s="48" t="n">
        <v>42594</v>
      </c>
      <c r="O49" s="14" t="str">
        <v>contextual broad bound; no assigned exact day</v>
      </c>
      <c r="P49" s="14" t="str">
        <v>BG-021</v>
      </c>
      <c r="Q49" s="14" t="str">
        <v>T40</v>
      </c>
      <c r="R49" s="14" t="str">
        <v>reported_sequence</v>
      </c>
      <c r="S49" s="14" t="str">
        <v>providence-worcester_2016-09-20_DEFM14A.htm</v>
      </c>
      <c r="T49"/>
      <c r="U49"/>
      <c r="V49" t="str"/>
    </row>
    <row r="50" ht="74.5" customHeight="1">
      <c r="A50" s="14" t="n">
        <v>45</v>
      </c>
      <c r="B50" s="14" t="str">
        <v>08/01–08/03/2016</v>
      </c>
      <c r="C50" s="14" t="str">
        <v>3 · Final negotiations</v>
      </c>
      <c r="D50" s="14" t="str">
        <v>Target counsel; Party B; G&amp;W</v>
      </c>
      <c r="E50" s="14" t="str">
        <v>Negotiation and diligence responses
Target counterdrafts went to B on August 1 and G&amp;W on August 3. PWRR answered additional Party B diligence questions on August 3.</v>
      </c>
      <c r="F50" s="14" t="str">
        <v>Supporting context, not new bidder prices. Confirms diligence was still active before B's August 4 document update.</v>
      </c>
      <c r="G50" s="22" t="str">
        <v>BG-022 · p.30/31
“On August 3, 2016, the Company and Hinckley Allen also responded to additional due diligence questions submitted by Party B.”</v>
      </c>
      <c r="H50" s="22" t="str">
        <v>R4</v>
      </c>
      <c r="I50" s="30" t="str"/>
      <c r="J50" s="14" t="str">
        <v>T45</v>
      </c>
      <c r="K50" s="14" t="str">
        <v>proposal_document_update</v>
      </c>
      <c r="L50" s="14"/>
      <c r="M50" s="48" t="n">
        <v>42583</v>
      </c>
      <c r="N50" s="48" t="n">
        <v>42585</v>
      </c>
      <c r="O50" s="14" t="str">
        <v>component dates reported</v>
      </c>
      <c r="P50" s="14" t="str">
        <v>BG-022</v>
      </c>
      <c r="Q50" s="14" t="str"/>
      <c r="R50" s="14" t="str">
        <v>display_only</v>
      </c>
      <c r="S50" s="14" t="str">
        <v>providence-worcester_2016-09-20_DEFM14A.htm</v>
      </c>
      <c r="T50"/>
      <c r="U50"/>
      <c r="V50" t="str"/>
    </row>
    <row r="51" ht="72" customHeight="1">
      <c r="A51" s="14" t="n">
        <v>46</v>
      </c>
      <c r="B51" s="14" t="str">
        <v>08/04/2016</v>
      </c>
      <c r="C51" s="14" t="str">
        <v>3 · Final negotiations</v>
      </c>
      <c r="D51" s="14" t="str">
        <v>Transaction Committee</v>
      </c>
      <c r="E51" s="14" t="str">
        <v>Party B prioritized
The committee directed continued talks with both finalists but prioritized completing B's agreement because B offered more.</v>
      </c>
      <c r="F51" s="14" t="str">
        <v>Priority is not granted exclusivity. G&amp;W remains in the process.</v>
      </c>
      <c r="G51" s="22" t="str">
        <v>BG-022 · p.30/31
“continue diligence and negotiations with both G&amp;W and Party B”</v>
      </c>
      <c r="H51" s="22" t="str">
        <v>R6</v>
      </c>
      <c r="I51" s="30" t="str"/>
      <c r="J51" s="14" t="str">
        <v>T46</v>
      </c>
      <c r="K51" s="14" t="str">
        <v>other_material_process_event</v>
      </c>
      <c r="L51" s="48" t="n">
        <v>42586</v>
      </c>
      <c r="M51" s="14"/>
      <c r="N51" s="14"/>
      <c r="O51" s="14" t="str">
        <v>reported</v>
      </c>
      <c r="P51" s="14" t="str">
        <v>BG-022</v>
      </c>
      <c r="Q51" s="14" t="str"/>
      <c r="R51" s="14" t="str">
        <v>display_only</v>
      </c>
      <c r="S51" s="14" t="str">
        <v>providence-worcester_2016-09-20_DEFM14A.htm</v>
      </c>
      <c r="T51"/>
      <c r="U51"/>
      <c r="V51" t="str"/>
    </row>
    <row r="52" ht="72" customHeight="1">
      <c r="A52" s="14" t="n">
        <v>47</v>
      </c>
      <c r="B52" s="14" t="str">
        <v>08/04/2016</v>
      </c>
      <c r="C52" s="14" t="str">
        <v>3 · Final negotiations</v>
      </c>
      <c r="D52" s="14" t="str">
        <v>Party B's counsel → PWRR</v>
      </c>
      <c r="E52" s="14" t="str">
        <v>Bidder document update
Party B's counsel submitted a revised merger draft. The live $24.00 price is carried forward, not newly quoted.</v>
      </c>
      <c r="F52" s="14" t="str">
        <v>Document checkpoint: formal status continues; no demonstrated removal of all conditions. Heavy preferred [medium], light remains arguable. Not execution.</v>
      </c>
      <c r="G52" s="22" t="str">
        <v>BG-022 · p.30/31; BG-023 · p.31
“On August 4, 2016, legal counsel for Party B provided a revised draft of the merger agreement”</v>
      </c>
      <c r="H52" s="22" t="str">
        <v>R4</v>
      </c>
      <c r="I52" s="30" t="str"/>
      <c r="J52" s="14" t="str">
        <v>T47</v>
      </c>
      <c r="K52" s="14" t="str">
        <v>proposal_document_update</v>
      </c>
      <c r="L52" s="48" t="n">
        <v>42586</v>
      </c>
      <c r="M52" s="14"/>
      <c r="N52" s="14"/>
      <c r="O52" s="14" t="str">
        <v>reported</v>
      </c>
      <c r="P52" s="14" t="str">
        <v>BG-022|BG-023</v>
      </c>
      <c r="Q52" s="14" t="str"/>
      <c r="R52" s="14" t="str">
        <v>display_only</v>
      </c>
      <c r="S52" s="14" t="str">
        <v>providence-worcester_2016-09-20_DEFM14A.htm</v>
      </c>
      <c r="T52"/>
      <c r="U52"/>
      <c r="V52" t="str"/>
    </row>
    <row r="53" ht="72" customHeight="1">
      <c r="A53" s="14" t="n">
        <v>48</v>
      </c>
      <c r="B53" s="14" t="str">
        <v>08/05/2016</v>
      </c>
      <c r="C53" s="14" t="str">
        <v>3 · Final negotiations</v>
      </c>
      <c r="D53" s="14" t="str">
        <v>PWRR → Party B</v>
      </c>
      <c r="E53" s="14" t="str">
        <v>Target counterdraft supplied
After counsel negotiations, PWRR supplied B a revised merger agreement and disclosure letter.</v>
      </c>
      <c r="F53" s="14" t="str">
        <v>Target response to the August 4 update, not another bidder submission.</v>
      </c>
      <c r="G53" s="22" t="str">
        <v>BG-023 · p.31
“the Company provided Party B with a revised draft of the merger agreement and disclosure letter on August 5, 2016.”</v>
      </c>
      <c r="H53" s="22" t="str"/>
      <c r="I53" s="30" t="str"/>
      <c r="J53" s="14" t="str">
        <v>T48</v>
      </c>
      <c r="K53" s="14" t="str">
        <v>proposal_document_update</v>
      </c>
      <c r="L53" s="48" t="n">
        <v>42587</v>
      </c>
      <c r="M53" s="14"/>
      <c r="N53" s="14"/>
      <c r="O53" s="14" t="str">
        <v>reported</v>
      </c>
      <c r="P53" s="14" t="str">
        <v>BG-023</v>
      </c>
      <c r="Q53" s="14" t="str">
        <v>T47</v>
      </c>
      <c r="R53" s="14" t="str">
        <v>reported_sequence</v>
      </c>
      <c r="S53" s="14" t="str">
        <v>providence-worcester_2016-09-20_DEFM14A.htm</v>
      </c>
      <c r="T53"/>
      <c r="U53"/>
      <c r="V53" t="str"/>
    </row>
    <row r="54" ht="87" customHeight="1">
      <c r="A54" s="14" t="n">
        <v>49</v>
      </c>
      <c r="B54" s="14" t="str">
        <v>08/09/2016</v>
      </c>
      <c r="C54" s="14" t="str">
        <v>3 · Final negotiations</v>
      </c>
      <c r="D54" s="14" t="str">
        <v>PWRR; G&amp;W</v>
      </c>
      <c r="E54" s="14" t="str">
        <v>Intended rival signing disclosed; continued diligence allowed
PWRR told G&amp;W it intended to sign with another bidder. G&amp;W requested further diligence to improve its offer; the request was granted.</v>
      </c>
      <c r="F54" s="14" t="str">
        <v>Not an exclusion or withdrawal [high]. Record adverse competitive notice and permission to continue, rather than a false exit followed by re-entry.</v>
      </c>
      <c r="G54" s="22" t="str">
        <v>BG-023 · p.31
“G&amp;W requested that it be allowed to continue its due diligence”</v>
      </c>
      <c r="H54" s="22" t="str">
        <v>R6</v>
      </c>
      <c r="I54" s="30" t="str"/>
      <c r="J54" s="14" t="str">
        <v>T49</v>
      </c>
      <c r="K54" s="14" t="str">
        <v>other_material_process_event</v>
      </c>
      <c r="L54" s="48" t="n">
        <v>42591</v>
      </c>
      <c r="M54" s="14"/>
      <c r="N54" s="14"/>
      <c r="O54" s="14" t="str">
        <v>reported</v>
      </c>
      <c r="P54" s="14" t="str">
        <v>BG-023</v>
      </c>
      <c r="Q54" s="14" t="str"/>
      <c r="R54" s="14" t="str">
        <v>display_only</v>
      </c>
      <c r="S54" s="14" t="str">
        <v>providence-worcester_2016-09-20_DEFM14A.htm</v>
      </c>
      <c r="T54"/>
      <c r="U54"/>
      <c r="V54" t="str"/>
    </row>
    <row r="55" ht="74.5" customHeight="1">
      <c r="A55" s="14" t="n">
        <v>50</v>
      </c>
      <c r="B55" s="14" t="str">
        <v>08/10–08/11/2016</v>
      </c>
      <c r="C55" s="14" t="str">
        <v>3 · Final negotiations</v>
      </c>
      <c r="D55" s="14" t="str">
        <v>G&amp;W; Simpson Thacher; Hinckley Allen</v>
      </c>
      <c r="E55" s="14" t="str">
        <v>Final preparation continues
Counsel discussed drafts on August 10. By August 11, G&amp;W had completed physical track diligence and indicated it might revise its offer the next day.</v>
      </c>
      <c r="F55" s="14" t="str">
        <v>Physical diligence complete is not all diligence complete. Possible intention is not a submitted bid. Simpson Thacher represents G&amp;W.</v>
      </c>
      <c r="G55" s="22" t="str">
        <v>BG-023 · p.31
“having just completed its physical diligence of the Company’s track infrastructure.”</v>
      </c>
      <c r="H55" s="22" t="str"/>
      <c r="I55" s="30" t="str"/>
      <c r="J55" s="14" t="str">
        <v>T50</v>
      </c>
      <c r="K55" s="14" t="str">
        <v>other_material_process_event</v>
      </c>
      <c r="L55" s="14"/>
      <c r="M55" s="48" t="n">
        <v>42592</v>
      </c>
      <c r="N55" s="48" t="n">
        <v>42593</v>
      </c>
      <c r="O55" s="14" t="str">
        <v>reported</v>
      </c>
      <c r="P55" s="14" t="str">
        <v>BG-023</v>
      </c>
      <c r="Q55" s="14" t="str"/>
      <c r="R55" s="14" t="str">
        <v>display_only</v>
      </c>
      <c r="S55" s="14" t="str">
        <v>providence-worcester_2016-09-20_DEFM14A.htm</v>
      </c>
      <c r="T55"/>
      <c r="U55"/>
      <c r="V55" t="str"/>
    </row>
    <row r="56" ht="74.5" customHeight="1">
      <c r="A56" s="14" t="n">
        <v>51</v>
      </c>
      <c r="B56" s="14" t="str">
        <v>08/12/2016, morning</v>
      </c>
      <c r="C56" s="14" t="str">
        <v>3 · Final negotiations</v>
      </c>
      <c r="D56" s="14" t="str">
        <v>G&amp;W</v>
      </c>
      <c r="E56" s="14" t="str">
        <v>Final all-cash offer submitted
G&amp;W raised to $25.00 cash, removed the CVR and submitted merger/voting markups. Its offer expired at 6 p.m. on August 13; no timezone is stated.</v>
      </c>
      <c r="F56" s="14" t="str">
        <v>Formal [high]; light [medium/high] from advanced preparation, not unconditional. The expiry is bidder-set, not a target submission deadline.</v>
      </c>
      <c r="G56" s="22" t="str">
        <v>BG-024 · p.31; BG-026 · p.31/32
“G&amp;W submitted a revised LOI to acquire the Company for a price of $25.00 per share in cash”</v>
      </c>
      <c r="H56" s="22" t="str">
        <v>R4
R5</v>
      </c>
      <c r="I56" s="30" t="str"/>
      <c r="J56" s="14" t="str">
        <v>T51</v>
      </c>
      <c r="K56" s="14" t="str">
        <v>acquisition_proposal_submitted</v>
      </c>
      <c r="L56" s="48" t="n">
        <v>42594</v>
      </c>
      <c r="M56" s="14"/>
      <c r="N56" s="14"/>
      <c r="O56" s="14" t="str">
        <v>reported</v>
      </c>
      <c r="P56" s="14" t="str">
        <v>BG-024|BG-026</v>
      </c>
      <c r="Q56" s="14" t="str">
        <v>T50</v>
      </c>
      <c r="R56" s="14" t="str">
        <v>reported_sequence</v>
      </c>
      <c r="S56" s="14" t="str">
        <v>providence-worcester_2016-09-20_DEFM14A.htm</v>
      </c>
      <c r="T56"/>
      <c r="U56"/>
      <c r="V56" t="str"/>
    </row>
    <row r="57" ht="87" customHeight="1">
      <c r="A57" s="14" t="n">
        <v>52</v>
      </c>
      <c r="B57" s="14" t="str">
        <v>08/12/2016, 10:30 a.m. and afternoon</v>
      </c>
      <c r="C57" s="14" t="str">
        <v>3 · Final negotiations</v>
      </c>
      <c r="D57" s="14" t="str">
        <v>Committee and PWRR board</v>
      </c>
      <c r="E57" s="14" t="str">
        <v>Final offers compared
The board compared $25 G&amp;W against $24 B. Other material differences concerned termination fees and STB approval routes; counsel advised timing/likelihood were not materially different.</v>
      </c>
      <c r="F57" s="14" t="str">
        <v>Attributed board assessment, not proof that regulatory risk was absent. Later disclosure markup timing is not pinned before the 10:30 meeting.</v>
      </c>
      <c r="G57" s="22" t="str">
        <v>BG-024 · p.31; BG-025 · p.31; BG-026 · p.31/32
“the timeframe for, and the likelihood of, obtaining the required regulatory approval was not materially different”</v>
      </c>
      <c r="H57" s="22" t="str">
        <v>R4</v>
      </c>
      <c r="I57" s="30" t="str"/>
      <c r="J57" s="14" t="str">
        <v>T52</v>
      </c>
      <c r="K57" s="14" t="str">
        <v>other_material_process_event</v>
      </c>
      <c r="L57" s="48" t="n">
        <v>42594</v>
      </c>
      <c r="M57" s="14"/>
      <c r="N57" s="14"/>
      <c r="O57" s="14" t="str">
        <v>reported</v>
      </c>
      <c r="P57" s="14" t="str">
        <v>BG-024|BG-025|BG-026</v>
      </c>
      <c r="Q57" s="14" t="str">
        <v>T51</v>
      </c>
      <c r="R57" s="14" t="str">
        <v>reported_sequence</v>
      </c>
      <c r="S57" s="14" t="str">
        <v>providence-worcester_2016-09-20_DEFM14A.htm</v>
      </c>
      <c r="T57"/>
      <c r="U57"/>
      <c r="V57" t="str"/>
    </row>
    <row r="58" ht="72" customHeight="1">
      <c r="A58" s="14" t="n">
        <v>53</v>
      </c>
      <c r="B58" s="14" t="str">
        <v>08/12/2016, after board's request</v>
      </c>
      <c r="C58" s="14" t="str">
        <v>3 · Final negotiations</v>
      </c>
      <c r="D58" s="14" t="str">
        <v>PWRR/BMO → Party B</v>
      </c>
      <c r="E58" s="14" t="str">
        <v>Price improvement requested
The board asked BMO to determine whether Party B would raise its price.</v>
      </c>
      <c r="F58" s="14" t="str">
        <v>A target request, not a $25 offer by Party B.</v>
      </c>
      <c r="G58" s="22" t="str">
        <v>BG-026 · p.31/32
“contacted Party B to determine if it would increase its offer price.”</v>
      </c>
      <c r="H58" s="22" t="str"/>
      <c r="I58" s="30" t="str"/>
      <c r="J58" s="14" t="str">
        <v>T53</v>
      </c>
      <c r="K58" s="14" t="str">
        <v>target_price_request</v>
      </c>
      <c r="L58" s="48" t="n">
        <v>42594</v>
      </c>
      <c r="M58" s="14"/>
      <c r="N58" s="14"/>
      <c r="O58" s="14" t="str">
        <v>reported</v>
      </c>
      <c r="P58" s="14" t="str">
        <v>BG-026</v>
      </c>
      <c r="Q58" s="14" t="str">
        <v>T52</v>
      </c>
      <c r="R58" s="14" t="str">
        <v>reported_sequence</v>
      </c>
      <c r="S58" s="14" t="str">
        <v>providence-worcester_2016-09-20_DEFM14A.htm</v>
      </c>
      <c r="T58"/>
      <c r="U58"/>
      <c r="V58" t="str"/>
    </row>
    <row r="59" ht="72" customHeight="1">
      <c r="A59" s="14" t="n">
        <v>54</v>
      </c>
      <c r="B59" s="14" t="str">
        <v>08/12/2016, after request</v>
      </c>
      <c r="C59" s="14" t="str">
        <v>3 · Final negotiations</v>
      </c>
      <c r="D59" s="14" t="str">
        <v>Party B</v>
      </c>
      <c r="E59" s="14" t="str">
        <v>Standing price maintained
Party B declined to increase $24.00. Its negotiated agreement was available for board comparison.</v>
      </c>
      <c r="F59" s="14" t="str">
        <v>Final reaffirmation [medium/high]; formal [high], light [medium] at this checkpoint. Not a voluntary withdrawal or proof that private value equals $24.</v>
      </c>
      <c r="G59" s="22" t="str">
        <v>BG-025 · p.31; BG-026 · p.31/32
“Party B indicated that it would not increase its price.”</v>
      </c>
      <c r="H59" s="22" t="str">
        <v>R4
R6</v>
      </c>
      <c r="I59" s="30" t="str"/>
      <c r="J59" s="14" t="str">
        <v>T54</v>
      </c>
      <c r="K59" s="14" t="str">
        <v>acquisition_proposal_submitted</v>
      </c>
      <c r="L59" s="48" t="n">
        <v>42594</v>
      </c>
      <c r="M59" s="14"/>
      <c r="N59" s="14"/>
      <c r="O59" s="14" t="str">
        <v>reported</v>
      </c>
      <c r="P59" s="14" t="str">
        <v>BG-025|BG-026</v>
      </c>
      <c r="Q59" s="14" t="str">
        <v>T53</v>
      </c>
      <c r="R59" s="14" t="str">
        <v>reported_sequence</v>
      </c>
      <c r="S59" s="14" t="str">
        <v>providence-worcester_2016-09-20_DEFM14A.htm</v>
      </c>
      <c r="T59"/>
      <c r="U59"/>
      <c r="V59" t="str"/>
    </row>
    <row r="60" ht="72" customHeight="1">
      <c r="A60" s="14" t="n">
        <v>55</v>
      </c>
      <c r="B60" s="14" t="str">
        <v>08/12/2016</v>
      </c>
      <c r="C60" s="14" t="str">
        <v>3 · Final negotiations</v>
      </c>
      <c r="D60" s="14" t="str">
        <v>PWRR board</v>
      </c>
      <c r="E60" s="14" t="str">
        <v>G&amp;W transaction approved
The board selected G&amp;W's superior proposal and approved its agreement after BMO's fairness opinion.</v>
      </c>
      <c r="F60" s="14" t="str">
        <v>Approval is separate from execution and closing. Reported adviser-independence assurance was later qualified.</v>
      </c>
      <c r="G60" s="22" t="str">
        <v>BG-027 · p.32
“The Board determined that the G&amp;W offer represented the superior proposal.”</v>
      </c>
      <c r="H60" s="22" t="str"/>
      <c r="I60" s="30" t="str"/>
      <c r="J60" s="14" t="str">
        <v>T55</v>
      </c>
      <c r="K60" s="14" t="str">
        <v>transaction_approved</v>
      </c>
      <c r="L60" s="48" t="n">
        <v>42594</v>
      </c>
      <c r="M60" s="14"/>
      <c r="N60" s="14"/>
      <c r="O60" s="14" t="str">
        <v>reported</v>
      </c>
      <c r="P60" s="14" t="str">
        <v>BG-027</v>
      </c>
      <c r="Q60" s="14" t="str">
        <v>T54</v>
      </c>
      <c r="R60" s="14" t="str">
        <v>reported_sequence</v>
      </c>
      <c r="S60" s="14" t="str">
        <v>providence-worcester_2016-09-20_DEFM14A.htm</v>
      </c>
      <c r="T60"/>
      <c r="U60"/>
      <c r="V60" t="str"/>
    </row>
    <row r="61" ht="74.5" customHeight="1">
      <c r="A61" s="14" t="n">
        <v>56</v>
      </c>
      <c r="B61" s="14" t="str">
        <v>08/12/2016</v>
      </c>
      <c r="C61" s="14" t="str">
        <v>Agreement signed</v>
      </c>
      <c r="D61" s="14" t="str">
        <v>PWRR; G&amp;W; Eder Trusts</v>
      </c>
      <c r="E61" s="14" t="str">
        <v>Merger and voting agreements executed
PWRR/G&amp;W signed the merger agreement; PWRR, G&amp;W and the Eder Trusts signed the voting agreement. Agreed price: $25 per common-equivalent share in cash.</v>
      </c>
      <c r="F61" s="14" t="str">
        <v>Signing date expressly corroborated by the cover. No financing condition in the signed merger agreement; this is not evidence about earlier LOIs. Voting support is not a new bidder.</v>
      </c>
      <c r="G61" s="22" t="str">
        <v>BG-028 · p.32; FULL-01 · p.Unnumbered; FULL-06 · p.34
“the Company and G&amp;W executed the merger agreement”</v>
      </c>
      <c r="H61" s="22" t="str"/>
      <c r="I61" s="30" t="str"/>
      <c r="J61" s="14" t="str">
        <v>T56</v>
      </c>
      <c r="K61" s="14" t="str">
        <v>merger_agreement_executed</v>
      </c>
      <c r="L61" s="48" t="n">
        <v>42594</v>
      </c>
      <c r="M61" s="14"/>
      <c r="N61" s="14"/>
      <c r="O61" s="14" t="str">
        <v>reported</v>
      </c>
      <c r="P61" s="14" t="str">
        <v>BG-028|FULL-01|FULL-06</v>
      </c>
      <c r="Q61" s="14" t="str">
        <v>T55</v>
      </c>
      <c r="R61" s="14" t="str">
        <v>reported_sequence</v>
      </c>
      <c r="S61" s="14" t="str">
        <v>providence-worcester_2016-09-20_DEFM14A.htm</v>
      </c>
      <c r="T61"/>
      <c r="U61"/>
      <c r="V61" t="str"/>
    </row>
    <row r="62" ht="72" customHeight="1">
      <c r="A62" s="14" t="n">
        <v>57</v>
      </c>
      <c r="B62" s="14" t="str">
        <v>08/15/2016, before market open</v>
      </c>
      <c r="C62" s="14" t="str">
        <v>Post-signing</v>
      </c>
      <c r="D62" s="14" t="str">
        <v>PWRR</v>
      </c>
      <c r="E62" s="14" t="str">
        <v>Transaction publicly announced
The company announced the transaction before NASDAQ trading opened.</v>
      </c>
      <c r="F62" s="14" t="str">
        <v>Separate from August 12 execution. Completion had not occurred in this pre-closing filing.</v>
      </c>
      <c r="G62" s="22" t="str">
        <v>BG-028 · p.32
“publicly announcing the transaction on Monday, August 15, 2016 prior to the opening of trading”</v>
      </c>
      <c r="H62" s="22" t="str"/>
      <c r="I62" s="30" t="str"/>
      <c r="J62" s="14" t="str">
        <v>T57</v>
      </c>
      <c r="K62" s="14" t="str">
        <v>merger_agreement_publicly_announced</v>
      </c>
      <c r="L62" s="48" t="n">
        <v>42597</v>
      </c>
      <c r="M62" s="14"/>
      <c r="N62" s="14"/>
      <c r="O62" s="14" t="str">
        <v>reported</v>
      </c>
      <c r="P62" s="14" t="str">
        <v>BG-028</v>
      </c>
      <c r="Q62" s="14" t="str">
        <v>T56</v>
      </c>
      <c r="R62" s="14" t="str">
        <v>reported_sequence</v>
      </c>
      <c r="S62" s="14" t="str">
        <v>providence-worcester_2016-09-20_DEFM14A.htm</v>
      </c>
      <c r="T62"/>
      <c r="U62"/>
      <c r="V62" t="str"/>
    </row>
    <row r="63" ht="72" customHeight="1">
      <c r="A63" s="14" t="n">
        <v>58</v>
      </c>
      <c r="B63" s="14" t="str">
        <v>09/01/2016</v>
      </c>
      <c r="C63" s="14" t="str">
        <v>Post-signing</v>
      </c>
      <c r="D63" s="14" t="str">
        <v>G&amp;W; STB</v>
      </c>
      <c r="E63" s="14" t="str">
        <v>Regulatory petition filed
G&amp;W filed a petition for exemption/approval to complete the merger and control PWRR.</v>
      </c>
      <c r="F63" s="14" t="str">
        <v>Actual filing, not granted approval or deal completion.</v>
      </c>
      <c r="G63" s="22" t="str">
        <v>FULL-08 · p.65
“On September 1, 2016, G&amp;W filed a petition for exemption”</v>
      </c>
      <c r="H63" s="22" t="str"/>
      <c r="I63" s="30" t="str"/>
      <c r="J63" s="14" t="str">
        <v>T58</v>
      </c>
      <c r="K63" s="14" t="str">
        <v>other_material_process_event</v>
      </c>
      <c r="L63" s="48" t="n">
        <v>42614</v>
      </c>
      <c r="M63" s="14"/>
      <c r="N63" s="14"/>
      <c r="O63" s="14" t="str">
        <v>reported</v>
      </c>
      <c r="P63" s="14" t="str">
        <v>FULL-08</v>
      </c>
      <c r="Q63" s="14" t="str"/>
      <c r="R63" s="14" t="str">
        <v>display_only</v>
      </c>
      <c r="S63" s="14" t="str">
        <v>providence-worcester_2016-09-20_DEFM14A.htm</v>
      </c>
      <c r="T63"/>
      <c r="U63"/>
      <c r="V63" t="str"/>
    </row>
    <row r="64" ht="74.5" customHeight="1">
      <c r="A64" s="14" t="n">
        <v>59</v>
      </c>
      <c r="B64" s="14" t="str">
        <v>09/06/2016</v>
      </c>
      <c r="C64" s="14" t="str">
        <v>Post-signing</v>
      </c>
      <c r="D64" s="14" t="str">
        <v>BMO affiliate; PWRR board</v>
      </c>
      <c r="E64" s="14" t="str">
        <v>Adviser relationship reassessed
An overlooked BMO affiliate participation in G&amp;W's existing syndicated debt was disclosed. The board reconsidered and remained comfortable with BMO.</v>
      </c>
      <c r="F64" s="14" t="str">
        <v>The relationship pre-existed its disclosure; September 6 dates board reconsideration, not a new loan or adviser engagement.</v>
      </c>
      <c r="G64" s="22" t="str">
        <v>BG-029 · p.32
“On September 6, 2016, the Board considered this new information”</v>
      </c>
      <c r="H64" s="22" t="str"/>
      <c r="I64" s="30" t="str"/>
      <c r="J64" s="14" t="str">
        <v>T59</v>
      </c>
      <c r="K64" s="14" t="str">
        <v>other_material_process_event</v>
      </c>
      <c r="L64" s="48" t="n">
        <v>42619</v>
      </c>
      <c r="M64" s="14"/>
      <c r="N64" s="14"/>
      <c r="O64" s="14" t="str">
        <v>reported</v>
      </c>
      <c r="P64" s="14" t="str">
        <v>BG-029</v>
      </c>
      <c r="Q64" s="14" t="str"/>
      <c r="R64" s="14" t="str">
        <v>display_only</v>
      </c>
      <c r="S64" s="14" t="str">
        <v>providence-worcester_2016-09-20_DEFM14A.htm</v>
      </c>
      <c r="T64"/>
      <c r="U64"/>
      <c r="V64" t="str"/>
    </row>
    <row r="65" ht="72" customHeight="1">
      <c r="A65" s="14" t="n">
        <v>60</v>
      </c>
      <c r="B65" s="14" t="str">
        <v>09/14/2016</v>
      </c>
      <c r="C65" s="14" t="str">
        <v>Post-signing</v>
      </c>
      <c r="D65" s="14" t="str">
        <v>G&amp;W; STB</v>
      </c>
      <c r="E65" s="14" t="str">
        <v>Voting-trust form submitted
G&amp;W sought an informal STB opinion on a voting-trust arrangement that could separate closing from acquisition of control.</v>
      </c>
      <c r="F65" s="14" t="str">
        <v>Request, not approval. Legal closing date remains unavailable in this filing.</v>
      </c>
      <c r="G65" s="22" t="str">
        <v>FULL-08 · p.65
“On September 14, 2016, G&amp;W also submitted a form of voting trust agreement”</v>
      </c>
      <c r="H65" s="22" t="str"/>
      <c r="I65" s="30" t="str"/>
      <c r="J65" s="14" t="str">
        <v>T60</v>
      </c>
      <c r="K65" s="14" t="str">
        <v>other_material_process_event</v>
      </c>
      <c r="L65" s="48" t="n">
        <v>42627</v>
      </c>
      <c r="M65" s="14"/>
      <c r="N65" s="14"/>
      <c r="O65" s="14" t="str">
        <v>reported</v>
      </c>
      <c r="P65" s="14" t="str">
        <v>FULL-08</v>
      </c>
      <c r="Q65" s="14" t="str"/>
      <c r="R65" s="14" t="str">
        <v>display_only</v>
      </c>
      <c r="S65" s="14" t="str">
        <v>providence-worcester_2016-09-20_DEFM14A.htm</v>
      </c>
      <c r="T65"/>
      <c r="U65"/>
      <c r="V65" t="str"/>
    </row>
  </sheetData>
  <mergeCells>
    <mergeCell ref="A1:I1"/>
    <mergeCell ref="A2:I3"/>
  </mergeCells>
  <hyperlinks>
    <hyperlink ref="G6" location="'Sources'!A6" tooltip="Open supporting passage or grouped review decision"/>
    <hyperlink ref="H6" location="'Review decisions'!A6" tooltip="Open supporting passage or grouped review decision"/>
    <hyperlink ref="G7" location="'Sources'!A6" tooltip="Open supporting passage or grouped review decision"/>
    <hyperlink ref="G8" location="'Sources'!A8" tooltip="Open supporting passage or grouped review decision"/>
    <hyperlink ref="H8" location="'Review decisions'!A6" tooltip="Open supporting passage or grouped review decision"/>
    <hyperlink ref="G9" location="'Sources'!A11" tooltip="Open supporting passage or grouped review decision"/>
    <hyperlink ref="G10" location="'Sources'!A11" tooltip="Open supporting passage or grouped review decision"/>
    <hyperlink ref="H10" location="'Review decisions'!A6" tooltip="Open supporting passage or grouped review decision"/>
    <hyperlink ref="G11" location="'Sources'!A11" tooltip="Open supporting passage or grouped review decision"/>
    <hyperlink ref="H11" location="'Review decisions'!A6" tooltip="Open supporting passage or grouped review decision"/>
    <hyperlink ref="G12" location="'Sources'!A11" tooltip="Open supporting passage or grouped review decision"/>
    <hyperlink ref="H12" location="'Review decisions'!A7" tooltip="Open supporting passage or grouped review decision"/>
    <hyperlink ref="G13" location="'Sources'!A12" tooltip="Open supporting passage or grouped review decision"/>
    <hyperlink ref="H13" location="'Review decisions'!A7" tooltip="Open supporting passage or grouped review decision"/>
    <hyperlink ref="G14" location="'Sources'!A13" tooltip="Open supporting passage or grouped review decision"/>
    <hyperlink ref="H14" location="'Review decisions'!A7" tooltip="Open supporting passage or grouped review decision"/>
    <hyperlink ref="G15" location="'Sources'!A13" tooltip="Open supporting passage or grouped review decision"/>
    <hyperlink ref="H15" location="'Review decisions'!A7" tooltip="Open supporting passage or grouped review decision"/>
    <hyperlink ref="G16" location="'Sources'!A14" tooltip="Open supporting passage or grouped review decision"/>
    <hyperlink ref="H16" location="'Review decisions'!A7" tooltip="Open supporting passage or grouped review decision"/>
    <hyperlink ref="G17" location="'Sources'!A14" tooltip="Open supporting passage or grouped review decision"/>
    <hyperlink ref="H17" location="'Review decisions'!A8" tooltip="Open supporting passage or grouped review decision"/>
    <hyperlink ref="G18" location="'Sources'!A14" tooltip="Open supporting passage or grouped review decision"/>
    <hyperlink ref="H18" location="'Review decisions'!A8" tooltip="Open supporting passage or grouped review decision"/>
    <hyperlink ref="G19" location="'Sources'!A14" tooltip="Open supporting passage or grouped review decision"/>
    <hyperlink ref="H19" location="'Review decisions'!A8" tooltip="Open supporting passage or grouped review decision"/>
    <hyperlink ref="G20" location="'Sources'!A14" tooltip="Open supporting passage or grouped review decision"/>
    <hyperlink ref="H20" location="'Review decisions'!A8" tooltip="Open supporting passage or grouped review decision"/>
    <hyperlink ref="G21" location="'Sources'!A15" tooltip="Open supporting passage or grouped review decision"/>
    <hyperlink ref="H21" location="'Review decisions'!A7" tooltip="Open supporting passage or grouped review decision"/>
    <hyperlink ref="G22" location="'Sources'!A15" tooltip="Open supporting passage or grouped review decision"/>
    <hyperlink ref="H22" location="'Review decisions'!A6" tooltip="Open supporting passage or grouped review decision"/>
    <hyperlink ref="G23" location="'Sources'!A15" tooltip="Open supporting passage or grouped review decision"/>
    <hyperlink ref="H23" location="'Review decisions'!A6" tooltip="Open supporting passage or grouped review decision"/>
    <hyperlink ref="G24" location="'Sources'!A15" tooltip="Open supporting passage or grouped review decision"/>
    <hyperlink ref="H24" location="'Review decisions'!A6" tooltip="Open supporting passage or grouped review decision"/>
    <hyperlink ref="G25" location="'Sources'!A16" tooltip="Open supporting passage or grouped review decision"/>
    <hyperlink ref="H25" location="'Review decisions'!A8" tooltip="Open supporting passage or grouped review decision"/>
    <hyperlink ref="G26" location="'Sources'!A17" tooltip="Open supporting passage or grouped review decision"/>
    <hyperlink ref="G27" location="'Sources'!A18" tooltip="Open supporting passage or grouped review decision"/>
    <hyperlink ref="H27" location="'Review decisions'!A7" tooltip="Open supporting passage or grouped review decision"/>
    <hyperlink ref="G28" location="'Sources'!A18" tooltip="Open supporting passage or grouped review decision"/>
    <hyperlink ref="H28" location="'Review decisions'!A7" tooltip="Open supporting passage or grouped review decision"/>
    <hyperlink ref="G29" location="'Sources'!A18" tooltip="Open supporting passage or grouped review decision"/>
    <hyperlink ref="H29" location="'Review decisions'!A9" tooltip="Open supporting passage or grouped review decision"/>
    <hyperlink ref="G30" location="'Sources'!A18" tooltip="Open supporting passage or grouped review decision"/>
    <hyperlink ref="G31" location="'Sources'!A16" tooltip="Open supporting passage or grouped review decision"/>
    <hyperlink ref="H31" location="'Review decisions'!A8" tooltip="Open supporting passage or grouped review decision"/>
    <hyperlink ref="G32" location="'Sources'!A21" tooltip="Open supporting passage or grouped review decision"/>
    <hyperlink ref="H32" location="'Review decisions'!A9" tooltip="Open supporting passage or grouped review decision"/>
    <hyperlink ref="G33" location="'Sources'!A20" tooltip="Open supporting passage or grouped review decision"/>
    <hyperlink ref="H33" location="'Review decisions'!A9" tooltip="Open supporting passage or grouped review decision"/>
    <hyperlink ref="G34" location="'Sources'!A22" tooltip="Open supporting passage or grouped review decision"/>
    <hyperlink ref="H34" location="'Review decisions'!A9" tooltip="Open supporting passage or grouped review decision"/>
    <hyperlink ref="G35" location="'Sources'!A23" tooltip="Open supporting passage or grouped review decision"/>
    <hyperlink ref="H35" location="'Review decisions'!A9" tooltip="Open supporting passage or grouped review decision"/>
    <hyperlink ref="G36" location="'Sources'!A24" tooltip="Open supporting passage or grouped review decision"/>
    <hyperlink ref="H36" location="'Review decisions'!A9" tooltip="Open supporting passage or grouped review decision"/>
    <hyperlink ref="G37" location="'Sources'!A25" tooltip="Open supporting passage or grouped review decision"/>
    <hyperlink ref="H37" location="'Review decisions'!A9" tooltip="Open supporting passage or grouped review decision"/>
    <hyperlink ref="G38" location="'Sources'!A27" tooltip="Open supporting passage or grouped review decision"/>
    <hyperlink ref="H38" location="'Review decisions'!A6" tooltip="Open supporting passage or grouped review decision"/>
    <hyperlink ref="G39" location="'Sources'!A21" tooltip="Open supporting passage or grouped review decision"/>
    <hyperlink ref="H39" location="'Review decisions'!A8" tooltip="Open supporting passage or grouped review decision"/>
    <hyperlink ref="G40" location="'Sources'!A26" tooltip="Open supporting passage or grouped review decision"/>
    <hyperlink ref="H40" location="'Review decisions'!A7" tooltip="Open supporting passage or grouped review decision"/>
    <hyperlink ref="G41" location="'Sources'!A27" tooltip="Open supporting passage or grouped review decision"/>
    <hyperlink ref="H41" location="'Review decisions'!A6" tooltip="Open supporting passage or grouped review decision"/>
    <hyperlink ref="G42" location="'Sources'!A27" tooltip="Open supporting passage or grouped review decision"/>
    <hyperlink ref="H42" location="'Review decisions'!A11" tooltip="Open supporting passage or grouped review decision"/>
    <hyperlink ref="G43" location="'Sources'!A30" tooltip="Open supporting passage or grouped review decision"/>
    <hyperlink ref="H43" location="'Review decisions'!A9" tooltip="Open supporting passage or grouped review decision"/>
    <hyperlink ref="G44" location="'Sources'!A29" tooltip="Open supporting passage or grouped review decision"/>
    <hyperlink ref="H44" location="'Review decisions'!A6" tooltip="Open supporting passage or grouped review decision"/>
    <hyperlink ref="G45" location="'Sources'!A29" tooltip="Open supporting passage or grouped review decision"/>
    <hyperlink ref="H45" location="'Review decisions'!A6" tooltip="Open supporting passage or grouped review decision"/>
    <hyperlink ref="G46" location="'Sources'!A29" tooltip="Open supporting passage or grouped review decision"/>
    <hyperlink ref="H46" location="'Review decisions'!A9" tooltip="Open supporting passage or grouped review decision"/>
    <hyperlink ref="G47" location="'Sources'!A29" tooltip="Open supporting passage or grouped review decision"/>
    <hyperlink ref="G48" location="'Sources'!A29" tooltip="Open supporting passage or grouped review decision"/>
    <hyperlink ref="H48" location="'Review decisions'!A9" tooltip="Open supporting passage or grouped review decision"/>
    <hyperlink ref="G49" location="'Sources'!A29" tooltip="Open supporting passage or grouped review decision"/>
    <hyperlink ref="H49" location="'Review decisions'!A11" tooltip="Open supporting passage or grouped review decision"/>
    <hyperlink ref="G50" location="'Sources'!A30" tooltip="Open supporting passage or grouped review decision"/>
    <hyperlink ref="H50" location="'Review decisions'!A9" tooltip="Open supporting passage or grouped review decision"/>
    <hyperlink ref="G51" location="'Sources'!A30" tooltip="Open supporting passage or grouped review decision"/>
    <hyperlink ref="H51" location="'Review decisions'!A11" tooltip="Open supporting passage or grouped review decision"/>
    <hyperlink ref="G52" location="'Sources'!A31" tooltip="Open supporting passage or grouped review decision"/>
    <hyperlink ref="H52" location="'Review decisions'!A9" tooltip="Open supporting passage or grouped review decision"/>
    <hyperlink ref="G53" location="'Sources'!A31" tooltip="Open supporting passage or grouped review decision"/>
    <hyperlink ref="G54" location="'Sources'!A31" tooltip="Open supporting passage or grouped review decision"/>
    <hyperlink ref="H54" location="'Review decisions'!A11" tooltip="Open supporting passage or grouped review decision"/>
    <hyperlink ref="G55" location="'Sources'!A31" tooltip="Open supporting passage or grouped review decision"/>
    <hyperlink ref="G56" location="'Sources'!A32" tooltip="Open supporting passage or grouped review decision"/>
    <hyperlink ref="H56" location="'Review decisions'!A9" tooltip="Open supporting passage or grouped review decision"/>
    <hyperlink ref="G57" location="'Sources'!A34" tooltip="Open supporting passage or grouped review decision"/>
    <hyperlink ref="H57" location="'Review decisions'!A9" tooltip="Open supporting passage or grouped review decision"/>
    <hyperlink ref="G58" location="'Sources'!A34" tooltip="Open supporting passage or grouped review decision"/>
    <hyperlink ref="G59" location="'Sources'!A34" tooltip="Open supporting passage or grouped review decision"/>
    <hyperlink ref="H59" location="'Review decisions'!A9" tooltip="Open supporting passage or grouped review decision"/>
    <hyperlink ref="G60" location="'Sources'!A35" tooltip="Open supporting passage or grouped review decision"/>
    <hyperlink ref="G61" location="'Sources'!A37" tooltip="Open supporting passage or grouped review decision"/>
    <hyperlink ref="G62" location="'Sources'!A37" tooltip="Open supporting passage or grouped review decision"/>
    <hyperlink ref="G63" location="'Sources'!A46" tooltip="Open supporting passage or grouped review decision"/>
    <hyperlink ref="G64" location="'Sources'!A38" tooltip="Open supporting passage or grouped review decision"/>
    <hyperlink ref="G65" location="'Sources'!A46" tooltip="Open supporting passage or grouped review decision"/>
  </hyperlinks>
  <pageMargins left="0.7" right="0.7" top="0.75" bottom="0.75" header="0.3" footer="0.3"/>
  <tableParts count="1">
    <tablePart ns1:id="R685580122b5c4113"/>
  </tableParts>
</worksheet>
</file>

<file path=xl/worksheets/sheet3.xml><?xml version="1.0" encoding="utf-8"?>
<worksheet xmlns="http://schemas.openxmlformats.org/spreadsheetml/2006/main" xmlns:ns1="http://schemas.openxmlformats.org/officeDocument/2006/relationships">
  <sheetViews>
    <sheetView showGridLines="0" workbookViewId="0" zoomScale="85">
      <pane ySplit="5" topLeftCell="C6" activePane="bottomRight" state="frozen" xSplit="2"/>
      <selection pane="bottomRight" activeCell="C6" sqref="C6"/>
    </sheetView>
  </sheetViews>
  <sheetFormatPr defaultRowHeight="15"/>
  <cols>
    <col min="1" max="1" width="19" hidden="0" customWidth="1"/>
    <col min="2" max="2" width="16" hidden="0" customWidth="1"/>
    <col min="3" max="3" width="31" hidden="0" customWidth="1"/>
    <col min="4" max="4" width="32" hidden="0" customWidth="1"/>
    <col min="5" max="5" width="34" hidden="0" customWidth="1"/>
    <col min="6" max="6" width="29" hidden="0" customWidth="1"/>
    <col min="7" max="7" width="36" hidden="0" customWidth="1"/>
    <col min="8" max="8" width="8" hidden="0" customWidth="1"/>
    <col min="9" max="9" width="22" hidden="0" customWidth="1"/>
    <col min="10" max="10" width="18" hidden="1" customWidth="1" outlineLevel="1"/>
    <col min="11" max="11" width="18" hidden="1" customWidth="1" outlineLevel="1"/>
    <col min="12" max="12" width="18" hidden="1" customWidth="1" outlineLevel="1"/>
    <col min="13" max="13" width="18" hidden="1" customWidth="1" outlineLevel="1"/>
    <col min="14" max="14" width="18" hidden="1" customWidth="1" outlineLevel="1"/>
    <col min="15" max="15" width="18" hidden="1" customWidth="1" outlineLevel="1"/>
    <col min="16" max="16" width="18" hidden="1" customWidth="1" outlineLevel="1"/>
    <col min="17" max="17" width="18" hidden="1" customWidth="1" outlineLevel="1"/>
    <col min="18" max="18" width="18" hidden="1" customWidth="1" outlineLevel="1"/>
    <col min="19" max="19" width="18" hidden="1" customWidth="1" outlineLevel="1"/>
    <col min="20" max="20" width="18" hidden="1" customWidth="1" outlineLevel="1"/>
    <col min="21" max="21" width="18" hidden="1" customWidth="1" outlineLevel="1"/>
    <col min="22" max="22" width="18" hidden="1" customWidth="1" outlineLevel="1"/>
    <col min="23" max="23" width="18" hidden="1" customWidth="1" outlineLevel="1"/>
    <col min="24" max="24" width="18" hidden="1" customWidth="1" outlineLevel="1"/>
    <col min="25" max="25" width="18" hidden="1" customWidth="1" outlineLevel="1"/>
    <col min="26" max="26" width="18" hidden="1" customWidth="1" outlineLevel="1"/>
    <col min="27" max="27" width="18" hidden="1" customWidth="1" outlineLevel="1"/>
    <col min="28" max="28" width="18" hidden="1" customWidth="1" outlineLevel="1"/>
    <col min="29" max="29" width="18" hidden="1" customWidth="1" outlineLevel="1"/>
    <col min="30" max="30" width="18" hidden="1" customWidth="1" outlineLevel="1"/>
    <col min="31" max="31" width="18" hidden="1" customWidth="1" outlineLevel="1"/>
    <col min="32" max="32" width="18" hidden="1" customWidth="1" outlineLevel="1"/>
    <col min="33" max="33" width="18" hidden="1" customWidth="1" outlineLevel="1"/>
  </cols>
  <sheetData>
    <row r="1" ht="34" customHeight="1">
      <c r="A1" s="3" t="str">
        <v>OFFERS &amp; CONDITIONS | One observation at a time</v>
      </c>
      <c r="B1" s="3"/>
      <c r="C1" s="3"/>
      <c r="D1" s="3"/>
      <c r="E1" s="3"/>
      <c r="F1" s="3"/>
      <c r="G1" s="3"/>
      <c r="H1" s="3"/>
      <c r="I1" s="3"/>
    </row>
    <row r="2" ht="21" customHeight="1">
      <c r="A2" s="8" t="str">
        <v>13 individual proposal/reaffirmation rows + one nine-bidder envelope + two document/condition checkpoints. Do not count the 16 display rows as 16 bids. Unknown cash settlement is not zero.</v>
      </c>
      <c r="B2" s="8"/>
      <c r="C2" s="8"/>
      <c r="D2" s="8"/>
      <c r="E2" s="8"/>
      <c r="F2" s="8"/>
      <c r="G2" s="8"/>
      <c r="H2" s="8"/>
      <c r="I2" s="8"/>
    </row>
    <row r="3" ht="21" customHeight="1">
      <c r="A3" s="8"/>
      <c r="B3" s="8"/>
      <c r="C3" s="8"/>
      <c r="D3" s="8"/>
      <c r="E3" s="8"/>
      <c r="F3" s="8"/>
      <c r="G3" s="8"/>
      <c r="H3" s="8"/>
      <c r="I3" s="8"/>
    </row>
    <row r="5" ht="30" customHeight="1">
      <c r="A5" s="19" t="str">
        <v>When</v>
      </c>
      <c r="B5" s="19" t="str">
        <v>Bidder</v>
      </c>
      <c r="C5" s="19" t="str">
        <v>Offer and change</v>
      </c>
      <c r="D5" s="19" t="str">
        <v>Formality — model assessment</v>
      </c>
      <c r="E5" s="19" t="str">
        <v>Completion conditions — assessment</v>
      </c>
      <c r="F5" s="19" t="str">
        <v>Other terms / interpretation</v>
      </c>
      <c r="G5" s="19" t="str">
        <v>Evidence — open source</v>
      </c>
      <c r="H5" s="19" t="str">
        <v>Review</v>
      </c>
      <c r="I5" s="19" t="str">
        <v>Human correction / note</v>
      </c>
      <c r="J5" s="19" t="str">
        <v>offer_id</v>
      </c>
      <c r="K5" s="19" t="str">
        <v>timeline_id</v>
      </c>
      <c r="L5" s="19" t="str">
        <v>round_number</v>
      </c>
      <c r="M5" s="19" t="str">
        <v>observation_kind</v>
      </c>
      <c r="N5" s="19" t="str">
        <v>previous_observation_id</v>
      </c>
      <c r="O5" s="19" t="str">
        <v>price_origin</v>
      </c>
      <c r="P5" s="19" t="str">
        <v>price_form</v>
      </c>
      <c r="Q5" s="19" t="str">
        <v>point_per_share</v>
      </c>
      <c r="R5" s="19" t="str">
        <v>individual_range_low</v>
      </c>
      <c r="S5" s="19" t="str">
        <v>individual_range_high</v>
      </c>
      <c r="T5" s="19" t="str">
        <v>group_envelope_low</v>
      </c>
      <c r="U5" s="19" t="str">
        <v>group_envelope_high</v>
      </c>
      <c r="V5" s="19" t="str">
        <v>fixed_cash_per_share</v>
      </c>
      <c r="W5" s="19" t="str">
        <v>stated_CVR_component</v>
      </c>
      <c r="X5" s="19" t="str">
        <v>currency</v>
      </c>
      <c r="Y5" s="19" t="str">
        <v>share_basis</v>
      </c>
      <c r="Z5" s="19" t="str">
        <v>settlement_medium</v>
      </c>
      <c r="AA5" s="19" t="str">
        <v>all_cash</v>
      </c>
      <c r="AB5" s="19" t="str">
        <v>assessed_formality</v>
      </c>
      <c r="AC5" s="19" t="str">
        <v>assessed_conditionality</v>
      </c>
      <c r="AD5" s="19" t="str">
        <v>individual_bid_eligible</v>
      </c>
      <c r="AE5" s="19" t="str">
        <v>individual_submission_or_reaffirmation</v>
      </c>
      <c r="AF5" s="19" t="str">
        <v>source_ids</v>
      </c>
      <c r="AG5" s="19" t="str">
        <v>source_document</v>
      </c>
    </row>
    <row r="6" ht="100" customHeight="1">
      <c r="A6" s="14" t="str">
        <v>05/19–06/01/2016</v>
      </c>
      <c r="B6" s="14" t="str">
        <v>Nine initial bidders (cohort)</v>
      </c>
      <c r="C6" s="14" t="str">
        <v>Group envelope
$17.93–$26.50 across nine IOIs</v>
      </c>
      <c r="D6" s="14" t="str">
        <v>Informal
High · Non-binding preliminary IOIs; no bidder-specific documents disclosed.</v>
      </c>
      <c r="E6" s="14" t="str">
        <v>Not assessable
High confidence in missingness · Individual conditions are not reported; do not invent nine identical condition profiles.</v>
      </c>
      <c r="F6" s="14" t="str">
        <v>Equity value envelope $90m–$134m. Common-equivalent shares after preferred conversion. Neither endpoint is assigned to a named bidder.</v>
      </c>
      <c r="G6" s="22" t="str">
        <v>BG-007 · p.28/29; BG-008 · p.29
“with offer prices per share ranging from $17.93 to $26.50”</v>
      </c>
      <c r="H6" s="22" t="str">
        <v>R2</v>
      </c>
      <c r="I6" s="30" t="str"/>
      <c r="J6" s="14" t="str">
        <v>O01</v>
      </c>
      <c r="K6" s="14" t="str">
        <v>T16</v>
      </c>
      <c r="L6" s="14" t="n">
        <v>1</v>
      </c>
      <c r="M6" s="14" t="str">
        <v>Group envelope</v>
      </c>
      <c r="N6" s="14" t="str"/>
      <c r="O6" s="14" t="str">
        <v>newly_stated</v>
      </c>
      <c r="P6" s="14" t="str">
        <v>group_envelope</v>
      </c>
      <c r="Q6" s="40"/>
      <c r="R6" s="40"/>
      <c r="S6" s="40"/>
      <c r="T6" s="40" t="n">
        <v>17.93</v>
      </c>
      <c r="U6" s="40" t="n">
        <v>26.5</v>
      </c>
      <c r="V6" s="40"/>
      <c r="W6" s="40"/>
      <c r="X6" s="14" t="str">
        <v>USD</v>
      </c>
      <c r="Y6" s="14" t="str">
        <v>Common equivalent after preferred conversion</v>
      </c>
      <c r="Z6" s="14" t="str">
        <v>not_disclosed</v>
      </c>
      <c r="AA6" s="14"/>
      <c r="AB6" s="14" t="str">
        <v>informal</v>
      </c>
      <c r="AC6" s="14" t="str">
        <v>not_assessable</v>
      </c>
      <c r="AD6" s="36" t="b">
        <v>0</v>
      </c>
      <c r="AE6" s="36" t="b">
        <v>0</v>
      </c>
      <c r="AF6" s="14" t="str">
        <v>BG-007|BG-008</v>
      </c>
      <c r="AG6" s="14" t="str">
        <v>providence-worcester_2016-09-20_DEFM14A.htm</v>
      </c>
    </row>
    <row r="7" ht="100" customHeight="1">
      <c r="A7" s="14" t="str">
        <v>07/12/2016</v>
      </c>
      <c r="B7" s="14" t="str">
        <v>Party C</v>
      </c>
      <c r="C7" s="14" t="str">
        <v>Initial proposal
$21.00 per share</v>
      </c>
      <c r="D7" s="14" t="str">
        <v>Informal
High · Initial IOI before data-room access and management presentation; no bidder markups disclosed.</v>
      </c>
      <c r="E7" s="14" t="str">
        <v>Heavy
Medium · Expanded diligence followed this initial IOI. Material evaluation remains; specific contractual conditions are not stated.</v>
      </c>
      <c r="F7" s="14" t="str">
        <v>Implied equity value $108m. Settlement medium not stated. Do not infer cash from strategic-buyer status.</v>
      </c>
      <c r="G7" s="22" t="str">
        <v>BG-011 · p.29
“Party C submitted an IOI with an offer price per share of $21.00”</v>
      </c>
      <c r="H7" s="22" t="str">
        <v>R4</v>
      </c>
      <c r="I7" s="30" t="str"/>
      <c r="J7" s="14" t="str">
        <v>O02</v>
      </c>
      <c r="K7" s="14" t="str">
        <v>T24</v>
      </c>
      <c r="L7" s="14" t="n">
        <v>2</v>
      </c>
      <c r="M7" s="14" t="str">
        <v>Initial proposal</v>
      </c>
      <c r="N7" s="14" t="str"/>
      <c r="O7" s="14" t="str">
        <v>newly_stated</v>
      </c>
      <c r="P7" s="14" t="str">
        <v>point</v>
      </c>
      <c r="Q7" s="40" t="n">
        <v>21</v>
      </c>
      <c r="R7" s="40"/>
      <c r="S7" s="40"/>
      <c r="T7" s="40"/>
      <c r="U7" s="40"/>
      <c r="V7" s="40"/>
      <c r="W7" s="40"/>
      <c r="X7" s="14" t="str">
        <v>USD</v>
      </c>
      <c r="Y7" s="14" t="str">
        <v>Common equivalent after preferred conversion</v>
      </c>
      <c r="Z7" s="14" t="str">
        <v>not_disclosed</v>
      </c>
      <c r="AA7" s="14"/>
      <c r="AB7" s="14" t="str">
        <v>informal</v>
      </c>
      <c r="AC7" s="14" t="str">
        <v>heavy</v>
      </c>
      <c r="AD7" s="36" t="b">
        <v>1</v>
      </c>
      <c r="AE7" s="36" t="b">
        <v>1</v>
      </c>
      <c r="AF7" s="14" t="str">
        <v>BG-011</v>
      </c>
      <c r="AG7" s="14" t="str">
        <v>providence-worcester_2016-09-20_DEFM14A.htm</v>
      </c>
    </row>
    <row r="8" ht="100" customHeight="1">
      <c r="A8" s="14" t="str">
        <v>07/21/2016</v>
      </c>
      <c r="B8" s="14" t="str">
        <v>G&amp;W</v>
      </c>
      <c r="C8" s="14" t="str">
        <v>Initial LOI
$21.15 package = $20.02 cash + $1.13 CVR</v>
      </c>
      <c r="D8" s="14" t="str">
        <v>Formal
High · Bidder returned merger/voting markups and a disclosure-letter markup despite non-binding LOI wording.</v>
      </c>
      <c r="E8" s="14" t="str">
        <v>Heavy
High · Three-week exclusive diligence requested; common transaction-expense/control-payment assumptions could reprice the offer.</v>
      </c>
      <c r="F8" s="14" t="str">
        <v>Exclusivity requested, not granted. CVR tied to South Quay property sale; stated CVR value is not guaranteed closing cash. CVR settlement medium not expressly disclosed.</v>
      </c>
      <c r="G8" s="22" t="str">
        <v>BG-012 · p.29; BG-014 · p.29; BG-019 · p.30
“The price included $20.02 cash at closing and $1.13 in the form of a contingent value right”</v>
      </c>
      <c r="H8" s="22" t="str">
        <v>R4
R5</v>
      </c>
      <c r="I8" s="30" t="str"/>
      <c r="J8" s="14" t="str">
        <v>O03</v>
      </c>
      <c r="K8" s="14" t="str">
        <v>T27</v>
      </c>
      <c r="L8" s="14" t="n">
        <v>2</v>
      </c>
      <c r="M8" s="14" t="str">
        <v>Initial LOI</v>
      </c>
      <c r="N8" s="14" t="str"/>
      <c r="O8" s="14" t="str">
        <v>newly_stated</v>
      </c>
      <c r="P8" s="14" t="str">
        <v>point</v>
      </c>
      <c r="Q8" s="40" t="n">
        <v>21.15</v>
      </c>
      <c r="R8" s="40"/>
      <c r="S8" s="40"/>
      <c r="T8" s="40"/>
      <c r="U8" s="40"/>
      <c r="V8" s="40" t="n">
        <v>20.02</v>
      </c>
      <c r="W8" s="40" t="n">
        <v>1.13</v>
      </c>
      <c r="X8" s="14" t="str">
        <v>USD</v>
      </c>
      <c r="Y8" s="14" t="str">
        <v>Common equivalent after preferred conversion</v>
      </c>
      <c r="Z8" s="14" t="str">
        <v>cash_plus_CVR_settlement_unspecified</v>
      </c>
      <c r="AA8" s="14"/>
      <c r="AB8" s="14" t="str">
        <v>formal</v>
      </c>
      <c r="AC8" s="14" t="str">
        <v>heavy</v>
      </c>
      <c r="AD8" s="36" t="b">
        <v>1</v>
      </c>
      <c r="AE8" s="36" t="b">
        <v>1</v>
      </c>
      <c r="AF8" s="14" t="str">
        <v>BG-012|BG-014|BG-019</v>
      </c>
      <c r="AG8" s="14" t="str">
        <v>providence-worcester_2016-09-20_DEFM14A.htm</v>
      </c>
    </row>
    <row r="9" ht="100" customHeight="1">
      <c r="A9" s="14" t="str">
        <v>Late July; before selection</v>
      </c>
      <c r="B9" s="14" t="str">
        <v>Party B</v>
      </c>
      <c r="C9" s="14" t="str">
        <v>Initial LOI
$24.00 per share</v>
      </c>
      <c r="D9" s="14" t="str">
        <v>Formal
High · Actual merger/voting agreement markups accompany the LOI.</v>
      </c>
      <c r="E9" s="14" t="str">
        <v>Heavy
Medium · Expedited diligence is still unresolved diligence; common price-adjustment assumptions are material. Light is a plausible alternative, not none.</v>
      </c>
      <c r="F9" s="14" t="str">
        <v>Requested expedited review; no stated duration, exclusivity grant or financing guarantee. Cash settlement not separately stated.</v>
      </c>
      <c r="G9" s="22" t="str">
        <v>BG-012 · p.29; BG-013 · p.29; BG-019 · p.30
“a price of $24.00 per share (subject to an expedited diligence review)”</v>
      </c>
      <c r="H9" s="22" t="str">
        <v>R4</v>
      </c>
      <c r="I9" s="30" t="str"/>
      <c r="J9" s="14" t="str">
        <v>O04</v>
      </c>
      <c r="K9" s="14" t="str">
        <v>T28</v>
      </c>
      <c r="L9" s="14" t="n">
        <v>2</v>
      </c>
      <c r="M9" s="14" t="str">
        <v>Initial LOI</v>
      </c>
      <c r="N9" s="14" t="str"/>
      <c r="O9" s="14" t="str">
        <v>newly_stated</v>
      </c>
      <c r="P9" s="14" t="str">
        <v>point</v>
      </c>
      <c r="Q9" s="40" t="n">
        <v>24</v>
      </c>
      <c r="R9" s="40"/>
      <c r="S9" s="40"/>
      <c r="T9" s="40"/>
      <c r="U9" s="40"/>
      <c r="V9" s="40"/>
      <c r="W9" s="40"/>
      <c r="X9" s="14" t="str">
        <v>USD</v>
      </c>
      <c r="Y9" s="14" t="str">
        <v>Common equivalent after preferred conversion</v>
      </c>
      <c r="Z9" s="14" t="str">
        <v>not_disclosed</v>
      </c>
      <c r="AA9" s="14"/>
      <c r="AB9" s="14" t="str">
        <v>formal</v>
      </c>
      <c r="AC9" s="14" t="str">
        <v>heavy</v>
      </c>
      <c r="AD9" s="36" t="b">
        <v>1</v>
      </c>
      <c r="AE9" s="36" t="b">
        <v>1</v>
      </c>
      <c r="AF9" s="14" t="str">
        <v>BG-012|BG-013|BG-019</v>
      </c>
      <c r="AG9" s="14" t="str">
        <v>providence-worcester_2016-09-20_DEFM14A.htm</v>
      </c>
    </row>
    <row r="10" ht="100" customHeight="1">
      <c r="A10" s="14" t="str">
        <v>Late July; before selection</v>
      </c>
      <c r="B10" s="14" t="str">
        <v>Party E</v>
      </c>
      <c r="C10" s="14" t="str">
        <v>Initial LOI
$21.26 per share</v>
      </c>
      <c r="D10" s="14" t="str">
        <v>Formal
Medium · Substantive proposed merger/voting changes show engagement with terms. Informal is a defensible alternative because only an issues summary, not full markups, is disclosed.</v>
      </c>
      <c r="E10" s="14" t="str">
        <v>Heavy
High · Sixty-day exclusivity requested for diligence and definitive-document negotiations; common repricing assumptions also remain.</v>
      </c>
      <c r="F10" s="14" t="str">
        <v>Formality interpretation is provisional (R4), not settled by the bidder being in round 2. Exclusivity alone does not cause the heavy classification.</v>
      </c>
      <c r="G10" s="22" t="str">
        <v>BG-012 · p.29; BG-015 · p.30; BG-019 · p.30
“subject to a 60-day exclusivity period for due diligence and negotiation of definitive documentation”</v>
      </c>
      <c r="H10" s="22" t="str">
        <v>R4</v>
      </c>
      <c r="I10" s="30" t="str"/>
      <c r="J10" s="14" t="str">
        <v>O05</v>
      </c>
      <c r="K10" s="14" t="str">
        <v>T29</v>
      </c>
      <c r="L10" s="14" t="n">
        <v>2</v>
      </c>
      <c r="M10" s="14" t="str">
        <v>Initial LOI</v>
      </c>
      <c r="N10" s="14" t="str"/>
      <c r="O10" s="14" t="str">
        <v>newly_stated</v>
      </c>
      <c r="P10" s="14" t="str">
        <v>point</v>
      </c>
      <c r="Q10" s="40" t="n">
        <v>21.26</v>
      </c>
      <c r="R10" s="40"/>
      <c r="S10" s="40"/>
      <c r="T10" s="40"/>
      <c r="U10" s="40"/>
      <c r="V10" s="40"/>
      <c r="W10" s="40"/>
      <c r="X10" s="14" t="str">
        <v>USD</v>
      </c>
      <c r="Y10" s="14" t="str">
        <v>Common equivalent after preferred conversion</v>
      </c>
      <c r="Z10" s="14" t="str">
        <v>not_disclosed</v>
      </c>
      <c r="AA10" s="14"/>
      <c r="AB10" s="14" t="str">
        <v>formal</v>
      </c>
      <c r="AC10" s="14" t="str">
        <v>heavy</v>
      </c>
      <c r="AD10" s="36" t="b">
        <v>1</v>
      </c>
      <c r="AE10" s="36" t="b">
        <v>1</v>
      </c>
      <c r="AF10" s="14" t="str">
        <v>BG-012|BG-015|BG-019</v>
      </c>
      <c r="AG10" s="14" t="str">
        <v>providence-worcester_2016-09-20_DEFM14A.htm</v>
      </c>
    </row>
    <row r="11" ht="100" customHeight="1">
      <c r="A11" s="14" t="str">
        <v>Late July; before selection</v>
      </c>
      <c r="B11" s="14" t="str">
        <v>Party D</v>
      </c>
      <c r="C11" s="14" t="str">
        <v>Initial LOI
$21.00 per share</v>
      </c>
      <c r="D11" s="14" t="str">
        <v>Formal
High · Actual merger/voting markups accompany the LOI; bidder is financial.</v>
      </c>
      <c r="E11" s="14" t="str">
        <v>Heavy
High · Four-week diligence requirement and common potential repricing assumptions.</v>
      </c>
      <c r="F11" s="14" t="str">
        <v>Financing commitment/contingency not disclosed. Do not read financial-bidder status as cash-only or guaranteed financing.</v>
      </c>
      <c r="G11" s="22" t="str">
        <v>BG-012 · p.29; BG-016 · p.30; BG-019 · p.30
“Party D (a financial buyer) submitted an LOI”</v>
      </c>
      <c r="H11" s="22" t="str">
        <v>R4</v>
      </c>
      <c r="I11" s="30" t="str"/>
      <c r="J11" s="14" t="str">
        <v>O06</v>
      </c>
      <c r="K11" s="14" t="str">
        <v>T30</v>
      </c>
      <c r="L11" s="14" t="n">
        <v>2</v>
      </c>
      <c r="M11" s="14" t="str">
        <v>Initial LOI</v>
      </c>
      <c r="N11" s="14" t="str"/>
      <c r="O11" s="14" t="str">
        <v>newly_stated</v>
      </c>
      <c r="P11" s="14" t="str">
        <v>point</v>
      </c>
      <c r="Q11" s="40" t="n">
        <v>21</v>
      </c>
      <c r="R11" s="40"/>
      <c r="S11" s="40"/>
      <c r="T11" s="40"/>
      <c r="U11" s="40"/>
      <c r="V11" s="40"/>
      <c r="W11" s="40"/>
      <c r="X11" s="14" t="str">
        <v>USD</v>
      </c>
      <c r="Y11" s="14" t="str">
        <v>Common equivalent after preferred conversion</v>
      </c>
      <c r="Z11" s="14" t="str">
        <v>not_disclosed</v>
      </c>
      <c r="AA11" s="14"/>
      <c r="AB11" s="14" t="str">
        <v>formal</v>
      </c>
      <c r="AC11" s="14" t="str">
        <v>heavy</v>
      </c>
      <c r="AD11" s="36" t="b">
        <v>1</v>
      </c>
      <c r="AE11" s="36" t="b">
        <v>1</v>
      </c>
      <c r="AF11" s="14" t="str">
        <v>BG-012|BG-016|BG-019</v>
      </c>
      <c r="AG11" s="14" t="str">
        <v>providence-worcester_2016-09-20_DEFM14A.htm</v>
      </c>
    </row>
    <row r="12" ht="100" customHeight="1">
      <c r="A12" s="14" t="str">
        <v>Late July; before selection</v>
      </c>
      <c r="B12" s="14" t="str">
        <v>Party C</v>
      </c>
      <c r="C12" s="14" t="str">
        <v>Price revision
$19.30, down from $21.00</v>
      </c>
      <c r="D12" s="14" t="str">
        <v>Informal
Medium · No submitted markup is disclosed; preliminary LOI and a fresh 30-day review remain. Finality cannot be inferred from the calendar.</v>
      </c>
      <c r="E12" s="14" t="str">
        <v>Heavy
High · Thirty-day diligence plus common price assumptions can affect price/completion.</v>
      </c>
      <c r="F12" s="14" t="str">
        <v>Price reduction is reported. Its motive is not disclosed; do not invent adverse diligence findings.</v>
      </c>
      <c r="G12" s="22" t="str">
        <v>BG-017 · p.30; BG-019 · p.30
“a price of $19.30 per share (subject to a 30-day diligence period)”</v>
      </c>
      <c r="H12" s="22" t="str">
        <v>R4</v>
      </c>
      <c r="I12" s="30" t="str"/>
      <c r="J12" s="14" t="str">
        <v>O07</v>
      </c>
      <c r="K12" s="14" t="str">
        <v>T31</v>
      </c>
      <c r="L12" s="14" t="n">
        <v>2</v>
      </c>
      <c r="M12" s="14" t="str">
        <v>Price revision</v>
      </c>
      <c r="N12" s="14" t="str">
        <v>O02</v>
      </c>
      <c r="O12" s="14" t="str">
        <v>newly_stated</v>
      </c>
      <c r="P12" s="14" t="str">
        <v>point</v>
      </c>
      <c r="Q12" s="40" t="n">
        <v>19.3</v>
      </c>
      <c r="R12" s="40"/>
      <c r="S12" s="40"/>
      <c r="T12" s="40"/>
      <c r="U12" s="40"/>
      <c r="V12" s="40"/>
      <c r="W12" s="40"/>
      <c r="X12" s="14" t="str">
        <v>USD</v>
      </c>
      <c r="Y12" s="14" t="str">
        <v>Common equivalent after preferred conversion</v>
      </c>
      <c r="Z12" s="14" t="str">
        <v>not_disclosed</v>
      </c>
      <c r="AA12" s="14"/>
      <c r="AB12" s="14" t="str">
        <v>informal</v>
      </c>
      <c r="AC12" s="14" t="str">
        <v>heavy</v>
      </c>
      <c r="AD12" s="36" t="b">
        <v>1</v>
      </c>
      <c r="AE12" s="36" t="b">
        <v>1</v>
      </c>
      <c r="AF12" s="14" t="str">
        <v>BG-017|BG-019</v>
      </c>
      <c r="AG12" s="14" t="str">
        <v>providence-worcester_2016-09-20_DEFM14A.htm</v>
      </c>
    </row>
    <row r="13" ht="100" customHeight="1">
      <c r="A13" s="14" t="str">
        <v>Late July; before selection</v>
      </c>
      <c r="B13" s="14" t="str">
        <v>Party F</v>
      </c>
      <c r="C13" s="14" t="str">
        <v>Initial LOI
$19.20 per share</v>
      </c>
      <c r="D13" s="14" t="str">
        <v>Informal
Medium · No bidder markup disclosed; preliminary LOI with remaining substantial diligence.</v>
      </c>
      <c r="E13" s="14" t="str">
        <v>Heavy
High · Thirty-day diligence plus common price-adjustment assumptions.</v>
      </c>
      <c r="F13" s="14" t="str">
        <v>Party F is explicitly strategic. Its later support for E is not a retrospective mixed bidding group.</v>
      </c>
      <c r="G13" s="22" t="str">
        <v>BG-018 · p.30; BG-019 · p.30
“Party F (a strategic buyer) submitted an LOI”</v>
      </c>
      <c r="H13" s="22" t="str">
        <v>R4</v>
      </c>
      <c r="I13" s="30" t="str"/>
      <c r="J13" s="14" t="str">
        <v>O08</v>
      </c>
      <c r="K13" s="14" t="str">
        <v>T32</v>
      </c>
      <c r="L13" s="14" t="n">
        <v>2</v>
      </c>
      <c r="M13" s="14" t="str">
        <v>Initial LOI</v>
      </c>
      <c r="N13" s="14" t="str"/>
      <c r="O13" s="14" t="str">
        <v>newly_stated</v>
      </c>
      <c r="P13" s="14" t="str">
        <v>point</v>
      </c>
      <c r="Q13" s="40" t="n">
        <v>19.2</v>
      </c>
      <c r="R13" s="40"/>
      <c r="S13" s="40"/>
      <c r="T13" s="40"/>
      <c r="U13" s="40"/>
      <c r="V13" s="40"/>
      <c r="W13" s="40"/>
      <c r="X13" s="14" t="str">
        <v>USD</v>
      </c>
      <c r="Y13" s="14" t="str">
        <v>Common equivalent after preferred conversion</v>
      </c>
      <c r="Z13" s="14" t="str">
        <v>not_disclosed</v>
      </c>
      <c r="AA13" s="14"/>
      <c r="AB13" s="14" t="str">
        <v>informal</v>
      </c>
      <c r="AC13" s="14" t="str">
        <v>heavy</v>
      </c>
      <c r="AD13" s="36" t="b">
        <v>1</v>
      </c>
      <c r="AE13" s="36" t="b">
        <v>1</v>
      </c>
      <c r="AF13" s="14" t="str">
        <v>BG-018|BG-019</v>
      </c>
      <c r="AG13" s="14" t="str">
        <v>providence-worcester_2016-09-20_DEFM14A.htm</v>
      </c>
    </row>
    <row r="14" ht="100" customHeight="1">
      <c r="A14" s="14" t="str">
        <v>07/26/2016</v>
      </c>
      <c r="B14" s="14" t="str">
        <v>G&amp;W</v>
      </c>
      <c r="C14" s="14" t="str">
        <v>Price revision
$22.15 package = $21.02 cash + $1.13 CVR</v>
      </c>
      <c r="D14" s="14" t="str">
        <v>Formal
High · Continuing revision of the markup-backed July 21 offer.</v>
      </c>
      <c r="E14" s="14" t="str">
        <v>Heavy
Medium/high · Same CVR and ongoing diligence context; no removal of earlier conditions reported.</v>
      </c>
      <c r="F14" s="14" t="str">
        <v>Responds to price/CVR competitiveness feedback. Exclusivity request carried forward by continuity, not newly reported or granted.</v>
      </c>
      <c r="G14" s="22" t="str">
        <v>BG-014 · p.29; BG-019 · p.30
“increased its offer to $22.15 per share (including $21.02 in cash and $1.13 CVR)”</v>
      </c>
      <c r="H14" s="22" t="str">
        <v>R4
R5</v>
      </c>
      <c r="I14" s="30" t="str"/>
      <c r="J14" s="14" t="str">
        <v>O09</v>
      </c>
      <c r="K14" s="14" t="str">
        <v>T34</v>
      </c>
      <c r="L14" s="14" t="n">
        <v>2</v>
      </c>
      <c r="M14" s="14" t="str">
        <v>Price revision</v>
      </c>
      <c r="N14" s="14" t="str">
        <v>O03</v>
      </c>
      <c r="O14" s="14" t="str">
        <v>newly_stated</v>
      </c>
      <c r="P14" s="14" t="str">
        <v>point</v>
      </c>
      <c r="Q14" s="40" t="n">
        <v>22.15</v>
      </c>
      <c r="R14" s="40"/>
      <c r="S14" s="40"/>
      <c r="T14" s="40"/>
      <c r="U14" s="40"/>
      <c r="V14" s="40" t="n">
        <v>21.02</v>
      </c>
      <c r="W14" s="40" t="n">
        <v>1.13</v>
      </c>
      <c r="X14" s="14" t="str">
        <v>USD</v>
      </c>
      <c r="Y14" s="14" t="str">
        <v>Common equivalent after preferred conversion</v>
      </c>
      <c r="Z14" s="14" t="str">
        <v>cash_plus_CVR_settlement_unspecified</v>
      </c>
      <c r="AA14" s="14"/>
      <c r="AB14" s="14" t="str">
        <v>formal</v>
      </c>
      <c r="AC14" s="14" t="str">
        <v>heavy</v>
      </c>
      <c r="AD14" s="36" t="b">
        <v>1</v>
      </c>
      <c r="AE14" s="36" t="b">
        <v>1</v>
      </c>
      <c r="AF14" s="14" t="str">
        <v>BG-014|BG-019</v>
      </c>
      <c r="AG14" s="14" t="str">
        <v>providence-worcester_2016-09-20_DEFM14A.htm</v>
      </c>
    </row>
    <row r="15" ht="100" customHeight="1">
      <c r="A15" s="14" t="str">
        <v>08/01/2016</v>
      </c>
      <c r="B15" s="14" t="str">
        <v>Party D</v>
      </c>
      <c r="C15" s="14" t="str">
        <v>Re-entry price revision
$24.00, up from $21.00</v>
      </c>
      <c r="D15" s="14" t="str">
        <v>Formal
Medium/high · Continuing revision of an offer already backed by merger/voting markups.</v>
      </c>
      <c r="E15" s="14" t="str">
        <v>Heavy
High · Thirty-day diligence is expressly required. No assurance of completion should be inferred from the price increase.</v>
      </c>
      <c r="F15" s="14" t="str">
        <v>Round 3 preferred: re-entry against selected finalists. Fable's earlier-round response mapping is an alternative (R1).</v>
      </c>
      <c r="G15" s="22" t="str">
        <v>BG-021 · p.30
“Party D submitted a revised LOI at a price of $24.00 per share”</v>
      </c>
      <c r="H15" s="22" t="str">
        <v>R1
R4</v>
      </c>
      <c r="I15" s="30" t="str"/>
      <c r="J15" s="14" t="str">
        <v>O10</v>
      </c>
      <c r="K15" s="14" t="str">
        <v>T40</v>
      </c>
      <c r="L15" s="14" t="n">
        <v>3</v>
      </c>
      <c r="M15" s="14" t="str">
        <v>Re-entry price revision</v>
      </c>
      <c r="N15" s="14" t="str">
        <v>O06</v>
      </c>
      <c r="O15" s="14" t="str">
        <v>newly_stated</v>
      </c>
      <c r="P15" s="14" t="str">
        <v>point</v>
      </c>
      <c r="Q15" s="40" t="n">
        <v>24</v>
      </c>
      <c r="R15" s="40"/>
      <c r="S15" s="40"/>
      <c r="T15" s="40"/>
      <c r="U15" s="40"/>
      <c r="V15" s="40"/>
      <c r="W15" s="40"/>
      <c r="X15" s="14" t="str">
        <v>USD</v>
      </c>
      <c r="Y15" s="14" t="str">
        <v>Common equivalent after preferred conversion</v>
      </c>
      <c r="Z15" s="14" t="str">
        <v>not_disclosed</v>
      </c>
      <c r="AA15" s="14"/>
      <c r="AB15" s="14" t="str">
        <v>formal</v>
      </c>
      <c r="AC15" s="14" t="str">
        <v>heavy</v>
      </c>
      <c r="AD15" s="36" t="b">
        <v>1</v>
      </c>
      <c r="AE15" s="36" t="b">
        <v>1</v>
      </c>
      <c r="AF15" s="14" t="str">
        <v>BG-021</v>
      </c>
      <c r="AG15" s="14" t="str">
        <v>providence-worcester_2016-09-20_DEFM14A.htm</v>
      </c>
    </row>
    <row r="16" ht="100" customHeight="1">
      <c r="A16" s="14" t="str">
        <v>08/01/2016</v>
      </c>
      <c r="B16" s="14" t="str">
        <v>Party E</v>
      </c>
      <c r="C16" s="14" t="str">
        <v>Re-entry price revision
$23.81, up from $21.26</v>
      </c>
      <c r="D16" s="14" t="str">
        <v>Formal
Medium · Same provisionally formal issues-backed offer history; no new full markup is expressly described.</v>
      </c>
      <c r="E16" s="14" t="str">
        <v>Heavy
High · Thirty-day diligence remains. Financing support from F is not a disclosed unconditional funding commitment.</v>
      </c>
      <c r="F16" s="14" t="str">
        <v>Record F as financing supporter, not co-bidder. Withdrawal the next day is a later outcome, not evidence of an Aug 1 condition.</v>
      </c>
      <c r="G16" s="22" t="str">
        <v>BG-021 · p.30
“along with financing support, from Party F, at a price of $23.81 per share.”</v>
      </c>
      <c r="H16" s="22" t="str">
        <v>R1
R4
R6</v>
      </c>
      <c r="I16" s="30" t="str"/>
      <c r="J16" s="14" t="str">
        <v>O11</v>
      </c>
      <c r="K16" s="14" t="str">
        <v>T41</v>
      </c>
      <c r="L16" s="14" t="n">
        <v>3</v>
      </c>
      <c r="M16" s="14" t="str">
        <v>Re-entry price revision</v>
      </c>
      <c r="N16" s="14" t="str">
        <v>O05</v>
      </c>
      <c r="O16" s="14" t="str">
        <v>newly_stated</v>
      </c>
      <c r="P16" s="14" t="str">
        <v>point</v>
      </c>
      <c r="Q16" s="40" t="n">
        <v>23.81</v>
      </c>
      <c r="R16" s="40"/>
      <c r="S16" s="40"/>
      <c r="T16" s="40"/>
      <c r="U16" s="40"/>
      <c r="V16" s="40"/>
      <c r="W16" s="40"/>
      <c r="X16" s="14" t="str">
        <v>USD</v>
      </c>
      <c r="Y16" s="14" t="str">
        <v>Common equivalent after preferred conversion</v>
      </c>
      <c r="Z16" s="14" t="str">
        <v>not_disclosed</v>
      </c>
      <c r="AA16" s="14"/>
      <c r="AB16" s="14" t="str">
        <v>formal</v>
      </c>
      <c r="AC16" s="14" t="str">
        <v>heavy</v>
      </c>
      <c r="AD16" s="36" t="b">
        <v>1</v>
      </c>
      <c r="AE16" s="36" t="b">
        <v>1</v>
      </c>
      <c r="AF16" s="14" t="str">
        <v>BG-021</v>
      </c>
      <c r="AG16" s="14" t="str">
        <v>providence-worcester_2016-09-20_DEFM14A.htm</v>
      </c>
    </row>
    <row r="17" ht="100" customHeight="1">
      <c r="A17" s="14" t="str">
        <v>08/02/2016</v>
      </c>
      <c r="B17" s="14" t="str">
        <v>Party E</v>
      </c>
      <c r="C17" s="14" t="str">
        <v>Withdrawal and reversion
$21.26 original proposal restored</v>
      </c>
      <c r="D17" s="14" t="str">
        <v>Formal
Medium · Explicit confirmation restores the original proposal; retains that proposal's provisional formality.</v>
      </c>
      <c r="E17" s="14" t="str">
        <v>Heavy
Medium · Earlier 60-day diligence/exclusivity and open documentation are carried forward as an inference; the Aug 2 sentence does not restate them.</v>
      </c>
      <c r="F17" s="14" t="str">
        <v>Replaces withdrawn $23.81 version. Not withdrawal from all participation. Continued negotiations after reversion are not disclosed.</v>
      </c>
      <c r="G17" s="22" t="str">
        <v>BG-021 · p.30
“but confirmed its original proposal of $21.26 per share”</v>
      </c>
      <c r="H17" s="22" t="str">
        <v>R1
R4
R6</v>
      </c>
      <c r="I17" s="30" t="str"/>
      <c r="J17" s="14" t="str">
        <v>O12</v>
      </c>
      <c r="K17" s="14" t="str">
        <v>T43</v>
      </c>
      <c r="L17" s="14" t="n">
        <v>3</v>
      </c>
      <c r="M17" s="14" t="str">
        <v>Withdrawal and reversion</v>
      </c>
      <c r="N17" s="14" t="str">
        <v>O11</v>
      </c>
      <c r="O17" s="14" t="str">
        <v>newly_reaffirmed</v>
      </c>
      <c r="P17" s="14" t="str">
        <v>point</v>
      </c>
      <c r="Q17" s="40" t="n">
        <v>21.26</v>
      </c>
      <c r="R17" s="40"/>
      <c r="S17" s="40"/>
      <c r="T17" s="40"/>
      <c r="U17" s="40"/>
      <c r="V17" s="40"/>
      <c r="W17" s="40"/>
      <c r="X17" s="14" t="str">
        <v>USD</v>
      </c>
      <c r="Y17" s="14" t="str">
        <v>Common equivalent after preferred conversion</v>
      </c>
      <c r="Z17" s="14" t="str">
        <v>not_disclosed</v>
      </c>
      <c r="AA17" s="14"/>
      <c r="AB17" s="14" t="str">
        <v>formal</v>
      </c>
      <c r="AC17" s="14" t="str">
        <v>heavy</v>
      </c>
      <c r="AD17" s="36" t="b">
        <v>1</v>
      </c>
      <c r="AE17" s="36" t="b">
        <v>1</v>
      </c>
      <c r="AF17" s="14" t="str">
        <v>BG-021</v>
      </c>
      <c r="AG17" s="14" t="str">
        <v>providence-worcester_2016-09-20_DEFM14A.htm</v>
      </c>
    </row>
    <row r="18" ht="100" customHeight="1">
      <c r="A18" s="14" t="str">
        <v>After 08/01; exact day undisclosed</v>
      </c>
      <c r="B18" s="14" t="str">
        <v>Party D</v>
      </c>
      <c r="C18" s="14" t="str">
        <v>Conditions checkpoint
$24.00 carried forward; no new price</v>
      </c>
      <c r="D18" s="14" t="str">
        <v>Formal
Medium/high · Documentation-backed proposal remains the reference; this row records its changed/clarified condition.</v>
      </c>
      <c r="E18" s="14" t="str">
        <v>Heavy
High · Requested no signing with rivals during 30-day diligence; target refused and D would not continue diligence at that time.</v>
      </c>
      <c r="F18" s="14" t="str">
        <v>Not a new priced submission. Keep a terms observation and the withdrawal sequence; do not code Aug 2 as an expressly reported date for D.</v>
      </c>
      <c r="G18" s="22" t="str">
        <v>BG-021 · p.30
“requested that the Company commit that it would not enter into an agreement with another bidder during its 30-day due diligence period.”</v>
      </c>
      <c r="H18" s="22" t="str">
        <v>R6</v>
      </c>
      <c r="I18" s="30" t="str"/>
      <c r="J18" s="14" t="str">
        <v>O13</v>
      </c>
      <c r="K18" s="14" t="str">
        <v>T44</v>
      </c>
      <c r="L18" s="14" t="n">
        <v>3</v>
      </c>
      <c r="M18" s="14" t="str">
        <v>Conditions checkpoint</v>
      </c>
      <c r="N18" s="14" t="str">
        <v>O10</v>
      </c>
      <c r="O18" s="14" t="str">
        <v>carried_forward</v>
      </c>
      <c r="P18" s="14" t="str">
        <v>point</v>
      </c>
      <c r="Q18" s="40" t="n">
        <v>24</v>
      </c>
      <c r="R18" s="40"/>
      <c r="S18" s="40"/>
      <c r="T18" s="40"/>
      <c r="U18" s="40"/>
      <c r="V18" s="40"/>
      <c r="W18" s="40"/>
      <c r="X18" s="14" t="str">
        <v>USD</v>
      </c>
      <c r="Y18" s="14" t="str">
        <v>Common equivalent after preferred conversion</v>
      </c>
      <c r="Z18" s="14" t="str">
        <v>not_disclosed</v>
      </c>
      <c r="AA18" s="14"/>
      <c r="AB18" s="14" t="str">
        <v>formal</v>
      </c>
      <c r="AC18" s="14" t="str">
        <v>heavy</v>
      </c>
      <c r="AD18" s="36" t="b">
        <v>0</v>
      </c>
      <c r="AE18" s="36" t="b">
        <v>0</v>
      </c>
      <c r="AF18" s="14" t="str">
        <v>BG-021</v>
      </c>
      <c r="AG18" s="14" t="str">
        <v>providence-worcester_2016-09-20_DEFM14A.htm</v>
      </c>
    </row>
    <row r="19" ht="100" customHeight="1">
      <c r="A19" s="14" t="str">
        <v>08/04/2016</v>
      </c>
      <c r="B19" s="14" t="str">
        <v>Party B</v>
      </c>
      <c r="C19" s="14" t="str">
        <v>Document checkpoint
$24.00 carried forward; no new price</v>
      </c>
      <c r="D19" s="14" t="str">
        <v>Formal
High · B's counsel returned a revised merger draft; formal status already existed in the July LOI.</v>
      </c>
      <c r="E19" s="14" t="str">
        <v>Heavy
Medium · Ongoing on-site diligence is positively disclosed. Light is arguable given confirmatory language; no source proves unconditionality.</v>
      </c>
      <c r="F19" s="14" t="str">
        <v>Not execution, not a new expressly quoted $24, and not a demonstrated informal-to-formal upgrade. A substantive commitment revision is not established.</v>
      </c>
      <c r="G19" s="22" t="str">
        <v>BG-013 · p.29; BG-022 · p.30/31; BG-023 · p.31
“legal counsel for Party B provided a revised draft of the merger agreement”</v>
      </c>
      <c r="H19" s="22" t="str">
        <v>R4</v>
      </c>
      <c r="I19" s="30" t="str"/>
      <c r="J19" s="14" t="str">
        <v>O14</v>
      </c>
      <c r="K19" s="14" t="str">
        <v>T47</v>
      </c>
      <c r="L19" s="14" t="n">
        <v>3</v>
      </c>
      <c r="M19" s="14" t="str">
        <v>Document checkpoint</v>
      </c>
      <c r="N19" s="14" t="str">
        <v>O04</v>
      </c>
      <c r="O19" s="14" t="str">
        <v>carried_forward</v>
      </c>
      <c r="P19" s="14" t="str">
        <v>point</v>
      </c>
      <c r="Q19" s="40" t="n">
        <v>24</v>
      </c>
      <c r="R19" s="40"/>
      <c r="S19" s="40"/>
      <c r="T19" s="40"/>
      <c r="U19" s="40"/>
      <c r="V19" s="40"/>
      <c r="W19" s="40"/>
      <c r="X19" s="14" t="str">
        <v>USD</v>
      </c>
      <c r="Y19" s="14" t="str">
        <v>Common equivalent after preferred conversion</v>
      </c>
      <c r="Z19" s="14" t="str">
        <v>not_disclosed</v>
      </c>
      <c r="AA19" s="14"/>
      <c r="AB19" s="14" t="str">
        <v>formal</v>
      </c>
      <c r="AC19" s="14" t="str">
        <v>heavy</v>
      </c>
      <c r="AD19" s="36" t="b">
        <v>0</v>
      </c>
      <c r="AE19" s="36" t="b">
        <v>0</v>
      </c>
      <c r="AF19" s="14" t="str">
        <v>BG-013|BG-022|BG-023</v>
      </c>
      <c r="AG19" s="14" t="str">
        <v>providence-worcester_2016-09-20_DEFM14A.htm</v>
      </c>
    </row>
    <row r="20" ht="100" customHeight="1">
      <c r="A20" s="14" t="str">
        <v>08/12/2016, morning</v>
      </c>
      <c r="B20" s="14" t="str">
        <v>G&amp;W</v>
      </c>
      <c r="C20" s="14" t="str">
        <v>Final price and terms revision
$25.00 in cash; CVR removed</v>
      </c>
      <c r="D20" s="14" t="str">
        <v>Formal
High · Merger/voting markups, final negotiations and board-ready package; disclosure markup followed later that day.</v>
      </c>
      <c r="E20" s="14" t="str">
        <v>Light
Medium/high · Physical diligence completed; substantially negotiated documents. Ordinary regulatory/shareholder conditions remain. Signed agreement later confirms no financing condition.</v>
      </c>
      <c r="F20" s="14" t="str">
        <v>Expires 08/13 at 6 p.m. (timezone unstated), a bidder offer expiry, not a target deadline. Do not retroactively apply signed financing terms to July.</v>
      </c>
      <c r="G20" s="22" t="str">
        <v>BG-023 · p.31; BG-024 · p.31; BG-026 · p.31/32; FULL-06 · p.34; FULL-07 · p.34
“a price of $25.00 per share in cash, which excluded the previously proposed CVR”</v>
      </c>
      <c r="H20" s="22" t="str">
        <v>R4
R5</v>
      </c>
      <c r="I20" s="30" t="str"/>
      <c r="J20" s="14" t="str">
        <v>O15</v>
      </c>
      <c r="K20" s="14" t="str">
        <v>T51</v>
      </c>
      <c r="L20" s="14" t="n">
        <v>3</v>
      </c>
      <c r="M20" s="14" t="str">
        <v>Final price and terms revision</v>
      </c>
      <c r="N20" s="14" t="str">
        <v>O09</v>
      </c>
      <c r="O20" s="14" t="str">
        <v>newly_stated</v>
      </c>
      <c r="P20" s="14" t="str">
        <v>point</v>
      </c>
      <c r="Q20" s="40" t="n">
        <v>25</v>
      </c>
      <c r="R20" s="40"/>
      <c r="S20" s="40"/>
      <c r="T20" s="40"/>
      <c r="U20" s="40"/>
      <c r="V20" s="40" t="n">
        <v>25</v>
      </c>
      <c r="W20" s="40"/>
      <c r="X20" s="14" t="str">
        <v>USD</v>
      </c>
      <c r="Y20" s="14" t="str">
        <v>Common equivalent after preferred conversion</v>
      </c>
      <c r="Z20" s="14" t="str">
        <v>cash</v>
      </c>
      <c r="AA20" s="14" t="n">
        <v>1</v>
      </c>
      <c r="AB20" s="14" t="str">
        <v>formal</v>
      </c>
      <c r="AC20" s="14" t="str">
        <v>light</v>
      </c>
      <c r="AD20" s="36" t="b">
        <v>1</v>
      </c>
      <c r="AE20" s="36" t="b">
        <v>1</v>
      </c>
      <c r="AF20" s="14" t="str">
        <v>BG-023|BG-024|BG-026|FULL-06|FULL-07</v>
      </c>
      <c r="AG20" s="14" t="str">
        <v>providence-worcester_2016-09-20_DEFM14A.htm</v>
      </c>
    </row>
    <row r="21" ht="112" customHeight="1">
      <c r="A21" s="14" t="str">
        <v>08/12/2016, after request</v>
      </c>
      <c r="B21" s="14" t="str">
        <v>Party B</v>
      </c>
      <c r="C21" s="14" t="str">
        <v>Final standing-offer reaffirmation
$24.00 maintained; refused increase</v>
      </c>
      <c r="D21" s="14" t="str">
        <v>Formal
High · B's negotiated documents were compared by the board and B affirmatively declined to change price.</v>
      </c>
      <c r="E21" s="14" t="str">
        <v>Light
Medium · Final documents substantively matched G&amp;W's apart from identified price, fee and regulatory-route differences. Not proof of zero conditions.</v>
      </c>
      <c r="F21" s="14" t="str">
        <v>Price carried from original proposal and $1 difference from G&amp;W. Cash likely by document comparison, but not separately restated; all_cash left unconfirmed. Not an actor withdrawal or a latent-value equality.</v>
      </c>
      <c r="G21" s="22" t="str">
        <v>BG-013 · p.29; BG-025 · p.31; BG-026 · p.31/32
“Party B indicated that it would not increase its price.”</v>
      </c>
      <c r="H21" s="22" t="str">
        <v>R4
R6</v>
      </c>
      <c r="I21" s="30" t="str"/>
      <c r="J21" s="14" t="str">
        <v>O16</v>
      </c>
      <c r="K21" s="14" t="str">
        <v>T54</v>
      </c>
      <c r="L21" s="14" t="n">
        <v>3</v>
      </c>
      <c r="M21" s="14" t="str">
        <v>Final standing-offer reaffirmation</v>
      </c>
      <c r="N21" s="14" t="str">
        <v>O14</v>
      </c>
      <c r="O21" s="14" t="str">
        <v>carried_forward_reaffirmed</v>
      </c>
      <c r="P21" s="14" t="str">
        <v>point</v>
      </c>
      <c r="Q21" s="40" t="n">
        <v>24</v>
      </c>
      <c r="R21" s="40"/>
      <c r="S21" s="40"/>
      <c r="T21" s="40"/>
      <c r="U21" s="40"/>
      <c r="V21" s="40"/>
      <c r="W21" s="40"/>
      <c r="X21" s="14" t="str">
        <v>USD</v>
      </c>
      <c r="Y21" s="14" t="str">
        <v>Common equivalent after preferred conversion</v>
      </c>
      <c r="Z21" s="14" t="str">
        <v>not_disclosed</v>
      </c>
      <c r="AA21" s="14"/>
      <c r="AB21" s="14" t="str">
        <v>formal</v>
      </c>
      <c r="AC21" s="14" t="str">
        <v>light</v>
      </c>
      <c r="AD21" s="36" t="b">
        <v>1</v>
      </c>
      <c r="AE21" s="36" t="b">
        <v>1</v>
      </c>
      <c r="AF21" s="14" t="str">
        <v>BG-013|BG-025|BG-026</v>
      </c>
      <c r="AG21" s="14" t="str">
        <v>providence-worcester_2016-09-20_DEFM14A.htm</v>
      </c>
    </row>
  </sheetData>
  <mergeCells>
    <mergeCell ref="A1:I1"/>
    <mergeCell ref="A2:I3"/>
  </mergeCells>
  <hyperlinks>
    <hyperlink ref="G6" location="'Sources'!A15" tooltip="Open supporting passage or grouped review decision"/>
    <hyperlink ref="H6" location="'Review decisions'!A7" tooltip="Open supporting passage or grouped review decision"/>
    <hyperlink ref="G7" location="'Sources'!A18" tooltip="Open supporting passage or grouped review decision"/>
    <hyperlink ref="H7" location="'Review decisions'!A9" tooltip="Open supporting passage or grouped review decision"/>
    <hyperlink ref="G8" location="'Sources'!A21" tooltip="Open supporting passage or grouped review decision"/>
    <hyperlink ref="H8" location="'Review decisions'!A9" tooltip="Open supporting passage or grouped review decision"/>
    <hyperlink ref="G9" location="'Sources'!A20" tooltip="Open supporting passage or grouped review decision"/>
    <hyperlink ref="H9" location="'Review decisions'!A9" tooltip="Open supporting passage or grouped review decision"/>
    <hyperlink ref="G10" location="'Sources'!A22" tooltip="Open supporting passage or grouped review decision"/>
    <hyperlink ref="H10" location="'Review decisions'!A9" tooltip="Open supporting passage or grouped review decision"/>
    <hyperlink ref="G11" location="'Sources'!A23" tooltip="Open supporting passage or grouped review decision"/>
    <hyperlink ref="H11" location="'Review decisions'!A9" tooltip="Open supporting passage or grouped review decision"/>
    <hyperlink ref="G12" location="'Sources'!A24" tooltip="Open supporting passage or grouped review decision"/>
    <hyperlink ref="H12" location="'Review decisions'!A9" tooltip="Open supporting passage or grouped review decision"/>
    <hyperlink ref="G13" location="'Sources'!A25" tooltip="Open supporting passage or grouped review decision"/>
    <hyperlink ref="H13" location="'Review decisions'!A9" tooltip="Open supporting passage or grouped review decision"/>
    <hyperlink ref="G14" location="'Sources'!A21" tooltip="Open supporting passage or grouped review decision"/>
    <hyperlink ref="H14" location="'Review decisions'!A9" tooltip="Open supporting passage or grouped review decision"/>
    <hyperlink ref="G15" location="'Sources'!A29" tooltip="Open supporting passage or grouped review decision"/>
    <hyperlink ref="H15" location="'Review decisions'!A6" tooltip="Open supporting passage or grouped review decision"/>
    <hyperlink ref="G16" location="'Sources'!A29" tooltip="Open supporting passage or grouped review decision"/>
    <hyperlink ref="H16" location="'Review decisions'!A6" tooltip="Open supporting passage or grouped review decision"/>
    <hyperlink ref="G17" location="'Sources'!A29" tooltip="Open supporting passage or grouped review decision"/>
    <hyperlink ref="H17" location="'Review decisions'!A6" tooltip="Open supporting passage or grouped review decision"/>
    <hyperlink ref="G18" location="'Sources'!A29" tooltip="Open supporting passage or grouped review decision"/>
    <hyperlink ref="H18" location="'Review decisions'!A11" tooltip="Open supporting passage or grouped review decision"/>
    <hyperlink ref="G19" location="'Sources'!A31" tooltip="Open supporting passage or grouped review decision"/>
    <hyperlink ref="H19" location="'Review decisions'!A9" tooltip="Open supporting passage or grouped review decision"/>
    <hyperlink ref="G20" location="'Sources'!A32" tooltip="Open supporting passage or grouped review decision"/>
    <hyperlink ref="H20" location="'Review decisions'!A9" tooltip="Open supporting passage or grouped review decision"/>
    <hyperlink ref="G21" location="'Sources'!A34" tooltip="Open supporting passage or grouped review decision"/>
    <hyperlink ref="H21" location="'Review decisions'!A9" tooltip="Open supporting passage or grouped review decision"/>
  </hyperlinks>
  <pageMargins left="0.7" right="0.7" top="0.75" bottom="0.75" header="0.3" footer="0.3"/>
  <tableParts count="1">
    <tablePart ns1:id="R65d934626e994fac"/>
  </tableParts>
</worksheet>
</file>

<file path=xl/worksheets/sheet4.xml><?xml version="1.0" encoding="utf-8"?>
<worksheet xmlns="http://schemas.openxmlformats.org/spreadsheetml/2006/main" xmlns:ns1="http://schemas.openxmlformats.org/officeDocument/2006/relationships">
  <sheetViews>
    <sheetView showGridLines="0" workbookViewId="0" zoomScale="90">
      <pane ySplit="5" topLeftCell="A6" activePane="bottomLeft" state="frozen"/>
      <selection pane="bottomLeft" activeCell="A6" sqref="A6"/>
    </sheetView>
  </sheetViews>
  <sheetFormatPr defaultRowHeight="15"/>
  <cols>
    <col min="1" max="1" width="17" hidden="0" customWidth="1"/>
    <col min="2" max="2" width="39" hidden="0" customWidth="1"/>
    <col min="3" max="3" width="40" hidden="0" customWidth="1"/>
    <col min="4" max="4" width="28" hidden="0" customWidth="1"/>
    <col min="5" max="5" width="31" hidden="0" customWidth="1"/>
    <col min="6" max="6" width="27" hidden="0" customWidth="1"/>
    <col min="7" max="7" width="14" hidden="0" customWidth="1"/>
    <col min="8" max="8" width="30" hidden="0" customWidth="1"/>
    <col min="9" max="9" width="20" hidden="0" customWidth="1"/>
    <col min="10" max="10" width="18" hidden="1" customWidth="1" outlineLevel="1"/>
    <col min="11" max="11" width="18" hidden="1" customWidth="1" outlineLevel="1"/>
  </cols>
  <sheetData>
    <row r="1" ht="34" customHeight="1">
      <c r="A1" s="3" t="str">
        <v>REVIEW DECISIONS | Seven grouped checks</v>
      </c>
      <c r="B1" s="3"/>
      <c r="C1" s="3"/>
      <c r="D1" s="3"/>
      <c r="E1" s="3"/>
      <c r="F1" s="3"/>
      <c r="G1" s="3"/>
      <c r="H1" s="3"/>
      <c r="I1" s="3"/>
    </row>
    <row r="2" ht="21" customHeight="1">
      <c r="A2" s="8" t="str">
        <v>The model supplies a preferred answer. Record acceptance, correction or deferral in amber cells. These are not seven missing extraction tasks; the complete provisional extraction is already populated.</v>
      </c>
      <c r="B2" s="8"/>
      <c r="C2" s="8"/>
      <c r="D2" s="8"/>
      <c r="E2" s="8"/>
      <c r="F2" s="8"/>
      <c r="G2" s="8"/>
      <c r="H2" s="8"/>
      <c r="I2" s="8"/>
    </row>
    <row r="3" ht="21" customHeight="1">
      <c r="A3" s="8"/>
      <c r="B3" s="8"/>
      <c r="C3" s="8"/>
      <c r="D3" s="8"/>
      <c r="E3" s="8"/>
      <c r="F3" s="8"/>
      <c r="G3" s="8"/>
      <c r="H3" s="8"/>
      <c r="I3" s="8"/>
    </row>
    <row r="5" ht="30" customHeight="1">
      <c r="A5" s="19" t="str">
        <v>Issue / priority</v>
      </c>
      <c r="B5" s="19" t="str">
        <v>Decision and model answer</v>
      </c>
      <c r="C5" s="19" t="str">
        <v>Reason and remaining uncertainty</v>
      </c>
      <c r="D5" s="19" t="str">
        <v>Affected entries</v>
      </c>
      <c r="E5" s="19" t="str">
        <v>Evidence</v>
      </c>
      <c r="F5" s="19" t="str">
        <v>Suggested action</v>
      </c>
      <c r="G5" s="19" t="str">
        <v>Human status</v>
      </c>
      <c r="H5" s="19" t="str">
        <v>Human correction / reason</v>
      </c>
      <c r="I5" s="19" t="str">
        <v>Reviewer / date</v>
      </c>
      <c r="J5" s="19" t="str">
        <v>issue_id</v>
      </c>
      <c r="K5" s="19" t="str">
        <v>alternative</v>
      </c>
    </row>
    <row r="6" ht="210" customHeight="1">
      <c r="A6" s="14" t="str">
        <v>R1
Required · material</v>
      </c>
      <c r="B6" s="14" t="str">
        <v>Round map and re-entry
One continuing sale attempt; round 1 begins with week-of-March-28 outreach; round 2 with seven-bidder admission by June 1; round 3 with finalist selection by July 27.</v>
      </c>
      <c r="C6" s="14" t="str">
        <v>The earlier March 14/24 decisions are authorization; June 1 and July 27 are working boundaries, not uniquely reported selection dates. D/E's August re-entry is assigned to the current final-negotiation phase.
Alternative: Alternatives: launch at March 24; selection within May 23–June 1; map August D/E responses to the earlier LOI round while retaining receipt in round 3. None changes their real submission dates.</v>
      </c>
      <c r="D6" s="14" t="str">
        <v>T03–T06, T17–T20, T33–T42; O10–O12</v>
      </c>
      <c r="E6" s="14" t="str">
        <v>BG-004 · p.28; BG-008 · p.29; BG-020 · p.30; BG-021 · p.30</v>
      </c>
      <c r="F6" s="14" t="str">
        <v>Approve the boundary convention once; then propagate phase labels without changing dates.</v>
      </c>
      <c r="G6" s="30" t="str">
        <v>Pending</v>
      </c>
      <c r="H6" s="30" t="str"/>
      <c r="I6" s="30" t="str"/>
      <c r="J6" s="14" t="str">
        <v>R1</v>
      </c>
      <c r="K6" s="14" t="str">
        <v>Alternatives: launch at March 24; selection within May 23–June 1; map August D/E responses to the earlier LOI round while retaining receipt in round 3. None changes their real submission dates.</v>
      </c>
    </row>
    <row r="7" ht="210" customHeight="1">
      <c r="A7" s="14" t="str">
        <v>R2
Required · material</v>
      </c>
      <c r="B7" s="14" t="str">
        <v>Participation totals and anonymous identities
Keep 25 early NDA signers (11 strategic + 14 financial), Party C's later NDA, and the board's overall 25 as conflicting scoped claims. Preferred chronological count: at least 26, not a certified exact total.</v>
      </c>
      <c r="C7" s="14" t="str">
        <v>Party C expressly had not previously participated; the board summary nevertheless says 25. Other contact overlap remains unresolved. The 9→7→8→6+2 progression is coherent but does not identify Party A or individual initial prices.
Alternative: The summary may be imprecise, or early wording may be retrospective. Do not silently delete C or force an unidentified signer into a false history.</v>
      </c>
      <c r="D7" s="14" t="str">
        <v>T06–T11, T16–T19, T22–T23, T35; O01; Deal guide counts</v>
      </c>
      <c r="E7" s="14" t="str">
        <v>BG-004 · p.28; BG-008 · p.29; BG-011 · p.29; BG-019 · p.30; FULL-05 · p.33</v>
      </c>
      <c r="F7" s="14" t="str">
        <v>Accept the conflict representation; exact-NDA-dependent analysis remains provisional. The multiple-NDA auction screen clearly passes.</v>
      </c>
      <c r="G7" s="30" t="str">
        <v>Pending</v>
      </c>
      <c r="H7" s="30" t="str"/>
      <c r="I7" s="30" t="str"/>
      <c r="J7" s="14" t="str">
        <v>R2</v>
      </c>
      <c r="K7" s="14" t="str">
        <v>The summary may be imprecise, or early wording may be retrospective. Do not silently delete C or force an unidentified signer into a false history.</v>
      </c>
    </row>
    <row r="8" ht="210" customHeight="1">
      <c r="A8" s="14" t="str">
        <v>R3
Required · material</v>
      </c>
      <c r="B8" s="14" t="str">
        <v>Deadline history and chronology
Store May 10→May 19 with an unknown change date; retain July 20 and observed late bidding. July 27 is not a newly announced deadline. G&amp;W's August 13 expiry is separate.</v>
      </c>
      <c r="C8" s="14" t="str">
        <v>The April 27 meeting reports an earlier instruction. Offers are reported through June 1; G&amp;W submitted July 21 and revised July 26. Interval and precedence displays must not convert representatives into reported dates.
Alternative: A researcher may use June 1/July 27 as observed phase ends, but not as announced deadlines. Unknown communication dates remain unknown.</v>
      </c>
      <c r="D8" s="14" t="str">
        <v>T12–T20, T26–T36, T51</v>
      </c>
      <c r="E8" s="14" t="str">
        <v>BG-007 · p.28/29; BG-008 · p.29; BG-009 · p.29; BG-014 · p.29; BG-020 · p.30; BG-024 · p.31</v>
      </c>
      <c r="F8" s="14" t="str">
        <v>Approve deadline interpretation and interval-first display; no need to ask for undisclosed exact dates.</v>
      </c>
      <c r="G8" s="30" t="str">
        <v>Pending</v>
      </c>
      <c r="H8" s="30" t="str"/>
      <c r="I8" s="30" t="str"/>
      <c r="J8" s="14" t="str">
        <v>R3</v>
      </c>
      <c r="K8" s="14" t="str">
        <v>A researcher may use June 1/July 27 as observed phase ends, but not as announced deadlines. Unknown communication dates remain unknown.</v>
      </c>
    </row>
    <row r="9" ht="210" customHeight="1">
      <c r="A9" s="14" t="str">
        <v>R4
Required · material</v>
      </c>
      <c r="B9" s="14" t="str">
        <v>Formality and conditionality calibration
Formal and conditional can coexist. B/G&amp;W/D July markups support formal; C/F LOIs are provisionally informal. E's issues-backed LOI is provisionally formal at medium confidence, with informal retained as an alternative.</v>
      </c>
      <c r="C9" s="14" t="str">
        <v>Review condition histories together: July substantial diligence/repricing; B's August 4 draft does not prove unconditionality; August 12 board-ready offers support light rather than no conditions.
Alternative: E's document threshold and heavy versus light for B are research calibrations. The filing does not resolve the thresholds. All proposed labels are complete first-pass judgments.</v>
      </c>
      <c r="D9" s="14" t="str">
        <v>O02–O16; particularly O04, O05, O13–O16</v>
      </c>
      <c r="E9" s="14" t="str">
        <v>BG-012 · p.29; BG-019 · p.30; BG-022 · p.30/31; BG-023 · p.31; BG-026 · p.31/32; FULL-06 · p.34</v>
      </c>
      <c r="F9" s="14" t="str">
        <v>Approve or revise the operational rubric; preserve source facts so estimation can apply alternative codings. Do not infer Alex has already approved this rubric.</v>
      </c>
      <c r="G9" s="30" t="str">
        <v>Pending</v>
      </c>
      <c r="H9" s="30" t="str"/>
      <c r="I9" s="30" t="str"/>
      <c r="J9" s="14" t="str">
        <v>R4</v>
      </c>
      <c r="K9" s="14" t="str">
        <v>E's document threshold and heavy versus light for B are research calibrations. The filing does not resolve the thresholds. All proposed labels are complete first-pass judgments.</v>
      </c>
    </row>
    <row r="10" ht="210" customHeight="1">
      <c r="A10" s="14" t="str">
        <v>R5
Required · material</v>
      </c>
      <c r="B10" s="14" t="str">
        <v>Prices, cash and CVR
Keep G&amp;W's $21.15/$22.15 packages separate from $20.02/$21.02 fixed cash. CVR value is contingent and its settlement medium is not explicit. Final G&amp;W $25 is all cash.</v>
      </c>
      <c r="C10" s="14" t="str">
        <v>A cash-settled contingent claim could still be all cash; the mere presence of a CVR does not justify all_cash=0. Individual losing-bid settlement media are often not separately reported.
Alternative: Final B likely mirrors the final cash structure by document comparison, but this is an inference rather than a separately stated cash amount. Leave the derived cash-only flag unconfirmed here.</v>
      </c>
      <c r="D10" s="14" t="str">
        <v>O01, O03, O09, O15–O16</v>
      </c>
      <c r="E10" s="14" t="str">
        <v>BG-008 · p.29; BG-014 · p.29; BG-024 · p.31; BG-026 · p.31/32; FULL-09 · p.Unnumbered</v>
      </c>
      <c r="F10" s="14" t="str">
        <v>Accept separated price components and missingness; decide separately whether an inferred cash-only category is appropriate for analysis.</v>
      </c>
      <c r="G10" s="30" t="str">
        <v>Pending</v>
      </c>
      <c r="H10" s="30" t="str"/>
      <c r="I10" s="30" t="str"/>
      <c r="J10" s="14" t="str">
        <v>R5</v>
      </c>
      <c r="K10" s="14" t="str">
        <v>Final B likely mirrors the final cash structure by document comparison, but this is an inference rather than a separately stated cash amount. Leave the derived cash-only flag unconfirmed here.</v>
      </c>
    </row>
    <row r="11" ht="210" customHeight="1">
      <c r="A11" s="14" t="str">
        <v>R6
Required · material</v>
      </c>
      <c r="B11" s="14" t="str">
        <v>Exits, re-entry and financing relationships
Retain target exclusions of C/D/E/F, D/E re-entry, E's proposal reversion and D's refusal of further diligence after the target rejects a no-signing commitment. Do not code G&amp;W's August 9 notice as an exit.</v>
      </c>
      <c r="C11" s="14" t="str">
        <v>F finances E's revised bid but joint bidding is unproven. B's August 12 refusal to raise price is a maintained standing offer, not a valuation-equals-price or voluntary-withdrawal observation.
Alternative: Party A's final stage and the reasons for the two non-submissions remain unknown. D's precise withdrawal day is not reported.</v>
      </c>
      <c r="D11" s="14" t="str">
        <v>T35–T44, T49, T53–T54; O11–O13, O16</v>
      </c>
      <c r="E11" s="14" t="str">
        <v>BG-019 · p.30; BG-020 · p.30; BG-021 · p.30; BG-023 · p.31; BG-026 · p.31/32</v>
      </c>
      <c r="F11" s="14" t="str">
        <v>Confirm these economically distinct participation outcomes together; do not manufacture identities, dates or motives.</v>
      </c>
      <c r="G11" s="30" t="str">
        <v>Pending</v>
      </c>
      <c r="H11" s="30" t="str"/>
      <c r="I11" s="30" t="str"/>
      <c r="J11" s="14" t="str">
        <v>R6</v>
      </c>
      <c r="K11" s="14" t="str">
        <v>Party A's final stage and the reasons for the two non-submissions remain unknown. D's precise withdrawal day is not reported.</v>
      </c>
    </row>
    <row r="12" ht="210" customHeight="1">
      <c r="A12" s="14" t="str">
        <v>R7
Routine · verification</v>
      </c>
      <c r="B12" s="14" t="str">
        <v>Output readiness and source coverage
The demo is a new AI-adjudicated review view, not a fifth model run, an Alex-approved dataset or a verbatim transformation of one submitted workbook.</v>
      </c>
      <c r="C12" s="14" t="str">
        <v>Full background and relevant filing sections were checked. Signing is August 12; announcement August 15; closing not available. Technical data are collapsed, not omitted. No human correction has been pre-entered.
Alternative: No automatic propagation from free-text reviewer notes is claimed. Accepting corrections requires a new version and refreshed dependent displays.</v>
      </c>
      <c r="D12" s="14" t="str">
        <v>All sheets; change log below</v>
      </c>
      <c r="E12" s="14" t="str">
        <v>FULL-01 · p.Unnumbered; BG-028 · p.32</v>
      </c>
      <c r="F12" s="14" t="str">
        <v>Review in Timeline/Offers, record changes in the human columns, then regenerate and validate a reviewed export.</v>
      </c>
      <c r="G12" s="30" t="str">
        <v>Pending</v>
      </c>
      <c r="H12" s="30" t="str"/>
      <c r="I12" s="30" t="str"/>
      <c r="J12" s="14" t="str">
        <v>R7</v>
      </c>
      <c r="K12" s="14" t="str">
        <v>No automatic propagation from free-text reviewer notes is claimed. Accepting corrections requires a new version and refreshed dependent displays.</v>
      </c>
    </row>
    <row r="15" ht="28" customHeight="1">
      <c r="A15" s="42" t="str">
        <v>AI ADJUDICATION CHANGE LOG | Not Alex's corrections and not human approval</v>
      </c>
      <c r="B15" s="42"/>
      <c r="C15" s="42"/>
      <c r="D15" s="42"/>
      <c r="E15" s="42"/>
      <c r="F15" s="42"/>
      <c r="G15" s="42"/>
      <c r="H15" s="42"/>
      <c r="I15" s="42"/>
    </row>
    <row r="17" ht="30" customHeight="1">
      <c r="A17" s="19" t="str">
        <v>Change</v>
      </c>
      <c r="B17" s="19" t="str">
        <v>Topic</v>
      </c>
      <c r="C17" s="19" t="str">
        <v>Original workbook cells / source</v>
      </c>
      <c r="D17" s="19" t="str">
        <v>Problem or alternative</v>
      </c>
      <c r="E17" s="19" t="str">
        <v>Demonstration treatment</v>
      </c>
      <c r="F17" s="19" t="str">
        <v>Where to inspect</v>
      </c>
      <c r="G17" s="19" t="str">
        <v>Filing support</v>
      </c>
      <c r="H17" s="19" t="str">
        <v>Change type</v>
      </c>
      <c r="I17" s="19" t="str">
        <v>Human note</v>
      </c>
    </row>
    <row r="18" ht="160" customHeight="1">
      <c r="A18" s="14" t="str">
        <v>C01</v>
      </c>
      <c r="B18" s="14" t="str">
        <v>New canonical keys and references</v>
      </c>
      <c r="C18" s="14" t="str">
        <v>muse: Deal!L2:M2; Events!A36:A37; Bids!AA5:AA8</v>
      </c>
      <c r="D18" s="14" t="str">
        <v>Signing and announcement references point to unrelated events; previous-bid references point forward and form cycles.</v>
      </c>
      <c r="E18" s="14" t="str">
        <v>Rebuilt stable keys, links and prior-observation chains. All four source files remain byte-for-byte unchanged.</v>
      </c>
      <c r="F18" s="14" t="str">
        <v>Timeline T56–T57; Offers O03→O09→O15</v>
      </c>
      <c r="G18" s="14" t="str">
        <v>BG-024 · p.31; BG-028 · p.32</v>
      </c>
      <c r="H18" s="14" t="str">
        <v>Mechanical correction</v>
      </c>
      <c r="I18" s="30" t="str"/>
    </row>
    <row r="19" ht="160" customHeight="1">
      <c r="A19" s="14" t="str">
        <v>C02</v>
      </c>
      <c r="B19" s="14" t="str">
        <v>NDA scope and source conflict</v>
      </c>
      <c r="C19" s="14" t="str">
        <v>muse: Counts!P3/W3; ds: Counts!L4; astra: Counts!M14/N15; fable: Counts!N9</v>
      </c>
      <c r="D19" s="14" t="str">
        <v>C is included in Muse's early population yet also treated as a later addition. Exact 26 is not established given the full-filing 25 summary and other overlap.</v>
      </c>
      <c r="E19" s="14" t="str">
        <v>Keep early 25 and the new C NDA separately; at least 26 is the preferred chronological inference, with the overall 25 assertion visibly conflicting.</v>
      </c>
      <c r="F19" s="14" t="str">
        <v>Deal guide counts; Timeline T07/T23; R2</v>
      </c>
      <c r="G19" s="14" t="str">
        <v>BG-004 · p.28; BG-011 · p.29; FULL-05 · p.33</v>
      </c>
      <c r="H19" s="14" t="str">
        <v>Factual correction and qualified inference</v>
      </c>
      <c r="I19" s="30" t="str"/>
    </row>
    <row r="20" ht="160" customHeight="1">
      <c r="A20" s="14" t="str">
        <v>C03</v>
      </c>
      <c r="B20" s="14" t="str">
        <v>Reported dates versus approximations</v>
      </c>
      <c r="C20" s="14" t="str">
        <v>ds: Events!C12:D12, C14:D14, W15:X15, C46:D47; astra: Events!B49:B50</v>
      </c>
      <c r="D20" s="14" t="str">
        <v>Some report dates are coded as action dates; the May change is bounded before May 10 without proof; a midpoint places exclusion before the selected working boundary.</v>
      </c>
      <c r="E20" s="14" t="str">
        <v>Use literal expressions, supported windows and precedence. No exact D withdrawal day or deadline-setting day is invented.</v>
      </c>
      <c r="F20" s="14" t="str">
        <v>Timeline T09/T12/T13/T36/T37/T44; R3</v>
      </c>
      <c r="G20" s="14" t="str">
        <v>BG-006 · p.28; BG-007 · p.28/29; BG-020 · p.30; BG-021 · p.30</v>
      </c>
      <c r="H20" s="14" t="str">
        <v>Date-basis correction</v>
      </c>
      <c r="I20" s="30" t="str"/>
    </row>
    <row r="21" ht="160" customHeight="1">
      <c r="A21" s="14" t="str">
        <v>C04</v>
      </c>
      <c r="B21" s="14" t="str">
        <v>No G&amp;W exit on August 9</v>
      </c>
      <c r="C21" s="14" t="str">
        <v>fable: Events!R59/L59; muse: Events!E40</v>
      </c>
      <c r="D21" s="14" t="str">
        <v>Canonical exclusion coding conflicts with explicitly allowed continued diligence; Fable's own note partly corrects its event code.</v>
      </c>
      <c r="E21" s="14" t="str">
        <v>Record intended rival signing and permission to continue. No exit/re-entry pair.</v>
      </c>
      <c r="F21" s="14" t="str">
        <v>Timeline T49; R6</v>
      </c>
      <c r="G21" s="14" t="str">
        <v>BG-023 · p.31</v>
      </c>
      <c r="H21" s="14" t="str">
        <v>Substantive event-code correction</v>
      </c>
      <c r="I21" s="30" t="str"/>
    </row>
    <row r="22" ht="160" customHeight="1">
      <c r="A22" s="14" t="str">
        <v>C05</v>
      </c>
      <c r="B22" s="14" t="str">
        <v>Party E reversion</v>
      </c>
      <c r="C22" s="14" t="str">
        <v>muse: Events row 37; Bids rows 2–13</v>
      </c>
      <c r="D22" s="14" t="str">
        <v>E's withdrawal/reversion appears inside a broad event bundle but has no separate restored-proposal observation.</v>
      </c>
      <c r="E22" s="14" t="str">
        <v>Separate Aug 1 $23.81 from Aug 2 restoration of $21.26; no actor-level withdrawal.</v>
      </c>
      <c r="F22" s="14" t="str">
        <v>Timeline T41/T43; Offers O11/O12</v>
      </c>
      <c r="G22" s="14" t="str">
        <v>BG-021 · p.30</v>
      </c>
      <c r="H22" s="14" t="str">
        <v>Granularity and coverage correction</v>
      </c>
      <c r="I22" s="30" t="str"/>
    </row>
    <row r="23" ht="160" customHeight="1">
      <c r="A23" s="14" t="str">
        <v>C06</v>
      </c>
      <c r="B23" s="14" t="str">
        <v>Party B August 4</v>
      </c>
      <c r="C23" s="14" t="str">
        <v>Alex: deal_details!AC6054/AG6054; voice I.14; astra: Bids row 15; ds: Events row 50; fable: Events row 57</v>
      </c>
      <c r="D23" s="14" t="str">
        <v>Alex's unconditional/executed reading is not established. Astra adds a commitment version; DS/Fable retain a document event, which the previous guide expressly allowed.</v>
      </c>
      <c r="E23" s="14" t="str">
        <v>Retain a dated document checkpoint with $24 carried forward. Formal status continues; no proven removal of all conditions or new quote.</v>
      </c>
      <c r="F23" s="14" t="str">
        <v>Timeline T47/T48; Offers O14; R4</v>
      </c>
      <c r="G23" s="14" t="str">
        <v>BG-022 · p.30/31; BG-023 · p.31</v>
      </c>
      <c r="H23" s="14" t="str">
        <v>Independent adjudication; not a universal new bid-count rule</v>
      </c>
      <c r="I23" s="30" t="str"/>
    </row>
    <row r="24" ht="160" customHeight="1">
      <c r="A24" s="14" t="str">
        <v>C07</v>
      </c>
      <c r="B24" s="14" t="str">
        <v>Final Party B position</v>
      </c>
      <c r="C24" s="14" t="str">
        <v>Alex: deal_details!AC6056/AG6056; ds: Events row 59; muse: Bids rows 2–13</v>
      </c>
      <c r="D24" s="14" t="str">
        <v>Refusal to raise is not necessarily bidder withdrawal. Some outputs do not provide a searchable final bid-condition checkpoint.</v>
      </c>
      <c r="E24" s="14" t="str">
        <v>Record final standing-offer reaffirmation at $24; light conditionality is a contextual judgment. Do not infer latent value equals price.</v>
      </c>
      <c r="F24" s="14" t="str">
        <v>Timeline T53/T54; Offers O16</v>
      </c>
      <c r="G24" s="14" t="str">
        <v>BG-025 · p.31; BG-026 · p.31/32</v>
      </c>
      <c r="H24" s="14" t="str">
        <v>Coverage and interpretation</v>
      </c>
      <c r="I24" s="30" t="str"/>
    </row>
    <row r="25" ht="160" customHeight="1">
      <c r="A25" s="14" t="str">
        <v>C08</v>
      </c>
      <c r="B25" s="14" t="str">
        <v>Cash versus contingent payoff</v>
      </c>
      <c r="C25" s="14" t="str">
        <v>muse: Bids!AY5:AY6; other runs' component records</v>
      </c>
      <c r="D25" s="14" t="str">
        <v>A CVR is coded as automatically not all cash; that does not follow from contingency alone.</v>
      </c>
      <c r="E25" s="14" t="str">
        <v>Show package, fixed cash and CVR separately. Set cash-only status unknown for July G&amp;W; final $25 all cash.</v>
      </c>
      <c r="F25" s="14" t="str">
        <v>Offers O03/O09/O15; R5</v>
      </c>
      <c r="G25" s="14" t="str">
        <v>BG-014 · p.29; BG-024 · p.31</v>
      </c>
      <c r="H25" s="14" t="str">
        <v>Substantive variable correction</v>
      </c>
      <c r="I25" s="30" t="str"/>
    </row>
    <row r="26" ht="160" customHeight="1">
      <c r="A26" s="14" t="str">
        <v>C09</v>
      </c>
      <c r="B26" s="14" t="str">
        <v>F's role and type</v>
      </c>
      <c r="C26" s="14" t="str">
        <v>Alex: deal_details!S6039/S6049, N6051/S6051/AH6051; current outputs' relationship records</v>
      </c>
      <c r="D26" s="14" t="str">
        <v>Old cells classify F as financial and name an E/F mixed bidder; raw narrative calls F strategic and reports financing support.</v>
      </c>
      <c r="E26" s="14" t="str">
        <v>Keep F strategic. E remains the submitting bidder; preserve financing support without inventing a consortium.</v>
      </c>
      <c r="F26" s="14" t="str">
        <v>Deal guide participants; Timeline T41; Offers O11</v>
      </c>
      <c r="G26" s="14" t="str">
        <v>BG-018 · p.30; BG-021 · p.30</v>
      </c>
      <c r="H26" s="14" t="str">
        <v>Filing-based correction to old reference</v>
      </c>
      <c r="I26" s="30" t="str"/>
    </row>
    <row r="27" ht="160" customHeight="1">
      <c r="A27" s="14" t="str">
        <v>C10</v>
      </c>
      <c r="B27" s="14" t="str">
        <v>August re-entry phase assignment</v>
      </c>
      <c r="C27" s="14" t="str">
        <v>fable: Bids!T11:T13; ds/astra corresponding August proposal rows</v>
      </c>
      <c r="D27" s="14" t="str">
        <v>Fable maps revised D/E offers to round 2 with receipt in round 3; alternative schema interpretations are possible.</v>
      </c>
      <c r="E27" s="14" t="str">
        <v>Use current round 3 for the demo, link prior proposals, retain Fable's mapping as a permissible alternative for research approval.</v>
      </c>
      <c r="F27" s="14" t="str">
        <v>Offers O10–O12; R1</v>
      </c>
      <c r="G27" s="14" t="str">
        <v>BG-020 · p.30; BG-021 · p.30</v>
      </c>
      <c r="H27" s="14" t="str">
        <v>Disclosed provisional convention, not a factual error</v>
      </c>
      <c r="I27" s="30" t="str"/>
    </row>
    <row r="28" ht="160" customHeight="1">
      <c r="A28" s="14" t="str">
        <v>C11</v>
      </c>
      <c r="B28" s="14" t="str">
        <v>Party E formality threshold</v>
      </c>
      <c r="C28" s="14" t="str">
        <v>fable: Bids!I6:J6; astra: Bids!F6:G6; ds: initial E LOI row</v>
      </c>
      <c r="D28" s="14" t="str">
        <v>An issues summary may show substantive documentation engagement without being a full markup. Reasonable runs disagree.</v>
      </c>
      <c r="E28" s="14" t="str">
        <v>Formal at medium confidence in demo; informal alternative preserved. Neither label is treated as established by the filing.</v>
      </c>
      <c r="F28" s="14" t="str">
        <v>Offers O05/O11/O12; R4</v>
      </c>
      <c r="G28" s="14" t="str">
        <v>BG-012 · p.29; BG-015 · p.30</v>
      </c>
      <c r="H28" s="14" t="str">
        <v>Rubric calibration, not settled ground truth</v>
      </c>
      <c r="I28" s="30" t="str"/>
    </row>
    <row r="29" ht="160" customHeight="1">
      <c r="A29" s="14" t="str">
        <v>C12</v>
      </c>
      <c r="B29" s="14" t="str">
        <v>Post-signing chronology and finance</v>
      </c>
      <c r="C29" s="14" t="str">
        <v>fable: Events row 70; full filing pp.34,65; all submitted outputs</v>
      </c>
      <c r="D29" s="14" t="str">
        <v>Sept 1 and Sept 14 regulatory submissions are different events. Final-agreement financing terms must not be backfilled into July offers.</v>
      </c>
      <c r="E29" s="14" t="str">
        <v>Separate post-signing filing dates. Show absence of financing condition only at signed-agreement stage.</v>
      </c>
      <c r="F29" s="14" t="str">
        <v>Timeline T56/T58/T60; Offers O15 note</v>
      </c>
      <c r="G29" s="14" t="str">
        <v>FULL-06 · p.34; FULL-08 · p.65</v>
      </c>
      <c r="H29" s="14" t="str">
        <v>Presentation granularity and temporal attribution</v>
      </c>
      <c r="I29" s="30" t="str"/>
    </row>
  </sheetData>
  <mergeCells>
    <mergeCell ref="A1:I1"/>
    <mergeCell ref="A2:I3"/>
    <mergeCell ref="A15:I15"/>
  </mergeCells>
  <dataValidations count="1">
    <dataValidation type="list" sqref="G6:G12">
      <formula1>"Pending,Accepted,Corrected,Deferred"</formula1>
    </dataValidation>
  </dataValidations>
  <hyperlinks>
    <hyperlink ref="E6" location="'Sources'!A11" tooltip="Open supporting passage or grouped review decision"/>
    <hyperlink ref="E7" location="'Sources'!A11" tooltip="Open supporting passage or grouped review decision"/>
    <hyperlink ref="E8" location="'Sources'!A14" tooltip="Open supporting passage or grouped review decision"/>
    <hyperlink ref="E9" location="'Sources'!A19" tooltip="Open supporting passage or grouped review decision"/>
    <hyperlink ref="E10" location="'Sources'!A15" tooltip="Open supporting passage or grouped review decision"/>
    <hyperlink ref="E11" location="'Sources'!A26" tooltip="Open supporting passage or grouped review decision"/>
    <hyperlink ref="E12" location="'Sources'!A39" tooltip="Open supporting passage or grouped review decision"/>
    <hyperlink ref="G18" location="'Sources'!A32" tooltip="Open supporting passage or grouped review decision"/>
    <hyperlink ref="G19" location="'Sources'!A11" tooltip="Open supporting passage or grouped review decision"/>
    <hyperlink ref="G20" location="'Sources'!A13" tooltip="Open supporting passage or grouped review decision"/>
    <hyperlink ref="G21" location="'Sources'!A31" tooltip="Open supporting passage or grouped review decision"/>
    <hyperlink ref="G22" location="'Sources'!A29" tooltip="Open supporting passage or grouped review decision"/>
    <hyperlink ref="G23" location="'Sources'!A30" tooltip="Open supporting passage or grouped review decision"/>
    <hyperlink ref="G24" location="'Sources'!A33" tooltip="Open supporting passage or grouped review decision"/>
    <hyperlink ref="G25" location="'Sources'!A21" tooltip="Open supporting passage or grouped review decision"/>
    <hyperlink ref="G26" location="'Sources'!A25" tooltip="Open supporting passage or grouped review decision"/>
    <hyperlink ref="G27" location="'Sources'!A27" tooltip="Open supporting passage or grouped review decision"/>
    <hyperlink ref="G28" location="'Sources'!A19" tooltip="Open supporting passage or grouped review decision"/>
    <hyperlink ref="G29" location="'Sources'!A44" tooltip="Open supporting passage or grouped review decision"/>
  </hyperlinks>
  <pageMargins left="0.7" right="0.7" top="0.75" bottom="0.75" header="0.3" footer="0.3"/>
  <tableParts count="2">
    <tablePart ns1:id="Rdb01feb298d345d5"/>
    <tablePart ns1:id="Rbbc17af297424f62"/>
  </tableParts>
</worksheet>
</file>

<file path=xl/worksheets/sheet5.xml><?xml version="1.0" encoding="utf-8"?>
<worksheet xmlns="http://schemas.openxmlformats.org/spreadsheetml/2006/main" xmlns:ns1="http://schemas.openxmlformats.org/officeDocument/2006/relationships">
  <sheetViews>
    <sheetView showGridLines="0" workbookViewId="0" zoomScale="90">
      <pane ySplit="5" topLeftCell="A6" activePane="bottomLeft" state="frozen"/>
      <selection pane="bottomLeft" activeCell="A6" sqref="A6"/>
    </sheetView>
  </sheetViews>
  <sheetFormatPr defaultRowHeight="15"/>
  <cols>
    <col min="1" max="1" width="17" hidden="0" customWidth="1"/>
    <col min="2" max="2" width="27" hidden="0" customWidth="1"/>
    <col min="3" max="3" width="110" hidden="0" customWidth="1"/>
    <col min="4" max="4" width="27" hidden="0" customWidth="1"/>
    <col min="5" max="5" width="25" hidden="0" customWidth="1"/>
  </cols>
  <sheetData>
    <row r="1" ht="34" customHeight="1">
      <c r="A1" s="3" t="str">
        <v>SOURCE READER | Providence &amp; Worcester</v>
      </c>
      <c r="B1" s="3"/>
      <c r="C1" s="3"/>
      <c r="D1" s="3"/>
      <c r="E1" s="3"/>
    </row>
    <row r="2" ht="21" customHeight="1">
      <c r="A2" s="8" t="str">
        <v>Complete supplied background plus relevant full-filing passages. Page labels are printed filing pages; source IDs are local locators. Text is evidence, not an extraction answer.</v>
      </c>
      <c r="B2" s="8"/>
      <c r="C2" s="8"/>
      <c r="D2" s="8"/>
      <c r="E2" s="8"/>
    </row>
    <row r="3" ht="21" customHeight="1">
      <c r="A3" s="8"/>
      <c r="B3" s="8"/>
      <c r="C3" s="8"/>
      <c r="D3" s="8"/>
      <c r="E3" s="8"/>
    </row>
    <row r="5" ht="30" customHeight="1">
      <c r="A5" s="19" t="str">
        <v>Passage</v>
      </c>
      <c r="B5" s="19" t="str">
        <v>Where in filing</v>
      </c>
      <c r="C5" s="19" t="str">
        <v>Source text — exact words</v>
      </c>
      <c r="D5" s="19" t="str">
        <v>Source document</v>
      </c>
      <c r="E5" s="19" t="str">
        <v>Provenance</v>
      </c>
    </row>
    <row r="6" ht="216" customHeight="1">
      <c r="A6" s="14" t="str">
        <v>BG-001 · 1/2</v>
      </c>
      <c r="B6" s="14" t="str">
        <v>Background of the Merger
Printed p.27</v>
      </c>
      <c r="C6" s="14" t="str">
        <v>In the fourth quarter of 2015, Robert H. Eder (the Company’s Chairman and Chief Executive Officer) and Frank K. Rogers (the Company’s Vice President and Chief Commercial Officer) met with one of the Company’s Class I rail partners (“Party A”) to discuss joint commercial opportunities. During the meeting, Party A suggested possible joint venture arrangements and expressed some interest in acquiring equity in the Company to further develop strategic opportunities and enhance regional connectivity. Upon receiving a report of this meeting, in recognition of its public company obligations, the Board appointed a subcommittee of two independent directors, Frank W. Barrett and Richard W. Anderson, to interview potential investment bankers to represent the Company in possible negotiations with Party A and to assist the Board in evaluating additional strategic options for the realization of shareholder value, including potential change in control transactions. The subcommittee interviewed several investment banking firms, including Greene Holcomb &amp; Fisher LLC (the business of which was subsequently acquired by BMO Capital Markets Corp. and which we refer to as “GHF” prior to such acquisition and “BMO” thereafter). During the executive session of the Board’s regular quarterly meeting held on January 27, 2016 (which Director Alfred P. Smith did not attend), the subcommittee recommended to the Board that the Company retain GHF as its investment banking firm. At that meeting, representatives of GHF discussed with the Board its qualifications and a proposed process should the directors</v>
      </c>
      <c r="D6" s="14" t="str">
        <v>providence-worcester_2016-09-20_DEFM14A.htm</v>
      </c>
      <c r="E6" s="14" t="str">
        <v>Original filing supplied by Austin; text normalized for HTML whitespace only.</v>
      </c>
    </row>
    <row r="7" ht="135" customHeight="1">
      <c r="A7" s="14" t="str">
        <v>BG-001 · 2/2</v>
      </c>
      <c r="B7" s="14" t="str">
        <v>Background of the Merger
Printed p.27</v>
      </c>
      <c r="C7" s="14" t="str">
        <v>ultimately decide to proceed with a change in control transaction. As part of the interview process, GHF represented to the Company that it would not represent any potential buyer of the Company in connection with an offer to purchase the Company or any person proposing to provide financing in connection with such an offer. Following this presentation, the Board approved the subcommittee’s recommendation and the Company engaged GHF. In selecting GHF, the Board considered, among other things, the fact that GHF was a reputable investment banking firm with substantial experience advising companies in the rail sector and in providing strategic advisory services in general, GHF had recent experience providing strategic advisory services in connection with the sale of a short-line railroad and, in the Board’s opinion, GHF would commit appropriate attention, resources and personnel to the process.</v>
      </c>
      <c r="D7" s="14" t="str">
        <v>providence-worcester_2016-09-20_DEFM14A.htm</v>
      </c>
      <c r="E7" s="14" t="str">
        <v>Original filing supplied by Austin; text normalized for HTML whitespace only.</v>
      </c>
    </row>
    <row r="8" ht="216" customHeight="1">
      <c r="A8" s="14" t="str">
        <v>BG-002 · 1/2</v>
      </c>
      <c r="B8" s="14" t="str">
        <v>Background of the Merger
Printed p.27/28</v>
      </c>
      <c r="C8" s="14" t="str">
        <v>At a special meeting of the Board held on March 14, 2016, representatives of GHF discussed their evaluation of the Company’s business operations and strategy for improving operational and financial performance, as well as railroad industry dynamics more generally and their impact on current railroad valuations. Representatives of GHF then proposed a process pursuant to which the Company would proceed with discussions with Party A and also solicit interest from other potential third parties regarding a change in control transaction. The Board considered various factors, including the marketplace, the risks attendant to engaging in the process discussed with representatives of GHF, the Company’s overall strategic position, and the challenges attendant to improving the Company’s financial performance in order to maximize shareholder value and concluded, based upon its examination of these and other factors, that it was in the best interest of the Company and its shareholders to proceed with the transaction strategy discussed with representatives of GHF. In light of the potentially significant time and effort involved in pursuing such exploratory transaction strategy, as well as the possible need to provide guidance to GHF and management on short notice, at the conclusion of the meeting, the Board appointed a special committee of independent directors of the Board (which we refer to as the “Transaction Committee”), composed of Frank W. Barrett (Chair), Richard W. Anderson and James C. Garvey, for the purpose of assisting in the supervision and oversight of the process on the</v>
      </c>
      <c r="D8" s="14" t="str">
        <v>providence-worcester_2016-09-20_DEFM14A.htm</v>
      </c>
      <c r="E8" s="14" t="str">
        <v>Original filing supplied by Austin; text normalized for HTML whitespace only.</v>
      </c>
    </row>
    <row r="9" ht="108" customHeight="1">
      <c r="A9" s="14" t="str">
        <v>BG-002 · 2/2</v>
      </c>
      <c r="B9" s="14" t="str">
        <v>Background of the Merger
Printed p.27/28</v>
      </c>
      <c r="C9" s="14" t="str">
        <v>full Board’s behalf and making a recommendation to the full Board. The Transaction Committee did not have the authority to approve or enter into a change of control transaction, which, under Rhode Island law, is an authority that can only be exercised by the full Board. At the time of appointment, Messrs. Barrett and Garvey had been elected by the preferred shareholders and Mr. Anderson had been elected by the common shareholders at the 2015 annual shareholders meeting. At the Company’s 2016 annual shareholders meeting on April 27, 2016, Messrs. Barrett and Anderson were re-elected as directors by the common shareholders and Mr. Garvey was re-elected as a director by the preferred shareholders.</v>
      </c>
      <c r="D9" s="14" t="str">
        <v>providence-worcester_2016-09-20_DEFM14A.htm</v>
      </c>
      <c r="E9" s="14" t="str">
        <v>Original filing supplied by Austin; text normalized for HTML whitespace only.</v>
      </c>
    </row>
    <row r="10" ht="70" customHeight="1">
      <c r="A10" s="14" t="str">
        <v>BG-003</v>
      </c>
      <c r="B10" s="14" t="str">
        <v>Background of the Merger
Printed p.28</v>
      </c>
      <c r="C10" s="14" t="str">
        <v>On March 22, 2016 and March 23, 2016, Daniel T. Noreck (the Company’s Chief Financial Officer and Treasurer) and other members of the senior management team of the Company met with various representatives of Party A.</v>
      </c>
      <c r="D10" s="14" t="str">
        <v>providence-worcester_2016-09-20_DEFM14A.htm</v>
      </c>
      <c r="E10" s="14" t="str">
        <v>Original filing supplied by Austin; text normalized for HTML whitespace only.</v>
      </c>
    </row>
    <row r="11" ht="189" customHeight="1">
      <c r="A11" s="14" t="str">
        <v>BG-004</v>
      </c>
      <c r="B11" s="14" t="str">
        <v>Background of the Merger
Printed p.28</v>
      </c>
      <c r="C11" s="14" t="str">
        <v>On March 24, 2016, the Transaction Committee met by telephone conference to discuss the results of management’s meeting with Party A and to discuss next steps in the process. Members of management and representatives of each of GHF and the Company’s legal counsel, Hinckley, Allen &amp; Snyder LLP (which we refer to as “Hinckley Allen”), participated in all meetings of the Transaction Committee, except as otherwise indicated. At this meeting, Mr. Noreck reported that he and other members of the senior management team had met with various representatives of Party A on March 22 and 23, 2016 and had informed Party A of GHF’s engagement. The Transaction Committee authorized GHF to contact Party A as well as other potential buyers to determine their level of interest in a change in control transaction. During the week of March 28, 2016, in accordance with the Transaction Committee’s directives, representatives of GHF contacted 11 potential strategic buyers (including Party A) and 18 potential financial buyers. 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v>
      </c>
      <c r="D11" s="14" t="str">
        <v>providence-worcester_2016-09-20_DEFM14A.htm</v>
      </c>
      <c r="E11" s="14" t="str">
        <v>Original filing supplied by Austin; text normalized for HTML whitespace only.</v>
      </c>
    </row>
    <row r="12" ht="70" customHeight="1">
      <c r="A12" s="14" t="str">
        <v>BG-005</v>
      </c>
      <c r="B12" s="14" t="str">
        <v>Background of the Merger
Printed p.28</v>
      </c>
      <c r="C12" s="14" t="str">
        <v>Between April 3, 2016 and April 6, 2016, representatives of GHF and members of the Company’s management held a series of introductory meetings with five potential strategic buyers (including G&amp;W) at the American Short Line and Regional Railroad Association’s 2016 Connections Convention (“2016 Connections Convention”).</v>
      </c>
      <c r="D12" s="14" t="str">
        <v>providence-worcester_2016-09-20_DEFM14A.htm</v>
      </c>
      <c r="E12" s="14" t="str">
        <v>Original filing supplied by Austin; text normalized for HTML whitespace only.</v>
      </c>
    </row>
    <row r="13" ht="148.5" customHeight="1">
      <c r="A13" s="14" t="str">
        <v>BG-006</v>
      </c>
      <c r="B13" s="14" t="str">
        <v>Background of the Merger
Printed p.28</v>
      </c>
      <c r="C13" s="14" t="str">
        <v>On April 7, 2016, the Transaction Committee met by telephone conference and discussed the process to date with representatives of GHF. Representatives of GHF reported that they and Company management had held a series of introductory meetings with five potential strategic buyers (including G&amp;W) at the 2016 Connections Convention. Mr. Noreck reported that the Company had also approached two additional Class I railroads to determine their interest in a possible transaction. After discussion, the Transaction Committee authorized representatives of GHF, on behalf of the Company, to contact each of the five interested parties with whom management had met at the 2016 Connections Convention, as well as other potential strategic buyers (including certain Class I railroads) and private equity firms who had entered into confidentiality agreements with the Company to confirm their continuing interest. Subsequently, on April 21, 2016, the Company and representatives of GHF held an introductory meeting with another potential strategic buyer (“Party B”).</v>
      </c>
      <c r="D13" s="14" t="str">
        <v>providence-worcester_2016-09-20_DEFM14A.htm</v>
      </c>
      <c r="E13" s="14" t="str">
        <v>Original filing supplied by Austin; text normalized for HTML whitespace only.</v>
      </c>
    </row>
    <row r="14" ht="121.5" customHeight="1">
      <c r="A14" s="14" t="str">
        <v>BG-007</v>
      </c>
      <c r="B14" s="14" t="str">
        <v>Background of the Merger
Printed p.28/29</v>
      </c>
      <c r="C14" s="14" t="str">
        <v>With the assistance of GHF, the Company prepared a memorandum concerning the Company and its prospects, which was distributed to the potential buyers, including Party A, Party B and G&amp;W, that had executed confidentiality agreements. The Transaction Committee met with representatives of GHF by telephone conference on April 22, 2016 and discussed the status of discussions with potential buyers. On April 27, 2016, the Board met in executive session (without Mr. Eder present) with representatives of GHF and discussed the status of the process, including that each potential buyer had been advised to submit a non-binding indication of interest by May 10, 2016 (which deadline was subsequently postponed to May 19, 2016 to ensure the potential buyers had sufficient time to formulate their most compelling offers).</v>
      </c>
      <c r="D14" s="14" t="str">
        <v>providence-worcester_2016-09-20_DEFM14A.htm</v>
      </c>
      <c r="E14" s="14" t="str">
        <v>Original filing supplied by Austin; text normalized for HTML whitespace only.</v>
      </c>
    </row>
    <row r="15" ht="135" customHeight="1">
      <c r="A15" s="14" t="str">
        <v>BG-008</v>
      </c>
      <c r="B15" s="14" t="str">
        <v>Background of the Merger
Printed p.29</v>
      </c>
      <c r="C15" s="14" t="str">
        <v>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The Transaction Committee met by telephone conference on May 23, 2016 and again on June 1, 2016 to consider the IOIs. 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v>
      </c>
      <c r="D15" s="14" t="str">
        <v>providence-worcester_2016-09-20_DEFM14A.htm</v>
      </c>
      <c r="E15" s="14" t="str">
        <v>Original filing supplied by Austin; text normalized for HTML whitespace only.</v>
      </c>
    </row>
    <row r="16" ht="108" customHeight="1">
      <c r="A16" s="14" t="str">
        <v>BG-009</v>
      </c>
      <c r="B16" s="14" t="str">
        <v>Background of the Merger
Printed p.29</v>
      </c>
      <c r="C16" s="14" t="str">
        <v>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 Potential buyers were instructed to provide a valuation for the Company based on the purchase of 100% of the outstanding common stock on a dollar per share basis (assuming conversion of the preferred stock into common stock) or the financial terms of any non-cash proposal.</v>
      </c>
      <c r="D16" s="14" t="str">
        <v>providence-worcester_2016-09-20_DEFM14A.htm</v>
      </c>
      <c r="E16" s="14" t="str">
        <v>Original filing supplied by Austin; text normalized for HTML whitespace only.</v>
      </c>
    </row>
    <row r="17" ht="70" customHeight="1">
      <c r="A17" s="14" t="str">
        <v>BG-010</v>
      </c>
      <c r="B17" s="14" t="str">
        <v>Background of the Merger
Printed p.29</v>
      </c>
      <c r="C17" s="14" t="str">
        <v>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v>
      </c>
      <c r="D17" s="14" t="str">
        <v>providence-worcester_2016-09-20_DEFM14A.htm</v>
      </c>
      <c r="E17" s="14" t="str">
        <v>Original filing supplied by Austin; text normalized for HTML whitespace only.</v>
      </c>
    </row>
    <row r="18" ht="148.5" customHeight="1">
      <c r="A18" s="14" t="str">
        <v>BG-011</v>
      </c>
      <c r="B18" s="14" t="str">
        <v>Background of the Merger
Printed p.29</v>
      </c>
      <c r="C18" s="14" t="str">
        <v>Over the course of June and July 2016, each of the potential buyers and their respective advisors engaged in due diligence of the Company’s business and financial condition, including holding meetings with certain members of the Company’s management team. The Transaction Committee met on June 30, 2016 to receive a status update on the management presentations and due diligence efforts of the potential buyers. In early July 2016, a potential strategic buyer that had not previously been part of the process (“Party C”) approached the Company’s management and expressed interest in acquiring the Company. After executing a confidentiality agreement, Party C was provided the memorandum concerning the Company provided to the other potential buyers. On July 12, 2016, Party C submitted an IOI with an offer price per share of $21.00 (implying an equity value of $108 million). Subsequently, Party C was provided access to the internet data site and the Company’s management held a management presentation with Party C by telephone on July 14, 2016.</v>
      </c>
      <c r="D18" s="14" t="str">
        <v>providence-worcester_2016-09-20_DEFM14A.htm</v>
      </c>
      <c r="E18" s="14" t="str">
        <v>Original filing supplied by Austin; text normalized for HTML whitespace only.</v>
      </c>
    </row>
    <row r="19" ht="81" customHeight="1">
      <c r="A19" s="14" t="str">
        <v>BG-012</v>
      </c>
      <c r="B19" s="14" t="str">
        <v>Background of the Merger
Printed p.29</v>
      </c>
      <c r="C19" s="14" t="str">
        <v>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v>
      </c>
      <c r="D19" s="14" t="str">
        <v>providence-worcester_2016-09-20_DEFM14A.htm</v>
      </c>
      <c r="E19" s="14" t="str">
        <v>Original filing supplied by Austin; text normalized for HTML whitespace only.</v>
      </c>
    </row>
    <row r="20" ht="70" customHeight="1">
      <c r="A20" s="14" t="str">
        <v>BG-013</v>
      </c>
      <c r="B20" s="14" t="str">
        <v>Background of the Merger
Printed p.29</v>
      </c>
      <c r="C20" s="14" t="str">
        <v>• Party B submitted an LOI to acquire the Company for a price of $24.00 per share (subject to an expedited diligence review).</v>
      </c>
      <c r="D20" s="14" t="str">
        <v>providence-worcester_2016-09-20_DEFM14A.htm</v>
      </c>
      <c r="E20" s="14" t="str">
        <v>Original filing supplied by Austin; text normalized for HTML whitespace only.</v>
      </c>
    </row>
    <row r="21" ht="108" customHeight="1">
      <c r="A21" s="14" t="str">
        <v>BG-014</v>
      </c>
      <c r="B21" s="14" t="str">
        <v>Background of the Merger
Printed p.29</v>
      </c>
      <c r="C21" s="14" t="str">
        <v>• 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 On July 26, 2016, in response to feedback from representatives of GHF indicating its price and CVR structure were not competitive, G&amp;W submitted a revised LOI, which increased its offer to $22.15 per share (including $21.02 in cash and $1.13 CVR).</v>
      </c>
      <c r="D21" s="14" t="str">
        <v>providence-worcester_2016-09-20_DEFM14A.htm</v>
      </c>
      <c r="E21" s="14" t="str">
        <v>Original filing supplied by Austin; text normalized for HTML whitespace only.</v>
      </c>
    </row>
    <row r="22" ht="70" customHeight="1">
      <c r="A22" s="14" t="str">
        <v>BG-015</v>
      </c>
      <c r="B22" s="14" t="str">
        <v>Background of the Merger
Printed p.30</v>
      </c>
      <c r="C22" s="14" t="str">
        <v>• Party E (a strategic buyer) submitted an LOI to acquire the Company for a price of $21.26 per share (subject to a 60-day exclusivity period for due diligence and negotiation of definitive documentation).</v>
      </c>
      <c r="D22" s="14" t="str">
        <v>providence-worcester_2016-09-20_DEFM14A.htm</v>
      </c>
      <c r="E22" s="14" t="str">
        <v>Original filing supplied by Austin; text normalized for HTML whitespace only.</v>
      </c>
    </row>
    <row r="23" ht="70" customHeight="1">
      <c r="A23" s="14" t="str">
        <v>BG-016</v>
      </c>
      <c r="B23" s="14" t="str">
        <v>Background of the Merger
Printed p.30</v>
      </c>
      <c r="C23" s="14" t="str">
        <v>• Party D (a financial buyer) submitted an LOI to acquire the Company for a price of $21.00 per share (subject to a four-week diligence period).</v>
      </c>
      <c r="D23" s="14" t="str">
        <v>providence-worcester_2016-09-20_DEFM14A.htm</v>
      </c>
      <c r="E23" s="14" t="str">
        <v>Original filing supplied by Austin; text normalized for HTML whitespace only.</v>
      </c>
    </row>
    <row r="24" ht="70" customHeight="1">
      <c r="A24" s="14" t="str">
        <v>BG-017</v>
      </c>
      <c r="B24" s="14" t="str">
        <v>Background of the Merger
Printed p.30</v>
      </c>
      <c r="C24" s="14" t="str">
        <v>• Party C submitted an LOI to acquire the Company for a price of $19.30 per share (subject to a 30-day diligence period).</v>
      </c>
      <c r="D24" s="14" t="str">
        <v>providence-worcester_2016-09-20_DEFM14A.htm</v>
      </c>
      <c r="E24" s="14" t="str">
        <v>Original filing supplied by Austin; text normalized for HTML whitespace only.</v>
      </c>
    </row>
    <row r="25" ht="70" customHeight="1">
      <c r="A25" s="14" t="str">
        <v>BG-018</v>
      </c>
      <c r="B25" s="14" t="str">
        <v>Background of the Merger
Printed p.30</v>
      </c>
      <c r="C25" s="14" t="str">
        <v>• Party F (a strategic buyer) submitted an LOI to acquire the Company for a price of $19.20 per share (subject to a 30-day due diligence period).</v>
      </c>
      <c r="D25" s="14" t="str">
        <v>providence-worcester_2016-09-20_DEFM14A.htm</v>
      </c>
      <c r="E25" s="14" t="str">
        <v>Original filing supplied by Austin; text normalized for HTML whitespace only.</v>
      </c>
    </row>
    <row r="26" ht="70" customHeight="1">
      <c r="A26" s="14" t="str">
        <v>BG-019</v>
      </c>
      <c r="B26" s="14" t="str">
        <v>Background of the Merger
Printed p.30</v>
      </c>
      <c r="C26" s="14" t="str">
        <v>In addition to various due diligence requirements, the LOI prices were based on different assumptions and requirements related to transaction expenses and change in control payments, which GHF and the Transaction Committee observed could affect the ultimate offer price. One strategic buyer and one financial buyer elected not to submit an LOI.</v>
      </c>
      <c r="D26" s="14" t="str">
        <v>providence-worcester_2016-09-20_DEFM14A.htm</v>
      </c>
      <c r="E26" s="14" t="str">
        <v>Original filing supplied by Austin; text normalized for HTML whitespace only.</v>
      </c>
    </row>
    <row r="27" ht="216" customHeight="1">
      <c r="A27" s="14" t="str">
        <v>BG-020 · 1/2</v>
      </c>
      <c r="B27" s="14" t="str">
        <v>Background of the Merger
Printed p.30</v>
      </c>
      <c r="C27" s="14" t="str">
        <v>The Transaction Committee met by telephone conference on July 22, 2016 and in person after the regular quarterly Board meeting on July 27, 2016, to review the LOIs with representatives of GHF. Representatives of GHF reviewed the material financial terms of each LOI, including the offer price, and additional due diligence requested. The Transaction Committee discussed the process for the on-site due diligence requested by the bidders, the delays inherent in managing on-site due diligence by multiple parties and the difficulties of maintaining the confidentiality of the discussions. 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 The Transaction Committee updated the independent directors (other than Director Smith) regarding the process at a meeting held immediately prior to the Board’s regular quarterly meeting on July 27, 2016. Director Smith is Vice President and Group Executive, Locomotive Group of GATX Corporation (“GATX”), which owns 4.92% of the Company’s common stock. In order to avoid any potential conflict, Mr. Smith elected to recuse himself from participating in this and other Board meetings at which the bidding process and any potential transaction were to be discussed because of the possibility</v>
      </c>
      <c r="D27" s="14" t="str">
        <v>providence-worcester_2016-09-20_DEFM14A.htm</v>
      </c>
      <c r="E27" s="14" t="str">
        <v>Original filing supplied by Austin; text normalized for HTML whitespace only.</v>
      </c>
    </row>
    <row r="28" ht="70" customHeight="1">
      <c r="A28" s="14" t="str">
        <v>BG-020 · 2/2</v>
      </c>
      <c r="B28" s="14" t="str">
        <v>Background of the Merger
Printed p.30</v>
      </c>
      <c r="C28" s="14" t="str">
        <v>that GATX might be a potential buyer of the Company.</v>
      </c>
      <c r="D28" s="14" t="str">
        <v>providence-worcester_2016-09-20_DEFM14A.htm</v>
      </c>
      <c r="E28" s="14" t="str">
        <v>Original filing supplied by Austin; text normalized for HTML whitespace only.</v>
      </c>
    </row>
    <row r="29" ht="175.5" customHeight="1">
      <c r="A29" s="14" t="str">
        <v>BG-021</v>
      </c>
      <c r="B29" s="14" t="str">
        <v>Background of the Merger
Printed p.30</v>
      </c>
      <c r="C29" s="14" t="str">
        <v>On July 29, 2016, representatives of GHF had calls with Party D and Party E. During those calls, Party D and Party E both expressed interest in reengaging and enhancing their offers. On August 1, 2016, Party D submitted a revised LOI at a price of $24.00 per share and Party E submitted a revised LOI, along with financing support, from Party F, at a price of $23.81 per share. Both revised proposals contained a 30-day due diligence period. The Transaction Committee convened by telephone conference on August 1, 2016, to consider the revised LOIs submitted by Party D and Party E and subsequently directed representatives of BMO (which acquired the business of GHF on August 1, 2016) to clarify certain elements of the revised proposals and the bidders’ respective due diligence requirements. Party E withdrew its revised proposal on August 2, 2016 (but confirmed its original proposal of $21.26 per share) and Party D declined to shorten its due diligence period and requested that the Company commit that it would not enter into an agreement with another bidder during its 30-day due diligence period. In light of the active interest of Party B and G&amp;W, the Company declined to make such a commitment, at which point Party D indicated that it would not proceed with further due diligence at that time.</v>
      </c>
      <c r="D29" s="14" t="str">
        <v>providence-worcester_2016-09-20_DEFM14A.htm</v>
      </c>
      <c r="E29" s="14" t="str">
        <v>Original filing supplied by Austin; text normalized for HTML whitespace only.</v>
      </c>
    </row>
    <row r="30" ht="175.5" customHeight="1">
      <c r="A30" s="14" t="str">
        <v>BG-022</v>
      </c>
      <c r="B30" s="14" t="str">
        <v>Background of the Merger
Printed p.30/31</v>
      </c>
      <c r="C30" s="14" t="str">
        <v>On August 1, 2016, Hinckley Allen provided Party B with a revised merger agreement and voting agreement, reflecting changes from the marked-up documents included with Party B’s LOI. On August 3, 2016, Hinckley Allen provided G&amp;W with a revised merger agreement and voting agreement, reflecting changes from the marked-up documents included with G&amp;W’s LOI. On August 3, 2016, the Company and Hinckley Allen also responded to additional due diligence questions submitted by Party B. On August 4, 2016, the Transaction Committee met by conference call to discuss the process with representatives of BMO and Hinckley Allen on the status of negotiations and due diligence. During that discussion, the Transaction Committee directed the management team and representatives of each of BMO and Hinckley Allen to continue diligence and negotiations with both G&amp;W and Party B, but given the higher price offered by Party B, to prioritize Party B and proceed to complete the negotiation of the merger agreement with Party B. From July 27, 2016 through August 11, 2016, Party B and G&amp;W conducted on-site financial, legal and environmental due diligence, including hi-rail trips to inspect the Company’s track infrastructure.</v>
      </c>
      <c r="D30" s="14" t="str">
        <v>providence-worcester_2016-09-20_DEFM14A.htm</v>
      </c>
      <c r="E30" s="14" t="str">
        <v>Original filing supplied by Austin; text normalized for HTML whitespace only.</v>
      </c>
    </row>
    <row r="31" ht="189" customHeight="1">
      <c r="A31" s="14" t="str">
        <v>BG-023</v>
      </c>
      <c r="B31" s="14" t="str">
        <v>Background of the Merger
Printed p.31</v>
      </c>
      <c r="C31" s="14" t="str">
        <v>On August 4, 2016, legal counsel for Party B provided a revised draft of the merger agreement and, following negotiations between their respective legal counsels, the Company provided Party B with a revised draft of the merger agreement and disclosure letter on August 5, 2016. On August 9, 2016, the Transaction Committee met by telephone conference to review the status of the negotiations and due diligence. Following that discussion,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 On August 10, 2016, representatives of Hinckley Allen and Simpson Thacher &amp; Bartlett LLP (which we refer to as “Simpson Thacher”), G&amp;W’s legal counsel, discussed various provisions of the draft merger agreement and voting agreement that had been provided to G&amp;W on August 3, 2016, and Hinckley Allen provided Simpson Thacher with a revised disclosure letter to accompany the August 3 draft merger agreement. On August 11, 2016, G&amp;W indicated its possible intention to submit a revised LOI on August 12, 2016, having just completed its physical diligence of the Company’s track infrastructure.</v>
      </c>
      <c r="D31" s="14" t="str">
        <v>providence-worcester_2016-09-20_DEFM14A.htm</v>
      </c>
      <c r="E31" s="14" t="str">
        <v>Original filing supplied by Austin; text normalized for HTML whitespace only.</v>
      </c>
    </row>
    <row r="32" ht="175.5" customHeight="1">
      <c r="A32" s="14" t="str">
        <v>BG-024</v>
      </c>
      <c r="B32" s="14" t="str">
        <v>Background of the Merger
Printed p.31</v>
      </c>
      <c r="C32" s="14" t="str">
        <v>Based upon progress made in due diligence and the negotiations with Party B during the week of August 8, 2016, meetings of the Transaction Committee and Board were scheduled for August 12, 2016 in anticipation of reviewing final agreements and approving a transaction with Party B. On the morning of August 12, 2016, following a discussion between representatives of BMO and G&amp;W in which G&amp;W indicated it would be submitting a revised LOI,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Later that day, Simpson Thacher submitted a mark-up of the disclosure letter. Upon receipt of the revised LOI and related merger documents, Hinckley Allen and Simpson Thacher negotiated revisions to the merger agreement and disclosure letter. The Transaction Committee met at 10:30 a.m. on August 12, 2016, and reviewed the status of the negotiations and merger documents with both Party B and G&amp;W. Following that discussion, the Transaction Committee directed representatives of BMO to inform Party B that another party had submitted a revised LOI at a higher price.</v>
      </c>
      <c r="D32" s="14" t="str">
        <v>providence-worcester_2016-09-20_DEFM14A.htm</v>
      </c>
      <c r="E32" s="14" t="str">
        <v>Original filing supplied by Austin; text normalized for HTML whitespace only.</v>
      </c>
    </row>
    <row r="33" ht="216" customHeight="1">
      <c r="A33" s="14" t="str">
        <v>BG-025</v>
      </c>
      <c r="B33" s="14" t="str">
        <v>Background of the Merger
Printed p.31</v>
      </c>
      <c r="C33" s="14" t="str">
        <v>On the afternoon of August 12, 2016, following the meeting of the Transaction Committee, the Board held a special meeting to review and consider the recommendation of the Transaction Committee with respect to a potential sale transaction. All directors were present in person or by telephone other than Director Smith. The Transaction Committee reported on the process and the status of the negotiations with Party B and G&amp;W. Drafts of the Party B merger agreement, voting agreement and disclosure letter and drafts of the G&amp;W merger agreement, voting agreement and disclosure letter were provided to the directors at the meeting. Hinckley Allen reviewed the material terms of the draft merger agreements provided by Party B and G&amp;W, and the differences between the G&amp;W draft merger agreement and the Party B draft merger agreement. Hinckley Allen also reviewed the Board’s fiduciary obligations in connection with the proposed transaction and responded to questions from the directors. Hinckley Allen advised the Board that both Party B’s and G&amp;W’s draft merger agreements restricted the Company from soliciting a competing proposal, subject to a “fiduciary out” for an unsolicited superior proposal, which required the Company to pay a termination fee equal to 3% of the transaction value in the case of G&amp;W (which the Company had negotiated down from 3.85%) and 3% plus Party B’s transaction expenses (capped at 1% of transaction value) in the case of Party B, in the event the merger agreement was terminated as a result of the Board’s decision to pursue such a proposal.</v>
      </c>
      <c r="D33" s="14" t="str">
        <v>providence-worcester_2016-09-20_DEFM14A.htm</v>
      </c>
      <c r="E33" s="14" t="str">
        <v>Original filing supplied by Austin; text normalized for HTML whitespace only.</v>
      </c>
    </row>
    <row r="34" ht="189" customHeight="1">
      <c r="A34" s="14" t="str">
        <v>BG-026</v>
      </c>
      <c r="B34" s="14" t="str">
        <v>Background of the Merger
Printed p.31/32</v>
      </c>
      <c r="C34" s="14" t="str">
        <v>Hinckley Allen advised the Board that the draft merger agreement and disclosure letter for both Party B and G&amp;W had minor differences but were substantively the same, except for the following: (1) the price offered by G&amp;W was $1.00 more per share; (2) the termination fee payable by the Company in the event the Board exercised its “fiduciary out” in order to accept a superior proposal was less under the G&amp;W draft agreement than the Party B draft agreement; and (3) the STB approval process for G&amp;W and Party B would be different since G&amp;W owned connecting railroads. The Board arranged a telephone call with the Company’s STB counsel to discuss the process for obtaining the required regulatory approval or exemption for the transaction, the risks associated with each process, the use of a voting trust to enable an earlier closing of the transaction (as contemplated by the G&amp;W merger agreement) and the likely timeframe for obtaining any regulatory clearance for a transaction with either Party B or G&amp;W. Based upon that discussion, the Board determined that the timeframe for, and the likelihood of, obtaining the required regulatory approval was not materially different for a transaction with G&amp;W versus a transaction with Party B. At the request of the Board, representatives of BMO then contacted Party B to determine if it would increase its offer price. Party B indicated that it would not increase its price.</v>
      </c>
      <c r="D34" s="14" t="str">
        <v>providence-worcester_2016-09-20_DEFM14A.htm</v>
      </c>
      <c r="E34" s="14" t="str">
        <v>Original filing supplied by Austin; text normalized for HTML whitespace only.</v>
      </c>
    </row>
    <row r="35" ht="216" customHeight="1">
      <c r="A35" s="14" t="str">
        <v>BG-027 · 1/2</v>
      </c>
      <c r="B35" s="14" t="str">
        <v>Background of the Merger
Printed p.32</v>
      </c>
      <c r="C35" s="14" t="str">
        <v>The Board determined that the G&amp;W offer represented the superior proposal. At the request of the Board, representatives of BMO reviewed BMO’s financial analyses supporting its opinion to the Board as to the fairness, from a financial point of view, to the holders of our common stock of the consideration to be received by those holders (other than the Eder Trusts) in the merger pursuant to the merger agreement as of August 12, 2016. At the request of the Board, BMO confirmed that it did not have any existing or contemplated material relationships with G&amp;W in connection with the provision of any financial advisory or financing services to G&amp;W. BMO then rendered an oral opinion to the Board, subsequently confirmed by delivery of a written opinion, dated August 12, 2016 to the effect that, as of that date, and based upon and subject to the various assumptions made, procedures followed, matters considered and qualifications and limitations on the scope of review undertaken by BMO as set forth in its written opinion, the merger consideration to be received by the holders of our common stock in the merger pursuant to the merger agreement was fair, from a financial point of view, to those holders (other than the Eder Trusts). Following a discussion of the terms of the merger agreement and related matters, the Board (other than Director Smith, who recused himself from the August 12, 2016 meeting) (i) determined that the merger agreement, the plan of merger and the merger and other transactions contemplated by the merger agreement are fair to, advisable and in the best interests of</v>
      </c>
      <c r="D35" s="14" t="str">
        <v>providence-worcester_2016-09-20_DEFM14A.htm</v>
      </c>
      <c r="E35" s="14" t="str">
        <v>Original filing supplied by Austin; text normalized for HTML whitespace only.</v>
      </c>
    </row>
    <row r="36" ht="81" customHeight="1">
      <c r="A36" s="14" t="str">
        <v>BG-027 · 2/2</v>
      </c>
      <c r="B36" s="14" t="str">
        <v>Background of the Merger
Printed p.32</v>
      </c>
      <c r="C36" s="14" t="str">
        <v>the Company and its shareholders, (ii) approved and declared advisable the merger agreement and the transactions contemplated thereby, including the merger and the plan of merger, (iii) directed that the merger agreement be submitted to the Company’s shareholders for approval and (iv) resolved to recommend that the Company’s shareholders approve the merger agreement and the transactions contemplated thereby, including the merger and the plan of merger.</v>
      </c>
      <c r="D36" s="14" t="str">
        <v>providence-worcester_2016-09-20_DEFM14A.htm</v>
      </c>
      <c r="E36" s="14" t="str">
        <v>Original filing supplied by Austin; text normalized for HTML whitespace only.</v>
      </c>
    </row>
    <row r="37" ht="81" customHeight="1">
      <c r="A37" s="14" t="str">
        <v>BG-028</v>
      </c>
      <c r="B37" s="14" t="str">
        <v>Background of the Merger
Printed p.32</v>
      </c>
      <c r="C37" s="14" t="str">
        <v>Shortly thereafter, Hinckley Allen and Simpson Thacher finalized the transaction documents and the Company and G&amp;W executed the merger agreement, and the Company, G&amp;W and the Eder Trusts executed the voting agreement. The Company issued a press release publicly announcing the transaction on Monday, August 15, 2016 prior to the opening of trading of the Company’s common stock on the NASDAQ.</v>
      </c>
      <c r="D37" s="14" t="str">
        <v>providence-worcester_2016-09-20_DEFM14A.htm</v>
      </c>
      <c r="E37" s="14" t="str">
        <v>Original filing supplied by Austin; text normalized for HTML whitespace only.</v>
      </c>
    </row>
    <row r="38" ht="121.5" customHeight="1">
      <c r="A38" s="14" t="str">
        <v>BG-029</v>
      </c>
      <c r="B38" s="14" t="str">
        <v>Background of the Merger
Printed p.32</v>
      </c>
      <c r="C38" s="14" t="str">
        <v>Subsequent to the delivery of BMO’s opinion and the Board’s approval of the merger agreement and voting agreement, representatives of BMO advised the Board that when checking to determine if there were any financial advisory or financing relationships with G&amp;W, it had inadvertently failed to identify that a BMO affiliate has a participation in G&amp;W’s existing secured syndicated debt facility as described under the section titled “Summary of Financial Analysis of BMO Capital Markets Corp.—Miscellaneous” on page 41. On September 6, 2016, the Board considered this new information, determined this relationship was not material to BMO’s independence and confirmed that the Board remained comfortable with the engagement and opinion of BMO.</v>
      </c>
      <c r="D38" s="14" t="str">
        <v>providence-worcester_2016-09-20_DEFM14A.htm</v>
      </c>
      <c r="E38" s="14" t="str">
        <v>Original filing supplied by Austin; text normalized for HTML whitespace only.</v>
      </c>
    </row>
    <row r="39" ht="81" customHeight="1">
      <c r="A39" s="14" t="str">
        <v>FULL-01</v>
      </c>
      <c r="B39" s="14" t="str">
        <v>Cover letter
Printed p.Unnumbered</v>
      </c>
      <c r="C39" s="14" t="str">
        <v>On August 12, 2016, Providence and Worcester Railroad Company (“PWRR” or the “Company”) entered into a merger agreement among the Company, Genesee &amp; Wyoming Inc. (“G&amp;W”) and Pullman Acquisition Sub Inc. (“Merger Sub”), providing for the acquisition of the Company by G&amp;W through the merger of Merger Sub with and into the Company (the “merger”), with the Company surviving the merger. If completed, the merger will result in the Company becoming a wholly-owned subsidiary of G&amp;W.</v>
      </c>
      <c r="D39" s="14" t="str">
        <v>providence-worcester_2016-09-20_DEFM14A.htm</v>
      </c>
      <c r="E39" s="14" t="str">
        <v>Original filing supplied by Austin; text normalized for HTML whitespace only.</v>
      </c>
    </row>
    <row r="40" ht="135" customHeight="1">
      <c r="A40" s="14" t="str">
        <v>FULL-02</v>
      </c>
      <c r="B40" s="14" t="str">
        <v>Parties to the Merger Agreement
Printed p.21</v>
      </c>
      <c r="C40" s="14" t="str">
        <v>G&amp;W, a Delaware corporation, owns or leases 121 freight railroads worldwide that are organized in 10 operating regions with approximately 7,200 employees and more than 2,800 customers. G&amp;W’s eight North American regions serve 41 U.S. states and four Canadian provinces and include 114 short line and regional freight railroads with more than 13,000 track-miles. G&amp;W’s Australia Region provides rail freight services in New South Wales, the Northern Territory and South Australia and operates the 1,400-mile Tarcoola-to-Darwin rail line. G&amp;W’s U.K./Europe Region is led by Freightliner, the U.K.’s largest rail maritime intermodal operator and second-largest rail freight company and whose operations also include heavy-haul in Poland and Germany and cross-border intermodal services connecting Northern European seaports with key industrial regions</v>
      </c>
      <c r="D40" s="14" t="str">
        <v>providence-worcester_2016-09-20_DEFM14A.htm</v>
      </c>
      <c r="E40" s="14" t="str">
        <v>Original filing supplied by Austin; text normalized for HTML whitespace only.</v>
      </c>
    </row>
    <row r="41" ht="70" customHeight="1">
      <c r="A41" s="14" t="str">
        <v>FULL-03</v>
      </c>
      <c r="B41" s="14" t="str">
        <v>Parties to the Merger Agreement
Printed p.21</v>
      </c>
      <c r="C41" s="14" t="str">
        <v>G&amp;W’s common stock is listed on the New York Stock Exchange under the ticker symbol “GWR”. G&amp;W’s principal executive offices are located at 20 West Avenue, Darien, Connecticut 06820, its telephone number is (203) 202-8900, and its website is www.gwrr.com.</v>
      </c>
      <c r="D41" s="14" t="str">
        <v>providence-worcester_2016-09-20_DEFM14A.htm</v>
      </c>
      <c r="E41" s="14" t="str">
        <v>Original filing supplied by Austin; text normalized for HTML whitespace only.</v>
      </c>
    </row>
    <row r="42" ht="108" customHeight="1">
      <c r="A42" s="14" t="str">
        <v>FULL-04</v>
      </c>
      <c r="B42" s="14" t="str">
        <v>Parties to the Merger Agreement
Printed p.21</v>
      </c>
      <c r="C42" s="14" t="str">
        <v>Merger Sub, a Rhode Island corporation, is a wholly-owned subsidiary of G&amp;W, and was formed by G&amp;W on August 12, 2016 solely for the purposes of entering into the merger agreement and effecting the merger. Merger Sub has not conducted any business operations other than those incidental to its formation and in connection with the transactions contemplated by the merger agreement. Upon completion of the merger, Merger Sub will merge with and into the Company and Merger Sub will cease to exist as a separate entity. Merger Sub’s principal executive offices are located at 20 West Avenue, Darien, Connecticut 06820, and its telephone number is (203) 202-8900.</v>
      </c>
      <c r="D42" s="14" t="str">
        <v>providence-worcester_2016-09-20_DEFM14A.htm</v>
      </c>
      <c r="E42" s="14" t="str">
        <v>Original filing supplied by Austin; text normalized for HTML whitespace only.</v>
      </c>
    </row>
    <row r="43" ht="81" customHeight="1">
      <c r="A43" s="14" t="str">
        <v>FULL-05</v>
      </c>
      <c r="B43" s="14" t="str">
        <v>Reasons for the Merger
Printed p.33</v>
      </c>
      <c r="C43" s="14" t="str">
        <v>the fact that the Company conducted a lengthy and thorough process, directed by the Board and the Transaction Committee, during which the Board sought offers to purchase from a broad group of potential bidders, including strategic and financial buyers, 25 of whom entered into confidentiality agreements with the Company and received information related to the Company and six of whom submitted non-binding letters of intent;</v>
      </c>
      <c r="D43" s="14" t="str">
        <v>providence-worcester_2016-09-20_DEFM14A.htm</v>
      </c>
      <c r="E43" s="14" t="str">
        <v>Original filing supplied by Austin; text normalized for HTML whitespace only.</v>
      </c>
    </row>
    <row r="44" ht="70" customHeight="1">
      <c r="A44" s="14" t="str">
        <v>FULL-06</v>
      </c>
      <c r="B44" s="14" t="str">
        <v>Reasons for the Merger
Printed p.34</v>
      </c>
      <c r="C44" s="14" t="str">
        <v>the absence of a financing condition in the merger agreement and the representation of G&amp;W in the merger agreement as to its financial wherewithal;</v>
      </c>
      <c r="D44" s="14" t="str">
        <v>providence-worcester_2016-09-20_DEFM14A.htm</v>
      </c>
      <c r="E44" s="14" t="str">
        <v>Original filing supplied by Austin; text normalized for HTML whitespace only.</v>
      </c>
    </row>
    <row r="45" ht="70" customHeight="1">
      <c r="A45" s="14" t="str">
        <v>FULL-07</v>
      </c>
      <c r="B45" s="14" t="str">
        <v>Reasons for the Merger
Printed p.34</v>
      </c>
      <c r="C45" s="14" t="str">
        <v>the conditions to closing contained in the merger agreement, which are customary in number and scope, and which, in the case of the condition related to the accuracy of the Company’s representations and warranties, are generally subject to a “Company Material Adverse Effect” qualification;</v>
      </c>
      <c r="D45" s="14" t="str">
        <v>providence-worcester_2016-09-20_DEFM14A.htm</v>
      </c>
      <c r="E45" s="14" t="str">
        <v>Original filing supplied by Austin; text normalized for HTML whitespace only.</v>
      </c>
    </row>
    <row r="46" ht="108" customHeight="1">
      <c r="A46" s="14" t="str">
        <v>FULL-08</v>
      </c>
      <c r="B46" s="14" t="str">
        <v>Regulatory Approvals Required for the Merger
Printed p.65</v>
      </c>
      <c r="C46" s="14" t="str">
        <v>exemption by, the STB of the merger. On September 1, 2016, G&amp;W filed a petition for exemption with the STB requesting approval or exemption to complete the merger and control the Company. On September 14, 2016, G&amp;W also submitted a form of voting trust agreement to the STB seeking a written informal opinion that using a voting trust arrangement would insulate G&amp;W from having unauthorized control of the Company if (i) G&amp;W has not received from the STB the approval or exemption of the merger before the effective time of the merger and (ii) the stock of the surviving corporation is placed into the voting trust immediately following the merger.</v>
      </c>
      <c r="D46" s="14" t="str">
        <v>providence-worcester_2016-09-20_DEFM14A.htm</v>
      </c>
      <c r="E46" s="14" t="str">
        <v>Original filing supplied by Austin; text normalized for HTML whitespace only.</v>
      </c>
    </row>
    <row r="47" ht="148.5" customHeight="1">
      <c r="A47" s="14" t="str">
        <v>FULL-09</v>
      </c>
      <c r="B47" s="14" t="str">
        <v>Cover letter
Printed p.Unnumbered</v>
      </c>
      <c r="C47" s="14" t="str">
        <v>If the merger agreement is approved and the merger is subsequently completed, (i) each outstanding share of PWRR preferred stock, par value $50.00 per share (the “preferred stock”), other than preferred stock held by a holder who is entitled to and makes a proper demand for dissenters’ rights, will be deemed to be automatically converted, along with the aggregate accrued or accumulated and unpaid dividends thereon, into 100 shares of PWRR common stock, par value $0.50 per share (the “common stock”) without any further action by the holders of such preferred stock, and (ii) each share of common stock issued and outstanding at the effective time of the merger (including common stock into which the preferred stock has been deemed converted, but excluding common stock owned by G&amp;W or any of its direct or indirect subsidiaries, including Merger Sub) shall, as of the effective time of the merger, be converted into and exchanged for the right to receive cash in the amount of $25.00, without interest, per share of common stock, less any applicable withholding taxes.</v>
      </c>
      <c r="D47" s="14" t="str">
        <v>providence-worcester_2016-09-20_DEFM14A.htm</v>
      </c>
      <c r="E47" s="14" t="str">
        <v>Original filing supplied by Austin; text normalized for HTML whitespace only.</v>
      </c>
    </row>
    <row r="49" ht="35" customHeight="1">
      <c r="A49" s="25" t="str">
        <v>SEC index URL transcribed from Alex's reference workbook (not independently re-fetched in this audit): https://www.sec.gov/Archives/edgar/data/831968/0001193125-16-713780-index.htm</v>
      </c>
      <c r="B49" s="25"/>
      <c r="C49" s="25"/>
      <c r="D49" s="25"/>
      <c r="E49" s="25"/>
    </row>
    <row r="50">
      <c r="A50" s="46" t="str">
        <v>Back to Deal guide</v>
      </c>
    </row>
  </sheetData>
  <mergeCells>
    <mergeCell ref="A1:E1"/>
    <mergeCell ref="A2:E3"/>
    <mergeCell ref="A49:E49"/>
  </mergeCells>
  <hyperlinks>
    <hyperlink ref="A50" location="'Deal guide'!A1" tooltip="Open supporting passage or grouped review decision"/>
  </hyperlinks>
  <pageMargins left="0.7" right="0.7" top="0.75" bottom="0.75" header="0.3" footer="0.3"/>
  <tableParts count="1">
    <tablePart ns1:id="R68443ac05bf74cf0"/>
  </tableParts>
</worksheet>
</file>