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Summary" sheetId="2" state="visible" r:id="rId2"/>
    <sheet xmlns:r="http://schemas.openxmlformats.org/officeDocument/2006/relationships" name="Questions" sheetId="3" state="visible" r:id="rId3"/>
    <sheet xmlns:r="http://schemas.openxmlformats.org/officeDocument/2006/relationships" name="Source text" sheetId="4" state="visible" r:id="rId4"/>
    <sheet xmlns:r="http://schemas.openxmlformats.org/officeDocument/2006/relationships" name="AI original" sheetId="5" state="hidden" r:id="rId5"/>
    <sheet xmlns:r="http://schemas.openxmlformats.org/officeDocument/2006/relationships" name="Lists" sheetId="6" state="hidden" r:id="rId6"/>
  </sheets>
  <definedNames>
    <definedName name="_xlnm._FilterDatabase" localSheetId="0" hidden="1">'Deal ledger'!$A$1:$AM$52</definedName>
  </definedNames>
  <calcPr calcId="124519" fullCalcOnLoad="1"/>
</workbook>
</file>

<file path=xl/styles.xml><?xml version="1.0" encoding="utf-8"?>
<styleSheet xmlns="http://schemas.openxmlformats.org/spreadsheetml/2006/main">
  <numFmts count="2">
    <numFmt numFmtId="164" formatCode="yyyy-mm-dd"/>
    <numFmt numFmtId="165" formatCode="mm/dd/yyyy"/>
  </numFmts>
  <fonts count="9">
    <font>
      <name val="Calibri"/>
      <family val="2"/>
      <color theme="1"/>
      <sz val="11"/>
      <scheme val="minor"/>
    </font>
    <font>
      <b val="1"/>
      <color rgb="00FFFFFF"/>
      <sz val="10"/>
    </font>
    <font>
      <sz val="10"/>
    </font>
    <font>
      <color rgb="000563C1"/>
      <sz val="10"/>
      <u val="single"/>
    </font>
    <font>
      <i val="1"/>
      <sz val="10"/>
    </font>
    <font>
      <i val="1"/>
      <sz val="9"/>
    </font>
    <font>
      <b val="1"/>
      <color rgb="001F4E79"/>
      <sz val="11"/>
    </font>
    <font>
      <b val="1"/>
      <color rgb="001F4E79"/>
      <sz val="14"/>
    </font>
    <font>
      <b val="1"/>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1" fontId="2" fillId="0" borderId="1" applyAlignment="1" pivotButton="0" quotePrefix="0" xfId="0">
      <alignment vertical="top" wrapText="1"/>
    </xf>
    <xf numFmtId="165" fontId="2" fillId="0" borderId="1" applyAlignment="1" pivotButton="0" quotePrefix="0" xfId="0">
      <alignment vertical="top" wrapText="1"/>
    </xf>
    <xf numFmtId="4" fontId="2" fillId="0" borderId="1"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xf numFmtId="0" fontId="8" fillId="0" borderId="0" applyAlignment="1" pivotButton="0" quotePrefix="0" xfId="0">
      <alignment vertical="top" wrapText="1"/>
    </xf>
    <xf numFmtId="0" fontId="6" fillId="0" borderId="0" applyAlignment="1" pivotButton="0" quotePrefix="0" xfId="0">
      <alignment vertical="top" wrapText="1"/>
    </xf>
    <xf numFmtId="0" fontId="2" fillId="0" borderId="0" pivotButton="0" quotePrefix="0" xfId="0"/>
    <xf numFmtId="0" fontId="6" fillId="0" borderId="1" applyAlignment="1" pivotButton="0" quotePrefix="0" xfId="0">
      <alignment vertical="top" wrapText="1"/>
    </xf>
    <xf numFmtId="0" fontId="6" fillId="0" borderId="0" pivotButton="0" quotePrefix="0" xfId="0"/>
    <xf numFmtId="0" fontId="4" fillId="0" borderId="0" pivotButton="0" quotePrefix="0" xfId="0"/>
    <xf numFmtId="0" fontId="4" fillId="0" borderId="0" applyAlignment="1" pivotButton="0" quotePrefix="0" xfId="0">
      <alignment vertical="top" wrapText="1"/>
    </xf>
    <xf numFmtId="0" fontId="5" fillId="0" borderId="0" pivotButton="0" quotePrefix="0" xfId="0"/>
    <xf numFmtId="0" fontId="1" fillId="2" borderId="0" pivotButton="0" quotePrefix="0" xfId="0"/>
  </cellXfs>
  <cellStyles count="1">
    <cellStyle name="Normal" xfId="0" builtinId="0" hidden="0"/>
  </cellStyles>
  <dxfs count="1">
    <dxf>
      <font>
        <b val="1"/>
        <color rgb="FFFF0000"/>
        <sz val="1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AM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17" customWidth="1" min="2" max="2"/>
    <col width="27" customWidth="1" min="3" max="3"/>
    <col width="19" customWidth="1" min="4" max="4"/>
    <col width="9" customWidth="1" min="5" max="5"/>
    <col width="8" customWidth="1" min="6" max="6"/>
    <col width="11" customWidth="1" min="7" max="7"/>
    <col width="62" customWidth="1" min="8" max="8"/>
    <col width="13" customWidth="1" min="9" max="9"/>
    <col width="15" customWidth="1" min="10" max="10"/>
    <col width="85" customWidth="1" min="11" max="11"/>
    <col width="20" customWidth="1" min="12" max="12"/>
    <col width="11" customWidth="1" min="13" max="13"/>
    <col width="16" customWidth="1" min="14" max="14"/>
    <col hidden="1" outlineLevel="1" width="9" customWidth="1" min="15" max="16"/>
    <col hidden="1" outlineLevel="1" width="13" customWidth="1" min="16" max="16"/>
    <col hidden="1" outlineLevel="1" width="8" customWidth="1" min="17" max="17"/>
    <col hidden="1" outlineLevel="1" width="11" customWidth="1" min="18" max="22"/>
    <col hidden="1" outlineLevel="1" width="13" customWidth="1" min="19" max="19"/>
    <col hidden="1" outlineLevel="1" width="13" customWidth="1" min="20" max="20"/>
    <col hidden="1" outlineLevel="1" width="13" customWidth="1" min="21" max="21"/>
    <col hidden="1" outlineLevel="1" width="13" customWidth="1" min="22" max="22"/>
    <col hidden="1" outlineLevel="1" width="10" customWidth="1" min="23" max="27"/>
    <col hidden="1" outlineLevel="1" width="13" customWidth="1" min="24" max="24"/>
    <col hidden="1" outlineLevel="1" width="13" customWidth="1" min="25" max="25"/>
    <col hidden="1" outlineLevel="1" width="13" customWidth="1" min="26" max="26"/>
    <col hidden="1" outlineLevel="1" width="13" customWidth="1" min="27" max="27"/>
    <col hidden="1" outlineLevel="1" width="10" customWidth="1" min="28" max="29"/>
    <col hidden="1" outlineLevel="1" width="13" customWidth="1" min="29" max="29"/>
    <col hidden="1" outlineLevel="1" width="62" customWidth="1" min="30" max="30"/>
    <col hidden="1" outlineLevel="1" width="11" customWidth="1" min="31" max="33"/>
    <col hidden="1" outlineLevel="1" width="13" customWidth="1" min="32" max="32"/>
    <col hidden="1" outlineLevel="1" width="13" customWidth="1" min="33" max="33"/>
    <col hidden="1" outlineLevel="1" width="11" customWidth="1" min="34" max="36"/>
    <col hidden="1" outlineLevel="1" width="13" customWidth="1" min="35" max="35"/>
    <col hidden="1" outlineLevel="1" width="13" customWidth="1" min="36" max="36"/>
    <col hidden="1" outlineLevel="1" width="8" customWidth="1" min="37" max="37"/>
    <col hidden="1" outlineLevel="1" width="24" customWidth="1" min="38" max="38"/>
    <col hidden="1" outlineLevel="1" width="10" customWidth="1" min="39" max="39"/>
  </cols>
  <sheetData>
    <row r="1" ht="26" customHeight="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c r="A2" s="2" t="n">
        <v>1</v>
      </c>
      <c r="B2" s="2" t="inlineStr">
        <is>
          <t>06/18/2014</t>
        </is>
      </c>
      <c r="C2" s="2" t="inlineStr">
        <is>
          <t>PetSmart board (with management, a financial advisor and Wachtell Lipton)</t>
        </is>
      </c>
      <c r="D2" s="2" t="inlineStr">
        <is>
          <t>Material process update</t>
        </is>
      </c>
      <c r="E2" s="2" t="n">
        <v>1</v>
      </c>
      <c r="F2" s="2" t="n">
        <v>0</v>
      </c>
      <c r="G2" s="2" t="n"/>
      <c r="H2" s="2" t="inlineStr">
        <is>
          <t>Board reviewed strategic and financial alternatives; determined to explore capital-structure changes with a focus on returning capital to stockholders; established the ad hoc committee (Chairman Gregory Josefowicz, Rakesh Gangwal, Thomas Stemberg); authorized the vetting and retention of a financial advisor.</t>
        </is>
      </c>
      <c r="I2" s="2" t="n"/>
      <c r="J2" s="2" t="n"/>
      <c r="K2" s="2" t="inlineStr">
        <is>
          <t>Stated. First board step in the exploration that became the sale process; not itself a sale decision. “At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(p.21). “Chairman Gregory Josefowicz and directors Rakesh Gangwal and Thomas Stemberg, all of whom are nonexecutive, independent directors, were appointed to the ad hoc committee. In addition, the board authorized the vetting and retention of a financial advisor to assist in the review.” (p.22).</t>
        </is>
      </c>
      <c r="L2" s="3" t="inlineStr">
        <is>
          <t>P-004; P-005</t>
        </is>
      </c>
      <c r="M2" s="2" t="inlineStr">
        <is>
          <t>Q1</t>
        </is>
      </c>
      <c r="N2" s="2" t="n"/>
      <c r="O2" s="2" t="inlineStr">
        <is>
          <t>R001</t>
        </is>
      </c>
      <c r="P2" s="2" t="inlineStr">
        <is>
          <t>Yes</t>
        </is>
      </c>
      <c r="Q2" s="4" t="n"/>
      <c r="R2" s="5" t="n">
        <v>41808</v>
      </c>
      <c r="S2" s="5" t="n">
        <v>41808</v>
      </c>
      <c r="T2" s="5" t="n">
        <v>41808</v>
      </c>
      <c r="U2" s="2" t="inlineStr">
        <is>
          <t>Reported day</t>
        </is>
      </c>
      <c r="V2" s="2" t="inlineStr">
        <is>
          <t>Reported</t>
        </is>
      </c>
      <c r="W2" s="6" t="n"/>
      <c r="X2" s="6" t="n"/>
      <c r="Y2" s="2" t="n"/>
      <c r="Z2" s="2" t="n"/>
      <c r="AA2" s="2" t="n"/>
      <c r="AB2" s="2" t="n"/>
      <c r="AC2" s="6" t="n"/>
      <c r="AD2" s="2" t="n"/>
      <c r="AE2" s="5" t="n"/>
      <c r="AF2" s="2" t="n"/>
      <c r="AG2" s="2" t="n"/>
      <c r="AH2" s="2" t="n"/>
      <c r="AI2" s="2" t="n"/>
      <c r="AJ2" s="2" t="n"/>
      <c r="AK2" s="2" t="n">
        <v>21</v>
      </c>
      <c r="AL2" s="2" t="inlineStr"/>
      <c r="AM2" s="2" t="inlineStr">
        <is>
          <t>PetSmart</t>
        </is>
      </c>
    </row>
    <row r="3">
      <c r="A3" s="2" t="n">
        <v>2</v>
      </c>
      <c r="B3" s="2" t="inlineStr">
        <is>
          <t>06/18/2014</t>
        </is>
      </c>
      <c r="C3" s="2" t="inlineStr">
        <is>
          <t>Wachtell, Lipton, Rosen &amp; Katz (adviser)</t>
        </is>
      </c>
      <c r="D3" s="2" t="inlineStr">
        <is>
          <t>Adviser service observed</t>
        </is>
      </c>
      <c r="E3" s="2" t="n">
        <v>1</v>
      </c>
      <c r="F3" s="2" t="n">
        <v>0</v>
      </c>
      <c r="G3" s="2" t="n"/>
      <c r="H3" s="2" t="inlineStr">
        <is>
          <t>Client: PetSmart (Company). Role: legal advisor. Shown acting at the June 18, 2014 board meeting; engagement date not disclosed.</t>
        </is>
      </c>
      <c r="I3" s="2" t="n"/>
      <c r="J3" s="2" t="n"/>
      <c r="K3" s="2" t="inlineStr">
        <is>
          <t>Stated (earliest supported service date). A first narrative mention alone is not proof of retention on that date; the filing shows Wachtell advising the board on this mandate. “the board reviewed, together with a financial advisor and with Wachtell, Lipton, Rosen &amp; Katz (“Wachtell Lipton”), its legal advisor,” (p.21).</t>
        </is>
      </c>
      <c r="L3" s="3" t="inlineStr">
        <is>
          <t>P-004</t>
        </is>
      </c>
      <c r="M3" s="2" t="n"/>
      <c r="N3" s="2" t="n"/>
      <c r="O3" s="2" t="inlineStr">
        <is>
          <t>R002</t>
        </is>
      </c>
      <c r="P3" s="2" t="inlineStr">
        <is>
          <t>Yes</t>
        </is>
      </c>
      <c r="Q3" s="4" t="n"/>
      <c r="R3" s="5" t="n">
        <v>41808</v>
      </c>
      <c r="S3" s="5" t="n">
        <v>41808</v>
      </c>
      <c r="T3" s="5" t="n">
        <v>41808</v>
      </c>
      <c r="U3" s="2" t="inlineStr">
        <is>
          <t>Reported day</t>
        </is>
      </c>
      <c r="V3" s="2" t="inlineStr">
        <is>
          <t>Reported</t>
        </is>
      </c>
      <c r="W3" s="6" t="n"/>
      <c r="X3" s="6" t="n"/>
      <c r="Y3" s="2" t="n"/>
      <c r="Z3" s="2" t="n"/>
      <c r="AA3" s="2" t="n"/>
      <c r="AB3" s="2" t="n"/>
      <c r="AC3" s="6" t="n"/>
      <c r="AD3" s="2" t="n"/>
      <c r="AE3" s="5" t="n"/>
      <c r="AF3" s="2" t="n"/>
      <c r="AG3" s="2" t="n"/>
      <c r="AH3" s="2" t="n"/>
      <c r="AI3" s="2" t="n"/>
      <c r="AJ3" s="2" t="n"/>
      <c r="AK3" s="2" t="n">
        <v>21</v>
      </c>
      <c r="AL3" s="2" t="inlineStr"/>
      <c r="AM3" s="2" t="inlineStr">
        <is>
          <t>PetSmart</t>
        </is>
      </c>
    </row>
    <row r="4">
      <c r="A4" s="2" t="n">
        <v>3</v>
      </c>
      <c r="B4" s="2" t="inlineStr">
        <is>
          <t>July 2014 (day not disclosed)</t>
        </is>
      </c>
      <c r="C4" s="2" t="inlineStr">
        <is>
          <t>J.P. Morgan Securities LLC (adviser)</t>
        </is>
      </c>
      <c r="D4" s="2" t="inlineStr">
        <is>
          <t>Adviser engaged</t>
        </is>
      </c>
      <c r="E4" s="2" t="n">
        <v>1</v>
      </c>
      <c r="F4" s="2" t="n">
        <v>0</v>
      </c>
      <c r="G4" s="2" t="n"/>
      <c r="H4" s="2" t="inlineStr">
        <is>
          <t>Client: PetSmart (Company). Role: financial advisor and process bank (the only named target financial advisor; fairness opinion rendered 12/13/2014, confirmed in writing 12/14/2014). Retained in July 2014 after interviewing several potential financial advisors.</t>
        </is>
      </c>
      <c r="I4" s="2" t="n"/>
      <c r="J4" s="2" t="n"/>
      <c r="K4" s="2" t="inlineStr">
        <is>
          <t>Stated engagement; month stated without a day. Convention: Working date assigned to 07/01 to preserve reading order ahead of the dated July 3 JANA filing; the retention day is not disclosed (also see Q8).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 (p.22).</t>
        </is>
      </c>
      <c r="L4" s="3" t="inlineStr">
        <is>
          <t>P-005</t>
        </is>
      </c>
      <c r="M4" s="2" t="inlineStr">
        <is>
          <t>Q8</t>
        </is>
      </c>
      <c r="N4" s="2" t="n"/>
      <c r="O4" s="2" t="inlineStr">
        <is>
          <t>R003</t>
        </is>
      </c>
      <c r="P4" s="2" t="inlineStr">
        <is>
          <t>Yes</t>
        </is>
      </c>
      <c r="Q4" s="4" t="n"/>
      <c r="R4" s="5" t="n">
        <v>41821</v>
      </c>
      <c r="S4" s="5" t="n">
        <v>41851</v>
      </c>
      <c r="T4" s="5" t="n">
        <v>41821</v>
      </c>
      <c r="U4" s="2" t="inlineStr">
        <is>
          <t>Reported interval</t>
        </is>
      </c>
      <c r="V4" s="2" t="inlineStr">
        <is>
          <t>Assigned: sequence</t>
        </is>
      </c>
      <c r="W4" s="6" t="n"/>
      <c r="X4" s="6" t="n"/>
      <c r="Y4" s="2" t="n"/>
      <c r="Z4" s="2" t="n"/>
      <c r="AA4" s="2" t="n"/>
      <c r="AB4" s="2" t="n"/>
      <c r="AC4" s="6" t="n"/>
      <c r="AD4" s="2" t="n"/>
      <c r="AE4" s="5" t="n"/>
      <c r="AF4" s="2" t="n"/>
      <c r="AG4" s="2" t="n"/>
      <c r="AH4" s="2" t="n"/>
      <c r="AI4" s="2" t="n"/>
      <c r="AJ4" s="2" t="n"/>
      <c r="AK4" s="2" t="n">
        <v>22</v>
      </c>
      <c r="AL4" s="2" t="inlineStr"/>
      <c r="AM4" s="2" t="inlineStr">
        <is>
          <t>PetSmart</t>
        </is>
      </c>
    </row>
    <row r="5">
      <c r="A5" s="2" t="n">
        <v>4</v>
      </c>
      <c r="B5" s="2" t="inlineStr">
        <is>
          <t>07/03/2014</t>
        </is>
      </c>
      <c r="C5" s="2" t="inlineStr">
        <is>
          <t>JANA Partners LLC (activist)</t>
        </is>
      </c>
      <c r="D5" s="2" t="inlineStr">
        <is>
          <t>Activist pressure</t>
        </is>
      </c>
      <c r="E5" s="2" t="n">
        <v>1</v>
      </c>
      <c r="F5" s="2" t="n">
        <v>0</v>
      </c>
      <c r="G5" s="2" t="n"/>
      <c r="H5" s="2" t="inlineStr">
        <is>
          <t>JANA disclosed a 9.9% stake and intent to engage management and the board on a review of strategic alternatives, including a sale; over July–August JANA filed further Schedule 13D amendments and public letters advocating a sale.</t>
        </is>
      </c>
      <c r="I5" s="2" t="n"/>
      <c r="J5" s="2" t="n"/>
      <c r="K5" s="2" t="inlineStr">
        <is>
          <t>Stated. Sale advocacy (not a bid). “On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(p.22).</t>
        </is>
      </c>
      <c r="L5" s="3" t="inlineStr">
        <is>
          <t>P-006</t>
        </is>
      </c>
      <c r="M5" s="2" t="n"/>
      <c r="N5" s="2" t="n"/>
      <c r="O5" s="2" t="inlineStr">
        <is>
          <t>R004</t>
        </is>
      </c>
      <c r="P5" s="2" t="inlineStr">
        <is>
          <t>Yes</t>
        </is>
      </c>
      <c r="Q5" s="4" t="n"/>
      <c r="R5" s="5" t="n">
        <v>41823</v>
      </c>
      <c r="S5" s="5" t="n">
        <v>41823</v>
      </c>
      <c r="T5" s="5" t="n">
        <v>41823</v>
      </c>
      <c r="U5" s="2" t="inlineStr">
        <is>
          <t>Reported day</t>
        </is>
      </c>
      <c r="V5" s="2" t="inlineStr">
        <is>
          <t>Reported</t>
        </is>
      </c>
      <c r="W5" s="6" t="n"/>
      <c r="X5" s="6" t="n"/>
      <c r="Y5" s="2" t="n"/>
      <c r="Z5" s="2" t="n"/>
      <c r="AA5" s="2" t="n"/>
      <c r="AB5" s="2" t="n"/>
      <c r="AC5" s="6" t="n"/>
      <c r="AD5" s="2" t="n"/>
      <c r="AE5" s="5" t="n"/>
      <c r="AF5" s="2" t="n"/>
      <c r="AG5" s="2" t="n"/>
      <c r="AH5" s="2" t="n"/>
      <c r="AI5" s="2" t="n"/>
      <c r="AJ5" s="2" t="n"/>
      <c r="AK5" s="2" t="n">
        <v>22</v>
      </c>
      <c r="AL5" s="2" t="inlineStr"/>
      <c r="AM5" s="2" t="inlineStr">
        <is>
          <t>PetSmart</t>
        </is>
      </c>
    </row>
    <row r="6">
      <c r="A6" s="2" t="n">
        <v>5</v>
      </c>
      <c r="B6" s="2" t="inlineStr">
        <is>
          <t>07/07/2014</t>
        </is>
      </c>
      <c r="C6" s="2" t="inlineStr">
        <is>
          <t>Longview Asset Management, LLC (activist / later rollover investor)</t>
        </is>
      </c>
      <c r="D6" s="2" t="inlineStr">
        <is>
          <t>Activist pressure</t>
        </is>
      </c>
      <c r="E6" s="2" t="n">
        <v>1</v>
      </c>
      <c r="F6" s="2" t="n">
        <v>0</v>
      </c>
      <c r="G6" s="2" t="n"/>
      <c r="H6" s="2" t="inlineStr">
        <is>
          <t>Longview publicly urged the board to consider a sale and said it would consider rolling part or all of its holdings into acquiring-entity equity rather than cash if needed to enable a transaction.</t>
        </is>
      </c>
      <c r="I6" s="2" t="n"/>
      <c r="J6" s="2" t="n"/>
      <c r="K6" s="2" t="inlineStr">
        <is>
          <t>Stated. Earliest disclosed Longview rollover willingness; the rollover-support relationship is recorded once when permitted/formed (R043).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(p.22).</t>
        </is>
      </c>
      <c r="L6" s="3" t="inlineStr">
        <is>
          <t>P-006</t>
        </is>
      </c>
      <c r="M6" s="2" t="n"/>
      <c r="N6" s="2" t="n"/>
      <c r="O6" s="2" t="inlineStr">
        <is>
          <t>R005</t>
        </is>
      </c>
      <c r="P6" s="2" t="inlineStr">
        <is>
          <t>Yes</t>
        </is>
      </c>
      <c r="Q6" s="4" t="n"/>
      <c r="R6" s="5" t="n">
        <v>41827</v>
      </c>
      <c r="S6" s="5" t="n">
        <v>41827</v>
      </c>
      <c r="T6" s="5" t="n">
        <v>41827</v>
      </c>
      <c r="U6" s="2" t="inlineStr">
        <is>
          <t>Reported day</t>
        </is>
      </c>
      <c r="V6" s="2" t="inlineStr">
        <is>
          <t>Reported</t>
        </is>
      </c>
      <c r="W6" s="6" t="n"/>
      <c r="X6" s="6" t="n"/>
      <c r="Y6" s="2" t="n"/>
      <c r="Z6" s="2" t="n"/>
      <c r="AA6" s="2" t="n"/>
      <c r="AB6" s="2" t="n"/>
      <c r="AC6" s="6" t="n"/>
      <c r="AD6" s="2" t="n"/>
      <c r="AE6" s="5" t="n"/>
      <c r="AF6" s="2" t="n"/>
      <c r="AG6" s="2" t="n"/>
      <c r="AH6" s="2" t="n"/>
      <c r="AI6" s="2" t="n"/>
      <c r="AJ6" s="2" t="n"/>
      <c r="AK6" s="2" t="n">
        <v>22</v>
      </c>
      <c r="AL6" s="2" t="inlineStr">
        <is>
          <t>R043</t>
        </is>
      </c>
      <c r="AM6" s="2" t="inlineStr">
        <is>
          <t>PetSmart</t>
        </is>
      </c>
    </row>
    <row r="7">
      <c r="A7" s="2" t="n">
        <v>6</v>
      </c>
      <c r="B7" s="2" t="inlineStr">
        <is>
          <t>07/10/2014</t>
        </is>
      </c>
      <c r="C7" s="2" t="inlineStr">
        <is>
          <t>JANA Partners LLC (activist)</t>
        </is>
      </c>
      <c r="D7" s="2" t="inlineStr">
        <is>
          <t>Activist pressure</t>
        </is>
      </c>
      <c r="E7" s="2" t="n">
        <v>1</v>
      </c>
      <c r="F7" s="2" t="n">
        <v>0</v>
      </c>
      <c r="G7" s="2" t="n"/>
      <c r="H7" s="2" t="inlineStr">
        <is>
          <t>JANA representatives met in person with Company representatives and advocated for a sale.</t>
        </is>
      </c>
      <c r="I7" s="2" t="n"/>
      <c r="J7" s="2" t="n"/>
      <c r="K7" s="2" t="inlineStr">
        <is>
          <t>Stated. “On July 10, 2014, representatives of JANA met in person with representatives of the Company. At this meeting, the JANA representatives presented their perspectives on the Company and advocated for a sale of the Company.” (p.22).</t>
        </is>
      </c>
      <c r="L7" s="3" t="inlineStr">
        <is>
          <t>P-006</t>
        </is>
      </c>
      <c r="M7" s="2" t="n"/>
      <c r="N7" s="2" t="n"/>
      <c r="O7" s="2" t="inlineStr">
        <is>
          <t>R006</t>
        </is>
      </c>
      <c r="P7" s="2" t="inlineStr">
        <is>
          <t>Yes</t>
        </is>
      </c>
      <c r="Q7" s="4" t="n"/>
      <c r="R7" s="5" t="n">
        <v>41830</v>
      </c>
      <c r="S7" s="5" t="n">
        <v>41830</v>
      </c>
      <c r="T7" s="5" t="n">
        <v>41830</v>
      </c>
      <c r="U7" s="2" t="inlineStr">
        <is>
          <t>Reported day</t>
        </is>
      </c>
      <c r="V7" s="2" t="inlineStr">
        <is>
          <t>Reported</t>
        </is>
      </c>
      <c r="W7" s="6" t="n"/>
      <c r="X7" s="6" t="n"/>
      <c r="Y7" s="2" t="n"/>
      <c r="Z7" s="2" t="n"/>
      <c r="AA7" s="2" t="n"/>
      <c r="AB7" s="2" t="n"/>
      <c r="AC7" s="6" t="n"/>
      <c r="AD7" s="2" t="n"/>
      <c r="AE7" s="5" t="n"/>
      <c r="AF7" s="2" t="n"/>
      <c r="AG7" s="2" t="n"/>
      <c r="AH7" s="2" t="n"/>
      <c r="AI7" s="2" t="n"/>
      <c r="AJ7" s="2" t="n"/>
      <c r="AK7" s="2" t="n">
        <v>22</v>
      </c>
      <c r="AL7" s="2" t="inlineStr"/>
      <c r="AM7" s="2" t="inlineStr">
        <is>
          <t>PetSmart</t>
        </is>
      </c>
    </row>
    <row r="8">
      <c r="A8" s="2" t="n">
        <v>7</v>
      </c>
      <c r="B8" s="2" t="inlineStr">
        <is>
          <t>07/10/2014</t>
        </is>
      </c>
      <c r="C8" s="2" t="inlineStr">
        <is>
          <t>Longview Asset Management, LLC (activist)</t>
        </is>
      </c>
      <c r="D8" s="2" t="inlineStr">
        <is>
          <t>Activist pressure</t>
        </is>
      </c>
      <c r="E8" s="2" t="n">
        <v>1</v>
      </c>
      <c r="F8" s="2" t="n">
        <v>0</v>
      </c>
      <c r="G8" s="2" t="n"/>
      <c r="H8" s="2" t="inlineStr">
        <is>
          <t>Company representatives spoke with Longview, which reiterated its advocacy for a sale.</t>
        </is>
      </c>
      <c r="I8" s="2" t="n"/>
      <c r="J8" s="2" t="n"/>
      <c r="K8" s="2" t="inlineStr">
        <is>
          <t>Stated. “representatives of the Company also spoke to representatives of Longview and Longview reiterated its advocacy for a sale of the Company.” (p.22).</t>
        </is>
      </c>
      <c r="L8" s="3" t="inlineStr">
        <is>
          <t>P-006</t>
        </is>
      </c>
      <c r="M8" s="2" t="n"/>
      <c r="N8" s="2" t="n"/>
      <c r="O8" s="2" t="inlineStr">
        <is>
          <t>R007</t>
        </is>
      </c>
      <c r="P8" s="2" t="inlineStr">
        <is>
          <t>Yes</t>
        </is>
      </c>
      <c r="Q8" s="4" t="n"/>
      <c r="R8" s="5" t="n">
        <v>41830</v>
      </c>
      <c r="S8" s="5" t="n">
        <v>41830</v>
      </c>
      <c r="T8" s="5" t="n">
        <v>41830</v>
      </c>
      <c r="U8" s="2" t="inlineStr">
        <is>
          <t>Reported day</t>
        </is>
      </c>
      <c r="V8" s="2" t="inlineStr">
        <is>
          <t>Reported</t>
        </is>
      </c>
      <c r="W8" s="6" t="n"/>
      <c r="X8" s="6" t="n"/>
      <c r="Y8" s="2" t="n"/>
      <c r="Z8" s="2" t="n"/>
      <c r="AA8" s="2" t="n"/>
      <c r="AB8" s="2" t="n"/>
      <c r="AC8" s="6" t="n"/>
      <c r="AD8" s="2" t="n"/>
      <c r="AE8" s="5" t="n"/>
      <c r="AF8" s="2" t="n"/>
      <c r="AG8" s="2" t="n"/>
      <c r="AH8" s="2" t="n"/>
      <c r="AI8" s="2" t="n"/>
      <c r="AJ8" s="2" t="n"/>
      <c r="AK8" s="2" t="n">
        <v>22</v>
      </c>
      <c r="AL8" s="2" t="inlineStr"/>
      <c r="AM8" s="2" t="inlineStr">
        <is>
          <t>PetSmart</t>
        </is>
      </c>
    </row>
    <row r="9">
      <c r="A9" s="2" t="n">
        <v>8</v>
      </c>
      <c r="B9" s="2" t="inlineStr">
        <is>
          <t>08/07/2014</t>
        </is>
      </c>
      <c r="C9" s="2" t="inlineStr">
        <is>
          <t>Industry Participant (strategic party)</t>
        </is>
      </c>
      <c r="D9" s="2" t="inlineStr">
        <is>
          <t>Bidder interest</t>
        </is>
      </c>
      <c r="E9" s="2" t="n">
        <v>1</v>
      </c>
      <c r="F9" s="2" t="n">
        <v>0</v>
      </c>
      <c r="G9" s="2" t="inlineStr">
        <is>
          <t>Strategic</t>
        </is>
      </c>
      <c r="H9" s="2" t="inlineStr">
        <is>
          <t>Industry Participant contacted J.P. Morgan: if PetSmart pursued strategic alternatives, it might be interested in revisiting a possible combination; J.P. Morgan reported the conversation to the ad hoc committee. Unpriced. Count 1 (Industry Participant’s first contact representation).</t>
        </is>
      </c>
      <c r="I9" s="2" t="n"/>
      <c r="J9" s="2" t="n"/>
      <c r="K9" s="2" t="inlineStr">
        <is>
          <t>Stated. Inbound unpriced approach; Industry Participant never entered the process and is not closed out (see R010, R014 and Q5).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(p.22).</t>
        </is>
      </c>
      <c r="L9" s="3" t="inlineStr">
        <is>
          <t>P-007</t>
        </is>
      </c>
      <c r="M9" s="2" t="inlineStr">
        <is>
          <t>Q5</t>
        </is>
      </c>
      <c r="N9" s="2" t="n"/>
      <c r="O9" s="2" t="inlineStr">
        <is>
          <t>R008</t>
        </is>
      </c>
      <c r="P9" s="2" t="inlineStr">
        <is>
          <t>Yes</t>
        </is>
      </c>
      <c r="Q9" s="4" t="n">
        <v>1</v>
      </c>
      <c r="R9" s="5" t="n">
        <v>41858</v>
      </c>
      <c r="S9" s="5" t="n">
        <v>41858</v>
      </c>
      <c r="T9" s="5" t="n">
        <v>41858</v>
      </c>
      <c r="U9" s="2" t="inlineStr">
        <is>
          <t>Reported day</t>
        </is>
      </c>
      <c r="V9" s="2" t="inlineStr">
        <is>
          <t>Reported</t>
        </is>
      </c>
      <c r="W9" s="6" t="n"/>
      <c r="X9" s="6" t="n"/>
      <c r="Y9" s="2" t="n"/>
      <c r="Z9" s="2" t="n"/>
      <c r="AA9" s="2" t="n"/>
      <c r="AB9" s="2" t="n"/>
      <c r="AC9" s="6" t="n"/>
      <c r="AD9" s="2" t="n"/>
      <c r="AE9" s="5" t="n"/>
      <c r="AF9" s="2" t="n"/>
      <c r="AG9" s="2" t="n"/>
      <c r="AH9" s="2" t="n"/>
      <c r="AI9" s="2" t="n"/>
      <c r="AJ9" s="2" t="n"/>
      <c r="AK9" s="2" t="n">
        <v>22</v>
      </c>
      <c r="AL9" s="2" t="inlineStr">
        <is>
          <t>R010; R014; R015</t>
        </is>
      </c>
      <c r="AM9" s="2" t="inlineStr">
        <is>
          <t>PetSmart</t>
        </is>
      </c>
    </row>
    <row r="10">
      <c r="A10" s="2" t="n">
        <v>9</v>
      </c>
      <c r="B10" s="2" t="inlineStr">
        <is>
          <t>08/13/2014</t>
        </is>
      </c>
      <c r="C10" s="2" t="inlineStr">
        <is>
          <t>PetSmart board (with management, J.P. Morgan and Wachtell Lipton)</t>
        </is>
      </c>
      <c r="D10" s="2" t="inlineStr">
        <is>
          <t>Target sale decision</t>
        </is>
      </c>
      <c r="E10" s="2" t="n">
        <v>1</v>
      </c>
      <c r="F10" s="2" t="n">
        <v>0</v>
      </c>
      <c r="G10" s="2" t="n"/>
      <c r="H10" s="2" t="inlineStr">
        <is>
          <t>Board determined to explore strategic alternatives, including a possible sale of the Company, to maximize stockholder value; instructed management to plan the Profit Improvement Plan; authorized the ad hoc committee to oversee the sale exploration, direct advisers and lead negotiations; planned J.P. Morgan outreach to financial and strategic parties in the second half of September or early October and a public announcement to draw inbound interest.</t>
        </is>
      </c>
      <c r="I10" s="2" t="n"/>
      <c r="J10" s="2" t="n"/>
      <c r="K10" s="2" t="inlineStr">
        <is>
          <t>Stated. Target-led exploration decision; the filing does not report the planned outreach as beginning within about a week, so this is not the Round 1 anchor (see R016 and Q1). “determined to explore strategic alternatives (including a possible sale of the Company) for the Company to maximize value for stockholders” (p.22).</t>
        </is>
      </c>
      <c r="L10" s="3" t="inlineStr">
        <is>
          <t>P-008</t>
        </is>
      </c>
      <c r="M10" s="2" t="inlineStr">
        <is>
          <t>Q1</t>
        </is>
      </c>
      <c r="N10" s="2" t="n"/>
      <c r="O10" s="2" t="inlineStr">
        <is>
          <t>R009</t>
        </is>
      </c>
      <c r="P10" s="2" t="inlineStr">
        <is>
          <t>Yes</t>
        </is>
      </c>
      <c r="Q10" s="4" t="n"/>
      <c r="R10" s="5" t="n">
        <v>41864</v>
      </c>
      <c r="S10" s="5" t="n">
        <v>41864</v>
      </c>
      <c r="T10" s="5" t="n">
        <v>41864</v>
      </c>
      <c r="U10" s="2" t="inlineStr">
        <is>
          <t>Reported day</t>
        </is>
      </c>
      <c r="V10" s="2" t="inlineStr">
        <is>
          <t>Reported</t>
        </is>
      </c>
      <c r="W10" s="6" t="n"/>
      <c r="X10" s="6" t="n"/>
      <c r="Y10" s="2" t="n"/>
      <c r="Z10" s="2" t="n"/>
      <c r="AA10" s="2" t="n"/>
      <c r="AB10" s="2" t="n"/>
      <c r="AC10" s="6" t="n"/>
      <c r="AD10" s="2" t="n"/>
      <c r="AE10" s="5" t="n"/>
      <c r="AF10" s="2" t="n"/>
      <c r="AG10" s="2" t="n"/>
      <c r="AH10" s="2" t="n"/>
      <c r="AI10" s="2" t="n"/>
      <c r="AJ10" s="2" t="n"/>
      <c r="AK10" s="2" t="n">
        <v>22</v>
      </c>
      <c r="AL10" s="2" t="inlineStr">
        <is>
          <t>R016; R017</t>
        </is>
      </c>
      <c r="AM10" s="2" t="inlineStr">
        <is>
          <t>PetSmart</t>
        </is>
      </c>
    </row>
    <row r="11">
      <c r="A11" s="2" t="n">
        <v>10</v>
      </c>
      <c r="B11" s="2" t="inlineStr">
        <is>
          <t>08/13/2014</t>
        </is>
      </c>
      <c r="C11" s="2" t="inlineStr">
        <is>
          <t>PetSmart board (re Industry Participant)</t>
        </is>
      </c>
      <c r="D11" s="2" t="inlineStr">
        <is>
          <t>Target decision</t>
        </is>
      </c>
      <c r="E11" s="2" t="n">
        <v>1</v>
      </c>
      <c r="F11" s="2" t="n">
        <v>0</v>
      </c>
      <c r="G11" s="2" t="n"/>
      <c r="H11" s="2" t="inlineStr">
        <is>
          <t>Board determined not to invite Industry Participant to the exploratory sale process after weighing the very high antitrust-clearance risk (likely “second request”, eight months to a year or longer, no assurance of success), the risk of giving it diligence information, and process disruption/delay risk.</t>
        </is>
      </c>
      <c r="I11" s="2" t="n"/>
      <c r="J11" s="2" t="n"/>
      <c r="K11" s="2" t="inlineStr">
        <is>
          <t>Stated. Exclusion of a party that never entered; no participation-outcome row (see Q5). “the very high risk that an acquisition by or a combination with Industry Participant would not receive antitrust clearances, or would receive such clearances only with the imposition by governmental authorities of unacceptable conditions;” (p.22). “Industry Participant would not be invited into the exploratory process, but that if Industry Participant were to wish to submit a proposal or other communication to the Company, the board would consider it.” (p.23).</t>
        </is>
      </c>
      <c r="L11" s="3" t="inlineStr">
        <is>
          <t>P-008; P-010</t>
        </is>
      </c>
      <c r="M11" s="2" t="inlineStr">
        <is>
          <t>Q5</t>
        </is>
      </c>
      <c r="N11" s="2" t="n"/>
      <c r="O11" s="2" t="inlineStr">
        <is>
          <t>R010</t>
        </is>
      </c>
      <c r="P11" s="2" t="inlineStr">
        <is>
          <t>Yes</t>
        </is>
      </c>
      <c r="Q11" s="4" t="n"/>
      <c r="R11" s="5" t="n">
        <v>41864</v>
      </c>
      <c r="S11" s="5" t="n">
        <v>41864</v>
      </c>
      <c r="T11" s="5" t="n">
        <v>41864</v>
      </c>
      <c r="U11" s="2" t="inlineStr">
        <is>
          <t>Reported day</t>
        </is>
      </c>
      <c r="V11" s="2" t="inlineStr">
        <is>
          <t>Reported</t>
        </is>
      </c>
      <c r="W11" s="6" t="n"/>
      <c r="X11" s="6" t="n"/>
      <c r="Y11" s="2" t="n"/>
      <c r="Z11" s="2" t="n"/>
      <c r="AA11" s="2" t="n"/>
      <c r="AB11" s="2" t="n"/>
      <c r="AC11" s="6" t="n"/>
      <c r="AD11" s="2" t="n"/>
      <c r="AE11" s="5" t="n"/>
      <c r="AF11" s="2" t="n"/>
      <c r="AG11" s="2" t="n"/>
      <c r="AH11" s="2" t="n"/>
      <c r="AI11" s="2" t="n"/>
      <c r="AJ11" s="2" t="n"/>
      <c r="AK11" s="2" t="n">
        <v>22</v>
      </c>
      <c r="AL11" s="2" t="inlineStr">
        <is>
          <t>R008; R014; R015</t>
        </is>
      </c>
      <c r="AM11" s="2" t="inlineStr">
        <is>
          <t>PetSmart</t>
        </is>
      </c>
    </row>
    <row r="12">
      <c r="A12" s="2" t="n">
        <v>11</v>
      </c>
      <c r="B12" s="2" t="inlineStr">
        <is>
          <t>mid-August to end-October 2014</t>
        </is>
      </c>
      <c r="C12" s="2" t="inlineStr">
        <is>
          <t>Three strategic parties (cohort; excluding Industry Participant)</t>
        </is>
      </c>
      <c r="D12" s="2" t="inlineStr">
        <is>
          <t>Contact</t>
        </is>
      </c>
      <c r="E12" s="2" t="n">
        <v>1</v>
      </c>
      <c r="F12" s="2" t="n">
        <v>0</v>
      </c>
      <c r="G12" s="2" t="inlineStr">
        <is>
          <t>Strategic</t>
        </is>
      </c>
      <c r="H12" s="2" t="inlineStr">
        <is>
          <t>J.P. Morgan was contacted by three strategic parties (not counting Industry Participant) while the Company prepared for a sale process; unpriced. None proceeded to a confidentiality agreement (the 15 signers were all financial buyers). Count 3.</t>
        </is>
      </c>
      <c r="I12" s="2" t="n"/>
      <c r="J12" s="2" t="n"/>
      <c r="K12" s="2" t="inlineStr">
        <is>
          <t>Stated (split by type). Inferred that the three strategic parties did not sign non-disclosure agreements: the filing describes the signer cohort as 15 financial buyers. “J.P. Morgan was contacted by 27 potential participants in a sale process, including three strategic parties (not counting Industry Participant) and 24 financial participants” (p.23).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(p.23).</t>
        </is>
      </c>
      <c r="L12" s="3" t="inlineStr">
        <is>
          <t>P-011; P-013</t>
        </is>
      </c>
      <c r="M12" s="2" t="inlineStr">
        <is>
          <t>Q4</t>
        </is>
      </c>
      <c r="N12" s="2" t="n"/>
      <c r="O12" s="2" t="inlineStr">
        <is>
          <t>R011</t>
        </is>
      </c>
      <c r="P12" s="2" t="inlineStr">
        <is>
          <t>Yes</t>
        </is>
      </c>
      <c r="Q12" s="4" t="n">
        <v>3</v>
      </c>
      <c r="R12" s="5" t="n">
        <v>41864</v>
      </c>
      <c r="S12" s="5" t="n">
        <v>41943</v>
      </c>
      <c r="T12" s="5" t="n">
        <v>41864</v>
      </c>
      <c r="U12" s="2" t="inlineStr">
        <is>
          <t>Reported interval</t>
        </is>
      </c>
      <c r="V12" s="2" t="inlineStr">
        <is>
          <t>Assigned: bound</t>
        </is>
      </c>
      <c r="W12" s="6" t="n"/>
      <c r="X12" s="6" t="n"/>
      <c r="Y12" s="2" t="n"/>
      <c r="Z12" s="2" t="n"/>
      <c r="AA12" s="2" t="n"/>
      <c r="AB12" s="2" t="n"/>
      <c r="AC12" s="6" t="n"/>
      <c r="AD12" s="2" t="n"/>
      <c r="AE12" s="5" t="n"/>
      <c r="AF12" s="2" t="n"/>
      <c r="AG12" s="2" t="n"/>
      <c r="AH12" s="2" t="n"/>
      <c r="AI12" s="2" t="n"/>
      <c r="AJ12" s="2" t="n"/>
      <c r="AK12" s="2" t="n">
        <v>23</v>
      </c>
      <c r="AL12" s="2" t="inlineStr">
        <is>
          <t>R012; R017</t>
        </is>
      </c>
      <c r="AM12" s="2" t="inlineStr">
        <is>
          <t>PetSmart</t>
        </is>
      </c>
    </row>
    <row r="13">
      <c r="A13" s="2" t="n">
        <v>12</v>
      </c>
      <c r="B13" s="2" t="inlineStr">
        <is>
          <t>mid-August to end-October 2014</t>
        </is>
      </c>
      <c r="C13" s="2" t="inlineStr">
        <is>
          <t>24 financial parties (cohort)</t>
        </is>
      </c>
      <c r="D13" s="2" t="inlineStr">
        <is>
          <t>Contact</t>
        </is>
      </c>
      <c r="E13" s="2" t="n">
        <v>1</v>
      </c>
      <c r="F13" s="2" t="n">
        <v>0</v>
      </c>
      <c r="G13" s="2" t="inlineStr">
        <is>
          <t>Financial</t>
        </is>
      </c>
      <c r="H13" s="2" t="inlineStr">
        <is>
          <t>J.P. Morgan was contacted by 24 financial participants (including potential lead buyers and large suppliers of equity capital to lead buyers); 15 later signed confidentiality agreements and entered the process; 9 did not sign. Count 24. Contacts continued through end-October and span the Round 1 opening.</t>
        </is>
      </c>
      <c r="I13" s="2" t="n"/>
      <c r="J13" s="2" t="n"/>
      <c r="K13" s="2" t="inlineStr">
        <is>
          <t>Stated (split by type). One disclosed aggregate; the 15 signers are a subset of these 24. “including three strategic parties (not counting Industry Participant) and 24 financial participants (including potential lead buyers as well as large suppliers of equity capital to lead buyers).” (p.23).</t>
        </is>
      </c>
      <c r="L13" s="3" t="inlineStr">
        <is>
          <t>P-011</t>
        </is>
      </c>
      <c r="M13" s="2" t="inlineStr">
        <is>
          <t>Q4</t>
        </is>
      </c>
      <c r="N13" s="2" t="n"/>
      <c r="O13" s="2" t="inlineStr">
        <is>
          <t>R012</t>
        </is>
      </c>
      <c r="P13" s="2" t="inlineStr">
        <is>
          <t>Yes</t>
        </is>
      </c>
      <c r="Q13" s="4" t="n">
        <v>24</v>
      </c>
      <c r="R13" s="5" t="n">
        <v>41864</v>
      </c>
      <c r="S13" s="5" t="n">
        <v>41943</v>
      </c>
      <c r="T13" s="5" t="n">
        <v>41864</v>
      </c>
      <c r="U13" s="2" t="inlineStr">
        <is>
          <t>Reported interval</t>
        </is>
      </c>
      <c r="V13" s="2" t="inlineStr">
        <is>
          <t>Assigned: bound</t>
        </is>
      </c>
      <c r="W13" s="6" t="n"/>
      <c r="X13" s="6" t="n"/>
      <c r="Y13" s="2" t="n"/>
      <c r="Z13" s="2" t="n"/>
      <c r="AA13" s="2" t="n"/>
      <c r="AB13" s="2" t="n"/>
      <c r="AC13" s="6" t="n"/>
      <c r="AD13" s="2" t="n"/>
      <c r="AE13" s="5" t="n"/>
      <c r="AF13" s="2" t="n"/>
      <c r="AG13" s="2" t="n"/>
      <c r="AH13" s="2" t="n"/>
      <c r="AI13" s="2" t="n"/>
      <c r="AJ13" s="2" t="n"/>
      <c r="AK13" s="2" t="n">
        <v>23</v>
      </c>
      <c r="AL13" s="2" t="inlineStr">
        <is>
          <t>R011; R017</t>
        </is>
      </c>
      <c r="AM13" s="2" t="inlineStr">
        <is>
          <t>PetSmart</t>
        </is>
      </c>
    </row>
    <row r="14">
      <c r="A14" s="2" t="n">
        <v>13</v>
      </c>
      <c r="B14" s="2" t="inlineStr">
        <is>
          <t>08/19/2014</t>
        </is>
      </c>
      <c r="C14" s="2" t="inlineStr">
        <is>
          <t>PetSmart, Inc. (issuer)</t>
        </is>
      </c>
      <c r="D14" s="2" t="inlineStr">
        <is>
          <t>Sale process announced</t>
        </is>
      </c>
      <c r="E14" s="2" t="n">
        <v>1</v>
      </c>
      <c r="F14" s="2" t="n">
        <v>0</v>
      </c>
      <c r="G14" s="2" t="n"/>
      <c r="H14" s="2" t="inlineStr">
        <is>
          <t>Press release (concurrent with PetSmart’s second-quarter earnings announcement) disclosing the determination to explore strategic alternatives, including a possible sale, to maximize stockholder value.</t>
        </is>
      </c>
      <c r="I14" s="2" t="n"/>
      <c r="J14" s="2" t="n"/>
      <c r="K14" s="2" t="inlineStr">
        <is>
          <t>Stated. Publicity made parties not contacted aware of the process and able to approach J.P. Morgan. “On August 19, 2014, concurrent with its second quarter earnings announcement, the Company issued a press release announcing that it determined to explore strategic alternatives for the Company to maximize value for stockholders, including a possible sale of the Company.” (p.23).</t>
        </is>
      </c>
      <c r="L14" s="3" t="inlineStr">
        <is>
          <t>P-009</t>
        </is>
      </c>
      <c r="M14" s="2" t="inlineStr">
        <is>
          <t>Q1</t>
        </is>
      </c>
      <c r="N14" s="2" t="n"/>
      <c r="O14" s="2" t="inlineStr">
        <is>
          <t>R013</t>
        </is>
      </c>
      <c r="P14" s="2" t="inlineStr">
        <is>
          <t>Yes</t>
        </is>
      </c>
      <c r="Q14" s="4" t="n"/>
      <c r="R14" s="5" t="n">
        <v>41870</v>
      </c>
      <c r="S14" s="5" t="n">
        <v>41870</v>
      </c>
      <c r="T14" s="5" t="n">
        <v>41870</v>
      </c>
      <c r="U14" s="2" t="inlineStr">
        <is>
          <t>Reported day</t>
        </is>
      </c>
      <c r="V14" s="2" t="inlineStr">
        <is>
          <t>Reported</t>
        </is>
      </c>
      <c r="W14" s="6" t="n"/>
      <c r="X14" s="6" t="n"/>
      <c r="Y14" s="2" t="n"/>
      <c r="Z14" s="2" t="n"/>
      <c r="AA14" s="2" t="n"/>
      <c r="AB14" s="2" t="n"/>
      <c r="AC14" s="6" t="n"/>
      <c r="AD14" s="2" t="n"/>
      <c r="AE14" s="5" t="n"/>
      <c r="AF14" s="2" t="n"/>
      <c r="AG14" s="2" t="n"/>
      <c r="AH14" s="2" t="n"/>
      <c r="AI14" s="2" t="n"/>
      <c r="AJ14" s="2" t="n"/>
      <c r="AK14" s="2" t="n">
        <v>23</v>
      </c>
      <c r="AL14" s="2" t="inlineStr">
        <is>
          <t>R009; R016</t>
        </is>
      </c>
      <c r="AM14" s="2" t="inlineStr">
        <is>
          <t>PetSmart</t>
        </is>
      </c>
    </row>
    <row r="15">
      <c r="A15" s="2" t="n">
        <v>14</v>
      </c>
      <c r="B15" s="2" t="inlineStr">
        <is>
          <t>08/22/2014</t>
        </is>
      </c>
      <c r="C15" s="2" t="inlineStr">
        <is>
          <t>J.P. Morgan (target side) / Industry Participant</t>
        </is>
      </c>
      <c r="D15" s="2" t="inlineStr">
        <is>
          <t>Contact</t>
        </is>
      </c>
      <c r="E15" s="2" t="n">
        <v>1</v>
      </c>
      <c r="F15" s="2" t="n">
        <v>0</v>
      </c>
      <c r="G15" s="2" t="n"/>
      <c r="H15" s="2" t="inlineStr">
        <is>
          <t>J.P. Morgan called Industry Participant’s representative: confirmed Industry Participant was aware of the August 19 announcement and informed it of the board’s concerns; the parties agreed to speak again. Count 0 (Industry Participant already represented by R008).</t>
        </is>
      </c>
      <c r="I15" s="2" t="n"/>
      <c r="J15" s="2" t="n"/>
      <c r="K15" s="2" t="inlineStr">
        <is>
          <t>Stated. Direction: target to bidder; implementing the exclusion decision. “On August 22, 2014, a representative of J.P. Morgan contacted by telephone the representative of Industry Participant with whom the J.P. Morgan representative had spoken to on August 7. During this call, Industry Participant confirmed that it was aware of the Company’s August 19 announcement and the J.P Morgan representative informed the Industry Participant representative of the board’s concerns regarding Industry Participant’s participation. The parties agreed to speak again in a few days.” (p.23).</t>
        </is>
      </c>
      <c r="L15" s="3" t="inlineStr">
        <is>
          <t>P-010</t>
        </is>
      </c>
      <c r="M15" s="2" t="n"/>
      <c r="N15" s="2" t="n"/>
      <c r="O15" s="2" t="inlineStr">
        <is>
          <t>R014</t>
        </is>
      </c>
      <c r="P15" s="2" t="inlineStr">
        <is>
          <t>Yes</t>
        </is>
      </c>
      <c r="Q15" s="4" t="n">
        <v>0</v>
      </c>
      <c r="R15" s="5" t="n">
        <v>41873</v>
      </c>
      <c r="S15" s="5" t="n">
        <v>41873</v>
      </c>
      <c r="T15" s="5" t="n">
        <v>41873</v>
      </c>
      <c r="U15" s="2" t="inlineStr">
        <is>
          <t>Reported day</t>
        </is>
      </c>
      <c r="V15" s="2" t="inlineStr">
        <is>
          <t>Reported</t>
        </is>
      </c>
      <c r="W15" s="6" t="n"/>
      <c r="X15" s="6" t="n"/>
      <c r="Y15" s="2" t="n"/>
      <c r="Z15" s="2" t="n"/>
      <c r="AA15" s="2" t="n"/>
      <c r="AB15" s="2" t="n"/>
      <c r="AC15" s="6" t="n"/>
      <c r="AD15" s="2" t="n"/>
      <c r="AE15" s="5" t="n"/>
      <c r="AF15" s="2" t="n"/>
      <c r="AG15" s="2" t="n"/>
      <c r="AH15" s="2" t="n"/>
      <c r="AI15" s="2" t="n"/>
      <c r="AJ15" s="2" t="n"/>
      <c r="AK15" s="2" t="n">
        <v>23</v>
      </c>
      <c r="AL15" s="2" t="inlineStr">
        <is>
          <t>R008; R010</t>
        </is>
      </c>
      <c r="AM15" s="2" t="inlineStr">
        <is>
          <t>PetSmart</t>
        </is>
      </c>
    </row>
    <row r="16">
      <c r="A16" s="2" t="n">
        <v>15</v>
      </c>
      <c r="B16" s="2" t="inlineStr">
        <is>
          <t>08/27/2014</t>
        </is>
      </c>
      <c r="C16" s="2" t="inlineStr">
        <is>
          <t>Industry Participant (bidder side) / J.P. Morgan (target side)</t>
        </is>
      </c>
      <c r="D16" s="2" t="inlineStr">
        <is>
          <t>Contact</t>
        </is>
      </c>
      <c r="E16" s="2" t="n">
        <v>1</v>
      </c>
      <c r="F16" s="2" t="n">
        <v>0</v>
      </c>
      <c r="G16" s="2" t="n"/>
      <c r="H16" s="2" t="inlineStr">
        <is>
          <t>Industry Participant called J.P. Morgan stating it would have interest in discussing a combination; J.P. Morgan reiterated the board’s concerns and said Industry Participant would not be invited into the exploratory process, but any proposal or communication it submitted would be considered by the board. No contact between PetSmart and Industry Participant since. Count 0.</t>
        </is>
      </c>
      <c r="I16" s="2" t="n"/>
      <c r="J16" s="2" t="n"/>
      <c r="K16" s="2" t="inlineStr">
        <is>
          <t>Stated. Final exclusion position; Industry Participant never entered and has no outcome row. “Industry Participant would have interest in discussing the possibility of a combination of the two companies. The J.P. Morgan representative reiterated the concerns identified by the board that engaging with Industry Participant was unlikely to maximize value for PetSmart’s stockholders. The J.P. Morgan representative stated that Industry Participant would not be invited into the exploratory process, but that if Industry Participant were to wish to submit a proposal or other communication to the Company, the board would consider it.” (p.23).</t>
        </is>
      </c>
      <c r="L16" s="3" t="inlineStr">
        <is>
          <t>P-010</t>
        </is>
      </c>
      <c r="M16" s="2" t="inlineStr">
        <is>
          <t>Q5</t>
        </is>
      </c>
      <c r="N16" s="2" t="n"/>
      <c r="O16" s="2" t="inlineStr">
        <is>
          <t>R015</t>
        </is>
      </c>
      <c r="P16" s="2" t="inlineStr">
        <is>
          <t>Yes</t>
        </is>
      </c>
      <c r="Q16" s="4" t="n">
        <v>0</v>
      </c>
      <c r="R16" s="5" t="n">
        <v>41878</v>
      </c>
      <c r="S16" s="5" t="n">
        <v>41878</v>
      </c>
      <c r="T16" s="5" t="n">
        <v>41878</v>
      </c>
      <c r="U16" s="2" t="inlineStr">
        <is>
          <t>Reported day</t>
        </is>
      </c>
      <c r="V16" s="2" t="inlineStr">
        <is>
          <t>Reported</t>
        </is>
      </c>
      <c r="W16" s="6" t="n"/>
      <c r="X16" s="6" t="n"/>
      <c r="Y16" s="2" t="n"/>
      <c r="Z16" s="2" t="n"/>
      <c r="AA16" s="2" t="n"/>
      <c r="AB16" s="2" t="n"/>
      <c r="AC16" s="6" t="n"/>
      <c r="AD16" s="2" t="n"/>
      <c r="AE16" s="5" t="n"/>
      <c r="AF16" s="2" t="n"/>
      <c r="AG16" s="2" t="n"/>
      <c r="AH16" s="2" t="n"/>
      <c r="AI16" s="2" t="n"/>
      <c r="AJ16" s="2" t="n"/>
      <c r="AK16" s="2" t="n">
        <v>23</v>
      </c>
      <c r="AL16" s="2" t="inlineStr">
        <is>
          <t>R008; R010</t>
        </is>
      </c>
      <c r="AM16" s="2" t="inlineStr">
        <is>
          <t>PetSmart</t>
        </is>
      </c>
    </row>
    <row r="17">
      <c r="A17" s="2" t="n">
        <v>16</v>
      </c>
      <c r="B17" s="2" t="inlineStr">
        <is>
          <t>first week of October 2014</t>
        </is>
      </c>
      <c r="C17" s="2" t="inlineStr">
        <is>
          <t>PetSmart / J.P. Morgan (process)</t>
        </is>
      </c>
      <c r="D17" s="2" t="inlineStr">
        <is>
          <t>Round opened</t>
        </is>
      </c>
      <c r="E17" s="2" t="n">
        <v>1</v>
      </c>
      <c r="F17" s="2" t="n">
        <v>1</v>
      </c>
      <c r="G17" s="2" t="n"/>
      <c r="H17" s="2" t="inlineStr">
        <is>
          <t>R1 anchor: confidentiality and standstill agreements with 15 financial buyers, first week of October 2014. Rejected candidate anchors: R009 (08/13 sale decision), R013 (08/19 press release), R008/R015 (Industry Participant contacts), R019–R020 (10/30 IOI deadline). No target outreach wave is reported (parties came to the target after the 08/19 announcement), so Round 1 opens at the first target-organized step that admits participants. Round finality: Not final — only non-binding preliminary indications of interest were solicited; no finality announcement.</t>
        </is>
      </c>
      <c r="I17" s="2" t="n"/>
      <c r="J17" s="2" t="n"/>
      <c r="K17" s="2" t="inlineStr">
        <is>
          <t>Convention (boundary): per section 6.3 anchor order. The NDA wave is the earliest target-organized admission step (the October process letter carrying the IOI deadline came later). “In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(p.23). “J.P. Morgan was contacted by 27 potential participants in a sale process, including three strategic parties (not counting Industry Participant) and 24 financial participants” (p.23).</t>
        </is>
      </c>
      <c r="L17" s="3" t="inlineStr">
        <is>
          <t>P-013; P-011</t>
        </is>
      </c>
      <c r="M17" s="2" t="inlineStr">
        <is>
          <t>Q1</t>
        </is>
      </c>
      <c r="N17" s="2" t="n"/>
      <c r="O17" s="2" t="inlineStr">
        <is>
          <t>R016</t>
        </is>
      </c>
      <c r="P17" s="2" t="inlineStr">
        <is>
          <t>Yes</t>
        </is>
      </c>
      <c r="Q17" s="4" t="n"/>
      <c r="R17" s="5" t="n">
        <v>41913</v>
      </c>
      <c r="S17" s="5" t="n">
        <v>41919</v>
      </c>
      <c r="T17" s="5" t="n">
        <v>41913</v>
      </c>
      <c r="U17" s="2" t="inlineStr">
        <is>
          <t>Reported interval</t>
        </is>
      </c>
      <c r="V17" s="2" t="inlineStr">
        <is>
          <t>Assigned: bound</t>
        </is>
      </c>
      <c r="W17" s="6" t="n"/>
      <c r="X17" s="6" t="n"/>
      <c r="Y17" s="2" t="n"/>
      <c r="Z17" s="2" t="n"/>
      <c r="AA17" s="2" t="n"/>
      <c r="AB17" s="2" t="n"/>
      <c r="AC17" s="6" t="n"/>
      <c r="AD17" s="2" t="n"/>
      <c r="AE17" s="5" t="n"/>
      <c r="AF17" s="2" t="n"/>
      <c r="AG17" s="2" t="inlineStr">
        <is>
          <t>Not final</t>
        </is>
      </c>
      <c r="AH17" s="2" t="n"/>
      <c r="AI17" s="2" t="n"/>
      <c r="AJ17" s="2" t="n"/>
      <c r="AK17" s="2" t="n">
        <v>23</v>
      </c>
      <c r="AL17" s="2" t="inlineStr">
        <is>
          <t>R009; R013; R019; R020</t>
        </is>
      </c>
      <c r="AM17" s="2" t="inlineStr">
        <is>
          <t>PetSmart</t>
        </is>
      </c>
    </row>
    <row r="18">
      <c r="A18" s="2" t="n">
        <v>17</v>
      </c>
      <c r="B18" s="2" t="inlineStr">
        <is>
          <t>first week of October 2014</t>
        </is>
      </c>
      <c r="C18" s="2" t="inlineStr">
        <is>
          <t>15 potentially interested financial buyers (cohort)</t>
        </is>
      </c>
      <c r="D18" s="2" t="inlineStr">
        <is>
          <t>NDA signed</t>
        </is>
      </c>
      <c r="E18" s="2" t="n">
        <v>1</v>
      </c>
      <c r="F18" s="2" t="n">
        <v>1</v>
      </c>
      <c r="G18" s="2" t="inlineStr">
        <is>
          <t>Financial</t>
        </is>
      </c>
      <c r="H18" s="2" t="inlineStr">
        <is>
          <t>15 financial buyers executed confidentiality and standstill agreements with the Company (new signatures; no reused agreements identified). All 15 engaged in due diligence during October, received management presentations involving senior-most management, and received detailed financial and business plan information including the Profit Improvement Plan and cost-saving plans. Standstills prevent them from submitting (or seeking permission to submit) a higher bid once the Company entered a definitive agreement with the winning process participant. Count 15.</t>
        </is>
      </c>
      <c r="I18" s="2" t="n"/>
      <c r="J18" s="2" t="n"/>
      <c r="K18" s="2" t="inlineStr">
        <is>
          <t>Stated. Uniform stage access is stated on this admission row, not as separate information-access rows. Auction screen: more than one independent prospective acquiring bidder unit signed (met).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 (p.23). “standstill provisions that prevent those parties from submitting (or even seeking permission to submit) a higher bid once the Company entered into a definitive transaction agreement with the winning sale process participant.” (p.28).</t>
        </is>
      </c>
      <c r="L18" s="3" t="inlineStr">
        <is>
          <t>P-013; X-009</t>
        </is>
      </c>
      <c r="M18" s="2" t="inlineStr">
        <is>
          <t>Q4</t>
        </is>
      </c>
      <c r="N18" s="2" t="n"/>
      <c r="O18" s="2" t="inlineStr">
        <is>
          <t>R017</t>
        </is>
      </c>
      <c r="P18" s="2" t="inlineStr">
        <is>
          <t>Yes</t>
        </is>
      </c>
      <c r="Q18" s="4" t="n">
        <v>15</v>
      </c>
      <c r="R18" s="5" t="n">
        <v>41913</v>
      </c>
      <c r="S18" s="5" t="n">
        <v>41919</v>
      </c>
      <c r="T18" s="5" t="n">
        <v>41913</v>
      </c>
      <c r="U18" s="2" t="inlineStr">
        <is>
          <t>Reported interval</t>
        </is>
      </c>
      <c r="V18" s="2" t="inlineStr">
        <is>
          <t>Assigned: bound</t>
        </is>
      </c>
      <c r="W18" s="6" t="n"/>
      <c r="X18" s="6" t="n"/>
      <c r="Y18" s="2" t="n"/>
      <c r="Z18" s="2" t="n"/>
      <c r="AA18" s="2" t="n"/>
      <c r="AB18" s="2" t="n"/>
      <c r="AC18" s="6" t="n"/>
      <c r="AD18" s="2" t="n"/>
      <c r="AE18" s="5" t="n"/>
      <c r="AF18" s="2" t="n"/>
      <c r="AG18" s="2" t="n"/>
      <c r="AH18" s="2" t="n"/>
      <c r="AI18" s="2" t="n"/>
      <c r="AJ18" s="2" t="n"/>
      <c r="AK18" s="2" t="n">
        <v>23</v>
      </c>
      <c r="AL18" s="2" t="inlineStr">
        <is>
          <t>R016; R021</t>
        </is>
      </c>
      <c r="AM18" s="2" t="inlineStr">
        <is>
          <t>PetSmart</t>
        </is>
      </c>
    </row>
    <row r="19">
      <c r="A19" s="2" t="n">
        <v>18</v>
      </c>
      <c r="B19" s="2" t="inlineStr">
        <is>
          <t>10/03/2014</t>
        </is>
      </c>
      <c r="C19" s="2" t="inlineStr">
        <is>
          <t>PetSmart board (with management, J.P. Morgan and Wachtell Lipton)</t>
        </is>
      </c>
      <c r="D19" s="2" t="inlineStr">
        <is>
          <t>Target decision</t>
        </is>
      </c>
      <c r="E19" s="2" t="n">
        <v>1</v>
      </c>
      <c r="F19" s="2" t="n">
        <v>1</v>
      </c>
      <c r="G19" s="2" t="n"/>
      <c r="H19" s="2" t="inlineStr">
        <is>
          <t>Board received a process update: approximately 15 parties had expressed interest; reviewed communications with the 27 potential participants and Industry Participant; reaffirmed the determination not to invite Industry Participant to the process.</t>
        </is>
      </c>
      <c r="I19" s="2" t="n"/>
      <c r="J19" s="2" t="n"/>
      <c r="K19" s="2" t="inlineStr">
        <is>
          <t>Stated. The relative order of this meeting and the NDA wave start is not stated; the NDA-wave rows are placed first under the section 8.1 order convention (see Q8).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 (p.23).</t>
        </is>
      </c>
      <c r="L19" s="3" t="inlineStr">
        <is>
          <t>P-012</t>
        </is>
      </c>
      <c r="M19" s="2" t="inlineStr">
        <is>
          <t>Q8</t>
        </is>
      </c>
      <c r="N19" s="2" t="n"/>
      <c r="O19" s="2" t="inlineStr">
        <is>
          <t>R018</t>
        </is>
      </c>
      <c r="P19" s="2" t="inlineStr">
        <is>
          <t>Yes</t>
        </is>
      </c>
      <c r="Q19" s="4" t="n"/>
      <c r="R19" s="5" t="n">
        <v>41915</v>
      </c>
      <c r="S19" s="5" t="n">
        <v>41915</v>
      </c>
      <c r="T19" s="5" t="n">
        <v>41915</v>
      </c>
      <c r="U19" s="2" t="inlineStr">
        <is>
          <t>Reported day</t>
        </is>
      </c>
      <c r="V19" s="2" t="inlineStr">
        <is>
          <t>Reported</t>
        </is>
      </c>
      <c r="W19" s="6" t="n"/>
      <c r="X19" s="6" t="n"/>
      <c r="Y19" s="2" t="n"/>
      <c r="Z19" s="2" t="n"/>
      <c r="AA19" s="2" t="n"/>
      <c r="AB19" s="2" t="n"/>
      <c r="AC19" s="6" t="n"/>
      <c r="AD19" s="2" t="n"/>
      <c r="AE19" s="5" t="n"/>
      <c r="AF19" s="2" t="n"/>
      <c r="AG19" s="2" t="n"/>
      <c r="AH19" s="2" t="n"/>
      <c r="AI19" s="2" t="n"/>
      <c r="AJ19" s="2" t="n"/>
      <c r="AK19" s="2" t="n">
        <v>23</v>
      </c>
      <c r="AL19" s="2" t="inlineStr">
        <is>
          <t>R010; R015; R016</t>
        </is>
      </c>
      <c r="AM19" s="2" t="inlineStr">
        <is>
          <t>PetSmart</t>
        </is>
      </c>
    </row>
    <row r="20">
      <c r="A20" s="2" t="n">
        <v>19</v>
      </c>
      <c r="B20" s="2" t="inlineStr">
        <is>
          <t>during October 2014 (day not disclosed)</t>
        </is>
      </c>
      <c r="C20" s="2" t="inlineStr">
        <is>
          <t>PetSmart / J.P. Morgan (process)</t>
        </is>
      </c>
      <c r="D20" s="2" t="inlineStr">
        <is>
          <t>Deadline set</t>
        </is>
      </c>
      <c r="E20" s="2" t="n">
        <v>1</v>
      </c>
      <c r="F20" s="2" t="n">
        <v>1</v>
      </c>
      <c r="G20" s="2" t="n"/>
      <c r="H20" s="2" t="inlineStr">
        <is>
          <t>Potential bidders were informed that non-binding preliminary indications of interest were due on 10/30/2014. They were also informed Longview would be willing to “roll-over” up to 7.5 million shares on terms and price acceptable to Longview, and were asked to indicate their interest in Longview participation; such interest was not a condition to participation. Due date 10/30/2014.</t>
        </is>
      </c>
      <c r="I20" s="2" t="n"/>
      <c r="J20" s="2" t="n"/>
      <c r="K20" s="2" t="inlineStr">
        <is>
          <t>Stated. Communication day not disclosed; assigned the period midpoint (see Q8). The Longview rollover availability is folded into this process communication; the rollover relationship itself is recorded once at R043. “During October, the potential bidders were informed that non-binding preliminary indications of interest would be due on October 30, 2014. The potential bidders were also informed that Longview had informed the Company that it would be willing to “roll-over” up to 7.5 million shares on terms and price acceptable to Longview,” (p.23). “such interest was not a condition to participation in the process.” (p.24).</t>
        </is>
      </c>
      <c r="L20" s="3" t="inlineStr">
        <is>
          <t>P-014; P-015</t>
        </is>
      </c>
      <c r="M20" s="2" t="inlineStr">
        <is>
          <t>Q8</t>
        </is>
      </c>
      <c r="N20" s="2" t="n"/>
      <c r="O20" s="2" t="inlineStr">
        <is>
          <t>R019</t>
        </is>
      </c>
      <c r="P20" s="2" t="inlineStr">
        <is>
          <t>Yes</t>
        </is>
      </c>
      <c r="Q20" s="4" t="n"/>
      <c r="R20" s="5" t="n">
        <v>41913</v>
      </c>
      <c r="S20" s="5" t="n">
        <v>41942</v>
      </c>
      <c r="T20" s="5" t="n">
        <v>41927</v>
      </c>
      <c r="U20" s="2" t="inlineStr">
        <is>
          <t>Reported interval</t>
        </is>
      </c>
      <c r="V20" s="2" t="inlineStr">
        <is>
          <t>Assigned: midpoint</t>
        </is>
      </c>
      <c r="W20" s="6" t="n"/>
      <c r="X20" s="6" t="n"/>
      <c r="Y20" s="2" t="n"/>
      <c r="Z20" s="2" t="n"/>
      <c r="AA20" s="2" t="n"/>
      <c r="AB20" s="2" t="n"/>
      <c r="AC20" s="6" t="n"/>
      <c r="AD20" s="2" t="n"/>
      <c r="AE20" s="5" t="n">
        <v>41942</v>
      </c>
      <c r="AF20" s="2" t="n"/>
      <c r="AG20" s="2" t="n"/>
      <c r="AH20" s="2" t="n"/>
      <c r="AI20" s="2" t="n"/>
      <c r="AJ20" s="2" t="n"/>
      <c r="AK20" s="2" t="n">
        <v>23</v>
      </c>
      <c r="AL20" s="2" t="inlineStr">
        <is>
          <t>R020</t>
        </is>
      </c>
      <c r="AM20" s="2" t="inlineStr">
        <is>
          <t>PetSmart</t>
        </is>
      </c>
    </row>
    <row r="21">
      <c r="A21" s="2" t="n">
        <v>20</v>
      </c>
      <c r="B21" s="2" t="inlineStr">
        <is>
          <t>10/30/2014</t>
        </is>
      </c>
      <c r="C21" s="2" t="inlineStr">
        <is>
          <t>PetSmart (process deadline)</t>
        </is>
      </c>
      <c r="D21" s="2" t="inlineStr">
        <is>
          <t>Deadline</t>
        </is>
      </c>
      <c r="E21" s="2" t="n">
        <v>1</v>
      </c>
      <c r="F21" s="2" t="n">
        <v>1</v>
      </c>
      <c r="G21" s="2" t="n"/>
      <c r="H21" s="2" t="inlineStr">
        <is>
          <t>Due date for non-binding preliminary indications of interest. Six parties submitted on 10/30/2014; J.P. Morgan then spoke with all potentially interested parties, including non-submitters. Treatment: Enforced — the board took its next step (advancing four bidders) on the bids in hand. Due date 10/30/2014.</t>
        </is>
      </c>
      <c r="I21" s="2" t="n"/>
      <c r="J21" s="2" t="n"/>
      <c r="K21" s="2" t="inlineStr">
        <is>
          <t>Stated. Treatment assessed from what followed in the same round: the 11/03 board advancement (R028). No extension and no late bid accepted; Bidder 2’s increase was solicited in the target’s follow-up calls and is continuing negotiation, not late acceptance. “On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 to hear the parties’ respective rationales for the price levels suggested in their indications or rationales for not submitting an indication.” (p.24).</t>
        </is>
      </c>
      <c r="L21" s="3" t="inlineStr">
        <is>
          <t>P-016</t>
        </is>
      </c>
      <c r="M21" s="2" t="inlineStr">
        <is>
          <t>Q2</t>
        </is>
      </c>
      <c r="N21" s="2" t="n"/>
      <c r="O21" s="2" t="inlineStr">
        <is>
          <t>R020</t>
        </is>
      </c>
      <c r="P21" s="2" t="inlineStr">
        <is>
          <t>Yes</t>
        </is>
      </c>
      <c r="Q21" s="4" t="n"/>
      <c r="R21" s="5" t="n">
        <v>41942</v>
      </c>
      <c r="S21" s="5" t="n">
        <v>41942</v>
      </c>
      <c r="T21" s="5" t="n">
        <v>41942</v>
      </c>
      <c r="U21" s="2" t="inlineStr">
        <is>
          <t>Reported day</t>
        </is>
      </c>
      <c r="V21" s="2" t="inlineStr">
        <is>
          <t>Reported</t>
        </is>
      </c>
      <c r="W21" s="6" t="n"/>
      <c r="X21" s="6" t="n"/>
      <c r="Y21" s="2" t="n"/>
      <c r="Z21" s="2" t="n"/>
      <c r="AA21" s="2" t="n"/>
      <c r="AB21" s="2" t="n"/>
      <c r="AC21" s="6" t="n"/>
      <c r="AD21" s="2" t="n"/>
      <c r="AE21" s="5" t="n">
        <v>41942</v>
      </c>
      <c r="AF21" s="2" t="inlineStr">
        <is>
          <t>Enforced</t>
        </is>
      </c>
      <c r="AG21" s="2" t="n"/>
      <c r="AH21" s="2" t="n"/>
      <c r="AI21" s="2" t="n"/>
      <c r="AJ21" s="2" t="n"/>
      <c r="AK21" s="2" t="n">
        <v>24</v>
      </c>
      <c r="AL21" s="2" t="inlineStr">
        <is>
          <t>R019; R028</t>
        </is>
      </c>
      <c r="AM21" s="2" t="inlineStr">
        <is>
          <t>PetSmart</t>
        </is>
      </c>
    </row>
    <row r="22">
      <c r="A22" s="2" t="n">
        <v>21</v>
      </c>
      <c r="B22" s="2" t="inlineStr">
        <is>
          <t>by 10/30/2014</t>
        </is>
      </c>
      <c r="C22" s="2" t="inlineStr">
        <is>
          <t>Nine NDA signers (cohort)</t>
        </is>
      </c>
      <c r="D22" s="2" t="inlineStr">
        <is>
          <t>Did not submit</t>
        </is>
      </c>
      <c r="E22" s="2" t="n">
        <v>1</v>
      </c>
      <c r="F22" s="2" t="n">
        <v>1</v>
      </c>
      <c r="G22" s="2" t="inlineStr">
        <is>
          <t>Financial</t>
        </is>
      </c>
      <c r="H22" s="2" t="inlineStr">
        <is>
          <t>Inferred: residual (base assumes all six IOI submitters were among the 15 confidentiality-agreement signers) — 15 NDA signers − 6 submitters = 9 non-submitters; range allowed by the uncertainty: at least 9. No submission recorded at the 10/30/2014 solicitation.</t>
        </is>
      </c>
      <c r="I22" s="2" t="n"/>
      <c r="J22" s="2" t="n"/>
      <c r="K22" s="2" t="inlineStr">
        <is>
          <t>Inferred: residual. Arithmetic uses the filing’s stated base (15 signers) minus the six accounted-for submitters; no notice, motive or identity is inferred. See Q4/Q5.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(p.23). “six of the potentially interested parties submitted indications of interest.” (p.24).</t>
        </is>
      </c>
      <c r="L22" s="3" t="inlineStr">
        <is>
          <t>P-013; P-016</t>
        </is>
      </c>
      <c r="M22" s="2" t="inlineStr">
        <is>
          <t>Q4; Q5</t>
        </is>
      </c>
      <c r="N22" s="2" t="n"/>
      <c r="O22" s="2" t="inlineStr">
        <is>
          <t>R021</t>
        </is>
      </c>
      <c r="P22" s="2" t="inlineStr">
        <is>
          <t>Yes</t>
        </is>
      </c>
      <c r="Q22" s="4" t="n">
        <v>9</v>
      </c>
      <c r="R22" s="5" t="n"/>
      <c r="S22" s="5" t="n">
        <v>41942</v>
      </c>
      <c r="T22" s="5" t="n">
        <v>41942</v>
      </c>
      <c r="U22" s="2" t="inlineStr">
        <is>
          <t>Relative only</t>
        </is>
      </c>
      <c r="V22" s="2" t="inlineStr">
        <is>
          <t>Assigned: deadline</t>
        </is>
      </c>
      <c r="W22" s="6" t="n"/>
      <c r="X22" s="6" t="n"/>
      <c r="Y22" s="2" t="n"/>
      <c r="Z22" s="2" t="n"/>
      <c r="AA22" s="2" t="n"/>
      <c r="AB22" s="2" t="n"/>
      <c r="AC22" s="6" t="n"/>
      <c r="AD22" s="2" t="n"/>
      <c r="AE22" s="5" t="n"/>
      <c r="AF22" s="2" t="n"/>
      <c r="AG22" s="2" t="n"/>
      <c r="AH22" s="2" t="inlineStr">
        <is>
          <t>Unknown</t>
        </is>
      </c>
      <c r="AI22" s="2" t="inlineStr">
        <is>
          <t>Not stated</t>
        </is>
      </c>
      <c r="AJ22" s="2" t="inlineStr">
        <is>
          <t>Inferred: residual</t>
        </is>
      </c>
      <c r="AK22" s="2" t="n">
        <v>24</v>
      </c>
      <c r="AL22" s="2" t="inlineStr">
        <is>
          <t>R017; R022</t>
        </is>
      </c>
      <c r="AM22" s="2" t="inlineStr">
        <is>
          <t>PetSmart</t>
        </is>
      </c>
    </row>
    <row r="23">
      <c r="A23" s="2" t="n">
        <v>22</v>
      </c>
      <c r="B23" s="2" t="inlineStr">
        <is>
          <t>10/30/2014</t>
        </is>
      </c>
      <c r="C23" s="2" t="inlineStr">
        <is>
          <t>Buyer Group (BC Partners-led consortium)</t>
        </is>
      </c>
      <c r="D23" s="2" t="inlineStr">
        <is>
          <t>Bid</t>
        </is>
      </c>
      <c r="E23" s="2" t="n">
        <v>1</v>
      </c>
      <c r="F23" s="2" t="n">
        <v>1</v>
      </c>
      <c r="G23" s="2" t="inlineStr">
        <is>
          <t>Financial</t>
        </is>
      </c>
      <c r="H23" s="2" t="inlineStr">
        <is>
          <t>Non-binding preliminary indication of interest of $81.00–$83.00 per share. Count 1. Advanced to the final round 11/03/2014 (R028). Related: later bids R037, R045, R046.</t>
        </is>
      </c>
      <c r="I23" s="2" t="inlineStr">
        <is>
          <t>Informal</t>
        </is>
      </c>
      <c r="J23" s="2" t="inlineStr">
        <is>
          <t>Insufficient evidence</t>
        </is>
      </c>
      <c r="K23" s="2" t="inlineStr">
        <is>
          <t>Stated price; Convention: preliminary exploratory offer with no supported formal signal → Informal. Conditions: price only; nothing stated on financing or diligence, so Insufficient evidence (stage context: substantive October data-room/management access had preceded the IOI). “the Buyer Group, which indicated a range of $81.00 to $83.00 per share, and another bidder, which suggested a range of $80.00 to $85.00 per share.” (p.24).</t>
        </is>
      </c>
      <c r="L23" s="3" t="inlineStr">
        <is>
          <t>P-016</t>
        </is>
      </c>
      <c r="M23" s="2" t="inlineStr">
        <is>
          <t>Q6</t>
        </is>
      </c>
      <c r="N23" s="2" t="n"/>
      <c r="O23" s="2" t="inlineStr">
        <is>
          <t>R022</t>
        </is>
      </c>
      <c r="P23" s="2" t="inlineStr">
        <is>
          <t>Yes</t>
        </is>
      </c>
      <c r="Q23" s="4" t="n">
        <v>1</v>
      </c>
      <c r="R23" s="5" t="n">
        <v>41942</v>
      </c>
      <c r="S23" s="5" t="n">
        <v>41942</v>
      </c>
      <c r="T23" s="5" t="n">
        <v>41942</v>
      </c>
      <c r="U23" s="2" t="inlineStr">
        <is>
          <t>Reported day</t>
        </is>
      </c>
      <c r="V23" s="2" t="inlineStr">
        <is>
          <t>Reported</t>
        </is>
      </c>
      <c r="W23" s="6" t="n">
        <v>81</v>
      </c>
      <c r="X23" s="6" t="n">
        <v>83</v>
      </c>
      <c r="Y23" s="2" t="inlineStr">
        <is>
          <t>Bidder range</t>
        </is>
      </c>
      <c r="Z23" s="2" t="inlineStr">
        <is>
          <t>Stated</t>
        </is>
      </c>
      <c r="AA23" s="2" t="inlineStr">
        <is>
          <t>USD</t>
        </is>
      </c>
      <c r="AB23" s="2" t="inlineStr">
        <is>
          <t>Not stated</t>
        </is>
      </c>
      <c r="AC23" s="6" t="n"/>
      <c r="AD23" s="2" t="inlineStr">
        <is>
          <t>Fin: not stated; DD required: not stated; DD open: yes; Excl: not stated</t>
        </is>
      </c>
      <c r="AE23" s="5" t="n"/>
      <c r="AF23" s="2" t="n"/>
      <c r="AG23" s="2" t="n"/>
      <c r="AH23" s="2" t="n"/>
      <c r="AI23" s="2" t="n"/>
      <c r="AJ23" s="2" t="n"/>
      <c r="AK23" s="2" t="n">
        <v>24</v>
      </c>
      <c r="AL23" s="2" t="inlineStr">
        <is>
          <t>R028; R037; R045; R046</t>
        </is>
      </c>
      <c r="AM23" s="2" t="inlineStr">
        <is>
          <t>PetSmart</t>
        </is>
      </c>
    </row>
    <row r="24">
      <c r="A24" s="2" t="n">
        <v>23</v>
      </c>
      <c r="B24" s="2" t="inlineStr">
        <is>
          <t>10/30/2014</t>
        </is>
      </c>
      <c r="C24" s="2" t="inlineStr">
        <is>
          <t>Bidder 2</t>
        </is>
      </c>
      <c r="D24" s="2" t="inlineStr">
        <is>
          <t>Bid</t>
        </is>
      </c>
      <c r="E24" s="2" t="n">
        <v>1</v>
      </c>
      <c r="F24" s="2" t="n">
        <v>1</v>
      </c>
      <c r="G24" s="2" t="inlineStr">
        <is>
          <t>Financial</t>
        </is>
      </c>
      <c r="H24" s="2" t="inlineStr">
        <is>
          <t>Non-binding preliminary indication of interest of $78.00 per share; later increased during J.P. Morgan’s follow-up calls (R027). Count 1.</t>
        </is>
      </c>
      <c r="I24" s="2" t="inlineStr">
        <is>
          <t>Informal</t>
        </is>
      </c>
      <c r="J24" s="2" t="inlineStr">
        <is>
          <t>Insufficient evidence</t>
        </is>
      </c>
      <c r="K24" s="2" t="inlineStr">
        <is>
          <t>Stated price; Convention: preliminary exploratory offer → Informal. Conditions: Insufficient evidence (price only; nothing stated on financing/diligence). “another bidder (which we refer to as “Bidder 2”), which had initially indicated a price of $78.00,” (p.24).</t>
        </is>
      </c>
      <c r="L24" s="3" t="inlineStr">
        <is>
          <t>P-016</t>
        </is>
      </c>
      <c r="M24" s="2" t="inlineStr">
        <is>
          <t>Q6</t>
        </is>
      </c>
      <c r="N24" s="2" t="n"/>
      <c r="O24" s="2" t="inlineStr">
        <is>
          <t>R023</t>
        </is>
      </c>
      <c r="P24" s="2" t="inlineStr">
        <is>
          <t>Yes</t>
        </is>
      </c>
      <c r="Q24" s="4" t="n">
        <v>1</v>
      </c>
      <c r="R24" s="5" t="n">
        <v>41942</v>
      </c>
      <c r="S24" s="5" t="n">
        <v>41942</v>
      </c>
      <c r="T24" s="5" t="n">
        <v>41942</v>
      </c>
      <c r="U24" s="2" t="inlineStr">
        <is>
          <t>Reported day</t>
        </is>
      </c>
      <c r="V24" s="2" t="inlineStr">
        <is>
          <t>Reported</t>
        </is>
      </c>
      <c r="W24" s="6" t="n">
        <v>78</v>
      </c>
      <c r="X24" s="6" t="n">
        <v>78</v>
      </c>
      <c r="Y24" s="2" t="inlineStr">
        <is>
          <t>Point</t>
        </is>
      </c>
      <c r="Z24" s="2" t="inlineStr">
        <is>
          <t>Stated</t>
        </is>
      </c>
      <c r="AA24" s="2" t="inlineStr">
        <is>
          <t>USD</t>
        </is>
      </c>
      <c r="AB24" s="2" t="inlineStr">
        <is>
          <t>Not stated</t>
        </is>
      </c>
      <c r="AC24" s="6" t="n"/>
      <c r="AD24" s="2" t="inlineStr">
        <is>
          <t>Fin: not stated; DD required: not stated; DD open: yes; Excl: not stated</t>
        </is>
      </c>
      <c r="AE24" s="5" t="n"/>
      <c r="AF24" s="2" t="n"/>
      <c r="AG24" s="2" t="n"/>
      <c r="AH24" s="2" t="n"/>
      <c r="AI24" s="2" t="n"/>
      <c r="AJ24" s="2" t="n"/>
      <c r="AK24" s="2" t="n">
        <v>24</v>
      </c>
      <c r="AL24" s="2" t="inlineStr">
        <is>
          <t>R027</t>
        </is>
      </c>
      <c r="AM24" s="2" t="inlineStr">
        <is>
          <t>PetSmart</t>
        </is>
      </c>
    </row>
    <row r="25">
      <c r="A25" s="2" t="n">
        <v>24</v>
      </c>
      <c r="B25" s="2" t="inlineStr">
        <is>
          <t>10/30/2014</t>
        </is>
      </c>
      <c r="C25" s="2" t="inlineStr">
        <is>
          <t>Unnamed financial bidder A</t>
        </is>
      </c>
      <c r="D25" s="2" t="inlineStr">
        <is>
          <t>Bid</t>
        </is>
      </c>
      <c r="E25" s="2" t="n">
        <v>1</v>
      </c>
      <c r="F25" s="2" t="n">
        <v>1</v>
      </c>
      <c r="G25" s="2" t="inlineStr">
        <is>
          <t>Financial</t>
        </is>
      </c>
      <c r="H25" s="2" t="inlineStr">
        <is>
          <t>Non-binding preliminary indication of interest of $80.00–$85.00 per share. Count 1. Among the four bidders allowed to proceed to the final round (R028). The filing does not name this bidder.</t>
        </is>
      </c>
      <c r="I25" s="2" t="inlineStr">
        <is>
          <t>Informal</t>
        </is>
      </c>
      <c r="J25" s="2" t="inlineStr">
        <is>
          <t>Insufficient evidence</t>
        </is>
      </c>
      <c r="K25" s="2" t="inlineStr">
        <is>
          <t>Stated price; Convention: Informal (preliminary IOI). Conditions: Insufficient evidence. Identity not disclosed; may be one of the two bidders that formed Bidder 3 (see Q3), stated as a hypothesis only. “and another bidder, which suggested a range of $80.00 to $85.00 per share.” (p.24).</t>
        </is>
      </c>
      <c r="L25" s="3" t="inlineStr">
        <is>
          <t>P-016</t>
        </is>
      </c>
      <c r="M25" s="2" t="inlineStr">
        <is>
          <t>Q3; Q6</t>
        </is>
      </c>
      <c r="N25" s="2" t="n"/>
      <c r="O25" s="2" t="inlineStr">
        <is>
          <t>R024</t>
        </is>
      </c>
      <c r="P25" s="2" t="inlineStr">
        <is>
          <t>Yes</t>
        </is>
      </c>
      <c r="Q25" s="4" t="n">
        <v>1</v>
      </c>
      <c r="R25" s="5" t="n">
        <v>41942</v>
      </c>
      <c r="S25" s="5" t="n">
        <v>41942</v>
      </c>
      <c r="T25" s="5" t="n">
        <v>41942</v>
      </c>
      <c r="U25" s="2" t="inlineStr">
        <is>
          <t>Reported day</t>
        </is>
      </c>
      <c r="V25" s="2" t="inlineStr">
        <is>
          <t>Reported</t>
        </is>
      </c>
      <c r="W25" s="6" t="n">
        <v>80</v>
      </c>
      <c r="X25" s="6" t="n">
        <v>85</v>
      </c>
      <c r="Y25" s="2" t="inlineStr">
        <is>
          <t>Bidder range</t>
        </is>
      </c>
      <c r="Z25" s="2" t="inlineStr">
        <is>
          <t>Stated</t>
        </is>
      </c>
      <c r="AA25" s="2" t="inlineStr">
        <is>
          <t>USD</t>
        </is>
      </c>
      <c r="AB25" s="2" t="inlineStr">
        <is>
          <t>Not stated</t>
        </is>
      </c>
      <c r="AC25" s="6" t="n"/>
      <c r="AD25" s="2" t="inlineStr">
        <is>
          <t>Fin: not stated; DD required: not stated; DD open: yes; Excl: not stated</t>
        </is>
      </c>
      <c r="AE25" s="5" t="n"/>
      <c r="AF25" s="2" t="n"/>
      <c r="AG25" s="2" t="n"/>
      <c r="AH25" s="2" t="n"/>
      <c r="AI25" s="2" t="n"/>
      <c r="AJ25" s="2" t="n"/>
      <c r="AK25" s="2" t="n">
        <v>24</v>
      </c>
      <c r="AL25" s="2" t="inlineStr">
        <is>
          <t>R028; R031</t>
        </is>
      </c>
      <c r="AM25" s="2" t="inlineStr">
        <is>
          <t>PetSmart</t>
        </is>
      </c>
    </row>
    <row r="26">
      <c r="A26" s="2" t="n">
        <v>25</v>
      </c>
      <c r="B26" s="2" t="inlineStr">
        <is>
          <t>10/30/2014</t>
        </is>
      </c>
      <c r="C26" s="2" t="inlineStr">
        <is>
          <t>Unnamed financial bidder B</t>
        </is>
      </c>
      <c r="D26" s="2" t="inlineStr">
        <is>
          <t>Bid</t>
        </is>
      </c>
      <c r="E26" s="2" t="n">
        <v>1</v>
      </c>
      <c r="F26" s="2" t="n">
        <v>1</v>
      </c>
      <c r="G26" s="2" t="inlineStr">
        <is>
          <t>Financial</t>
        </is>
      </c>
      <c r="H26" s="2" t="inlineStr">
        <is>
          <t>Non-binding preliminary indication of interest whose price range reached at least $80.00 per share; endpoints not disclosed. Count 1. Among the four bidders allowed to proceed to the final round (R028). The filing does not name this bidder.</t>
        </is>
      </c>
      <c r="I26" s="2" t="inlineStr">
        <is>
          <t>Informal</t>
        </is>
      </c>
      <c r="J26" s="2" t="inlineStr">
        <is>
          <t>Insufficient evidence</t>
        </is>
      </c>
      <c r="K26" s="2" t="inlineStr">
        <is>
          <t>Stated that the range reached at least $80.00; Convention: endpoints not stated → cells left blank (ambiguous whether a floor on the whole range or a level the range reached — see Q7). Informal; Insufficient evidence. “Three bidders initially indicated price ranges that reached at least $80.00 per share, including the Buyer Group, which indicated a range of $81.00 to $83.00 per share, and another bidder, which suggested a range of $80.00 to $85.00 per share. As a result of its discussions with J.P. Morgan,” (p.24).</t>
        </is>
      </c>
      <c r="L26" s="3" t="inlineStr">
        <is>
          <t>P-016</t>
        </is>
      </c>
      <c r="M26" s="2" t="inlineStr">
        <is>
          <t>Q3; Q7</t>
        </is>
      </c>
      <c r="N26" s="2" t="n"/>
      <c r="O26" s="2" t="inlineStr">
        <is>
          <t>R025</t>
        </is>
      </c>
      <c r="P26" s="2" t="inlineStr">
        <is>
          <t>Yes</t>
        </is>
      </c>
      <c r="Q26" s="4" t="n">
        <v>1</v>
      </c>
      <c r="R26" s="5" t="n">
        <v>41942</v>
      </c>
      <c r="S26" s="5" t="n">
        <v>41942</v>
      </c>
      <c r="T26" s="5" t="n">
        <v>41942</v>
      </c>
      <c r="U26" s="2" t="inlineStr">
        <is>
          <t>Reported day</t>
        </is>
      </c>
      <c r="V26" s="2" t="inlineStr">
        <is>
          <t>Reported</t>
        </is>
      </c>
      <c r="W26" s="6" t="n"/>
      <c r="X26" s="6" t="n"/>
      <c r="Y26" s="2" t="inlineStr">
        <is>
          <t>Undisclosed</t>
        </is>
      </c>
      <c r="Z26" s="2" t="n"/>
      <c r="AA26" s="2" t="inlineStr">
        <is>
          <t>USD</t>
        </is>
      </c>
      <c r="AB26" s="2" t="inlineStr">
        <is>
          <t>Not stated</t>
        </is>
      </c>
      <c r="AC26" s="6" t="n"/>
      <c r="AD26" s="2" t="inlineStr">
        <is>
          <t>Fin: not stated; DD required: not stated; DD open: yes; Excl: not stated</t>
        </is>
      </c>
      <c r="AE26" s="5" t="n"/>
      <c r="AF26" s="2" t="n"/>
      <c r="AG26" s="2" t="n"/>
      <c r="AH26" s="2" t="n"/>
      <c r="AI26" s="2" t="n"/>
      <c r="AJ26" s="2" t="n"/>
      <c r="AK26" s="2" t="n">
        <v>24</v>
      </c>
      <c r="AL26" s="2" t="inlineStr">
        <is>
          <t>R028; R032</t>
        </is>
      </c>
      <c r="AM26" s="2" t="inlineStr">
        <is>
          <t>PetSmart</t>
        </is>
      </c>
    </row>
    <row r="27">
      <c r="A27" s="2" t="n">
        <v>26</v>
      </c>
      <c r="B27" s="2" t="inlineStr">
        <is>
          <t>10/30/2014</t>
        </is>
      </c>
      <c r="C27" s="2" t="inlineStr">
        <is>
          <t>Two other IOI submitters (cohort)</t>
        </is>
      </c>
      <c r="D27" s="2" t="inlineStr">
        <is>
          <t>Bid</t>
        </is>
      </c>
      <c r="E27" s="2" t="n">
        <v>1</v>
      </c>
      <c r="F27" s="2" t="n">
        <v>1</v>
      </c>
      <c r="G27" s="2" t="inlineStr">
        <is>
          <t>Financial</t>
        </is>
      </c>
      <c r="H27" s="2" t="inlineStr">
        <is>
          <t>Non-binding preliminary indications of interest from the two remaining submitters; prices not disclosed (they did not reach the $80.00 advancement level; this is inferred from the stated set of four bidders at or above $80.00). Count 2.</t>
        </is>
      </c>
      <c r="I27" s="2" t="inlineStr">
        <is>
          <t>Informal</t>
        </is>
      </c>
      <c r="J27" s="2" t="inlineStr">
        <is>
          <t>Insufficient evidence</t>
        </is>
      </c>
      <c r="K27" s="2" t="inlineStr">
        <is>
          <t>Stated submission count (six total; four individually described); Inferred (convention) that these two were below $80.00: the board advanced the four bidders that had indicated at least $80.00. Informal; Insufficient evidence. “The board determined to allow the four bidders that had indicated a price or range at or above $80.00 per share to proceed to the final round of the sale process.” (p.24).</t>
        </is>
      </c>
      <c r="L27" s="3" t="inlineStr">
        <is>
          <t>P-016; P-017</t>
        </is>
      </c>
      <c r="M27" s="2" t="inlineStr">
        <is>
          <t>Q4; Q6</t>
        </is>
      </c>
      <c r="N27" s="2" t="n"/>
      <c r="O27" s="2" t="inlineStr">
        <is>
          <t>R026</t>
        </is>
      </c>
      <c r="P27" s="2" t="inlineStr">
        <is>
          <t>Yes</t>
        </is>
      </c>
      <c r="Q27" s="4" t="n">
        <v>2</v>
      </c>
      <c r="R27" s="5" t="n">
        <v>41942</v>
      </c>
      <c r="S27" s="5" t="n">
        <v>41942</v>
      </c>
      <c r="T27" s="5" t="n">
        <v>41942</v>
      </c>
      <c r="U27" s="2" t="inlineStr">
        <is>
          <t>Reported day</t>
        </is>
      </c>
      <c r="V27" s="2" t="inlineStr">
        <is>
          <t>Reported</t>
        </is>
      </c>
      <c r="W27" s="6" t="n"/>
      <c r="X27" s="6" t="n"/>
      <c r="Y27" s="2" t="inlineStr">
        <is>
          <t>Undisclosed</t>
        </is>
      </c>
      <c r="Z27" s="2" t="n"/>
      <c r="AA27" s="2" t="inlineStr">
        <is>
          <t>USD</t>
        </is>
      </c>
      <c r="AB27" s="2" t="inlineStr">
        <is>
          <t>Not stated</t>
        </is>
      </c>
      <c r="AC27" s="6" t="n"/>
      <c r="AD27" s="2" t="inlineStr">
        <is>
          <t>Fin: not stated; DD required: not stated; DD open: yes; Excl: not stated</t>
        </is>
      </c>
      <c r="AE27" s="5" t="n"/>
      <c r="AF27" s="2" t="n"/>
      <c r="AG27" s="2" t="n"/>
      <c r="AH27" s="2" t="n"/>
      <c r="AI27" s="2" t="n"/>
      <c r="AJ27" s="2" t="n"/>
      <c r="AK27" s="2" t="n">
        <v>24</v>
      </c>
      <c r="AL27" s="2" t="inlineStr">
        <is>
          <t>R029</t>
        </is>
      </c>
      <c r="AM27" s="2" t="inlineStr">
        <is>
          <t>PetSmart</t>
        </is>
      </c>
    </row>
    <row r="28">
      <c r="A28" s="2" t="n">
        <v>27</v>
      </c>
      <c r="B28" s="2" t="inlineStr">
        <is>
          <t>10/30/2014–11/02/2014 (day not disclosed)</t>
        </is>
      </c>
      <c r="C28" s="2" t="inlineStr">
        <is>
          <t>Bidder 2</t>
        </is>
      </c>
      <c r="D28" s="2" t="inlineStr">
        <is>
          <t>Bid</t>
        </is>
      </c>
      <c r="E28" s="2" t="n">
        <v>1</v>
      </c>
      <c r="F28" s="2" t="n">
        <v>1</v>
      </c>
      <c r="G28" s="2" t="inlineStr">
        <is>
          <t>Financial</t>
        </is>
      </c>
      <c r="H28" s="2" t="inlineStr">
        <is>
          <t>Revised indication of interest of $81.00–$84.00 per share, increased from $78.00 as a result of its discussions with J.P. Morgan. Count 0 (same bidder unit as R023). Related: revises R023; advanced to the final round (R028).</t>
        </is>
      </c>
      <c r="I28" s="2" t="inlineStr">
        <is>
          <t>Informal</t>
        </is>
      </c>
      <c r="J28" s="2" t="inlineStr">
        <is>
          <t>Insufficient evidence</t>
        </is>
      </c>
      <c r="K28" s="2" t="inlineStr">
        <is>
          <t>Stated revision; Convention: still the preliminary IOI stage → Informal. Conditions Insufficient evidence. Date: revision occurred within the 10/30–11/02 call window; midpoint assigned. “increased its indication to a range of $81.00 to $84.00 per share.” (p.24).</t>
        </is>
      </c>
      <c r="L28" s="3" t="inlineStr">
        <is>
          <t>P-016</t>
        </is>
      </c>
      <c r="M28" s="2" t="inlineStr">
        <is>
          <t>Q6; Q8</t>
        </is>
      </c>
      <c r="N28" s="2" t="n"/>
      <c r="O28" s="2" t="inlineStr">
        <is>
          <t>R027</t>
        </is>
      </c>
      <c r="P28" s="2" t="inlineStr">
        <is>
          <t>Yes</t>
        </is>
      </c>
      <c r="Q28" s="4" t="n">
        <v>0</v>
      </c>
      <c r="R28" s="5" t="n">
        <v>41942</v>
      </c>
      <c r="S28" s="5" t="n">
        <v>41945</v>
      </c>
      <c r="T28" s="5" t="n">
        <v>41943</v>
      </c>
      <c r="U28" s="2" t="inlineStr">
        <is>
          <t>Reported interval</t>
        </is>
      </c>
      <c r="V28" s="2" t="inlineStr">
        <is>
          <t>Assigned: midpoint</t>
        </is>
      </c>
      <c r="W28" s="6" t="n">
        <v>81</v>
      </c>
      <c r="X28" s="6" t="n">
        <v>84</v>
      </c>
      <c r="Y28" s="2" t="inlineStr">
        <is>
          <t>Bidder range</t>
        </is>
      </c>
      <c r="Z28" s="2" t="inlineStr">
        <is>
          <t>Stated</t>
        </is>
      </c>
      <c r="AA28" s="2" t="inlineStr">
        <is>
          <t>USD</t>
        </is>
      </c>
      <c r="AB28" s="2" t="inlineStr">
        <is>
          <t>Not stated</t>
        </is>
      </c>
      <c r="AC28" s="6" t="n"/>
      <c r="AD28" s="2" t="inlineStr">
        <is>
          <t>Fin: not stated; DD required: not stated; DD open: yes; Excl: not stated</t>
        </is>
      </c>
      <c r="AE28" s="5" t="n"/>
      <c r="AF28" s="2" t="n"/>
      <c r="AG28" s="2" t="n"/>
      <c r="AH28" s="2" t="n"/>
      <c r="AI28" s="2" t="n"/>
      <c r="AJ28" s="2" t="n"/>
      <c r="AK28" s="2" t="n">
        <v>24</v>
      </c>
      <c r="AL28" s="2" t="inlineStr">
        <is>
          <t>R023; R028</t>
        </is>
      </c>
      <c r="AM28" s="2" t="inlineStr">
        <is>
          <t>PetSmart</t>
        </is>
      </c>
    </row>
    <row r="29">
      <c r="A29" s="2" t="n">
        <v>28</v>
      </c>
      <c r="B29" s="2" t="inlineStr">
        <is>
          <t>11/03/2014</t>
        </is>
      </c>
      <c r="C29" s="2" t="inlineStr">
        <is>
          <t>PetSmart board (with management, J.P. Morgan and Wachtell Lipton)</t>
        </is>
      </c>
      <c r="D29" s="2" t="inlineStr">
        <is>
          <t>Round opened</t>
        </is>
      </c>
      <c r="E29" s="2" t="n">
        <v>1</v>
      </c>
      <c r="F29" s="2" t="n">
        <v>2</v>
      </c>
      <c r="G29" s="2" t="n"/>
      <c r="H29" s="2" t="inlineStr">
        <is>
          <t>Round 2 (final round) opens: board allowed the four bidders at or above $80.00 per share to proceed; J.P. Morgan notified the eliminated parties. Final-round work: further extensive due diligence and management presentations, a form of merger agreement circulated with instructions to submit markups together with final bids, and updated FY2014 projections. Each invited bidder indicated interest in a Longview rollover but stated its bid was not conditioned or dependent on Longview participation. Round finality: Announced as final — the target designated this the final round and later solicited final bids on a set deadline.</t>
        </is>
      </c>
      <c r="I29" s="2" t="n"/>
      <c r="J29" s="2" t="n"/>
      <c r="K29" s="2" t="inlineStr">
        <is>
          <t>Stated advancement (new stage, new offers sought). Convention: Announced as final (the target’s own final-round designation). “The board determined to allow the four bidders that had indicated a price or range at or above $80.00 per share to proceed to the final round of the sale process.” (p.24). “Each of the bidders invited into the final round indicated some interest in a Longview rollover, though each also stated that its bid would not be conditioned or dependent on Longview participation.” (p.24).</t>
        </is>
      </c>
      <c r="L29" s="3" t="inlineStr">
        <is>
          <t>P-017; P-018; P-019</t>
        </is>
      </c>
      <c r="M29" s="2" t="inlineStr">
        <is>
          <t>Q1</t>
        </is>
      </c>
      <c r="N29" s="2" t="n"/>
      <c r="O29" s="2" t="inlineStr">
        <is>
          <t>R028</t>
        </is>
      </c>
      <c r="P29" s="2" t="inlineStr">
        <is>
          <t>Yes</t>
        </is>
      </c>
      <c r="Q29" s="4" t="n"/>
      <c r="R29" s="5" t="n">
        <v>41946</v>
      </c>
      <c r="S29" s="5" t="n">
        <v>41946</v>
      </c>
      <c r="T29" s="5" t="n">
        <v>41946</v>
      </c>
      <c r="U29" s="2" t="inlineStr">
        <is>
          <t>Reported day</t>
        </is>
      </c>
      <c r="V29" s="2" t="inlineStr">
        <is>
          <t>Reported</t>
        </is>
      </c>
      <c r="W29" s="6" t="n"/>
      <c r="X29" s="6" t="n"/>
      <c r="Y29" s="2" t="n"/>
      <c r="Z29" s="2" t="n"/>
      <c r="AA29" s="2" t="n"/>
      <c r="AB29" s="2" t="n"/>
      <c r="AC29" s="6" t="n"/>
      <c r="AD29" s="2" t="n"/>
      <c r="AE29" s="5" t="n"/>
      <c r="AF29" s="2" t="n"/>
      <c r="AG29" s="2" t="inlineStr">
        <is>
          <t>Announced as final</t>
        </is>
      </c>
      <c r="AH29" s="2" t="n"/>
      <c r="AI29" s="2" t="n"/>
      <c r="AJ29" s="2" t="n"/>
      <c r="AK29" s="2" t="n">
        <v>24</v>
      </c>
      <c r="AL29" s="2" t="inlineStr">
        <is>
          <t>R020; R022; R023; R024; R025; R029</t>
        </is>
      </c>
      <c r="AM29" s="2" t="inlineStr">
        <is>
          <t>PetSmart</t>
        </is>
      </c>
    </row>
    <row r="30">
      <c r="A30" s="2" t="n">
        <v>29</v>
      </c>
      <c r="B30" s="2" t="inlineStr">
        <is>
          <t>11/03/2014</t>
        </is>
      </c>
      <c r="C30" s="2" t="inlineStr">
        <is>
          <t>Two eliminated IOI submitters (cohort)</t>
        </is>
      </c>
      <c r="D30" s="2" t="inlineStr">
        <is>
          <t>Dropped by target</t>
        </is>
      </c>
      <c r="E30" s="2" t="n">
        <v>1</v>
      </c>
      <c r="F30" s="2" t="n">
        <v>1</v>
      </c>
      <c r="G30" s="2" t="inlineStr">
        <is>
          <t>Financial</t>
        </is>
      </c>
      <c r="H30" s="2" t="inlineStr">
        <is>
          <t>Dropped by target: the two submitters below $80.00 were notified of elimination from the final round; neither indicated any interest or ability to remain in the process at price levels above its initial indication. Denied stage: Round 2. Count 2. Decided by: Target. Exit reason: Lower offer than rivals.</t>
        </is>
      </c>
      <c r="I30" s="2" t="n"/>
      <c r="J30" s="2" t="n"/>
      <c r="K30" s="2" t="inlineStr">
        <is>
          <t>Stated. Round carries the round being left (R1), with the denied stage (R2) explained. “representatives of J.P. Morgan notified the eliminated parties, none of which indicated any interest or ability to remain in the process at price levels above their respective initial indications.” (p.24).</t>
        </is>
      </c>
      <c r="L30" s="3" t="inlineStr">
        <is>
          <t>P-016; P-017</t>
        </is>
      </c>
      <c r="M30" s="2" t="inlineStr">
        <is>
          <t>Q5</t>
        </is>
      </c>
      <c r="N30" s="2" t="n"/>
      <c r="O30" s="2" t="inlineStr">
        <is>
          <t>R029</t>
        </is>
      </c>
      <c r="P30" s="2" t="inlineStr">
        <is>
          <t>Yes</t>
        </is>
      </c>
      <c r="Q30" s="4" t="n">
        <v>2</v>
      </c>
      <c r="R30" s="5" t="n">
        <v>41946</v>
      </c>
      <c r="S30" s="5" t="n">
        <v>41946</v>
      </c>
      <c r="T30" s="5" t="n">
        <v>41946</v>
      </c>
      <c r="U30" s="2" t="inlineStr">
        <is>
          <t>Reported day</t>
        </is>
      </c>
      <c r="V30" s="2" t="inlineStr">
        <is>
          <t>Reported</t>
        </is>
      </c>
      <c r="W30" s="6" t="n"/>
      <c r="X30" s="6" t="n"/>
      <c r="Y30" s="2" t="n"/>
      <c r="Z30" s="2" t="n"/>
      <c r="AA30" s="2" t="n"/>
      <c r="AB30" s="2" t="n"/>
      <c r="AC30" s="6" t="n"/>
      <c r="AD30" s="2" t="n"/>
      <c r="AE30" s="5" t="n"/>
      <c r="AF30" s="2" t="n"/>
      <c r="AG30" s="2" t="n"/>
      <c r="AH30" s="2" t="inlineStr">
        <is>
          <t>Target</t>
        </is>
      </c>
      <c r="AI30" s="2" t="inlineStr">
        <is>
          <t>Lower offer than rivals</t>
        </is>
      </c>
      <c r="AJ30" s="2" t="inlineStr">
        <is>
          <t>Stated</t>
        </is>
      </c>
      <c r="AK30" s="2" t="n">
        <v>24</v>
      </c>
      <c r="AL30" s="2" t="inlineStr">
        <is>
          <t>R026; R028</t>
        </is>
      </c>
      <c r="AM30" s="2" t="inlineStr">
        <is>
          <t>PetSmart</t>
        </is>
      </c>
    </row>
    <row r="31">
      <c r="A31" s="2" t="n">
        <v>30</v>
      </c>
      <c r="B31" s="2" t="inlineStr">
        <is>
          <t>after 11/03/2014; day not disclosed</t>
        </is>
      </c>
      <c r="C31" s="2" t="inlineStr">
        <is>
          <t>Bidder 3 (two final-round bidders)</t>
        </is>
      </c>
      <c r="D31" s="2" t="inlineStr">
        <is>
          <t>Bidding group changed</t>
        </is>
      </c>
      <c r="E31" s="2" t="n">
        <v>1</v>
      </c>
      <c r="F31" s="2" t="n">
        <v>2</v>
      </c>
      <c r="G31" s="2" t="inlineStr">
        <is>
          <t>Financial</t>
        </is>
      </c>
      <c r="H31" s="2" t="inlineStr">
        <is>
          <t>Two final-round bidders (one invited, seeking an equity partner because of the size of a PetSmart acquisition; the other having said it would drop out unless permitted to pair) requested and were authorized by the ad hoc committee to work together as “Bidder 3”; the two had worked together in previous large leveraged buyouts. Proposed/permitted status: permitted/authorized. Composition effect: final-round bidding units 4 → 3. The filing does not name the members (see Q3). Count 2 (members affected).</t>
        </is>
      </c>
      <c r="I31" s="2" t="n"/>
      <c r="J31" s="2" t="n"/>
      <c r="K31" s="2" t="inlineStr">
        <is>
          <t>Stated formation of a bidding group. Anonymous members; the unit effect is stated by the count reconciliation (four invited, three negotiating units in December) rather than by name. Identity hypothesis in Q3. “Two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(p.24). “We refer to these two bidders together as “Bidder 3.”” (p.24).</t>
        </is>
      </c>
      <c r="L31" s="3" t="inlineStr">
        <is>
          <t>P-018</t>
        </is>
      </c>
      <c r="M31" s="2" t="inlineStr">
        <is>
          <t>Q3</t>
        </is>
      </c>
      <c r="N31" s="2" t="n"/>
      <c r="O31" s="2" t="inlineStr">
        <is>
          <t>R030</t>
        </is>
      </c>
      <c r="P31" s="2" t="inlineStr">
        <is>
          <t>Yes</t>
        </is>
      </c>
      <c r="Q31" s="4" t="n">
        <v>2</v>
      </c>
      <c r="R31" s="5" t="n">
        <v>41947</v>
      </c>
      <c r="S31" s="5" t="n"/>
      <c r="T31" s="5" t="n">
        <v>41947</v>
      </c>
      <c r="U31" s="2" t="inlineStr">
        <is>
          <t>Relative only</t>
        </is>
      </c>
      <c r="V31" s="2" t="inlineStr">
        <is>
          <t>Assigned: bound</t>
        </is>
      </c>
      <c r="W31" s="6" t="n"/>
      <c r="X31" s="6" t="n"/>
      <c r="Y31" s="2" t="n"/>
      <c r="Z31" s="2" t="n"/>
      <c r="AA31" s="2" t="n"/>
      <c r="AB31" s="2" t="n"/>
      <c r="AC31" s="6" t="n"/>
      <c r="AD31" s="2" t="n"/>
      <c r="AE31" s="5" t="n"/>
      <c r="AF31" s="2" t="n"/>
      <c r="AG31" s="2" t="n"/>
      <c r="AH31" s="2" t="n"/>
      <c r="AI31" s="2" t="n"/>
      <c r="AJ31" s="2" t="n"/>
      <c r="AK31" s="2" t="n">
        <v>24</v>
      </c>
      <c r="AL31" s="2" t="inlineStr">
        <is>
          <t>R024; R025; R031; R032; R039</t>
        </is>
      </c>
      <c r="AM31" s="2" t="inlineStr">
        <is>
          <t>PetSmart</t>
        </is>
      </c>
    </row>
    <row r="32">
      <c r="A32" s="2" t="n">
        <v>31</v>
      </c>
      <c r="B32" s="2" t="inlineStr">
        <is>
          <t>after 11/03/2014; day not disclosed</t>
        </is>
      </c>
      <c r="C32" s="2" t="inlineStr">
        <is>
          <t>Unnamed financial bidder A</t>
        </is>
      </c>
      <c r="D32" s="2" t="inlineStr">
        <is>
          <t>Joined group</t>
        </is>
      </c>
      <c r="E32" s="2" t="n">
        <v>1</v>
      </c>
      <c r="F32" s="2" t="n">
        <v>2</v>
      </c>
      <c r="G32" s="2" t="inlineStr">
        <is>
          <t>Financial</t>
        </is>
      </c>
      <c r="H32" s="2" t="inlineStr">
        <is>
          <t>Inferred: identity — Count 0. May already be counted among the two members of R030 (Bidder 3 formation); the filing does not name the members. Recommended reading: Unnamed financial bidder A is one of the two final-round bidders besides the Buyer Group and Bidder 2 that formed Bidder 3 (see Q3); ends independent bidding; the stage count falls by one. Out as an independent bidder by the 12/10/2014 final-bid transition (continuing units then: Buyer Group, Bidder 2, Bidder 3).</t>
        </is>
      </c>
      <c r="I32" s="2" t="n"/>
      <c r="J32" s="2" t="n"/>
      <c r="K32" s="2" t="inlineStr">
        <is>
          <t>Inferred: identity (section 10.2 Count-0 row). Identity is not stated by the filing; flagged in Q3. Never move counts from a cohort to a name.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(p.24).</t>
        </is>
      </c>
      <c r="L32" s="3" t="inlineStr">
        <is>
          <t>P-018</t>
        </is>
      </c>
      <c r="M32" s="2" t="inlineStr">
        <is>
          <t>Q3; Q5</t>
        </is>
      </c>
      <c r="N32" s="2" t="n"/>
      <c r="O32" s="2" t="inlineStr">
        <is>
          <t>R031</t>
        </is>
      </c>
      <c r="P32" s="2" t="inlineStr">
        <is>
          <t>Yes</t>
        </is>
      </c>
      <c r="Q32" s="4" t="n">
        <v>0</v>
      </c>
      <c r="R32" s="5" t="n">
        <v>41947</v>
      </c>
      <c r="S32" s="5" t="n"/>
      <c r="T32" s="5" t="n">
        <v>41947</v>
      </c>
      <c r="U32" s="2" t="inlineStr">
        <is>
          <t>Relative only</t>
        </is>
      </c>
      <c r="V32" s="2" t="inlineStr">
        <is>
          <t>Assigned: bound</t>
        </is>
      </c>
      <c r="W32" s="6" t="n"/>
      <c r="X32" s="6" t="n"/>
      <c r="Y32" s="2" t="n"/>
      <c r="Z32" s="2" t="n"/>
      <c r="AA32" s="2" t="n"/>
      <c r="AB32" s="2" t="n"/>
      <c r="AC32" s="6" t="n"/>
      <c r="AD32" s="2" t="n"/>
      <c r="AE32" s="5" t="n"/>
      <c r="AF32" s="2" t="n"/>
      <c r="AG32" s="2" t="n"/>
      <c r="AH32" s="2" t="n"/>
      <c r="AI32" s="2" t="n"/>
      <c r="AJ32" s="2" t="inlineStr">
        <is>
          <t>Inferred: identity</t>
        </is>
      </c>
      <c r="AK32" s="2" t="n">
        <v>24</v>
      </c>
      <c r="AL32" s="2" t="inlineStr">
        <is>
          <t>R030; R024</t>
        </is>
      </c>
      <c r="AM32" s="2" t="inlineStr">
        <is>
          <t>PetSmart</t>
        </is>
      </c>
    </row>
    <row r="33">
      <c r="A33" s="2" t="n">
        <v>32</v>
      </c>
      <c r="B33" s="2" t="inlineStr">
        <is>
          <t>after 11/03/2014; day not disclosed</t>
        </is>
      </c>
      <c r="C33" s="2" t="inlineStr">
        <is>
          <t>Unnamed financial bidder B</t>
        </is>
      </c>
      <c r="D33" s="2" t="inlineStr">
        <is>
          <t>Joined group</t>
        </is>
      </c>
      <c r="E33" s="2" t="n">
        <v>1</v>
      </c>
      <c r="F33" s="2" t="n">
        <v>2</v>
      </c>
      <c r="G33" s="2" t="inlineStr">
        <is>
          <t>Financial</t>
        </is>
      </c>
      <c r="H33" s="2" t="inlineStr">
        <is>
          <t>Inferred: identity — Count 0. May already be counted among the two members of R030 (Bidder 3 formation); the filing does not name the members. Recommended reading: Unnamed financial bidder B is one of the two final-round bidders besides the Buyer Group and Bidder 2 that formed Bidder 3 (see Q3); ends independent bidding; the stage count falls by one. Out as an independent bidder by the 12/10/2014 final-bid transition (continuing units then: Buyer Group, Bidder 2, Bidder 3).</t>
        </is>
      </c>
      <c r="I33" s="2" t="n"/>
      <c r="J33" s="2" t="n"/>
      <c r="K33" s="2" t="inlineStr">
        <is>
          <t>Inferred: identity (section 10.2 Count-0 row). Identity is not stated by the filing; flagged in Q3. “the other of which had indicated to J.P. Morgan that it would drop out of the process if not permitted to work together with another bidder)” (p.24).</t>
        </is>
      </c>
      <c r="L33" s="3" t="inlineStr">
        <is>
          <t>P-018</t>
        </is>
      </c>
      <c r="M33" s="2" t="inlineStr">
        <is>
          <t>Q3; Q5</t>
        </is>
      </c>
      <c r="N33" s="2" t="n"/>
      <c r="O33" s="2" t="inlineStr">
        <is>
          <t>R032</t>
        </is>
      </c>
      <c r="P33" s="2" t="inlineStr">
        <is>
          <t>Yes</t>
        </is>
      </c>
      <c r="Q33" s="4" t="n">
        <v>0</v>
      </c>
      <c r="R33" s="5" t="n">
        <v>41947</v>
      </c>
      <c r="S33" s="5" t="n"/>
      <c r="T33" s="5" t="n">
        <v>41947</v>
      </c>
      <c r="U33" s="2" t="inlineStr">
        <is>
          <t>Relative only</t>
        </is>
      </c>
      <c r="V33" s="2" t="inlineStr">
        <is>
          <t>Assigned: bound</t>
        </is>
      </c>
      <c r="W33" s="6" t="n"/>
      <c r="X33" s="6" t="n"/>
      <c r="Y33" s="2" t="n"/>
      <c r="Z33" s="2" t="n"/>
      <c r="AA33" s="2" t="n"/>
      <c r="AB33" s="2" t="n"/>
      <c r="AC33" s="6" t="n"/>
      <c r="AD33" s="2" t="n"/>
      <c r="AE33" s="5" t="n"/>
      <c r="AF33" s="2" t="n"/>
      <c r="AG33" s="2" t="n"/>
      <c r="AH33" s="2" t="n"/>
      <c r="AI33" s="2" t="n"/>
      <c r="AJ33" s="2" t="inlineStr">
        <is>
          <t>Inferred: identity</t>
        </is>
      </c>
      <c r="AK33" s="2" t="n">
        <v>24</v>
      </c>
      <c r="AL33" s="2" t="inlineStr">
        <is>
          <t>R030; R025</t>
        </is>
      </c>
      <c r="AM33" s="2" t="inlineStr">
        <is>
          <t>PetSmart</t>
        </is>
      </c>
    </row>
    <row r="34">
      <c r="A34" s="2" t="n">
        <v>33</v>
      </c>
      <c r="B34" s="2" t="inlineStr">
        <is>
          <t>November 2014 (day not disclosed)</t>
        </is>
      </c>
      <c r="C34" s="2" t="inlineStr">
        <is>
          <t>J.P. Morgan (target side) / four final-round bidders</t>
        </is>
      </c>
      <c r="D34" s="2" t="inlineStr">
        <is>
          <t>Information access changed</t>
        </is>
      </c>
      <c r="E34" s="2" t="n">
        <v>1</v>
      </c>
      <c r="F34" s="2" t="n">
        <v>2</v>
      </c>
      <c r="G34" s="2" t="n"/>
      <c r="H34" s="2" t="inlineStr">
        <is>
          <t>Following PetSmart’s third-quarter earnings announcement, at the request of bidders and with board direction, J.P. Morgan provided the bidders with updates to the Company’s fiscal year 2014 financial projections. Affected: the four final-round bidders. Reason: reflect Q3 results; the projections were revised after bidding had begun (IOIs 10/30/2014). Count blank.</t>
        </is>
      </c>
      <c r="I34" s="2" t="n"/>
      <c r="J34" s="2" t="n"/>
      <c r="K34" s="2" t="inlineStr">
        <is>
          <t>Stated. Projections issued/revised after bidding had begun — a differentiated information event; day not disclosed (period midpoint assigned; see Q8). “Following the Company’s third quarter earnings announcement and, at the request of bidders and the direction of the board and the Company, representatives of J.P. Morgan provided the bidders with updates to the Company’s fiscal year 2014 financial projections.” (p.24).</t>
        </is>
      </c>
      <c r="L34" s="3" t="inlineStr">
        <is>
          <t>P-019</t>
        </is>
      </c>
      <c r="M34" s="2" t="inlineStr">
        <is>
          <t>Q8</t>
        </is>
      </c>
      <c r="N34" s="2" t="n"/>
      <c r="O34" s="2" t="inlineStr">
        <is>
          <t>R033</t>
        </is>
      </c>
      <c r="P34" s="2" t="inlineStr">
        <is>
          <t>Yes</t>
        </is>
      </c>
      <c r="Q34" s="4" t="n"/>
      <c r="R34" s="5" t="n">
        <v>41944</v>
      </c>
      <c r="S34" s="5" t="n">
        <v>41973</v>
      </c>
      <c r="T34" s="5" t="n">
        <v>41958</v>
      </c>
      <c r="U34" s="2" t="inlineStr">
        <is>
          <t>Reported interval</t>
        </is>
      </c>
      <c r="V34" s="2" t="inlineStr">
        <is>
          <t>Assigned: midpoint</t>
        </is>
      </c>
      <c r="W34" s="6" t="n"/>
      <c r="X34" s="6" t="n"/>
      <c r="Y34" s="2" t="n"/>
      <c r="Z34" s="2" t="n"/>
      <c r="AA34" s="2" t="n"/>
      <c r="AB34" s="2" t="n"/>
      <c r="AC34" s="6" t="n"/>
      <c r="AD34" s="2" t="n"/>
      <c r="AE34" s="5" t="n"/>
      <c r="AF34" s="2" t="n"/>
      <c r="AG34" s="2" t="n"/>
      <c r="AH34" s="2" t="n"/>
      <c r="AI34" s="2" t="n"/>
      <c r="AJ34" s="2" t="n"/>
      <c r="AK34" s="2" t="n">
        <v>24</v>
      </c>
      <c r="AL34" s="2" t="inlineStr">
        <is>
          <t>R016; R028</t>
        </is>
      </c>
      <c r="AM34" s="2" t="inlineStr">
        <is>
          <t>PetSmart</t>
        </is>
      </c>
    </row>
    <row r="35">
      <c r="A35" s="2" t="n">
        <v>34</v>
      </c>
      <c r="B35" s="2" t="inlineStr">
        <is>
          <t>12/04/2014–12/05/2014</t>
        </is>
      </c>
      <c r="C35" s="2" t="inlineStr">
        <is>
          <t>PetSmart ad hoc committee (with financial and legal advisors)</t>
        </is>
      </c>
      <c r="D35" s="2" t="inlineStr">
        <is>
          <t>Deadline revised</t>
        </is>
      </c>
      <c r="E35" s="2" t="n">
        <v>1</v>
      </c>
      <c r="F35" s="2" t="n">
        <v>2</v>
      </c>
      <c r="G35" s="2" t="n"/>
      <c r="H35" s="2" t="inlineStr">
        <is>
          <t>Deadline revised: the ad hoc committee concluded the remaining steps could be done in a shorter period to reduce the risk of leaks or unintended public disclosure; the Company moved the deadline for submission of final bids from 12/05/2014 to the evening of 12/10/2014 (five days rather than ten before the anticipated 12/15 completion) and asked bidders to submit markups of the draft merger agreement and other transaction documents, and financing commitments, in advance if possible. Treatment: Extended. Due date (new): 12/10/2014.</t>
        </is>
      </c>
      <c r="I35" s="2" t="n"/>
      <c r="J35" s="2" t="n"/>
      <c r="K35" s="2" t="inlineStr">
        <is>
          <t>Stated. Revision of an existing due date; old and new preserved. The original 12/05/2014 date was superseded before arrival and has no separate milestone row. “had initially set Friday, December 5 as the date for submission of bids so as to allow sufficient time for the Company to receive and analyze the bids, conduct further rounds of bidding, if necessary,” (p.24). “the Company set the evening of Wednesday, December 10 (five days, rather than 10 days prior to the anticipated December 15 completion date) as the deadline for submission of final bids,” (p.25).</t>
        </is>
      </c>
      <c r="L35" s="3" t="inlineStr">
        <is>
          <t>P-020; P-021</t>
        </is>
      </c>
      <c r="M35" s="2" t="inlineStr">
        <is>
          <t>Q2</t>
        </is>
      </c>
      <c r="N35" s="2" t="n"/>
      <c r="O35" s="2" t="inlineStr">
        <is>
          <t>R034</t>
        </is>
      </c>
      <c r="P35" s="2" t="inlineStr">
        <is>
          <t>Yes</t>
        </is>
      </c>
      <c r="Q35" s="4" t="n"/>
      <c r="R35" s="5" t="n">
        <v>41977</v>
      </c>
      <c r="S35" s="5" t="n">
        <v>41978</v>
      </c>
      <c r="T35" s="5" t="n">
        <v>41978</v>
      </c>
      <c r="U35" s="2" t="inlineStr">
        <is>
          <t>Reported interval</t>
        </is>
      </c>
      <c r="V35" s="2" t="inlineStr">
        <is>
          <t>Assigned: decision day</t>
        </is>
      </c>
      <c r="W35" s="6" t="n"/>
      <c r="X35" s="6" t="n"/>
      <c r="Y35" s="2" t="n"/>
      <c r="Z35" s="2" t="n"/>
      <c r="AA35" s="2" t="n"/>
      <c r="AB35" s="2" t="n"/>
      <c r="AC35" s="6" t="n"/>
      <c r="AD35" s="2" t="n"/>
      <c r="AE35" s="5" t="n">
        <v>41983</v>
      </c>
      <c r="AF35" s="2" t="inlineStr">
        <is>
          <t>Extended</t>
        </is>
      </c>
      <c r="AG35" s="2" t="n"/>
      <c r="AH35" s="2" t="n"/>
      <c r="AI35" s="2" t="n"/>
      <c r="AJ35" s="2" t="n"/>
      <c r="AK35" s="2" t="n">
        <v>25</v>
      </c>
      <c r="AL35" s="2" t="inlineStr">
        <is>
          <t>R036</t>
        </is>
      </c>
      <c r="AM35" s="2" t="inlineStr">
        <is>
          <t>PetSmart</t>
        </is>
      </c>
    </row>
    <row r="36">
      <c r="A36" s="2" t="n">
        <v>35</v>
      </c>
      <c r="B36" s="2" t="inlineStr">
        <is>
          <t>12/09/2014</t>
        </is>
      </c>
      <c r="C36" s="2" t="inlineStr">
        <is>
          <t>J.P. Morgan (arranging); Longview; Buyer Group; Bidder 2</t>
        </is>
      </c>
      <c r="D36" s="2" t="inlineStr">
        <is>
          <t>Information access changed</t>
        </is>
      </c>
      <c r="E36" s="2" t="n">
        <v>1</v>
      </c>
      <c r="F36" s="2" t="n">
        <v>2</v>
      </c>
      <c r="G36" s="2" t="n"/>
      <c r="H36" s="2" t="inlineStr">
        <is>
          <t>Following execution of a confidentiality agreement, J.P. Morgan arranged introductory meetings between Longview and the Buyer Group and between Longview and Bidder 2 (Bidder 3 did not have a meeting on the narrative), to let the bidders assess interest in working with Longview and vice versa; the bidders were prohibited at this time from disclosing their intended bid prices to Longview. Count blank.</t>
        </is>
      </c>
      <c r="I36" s="2" t="n"/>
      <c r="J36" s="2" t="n"/>
      <c r="K36" s="2" t="inlineStr">
        <is>
          <t>Stated. Differentiated access among live finalists (two of the three bidding units met Longview). Material because Longview participation was later credited as helpful in achieving $83.00. “Following the execution of a confidentiality agreement, on December 9, 2014, J.P. Morgan arranged introductory meetings between Longview and the Buyer Group, and between Longview and Bidder 2.” (p.25). “the bidders were prohibited at this time from disclosing to Longview the respective prices that the bidders intended to bid.” (p.25).</t>
        </is>
      </c>
      <c r="L36" s="3" t="inlineStr">
        <is>
          <t>P-024</t>
        </is>
      </c>
      <c r="M36" s="2" t="inlineStr">
        <is>
          <t>Q1</t>
        </is>
      </c>
      <c r="N36" s="2" t="n"/>
      <c r="O36" s="2" t="inlineStr">
        <is>
          <t>R035</t>
        </is>
      </c>
      <c r="P36" s="2" t="inlineStr">
        <is>
          <t>Yes</t>
        </is>
      </c>
      <c r="Q36" s="4" t="n"/>
      <c r="R36" s="5" t="n">
        <v>41982</v>
      </c>
      <c r="S36" s="5" t="n">
        <v>41982</v>
      </c>
      <c r="T36" s="5" t="n">
        <v>41982</v>
      </c>
      <c r="U36" s="2" t="inlineStr">
        <is>
          <t>Reported day</t>
        </is>
      </c>
      <c r="V36" s="2" t="inlineStr">
        <is>
          <t>Reported</t>
        </is>
      </c>
      <c r="W36" s="6" t="n"/>
      <c r="X36" s="6" t="n"/>
      <c r="Y36" s="2" t="n"/>
      <c r="Z36" s="2" t="n"/>
      <c r="AA36" s="2" t="n"/>
      <c r="AB36" s="2" t="n"/>
      <c r="AC36" s="6" t="n"/>
      <c r="AD36" s="2" t="n"/>
      <c r="AE36" s="5" t="n"/>
      <c r="AF36" s="2" t="n"/>
      <c r="AG36" s="2" t="n"/>
      <c r="AH36" s="2" t="n"/>
      <c r="AI36" s="2" t="n"/>
      <c r="AJ36" s="2" t="n"/>
      <c r="AK36" s="2" t="n">
        <v>25</v>
      </c>
      <c r="AL36" s="2" t="inlineStr">
        <is>
          <t>R028; R043</t>
        </is>
      </c>
      <c r="AM36" s="2" t="inlineStr">
        <is>
          <t>PetSmart</t>
        </is>
      </c>
    </row>
    <row r="37">
      <c r="A37" s="2" t="n">
        <v>36</v>
      </c>
      <c r="B37" s="2" t="inlineStr">
        <is>
          <t>12/10/2014 (evening deadline)</t>
        </is>
      </c>
      <c r="C37" s="2" t="inlineStr">
        <is>
          <t>PetSmart (process deadline)</t>
        </is>
      </c>
      <c r="D37" s="2" t="inlineStr">
        <is>
          <t>Deadline</t>
        </is>
      </c>
      <c r="E37" s="2" t="n">
        <v>1</v>
      </c>
      <c r="F37" s="2" t="n">
        <v>2</v>
      </c>
      <c r="G37" s="2" t="n"/>
      <c r="H37" s="2" t="inlineStr">
        <is>
          <t>Deadline for submission of final bids (evening of 12/10/2014). Treatment: Extended — after the bids the ad hoc committee requested improved bids for 12/12/2014 (R041). Due date 12/10/2014.</t>
        </is>
      </c>
      <c r="I37" s="2" t="n"/>
      <c r="J37" s="2" t="n"/>
      <c r="K37" s="2" t="inlineStr">
        <is>
          <t>Stated. Due date revised from 12/05/2014; revised again by the improvement request issued after this date arrived. “On December 10, PetSmart received final bid letters along with revised versions of the merger agreement and other transaction documents from the Buyer Group and from Bidder 2 and a verbal indication from Bidder 3.” (p.25).</t>
        </is>
      </c>
      <c r="L37" s="3" t="inlineStr">
        <is>
          <t>P-025</t>
        </is>
      </c>
      <c r="M37" s="2" t="inlineStr">
        <is>
          <t>Q2</t>
        </is>
      </c>
      <c r="N37" s="2" t="n"/>
      <c r="O37" s="2" t="inlineStr">
        <is>
          <t>R036</t>
        </is>
      </c>
      <c r="P37" s="2" t="inlineStr">
        <is>
          <t>Yes</t>
        </is>
      </c>
      <c r="Q37" s="4" t="n"/>
      <c r="R37" s="5" t="n">
        <v>41983</v>
      </c>
      <c r="S37" s="5" t="n">
        <v>41983</v>
      </c>
      <c r="T37" s="5" t="n">
        <v>41983</v>
      </c>
      <c r="U37" s="2" t="inlineStr">
        <is>
          <t>Reported day</t>
        </is>
      </c>
      <c r="V37" s="2" t="inlineStr">
        <is>
          <t>Reported</t>
        </is>
      </c>
      <c r="W37" s="6" t="n"/>
      <c r="X37" s="6" t="n"/>
      <c r="Y37" s="2" t="n"/>
      <c r="Z37" s="2" t="n"/>
      <c r="AA37" s="2" t="n"/>
      <c r="AB37" s="2" t="n"/>
      <c r="AC37" s="6" t="n"/>
      <c r="AD37" s="2" t="n"/>
      <c r="AE37" s="5" t="n">
        <v>41983</v>
      </c>
      <c r="AF37" s="2" t="inlineStr">
        <is>
          <t>Extended</t>
        </is>
      </c>
      <c r="AG37" s="2" t="n"/>
      <c r="AH37" s="2" t="n"/>
      <c r="AI37" s="2" t="n"/>
      <c r="AJ37" s="2" t="n"/>
      <c r="AK37" s="2" t="n">
        <v>25</v>
      </c>
      <c r="AL37" s="2" t="inlineStr">
        <is>
          <t>R034; R040; R041</t>
        </is>
      </c>
      <c r="AM37" s="2" t="inlineStr">
        <is>
          <t>PetSmart</t>
        </is>
      </c>
    </row>
    <row r="38">
      <c r="A38" s="2" t="n">
        <v>37</v>
      </c>
      <c r="B38" s="2" t="inlineStr">
        <is>
          <t>12/10/2014</t>
        </is>
      </c>
      <c r="C38" s="2" t="inlineStr">
        <is>
          <t>Buyer Group (BC Partners-led consortium)</t>
        </is>
      </c>
      <c r="D38" s="2" t="inlineStr">
        <is>
          <t>Bid</t>
        </is>
      </c>
      <c r="E38" s="2" t="n">
        <v>1</v>
      </c>
      <c r="F38" s="2" t="n">
        <v>2</v>
      </c>
      <c r="G38" s="2" t="inlineStr">
        <is>
          <t>Financial</t>
        </is>
      </c>
      <c r="H38" s="2" t="inlineStr">
        <is>
          <t>Final bid letter: $80.70 per share in cash, with revised merger agreement and transaction documents; the Buyer Group had provided financing commitment documents on 12/06 and its documentation was more favorable to the Company (less conditional, more likely to be completed, more acceptance of the Company’s positions). Count 1. Related: R022 (IOI), R045 (improved).</t>
        </is>
      </c>
      <c r="I38" s="2" t="inlineStr">
        <is>
          <t>Formal</t>
        </is>
      </c>
      <c r="J38" s="2" t="inlineStr">
        <is>
          <t>Light</t>
        </is>
      </c>
      <c r="K38" s="2" t="inlineStr">
        <is>
          <t>Stated price; Formal (signal 1: bidder-returned agreement markups/revised documents). Conditions Light: committed financing provided; no diligence condition stated; diligence under way (DD open). “The Buyer Group offered $80.70 per share, in cash, and Bidder 2 offered $80.35 per share, in cash. Bidder 3 verbally communicated to J.P. Morgan that their valuation would not be above the current stock price of approximately $78 per share. J.P. Morgan communicated to Bidder 3 that it was unlikely to be competitive and accordingly Bidder 3 did not submit a written offer.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(p.25). “the Buyer Group provided its financing commitment documents.” (p.25).</t>
        </is>
      </c>
      <c r="L38" s="3" t="inlineStr">
        <is>
          <t>P-025; P-022</t>
        </is>
      </c>
      <c r="M38" s="2" t="inlineStr">
        <is>
          <t>Q6</t>
        </is>
      </c>
      <c r="N38" s="2" t="n"/>
      <c r="O38" s="2" t="inlineStr">
        <is>
          <t>R037</t>
        </is>
      </c>
      <c r="P38" s="2" t="inlineStr">
        <is>
          <t>Yes</t>
        </is>
      </c>
      <c r="Q38" s="4" t="n">
        <v>1</v>
      </c>
      <c r="R38" s="5" t="n">
        <v>41983</v>
      </c>
      <c r="S38" s="5" t="n">
        <v>41983</v>
      </c>
      <c r="T38" s="5" t="n">
        <v>41983</v>
      </c>
      <c r="U38" s="2" t="inlineStr">
        <is>
          <t>Reported day</t>
        </is>
      </c>
      <c r="V38" s="2" t="inlineStr">
        <is>
          <t>Reported</t>
        </is>
      </c>
      <c r="W38" s="6" t="n">
        <v>80.7</v>
      </c>
      <c r="X38" s="6" t="n">
        <v>80.7</v>
      </c>
      <c r="Y38" s="2" t="inlineStr">
        <is>
          <t>Point</t>
        </is>
      </c>
      <c r="Z38" s="2" t="inlineStr">
        <is>
          <t>Stated</t>
        </is>
      </c>
      <c r="AA38" s="2" t="inlineStr">
        <is>
          <t>USD</t>
        </is>
      </c>
      <c r="AB38" s="2" t="inlineStr">
        <is>
          <t>Yes</t>
        </is>
      </c>
      <c r="AC38" s="6" t="n">
        <v>80.7</v>
      </c>
      <c r="AD38" s="2" t="inlineStr">
        <is>
          <t>Fin: committed; DD required: not stated; DD open: yes; Excl: not stated</t>
        </is>
      </c>
      <c r="AE38" s="5" t="n"/>
      <c r="AF38" s="2" t="n"/>
      <c r="AG38" s="2" t="n"/>
      <c r="AH38" s="2" t="n"/>
      <c r="AI38" s="2" t="n"/>
      <c r="AJ38" s="2" t="n"/>
      <c r="AK38" s="2" t="n">
        <v>25</v>
      </c>
      <c r="AL38" s="2" t="inlineStr">
        <is>
          <t>R022; R045; R046</t>
        </is>
      </c>
      <c r="AM38" s="2" t="inlineStr">
        <is>
          <t>PetSmart</t>
        </is>
      </c>
    </row>
    <row r="39">
      <c r="A39" s="2" t="n">
        <v>38</v>
      </c>
      <c r="B39" s="2" t="inlineStr">
        <is>
          <t>12/10/2014</t>
        </is>
      </c>
      <c r="C39" s="2" t="inlineStr">
        <is>
          <t>Bidder 2</t>
        </is>
      </c>
      <c r="D39" s="2" t="inlineStr">
        <is>
          <t>Bid</t>
        </is>
      </c>
      <c r="E39" s="2" t="n">
        <v>1</v>
      </c>
      <c r="F39" s="2" t="n">
        <v>2</v>
      </c>
      <c r="G39" s="2" t="inlineStr">
        <is>
          <t>Financial</t>
        </is>
      </c>
      <c r="H39" s="2" t="inlineStr">
        <is>
          <t>Final bid letter: $80.35 per share in cash, with revised merger agreement and transaction documents. Bidder 2 indicated any partnering with Longview would occur only after completion of bidding and execution of a definitive merger agreement. Count 1. Related: R027 (revised IOI), R044 (improved).</t>
        </is>
      </c>
      <c r="I39" s="2" t="inlineStr">
        <is>
          <t>Formal</t>
        </is>
      </c>
      <c r="J39" s="2" t="inlineStr">
        <is>
          <t>Insufficient evidence</t>
        </is>
      </c>
      <c r="K39" s="2" t="inlineStr">
        <is>
          <t>Stated price; Formal (signal 1: bidder-returned agreement markups/revised documents). Conditions Insufficient evidence: price and documents but nothing stated on financing or diligence conditions (the filing notes Bidder 2’s documentation was more conditional than the Buyer Group’s). “The Buyer Group offered $80.70 per share, in cash, and Bidder 2 offered $80.35 per share, in cash.” (p.25). “Bidder 2 indicated that any partnering with Longview would only occur after completion of bidding and execution of a definitive merger agreement with the Company.” (p.25).</t>
        </is>
      </c>
      <c r="L39" s="3" t="inlineStr">
        <is>
          <t>P-025</t>
        </is>
      </c>
      <c r="M39" s="2" t="inlineStr">
        <is>
          <t>Q6</t>
        </is>
      </c>
      <c r="N39" s="2" t="n"/>
      <c r="O39" s="2" t="inlineStr">
        <is>
          <t>R038</t>
        </is>
      </c>
      <c r="P39" s="2" t="inlineStr">
        <is>
          <t>Yes</t>
        </is>
      </c>
      <c r="Q39" s="4" t="n">
        <v>1</v>
      </c>
      <c r="R39" s="5" t="n">
        <v>41983</v>
      </c>
      <c r="S39" s="5" t="n">
        <v>41983</v>
      </c>
      <c r="T39" s="5" t="n">
        <v>41983</v>
      </c>
      <c r="U39" s="2" t="inlineStr">
        <is>
          <t>Reported day</t>
        </is>
      </c>
      <c r="V39" s="2" t="inlineStr">
        <is>
          <t>Reported</t>
        </is>
      </c>
      <c r="W39" s="6" t="n">
        <v>80.34999999999999</v>
      </c>
      <c r="X39" s="6" t="n">
        <v>80.34999999999999</v>
      </c>
      <c r="Y39" s="2" t="inlineStr">
        <is>
          <t>Point</t>
        </is>
      </c>
      <c r="Z39" s="2" t="inlineStr">
        <is>
          <t>Stated</t>
        </is>
      </c>
      <c r="AA39" s="2" t="inlineStr">
        <is>
          <t>USD</t>
        </is>
      </c>
      <c r="AB39" s="2" t="inlineStr">
        <is>
          <t>Yes</t>
        </is>
      </c>
      <c r="AC39" s="6" t="n">
        <v>80.34999999999999</v>
      </c>
      <c r="AD39" s="2" t="inlineStr">
        <is>
          <t>Fin: not stated; DD required: not stated; DD open: yes; Excl: not stated</t>
        </is>
      </c>
      <c r="AE39" s="5" t="n"/>
      <c r="AF39" s="2" t="n"/>
      <c r="AG39" s="2" t="n"/>
      <c r="AH39" s="2" t="n"/>
      <c r="AI39" s="2" t="n"/>
      <c r="AJ39" s="2" t="n"/>
      <c r="AK39" s="2" t="n">
        <v>25</v>
      </c>
      <c r="AL39" s="2" t="inlineStr">
        <is>
          <t>R027; R044</t>
        </is>
      </c>
      <c r="AM39" s="2" t="inlineStr">
        <is>
          <t>PetSmart</t>
        </is>
      </c>
    </row>
    <row r="40">
      <c r="A40" s="2" t="n">
        <v>39</v>
      </c>
      <c r="B40" s="2" t="inlineStr">
        <is>
          <t>12/10/2014</t>
        </is>
      </c>
      <c r="C40" s="2" t="inlineStr">
        <is>
          <t>Bidder 3</t>
        </is>
      </c>
      <c r="D40" s="2" t="inlineStr">
        <is>
          <t>Bid</t>
        </is>
      </c>
      <c r="E40" s="2" t="n">
        <v>1</v>
      </c>
      <c r="F40" s="2" t="n">
        <v>2</v>
      </c>
      <c r="G40" s="2" t="inlineStr">
        <is>
          <t>Financial</t>
        </is>
      </c>
      <c r="H40" s="2" t="inlineStr">
        <is>
          <t>Bound: ≤ $78.00 — verbal indication that Bidder 3’s valuation would not be above the current stock price of approximately $78 per share; no written offer; J.P. Morgan communicated that this was unlikely to be competitive. Count 1. Related: R030 (formation), R040 (outcome).</t>
        </is>
      </c>
      <c r="I40" s="2" t="inlineStr">
        <is>
          <t>Informal</t>
        </is>
      </c>
      <c r="J40" s="2" t="inlineStr">
        <is>
          <t>Insufficient evidence</t>
        </is>
      </c>
      <c r="K40" s="2" t="inlineStr">
        <is>
          <t>Stated bound (approximate: “approximately $78”; the number is the then-current stock price, not a stated offer level — see Q7). Convention: Informal (verbal, no documents). Conditions Insufficient evidence; diligence status not disclosed for Bidder 3. “a verbal indication from Bidder 3. The Buyer Group offered $80.70 per share, in cash, and Bidder 2 offered $80.35 per share, in cash. Bidder 3 verbally communicated to J.P. Morgan that their valuation would not be above the current stock price of approximately $78 per share.” (p.25).</t>
        </is>
      </c>
      <c r="L40" s="3" t="inlineStr">
        <is>
          <t>P-025</t>
        </is>
      </c>
      <c r="M40" s="2" t="inlineStr">
        <is>
          <t>Q6; Q7</t>
        </is>
      </c>
      <c r="N40" s="2" t="n"/>
      <c r="O40" s="2" t="inlineStr">
        <is>
          <t>R039</t>
        </is>
      </c>
      <c r="P40" s="2" t="inlineStr">
        <is>
          <t>Yes</t>
        </is>
      </c>
      <c r="Q40" s="4" t="n">
        <v>1</v>
      </c>
      <c r="R40" s="5" t="n">
        <v>41983</v>
      </c>
      <c r="S40" s="5" t="n">
        <v>41983</v>
      </c>
      <c r="T40" s="5" t="n">
        <v>41983</v>
      </c>
      <c r="U40" s="2" t="inlineStr">
        <is>
          <t>Reported day</t>
        </is>
      </c>
      <c r="V40" s="2" t="inlineStr">
        <is>
          <t>Reported</t>
        </is>
      </c>
      <c r="W40" s="6" t="n"/>
      <c r="X40" s="6" t="n">
        <v>78</v>
      </c>
      <c r="Y40" s="2" t="inlineStr">
        <is>
          <t>Bound only</t>
        </is>
      </c>
      <c r="Z40" s="2" t="inlineStr">
        <is>
          <t>Stated</t>
        </is>
      </c>
      <c r="AA40" s="2" t="inlineStr">
        <is>
          <t>USD</t>
        </is>
      </c>
      <c r="AB40" s="2" t="inlineStr">
        <is>
          <t>Not stated</t>
        </is>
      </c>
      <c r="AC40" s="6" t="n"/>
      <c r="AD40" s="2" t="inlineStr">
        <is>
          <t>Fin: not stated; DD required: not stated; DD open: not disclosed; Excl: not stated</t>
        </is>
      </c>
      <c r="AE40" s="5" t="n"/>
      <c r="AF40" s="2" t="n"/>
      <c r="AG40" s="2" t="n"/>
      <c r="AH40" s="2" t="n"/>
      <c r="AI40" s="2" t="n"/>
      <c r="AJ40" s="2" t="n"/>
      <c r="AK40" s="2" t="n">
        <v>25</v>
      </c>
      <c r="AL40" s="2" t="inlineStr">
        <is>
          <t>R030; R040</t>
        </is>
      </c>
      <c r="AM40" s="2" t="inlineStr">
        <is>
          <t>PetSmart</t>
        </is>
      </c>
    </row>
    <row r="41">
      <c r="A41" s="2" t="n">
        <v>40</v>
      </c>
      <c r="B41" s="2" t="inlineStr">
        <is>
          <t>12/10/2014</t>
        </is>
      </c>
      <c r="C41" s="2" t="inlineStr">
        <is>
          <t>Bidder 3</t>
        </is>
      </c>
      <c r="D41" s="2" t="inlineStr">
        <is>
          <t>Did not submit</t>
        </is>
      </c>
      <c r="E41" s="2" t="n">
        <v>1</v>
      </c>
      <c r="F41" s="2" t="n">
        <v>2</v>
      </c>
      <c r="G41" s="2" t="inlineStr">
        <is>
          <t>Financial</t>
        </is>
      </c>
      <c r="H41" s="2" t="inlineStr">
        <is>
          <t>Bidder 3 did not submit a written offer in the final-bid solicitation after J.P. Morgan said its indication was unlikely to be competitive; out by the improved-bid stage (only the Buyer Group and Bidder 2 were asked to improve). Decided by: Both (target discouragement followed by non-submission). Exit reason: Value at or below market price. Count 1.</t>
        </is>
      </c>
      <c r="I41" s="2" t="n"/>
      <c r="J41" s="2" t="n"/>
      <c r="K41" s="2" t="inlineStr">
        <is>
          <t>Stated non-submission; date established by the 12/10/2014 solicitation context (assigned to the due date under section 8.1 rule 2). “J.P. Morgan communicated to Bidder 3 that it was unlikely to be competitive and accordingly Bidder 3 did not submit a written offer.” (p.25).</t>
        </is>
      </c>
      <c r="L41" s="3" t="inlineStr">
        <is>
          <t>P-025; P-026</t>
        </is>
      </c>
      <c r="M41" s="2" t="inlineStr">
        <is>
          <t>Q5</t>
        </is>
      </c>
      <c r="N41" s="2" t="n"/>
      <c r="O41" s="2" t="inlineStr">
        <is>
          <t>R040</t>
        </is>
      </c>
      <c r="P41" s="2" t="inlineStr">
        <is>
          <t>Yes</t>
        </is>
      </c>
      <c r="Q41" s="4" t="n">
        <v>1</v>
      </c>
      <c r="R41" s="5" t="n"/>
      <c r="S41" s="5" t="n">
        <v>41983</v>
      </c>
      <c r="T41" s="5" t="n">
        <v>41983</v>
      </c>
      <c r="U41" s="2" t="inlineStr">
        <is>
          <t>Relative only</t>
        </is>
      </c>
      <c r="V41" s="2" t="inlineStr">
        <is>
          <t>Assigned: deadline</t>
        </is>
      </c>
      <c r="W41" s="6" t="n"/>
      <c r="X41" s="6" t="n"/>
      <c r="Y41" s="2" t="n"/>
      <c r="Z41" s="2" t="n"/>
      <c r="AA41" s="2" t="n"/>
      <c r="AB41" s="2" t="n"/>
      <c r="AC41" s="6" t="n"/>
      <c r="AD41" s="2" t="n"/>
      <c r="AE41" s="5" t="n"/>
      <c r="AF41" s="2" t="n"/>
      <c r="AG41" s="2" t="n"/>
      <c r="AH41" s="2" t="inlineStr">
        <is>
          <t>Both</t>
        </is>
      </c>
      <c r="AI41" s="2" t="inlineStr">
        <is>
          <t>Value at or below market price</t>
        </is>
      </c>
      <c r="AJ41" s="2" t="inlineStr">
        <is>
          <t>Stated</t>
        </is>
      </c>
      <c r="AK41" s="2" t="n">
        <v>25</v>
      </c>
      <c r="AL41" s="2" t="inlineStr">
        <is>
          <t>R039; R041</t>
        </is>
      </c>
      <c r="AM41" s="2" t="inlineStr">
        <is>
          <t>PetSmart</t>
        </is>
      </c>
    </row>
    <row r="42">
      <c r="A42" s="2" t="n">
        <v>41</v>
      </c>
      <c r="B42" s="2" t="inlineStr">
        <is>
          <t>12/10/2014</t>
        </is>
      </c>
      <c r="C42" s="2" t="inlineStr">
        <is>
          <t>PetSmart ad hoc committee (with J.P. Morgan and Wachtell Lipton)</t>
        </is>
      </c>
      <c r="D42" s="2" t="inlineStr">
        <is>
          <t>Deadline revised</t>
        </is>
      </c>
      <c r="E42" s="2" t="n">
        <v>1</v>
      </c>
      <c r="F42" s="2" t="n">
        <v>2</v>
      </c>
      <c r="G42" s="2" t="n"/>
      <c r="H42" s="2" t="inlineStr">
        <is>
          <t>Deadline revised: after reviewing the 12/10/2014 bids, the ad hoc committee — seeing the bids as close, noting positive developments since 12/03/2014 and viewing neither bid as the bidder’s best offer — instructed J.P. Morgan to tell each bidder it must increase its bid and to submit improved bids on 12/12/2014; J.P. Morgan also contacted Longview on the evening of 12/11/2014 to confirm its continued rollover interest. Treatment: Extended. Due date (new): 12/12/2014.</t>
        </is>
      </c>
      <c r="I42" s="2" t="n"/>
      <c r="J42" s="2" t="n"/>
      <c r="K42" s="2" t="inlineStr">
        <is>
          <t>Stated. Improvement request after the due date of a round already opened as final; an extension of that round under section 8.3, not a new round and not a fresh deadline set. “the ad hoc committee instructed J.P. Morgan to inform each bidder that it would need to increase its bid, and to instruct the bidders to submit improved bids on December 12, 2014.” (p.25). “On the evening of December 11, 2014, representatives of J.P. Morgan contacted Longview to inform Longview that the bidders have been asked to submit revised and improved bids, and to confirm that Longview continued to be interested and willing to participate in a potential transaction” (p.25).</t>
        </is>
      </c>
      <c r="L42" s="3" t="inlineStr">
        <is>
          <t>P-026</t>
        </is>
      </c>
      <c r="M42" s="2" t="inlineStr">
        <is>
          <t>Q2</t>
        </is>
      </c>
      <c r="N42" s="2" t="n"/>
      <c r="O42" s="2" t="inlineStr">
        <is>
          <t>R041</t>
        </is>
      </c>
      <c r="P42" s="2" t="inlineStr">
        <is>
          <t>Yes</t>
        </is>
      </c>
      <c r="Q42" s="4" t="n"/>
      <c r="R42" s="5" t="n">
        <v>41983</v>
      </c>
      <c r="S42" s="5" t="n">
        <v>41983</v>
      </c>
      <c r="T42" s="5" t="n">
        <v>41983</v>
      </c>
      <c r="U42" s="2" t="inlineStr">
        <is>
          <t>Reported day</t>
        </is>
      </c>
      <c r="V42" s="2" t="inlineStr">
        <is>
          <t>Reported</t>
        </is>
      </c>
      <c r="W42" s="6" t="n"/>
      <c r="X42" s="6" t="n"/>
      <c r="Y42" s="2" t="n"/>
      <c r="Z42" s="2" t="n"/>
      <c r="AA42" s="2" t="n"/>
      <c r="AB42" s="2" t="n"/>
      <c r="AC42" s="6" t="n"/>
      <c r="AD42" s="2" t="n"/>
      <c r="AE42" s="5" t="n">
        <v>41985</v>
      </c>
      <c r="AF42" s="2" t="inlineStr">
        <is>
          <t>Extended</t>
        </is>
      </c>
      <c r="AG42" s="2" t="n"/>
      <c r="AH42" s="2" t="n"/>
      <c r="AI42" s="2" t="n"/>
      <c r="AJ42" s="2" t="n"/>
      <c r="AK42" s="2" t="n">
        <v>25</v>
      </c>
      <c r="AL42" s="2" t="inlineStr">
        <is>
          <t>R036; R042</t>
        </is>
      </c>
      <c r="AM42" s="2" t="inlineStr">
        <is>
          <t>PetSmart</t>
        </is>
      </c>
    </row>
    <row r="43">
      <c r="A43" s="2" t="n">
        <v>42</v>
      </c>
      <c r="B43" s="2" t="inlineStr">
        <is>
          <t>12/12/2014</t>
        </is>
      </c>
      <c r="C43" s="2" t="inlineStr">
        <is>
          <t>PetSmart (process deadline)</t>
        </is>
      </c>
      <c r="D43" s="2" t="inlineStr">
        <is>
          <t>Deadline</t>
        </is>
      </c>
      <c r="E43" s="2" t="n">
        <v>1</v>
      </c>
      <c r="F43" s="2" t="n">
        <v>2</v>
      </c>
      <c r="G43" s="2" t="n"/>
      <c r="H43" s="2" t="inlineStr">
        <is>
          <t>Deadline for improved bids. Both written bidders submitted on 12/12/2014; the board selected on the bids (approval 12/13/2014; signing 12/14/2014). Treatment: Enforced. Due date 12/12/2014.</t>
        </is>
      </c>
      <c r="I43" s="2" t="n"/>
      <c r="J43" s="2" t="n"/>
      <c r="K43" s="2" t="inlineStr">
        <is>
          <t>Stated. The date passed with no further extension or late bids, and the target took its next step on the bids in hand. “During the evening of December 12, 2014, Bidder 2 submitted an offer of $81.50 per share, in cash. Representatives of J.P. Morgan confirmed via a conversation with Bidder 2 on the evening of December 12, 2014 that $81.50 per share was its best and final offer. The Buyer Group initially submitted an oral offer of $82.50 per share, in cash,” (p.26).</t>
        </is>
      </c>
      <c r="L43" s="3" t="inlineStr">
        <is>
          <t>P-029</t>
        </is>
      </c>
      <c r="M43" s="2" t="inlineStr">
        <is>
          <t>Q2</t>
        </is>
      </c>
      <c r="N43" s="2" t="n"/>
      <c r="O43" s="2" t="inlineStr">
        <is>
          <t>R042</t>
        </is>
      </c>
      <c r="P43" s="2" t="inlineStr">
        <is>
          <t>Yes</t>
        </is>
      </c>
      <c r="Q43" s="4" t="n"/>
      <c r="R43" s="5" t="n">
        <v>41985</v>
      </c>
      <c r="S43" s="5" t="n">
        <v>41985</v>
      </c>
      <c r="T43" s="5" t="n">
        <v>41985</v>
      </c>
      <c r="U43" s="2" t="inlineStr">
        <is>
          <t>Reported day</t>
        </is>
      </c>
      <c r="V43" s="2" t="inlineStr">
        <is>
          <t>Reported</t>
        </is>
      </c>
      <c r="W43" s="6" t="n"/>
      <c r="X43" s="6" t="n"/>
      <c r="Y43" s="2" t="n"/>
      <c r="Z43" s="2" t="n"/>
      <c r="AA43" s="2" t="n"/>
      <c r="AB43" s="2" t="n"/>
      <c r="AC43" s="6" t="n"/>
      <c r="AD43" s="2" t="n"/>
      <c r="AE43" s="5" t="n">
        <v>41985</v>
      </c>
      <c r="AF43" s="2" t="inlineStr">
        <is>
          <t>Enforced</t>
        </is>
      </c>
      <c r="AG43" s="2" t="n"/>
      <c r="AH43" s="2" t="n"/>
      <c r="AI43" s="2" t="n"/>
      <c r="AJ43" s="2" t="n"/>
      <c r="AK43" s="2" t="n">
        <v>26</v>
      </c>
      <c r="AL43" s="2" t="inlineStr">
        <is>
          <t>R041; R047</t>
        </is>
      </c>
      <c r="AM43" s="2" t="inlineStr">
        <is>
          <t>PetSmart</t>
        </is>
      </c>
    </row>
    <row r="44">
      <c r="A44" s="2" t="n">
        <v>43</v>
      </c>
      <c r="B44" s="2" t="inlineStr">
        <is>
          <t>12/12/2014 (with related events on 12/11 and 12/14/2014)</t>
        </is>
      </c>
      <c r="C44" s="2" t="inlineStr">
        <is>
          <t>PetSmart ad hoc committee / Buyer Group / Longview</t>
        </is>
      </c>
      <c r="D44" s="2" t="inlineStr">
        <is>
          <t>Material process update</t>
        </is>
      </c>
      <c r="E44" s="2" t="n">
        <v>1</v>
      </c>
      <c r="F44" s="2" t="n">
        <v>2</v>
      </c>
      <c r="G44" s="2" t="n"/>
      <c r="H44" s="2" t="inlineStr">
        <is>
          <t>Longview rollover permitted and formed: the ad hoc committee approved the Buyer Group’s request to work more closely with Longview and to include a rollover of a portion of the Company shares managed by Longview in its bid (the Buyer Group said Longview participation might enhance its ability to achieve a higher price); Longview and the Buyer Group then entered a confidentiality agreement permitting the exchange of detailed information including bid price (not previously shared); Wachtell Lipton was instructed to provide a voting-agreement form to Longview. Bidder 2 had said accommodating a rollover would not affect its price and would be considered only after execution. The rollover was documented in the 12/14/2014 Parent–Longview rollover agreement (3,012,050 shares, $250 million worth, for Parent equity). Count blank.</t>
        </is>
      </c>
      <c r="I44" s="2" t="n"/>
      <c r="J44" s="2" t="n"/>
      <c r="K44" s="2" t="inlineStr">
        <is>
          <t>Stated. One row for the rollover-support relationship’s permitted/formed step (section 4); the resolution would be at closing (not observed). Longview was not an independent bidder, so this is not a bidding-group change. “the Buyer Group requested permission to work more closely with Longview in order to include a rollover of a portion of the Company shares managed by Longview in the Buyer Group’s bid.” (p.25). “Longview and the Buyer Group entered into a confidentiality agreement permitting the exchange of detailed information between them, including bid price,” (p.26).</t>
        </is>
      </c>
      <c r="L44" s="3" t="inlineStr">
        <is>
          <t>P-027; P-028; X-015</t>
        </is>
      </c>
      <c r="M44" s="2" t="inlineStr">
        <is>
          <t>Q1</t>
        </is>
      </c>
      <c r="N44" s="2" t="n"/>
      <c r="O44" s="2" t="inlineStr">
        <is>
          <t>R043</t>
        </is>
      </c>
      <c r="P44" s="2" t="inlineStr">
        <is>
          <t>Yes</t>
        </is>
      </c>
      <c r="Q44" s="4" t="n"/>
      <c r="R44" s="5" t="n">
        <v>41985</v>
      </c>
      <c r="S44" s="5" t="n">
        <v>41985</v>
      </c>
      <c r="T44" s="5" t="n">
        <v>41985</v>
      </c>
      <c r="U44" s="2" t="inlineStr">
        <is>
          <t>Reported day</t>
        </is>
      </c>
      <c r="V44" s="2" t="inlineStr">
        <is>
          <t>Reported</t>
        </is>
      </c>
      <c r="W44" s="6" t="n"/>
      <c r="X44" s="6" t="n"/>
      <c r="Y44" s="2" t="n"/>
      <c r="Z44" s="2" t="n"/>
      <c r="AA44" s="2" t="n"/>
      <c r="AB44" s="2" t="n"/>
      <c r="AC44" s="6" t="n"/>
      <c r="AD44" s="2" t="n"/>
      <c r="AE44" s="5" t="n"/>
      <c r="AF44" s="2" t="n"/>
      <c r="AG44" s="2" t="n"/>
      <c r="AH44" s="2" t="n"/>
      <c r="AI44" s="2" t="n"/>
      <c r="AJ44" s="2" t="n"/>
      <c r="AK44" s="2" t="n">
        <v>25</v>
      </c>
      <c r="AL44" s="2" t="inlineStr">
        <is>
          <t>R005; R035; R048</t>
        </is>
      </c>
      <c r="AM44" s="2" t="inlineStr">
        <is>
          <t>PetSmart</t>
        </is>
      </c>
    </row>
    <row r="45">
      <c r="A45" s="2" t="n">
        <v>44</v>
      </c>
      <c r="B45" s="2" t="inlineStr">
        <is>
          <t>12/12/2014 (evening)</t>
        </is>
      </c>
      <c r="C45" s="2" t="inlineStr">
        <is>
          <t>Bidder 2</t>
        </is>
      </c>
      <c r="D45" s="2" t="inlineStr">
        <is>
          <t>Bid</t>
        </is>
      </c>
      <c r="E45" s="2" t="n">
        <v>1</v>
      </c>
      <c r="F45" s="2" t="n">
        <v>2</v>
      </c>
      <c r="G45" s="2" t="inlineStr">
        <is>
          <t>Financial</t>
        </is>
      </c>
      <c r="H45" s="2" t="inlineStr">
        <is>
          <t>Improved best and final offer: $81.50 per share in cash; J.P. Morgan confirmed by telephone the same evening that $81.50 was Bidder 2’s best and final offer. Revised merger agreement/transaction documents and financing commitment documents submitted. Count 0 (same unit as R038). Related: R038; best-and-final confirmation folded into this bid (same day).</t>
        </is>
      </c>
      <c r="I45" s="2" t="inlineStr">
        <is>
          <t>Formal</t>
        </is>
      </c>
      <c r="J45" s="2" t="inlineStr">
        <is>
          <t>Light</t>
        </is>
      </c>
      <c r="K45" s="2" t="inlineStr">
        <is>
          <t>Stated price; Formal (signal 1: bidder-returned revised agreement; also best-and-final response). Conditions Light: financing commitment documents submitted; no diligence condition stated. “Bidder 2 submitted an offer of $81.50 per share, in cash. Representatives of J.P. Morgan confirmed via a conversation with Bidder 2 on the evening of December 12, 2014 that $81.50 per share was its best and final offer.” (p.26). “each bidder submitted a revised draft of the merger agreement and other transaction agreements, and copies of their respective financing commitment documents.” (p.26).</t>
        </is>
      </c>
      <c r="L45" s="3" t="inlineStr">
        <is>
          <t>P-029</t>
        </is>
      </c>
      <c r="M45" s="2" t="inlineStr">
        <is>
          <t>Q6</t>
        </is>
      </c>
      <c r="N45" s="2" t="n"/>
      <c r="O45" s="2" t="inlineStr">
        <is>
          <t>R044</t>
        </is>
      </c>
      <c r="P45" s="2" t="inlineStr">
        <is>
          <t>Yes</t>
        </is>
      </c>
      <c r="Q45" s="4" t="n">
        <v>0</v>
      </c>
      <c r="R45" s="5" t="n">
        <v>41985</v>
      </c>
      <c r="S45" s="5" t="n">
        <v>41985</v>
      </c>
      <c r="T45" s="5" t="n">
        <v>41985</v>
      </c>
      <c r="U45" s="2" t="inlineStr">
        <is>
          <t>Reported day</t>
        </is>
      </c>
      <c r="V45" s="2" t="inlineStr">
        <is>
          <t>Reported</t>
        </is>
      </c>
      <c r="W45" s="6" t="n">
        <v>81.5</v>
      </c>
      <c r="X45" s="6" t="n">
        <v>81.5</v>
      </c>
      <c r="Y45" s="2" t="inlineStr">
        <is>
          <t>Point</t>
        </is>
      </c>
      <c r="Z45" s="2" t="inlineStr">
        <is>
          <t>Stated</t>
        </is>
      </c>
      <c r="AA45" s="2" t="inlineStr">
        <is>
          <t>USD</t>
        </is>
      </c>
      <c r="AB45" s="2" t="inlineStr">
        <is>
          <t>Yes</t>
        </is>
      </c>
      <c r="AC45" s="6" t="n">
        <v>81.5</v>
      </c>
      <c r="AD45" s="2" t="inlineStr">
        <is>
          <t>Fin: committed; DD required: not stated; DD open: yes; Excl: not stated</t>
        </is>
      </c>
      <c r="AE45" s="5" t="n"/>
      <c r="AF45" s="2" t="n"/>
      <c r="AG45" s="2" t="n"/>
      <c r="AH45" s="2" t="n"/>
      <c r="AI45" s="2" t="n"/>
      <c r="AJ45" s="2" t="n"/>
      <c r="AK45" s="2" t="n">
        <v>26</v>
      </c>
      <c r="AL45" s="2" t="inlineStr">
        <is>
          <t>R038; R049</t>
        </is>
      </c>
      <c r="AM45" s="2" t="inlineStr">
        <is>
          <t>PetSmart</t>
        </is>
      </c>
    </row>
    <row r="46">
      <c r="A46" s="2" t="n">
        <v>45</v>
      </c>
      <c r="B46" s="2" t="inlineStr">
        <is>
          <t>12/12/2014 (evening)</t>
        </is>
      </c>
      <c r="C46" s="2" t="inlineStr">
        <is>
          <t>Buyer Group (BC Partners-led consortium)</t>
        </is>
      </c>
      <c r="D46" s="2" t="inlineStr">
        <is>
          <t>Bid</t>
        </is>
      </c>
      <c r="E46" s="2" t="n">
        <v>1</v>
      </c>
      <c r="F46" s="2" t="n">
        <v>2</v>
      </c>
      <c r="G46" s="2" t="inlineStr">
        <is>
          <t>Financial</t>
        </is>
      </c>
      <c r="H46" s="2" t="inlineStr">
        <is>
          <t>Oral improved offer of $82.50 per share in cash; the Buyer Group stated it was working to increase the offer within the next few hours. Count 0. Related: R037; superseded the same evening by R046.</t>
        </is>
      </c>
      <c r="I46" s="2" t="inlineStr">
        <is>
          <t>Formal</t>
        </is>
      </c>
      <c r="J46" s="2" t="inlineStr">
        <is>
          <t>Light</t>
        </is>
      </c>
      <c r="K46" s="2" t="inlineStr">
        <is>
          <t>Stated price; Formal documentation carried forward (revised agreement submitted 12/10–12/12 and substantially executable). Conditions Light (committed financing; no diligence condition stated). “The Buyer Group initially submitted an oral offer of $82.50 per share, in cash, but stated that it was working to increase the offer within the next few hours.” (p.26).</t>
        </is>
      </c>
      <c r="L46" s="3" t="inlineStr">
        <is>
          <t>P-029</t>
        </is>
      </c>
      <c r="M46" s="2" t="inlineStr">
        <is>
          <t>Q6</t>
        </is>
      </c>
      <c r="N46" s="2" t="n"/>
      <c r="O46" s="2" t="inlineStr">
        <is>
          <t>R045</t>
        </is>
      </c>
      <c r="P46" s="2" t="inlineStr">
        <is>
          <t>Yes</t>
        </is>
      </c>
      <c r="Q46" s="4" t="n">
        <v>0</v>
      </c>
      <c r="R46" s="5" t="n">
        <v>41985</v>
      </c>
      <c r="S46" s="5" t="n">
        <v>41985</v>
      </c>
      <c r="T46" s="5" t="n">
        <v>41985</v>
      </c>
      <c r="U46" s="2" t="inlineStr">
        <is>
          <t>Reported day</t>
        </is>
      </c>
      <c r="V46" s="2" t="inlineStr">
        <is>
          <t>Reported</t>
        </is>
      </c>
      <c r="W46" s="6" t="n">
        <v>82.5</v>
      </c>
      <c r="X46" s="6" t="n">
        <v>82.5</v>
      </c>
      <c r="Y46" s="2" t="inlineStr">
        <is>
          <t>Point</t>
        </is>
      </c>
      <c r="Z46" s="2" t="inlineStr">
        <is>
          <t>Stated</t>
        </is>
      </c>
      <c r="AA46" s="2" t="inlineStr">
        <is>
          <t>USD</t>
        </is>
      </c>
      <c r="AB46" s="2" t="inlineStr">
        <is>
          <t>Yes</t>
        </is>
      </c>
      <c r="AC46" s="6" t="n">
        <v>82.5</v>
      </c>
      <c r="AD46" s="2" t="inlineStr">
        <is>
          <t>Fin: committed; DD required: not stated; DD open: yes; Excl: not stated</t>
        </is>
      </c>
      <c r="AE46" s="5" t="n"/>
      <c r="AF46" s="2" t="n"/>
      <c r="AG46" s="2" t="n"/>
      <c r="AH46" s="2" t="n"/>
      <c r="AI46" s="2" t="n"/>
      <c r="AJ46" s="2" t="n"/>
      <c r="AK46" s="2" t="n">
        <v>26</v>
      </c>
      <c r="AL46" s="2" t="inlineStr">
        <is>
          <t>R037; R046</t>
        </is>
      </c>
      <c r="AM46" s="2" t="inlineStr">
        <is>
          <t>PetSmart</t>
        </is>
      </c>
    </row>
    <row r="47">
      <c r="A47" s="2" t="n">
        <v>46</v>
      </c>
      <c r="B47" s="2" t="inlineStr">
        <is>
          <t>12/12/2014 (evening)</t>
        </is>
      </c>
      <c r="C47" s="2" t="inlineStr">
        <is>
          <t>Buyer Group (BC Partners-led consortium)</t>
        </is>
      </c>
      <c r="D47" s="2" t="inlineStr">
        <is>
          <t>Bid</t>
        </is>
      </c>
      <c r="E47" s="2" t="n">
        <v>1</v>
      </c>
      <c r="F47" s="2" t="n">
        <v>2</v>
      </c>
      <c r="G47" s="2" t="inlineStr">
        <is>
          <t>Financial</t>
        </is>
      </c>
      <c r="H47" s="2" t="inlineStr">
        <is>
          <t>Best and final offer: $83.00 per share in cash; revised merger agreement and other transaction documents and financing commitment documents submitted, in substantially executable form with few exceptions. Count 0. Related: R045 (same-evening improvement); agreed consideration on signing (R048).</t>
        </is>
      </c>
      <c r="I47" s="2" t="inlineStr">
        <is>
          <t>Formal</t>
        </is>
      </c>
      <c r="J47" s="2" t="inlineStr">
        <is>
          <t>Light</t>
        </is>
      </c>
      <c r="K47" s="2" t="inlineStr">
        <is>
          <t>Stated price; Formal (signal 1). Conditions Light. The board later noted $83.00 appeared to be the highest price the Buyer Group could offer, and that Longview’s participation (approximately $250 million of stock) was helpful in achieving it.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 (p.26). “Longview’s willingness to participate in the Buyer Group with respect to $250 million of the common stock was helpful in achieving an $83.00 per share price.” (p.27).</t>
        </is>
      </c>
      <c r="L47" s="3" t="inlineStr">
        <is>
          <t>P-029; X-008c</t>
        </is>
      </c>
      <c r="M47" s="2" t="inlineStr">
        <is>
          <t>Q6</t>
        </is>
      </c>
      <c r="N47" s="2" t="n"/>
      <c r="O47" s="2" t="inlineStr">
        <is>
          <t>R046</t>
        </is>
      </c>
      <c r="P47" s="2" t="inlineStr">
        <is>
          <t>Yes</t>
        </is>
      </c>
      <c r="Q47" s="4" t="n">
        <v>0</v>
      </c>
      <c r="R47" s="5" t="n">
        <v>41985</v>
      </c>
      <c r="S47" s="5" t="n">
        <v>41985</v>
      </c>
      <c r="T47" s="5" t="n">
        <v>41985</v>
      </c>
      <c r="U47" s="2" t="inlineStr">
        <is>
          <t>Reported day</t>
        </is>
      </c>
      <c r="V47" s="2" t="inlineStr">
        <is>
          <t>Reported</t>
        </is>
      </c>
      <c r="W47" s="6" t="n">
        <v>83</v>
      </c>
      <c r="X47" s="6" t="n">
        <v>83</v>
      </c>
      <c r="Y47" s="2" t="inlineStr">
        <is>
          <t>Point</t>
        </is>
      </c>
      <c r="Z47" s="2" t="inlineStr">
        <is>
          <t>Stated</t>
        </is>
      </c>
      <c r="AA47" s="2" t="inlineStr">
        <is>
          <t>USD</t>
        </is>
      </c>
      <c r="AB47" s="2" t="inlineStr">
        <is>
          <t>Yes</t>
        </is>
      </c>
      <c r="AC47" s="6" t="n">
        <v>83</v>
      </c>
      <c r="AD47" s="2" t="inlineStr">
        <is>
          <t>Fin: committed; DD required: not stated; DD open: yes; Excl: not stated</t>
        </is>
      </c>
      <c r="AE47" s="5" t="n"/>
      <c r="AF47" s="2" t="n"/>
      <c r="AG47" s="2" t="n"/>
      <c r="AH47" s="2" t="n"/>
      <c r="AI47" s="2" t="n"/>
      <c r="AJ47" s="2" t="n"/>
      <c r="AK47" s="2" t="n">
        <v>26</v>
      </c>
      <c r="AL47" s="2" t="inlineStr">
        <is>
          <t>R037; R045; R048</t>
        </is>
      </c>
      <c r="AM47" s="2" t="inlineStr">
        <is>
          <t>PetSmart</t>
        </is>
      </c>
    </row>
    <row r="48">
      <c r="A48" s="2" t="n">
        <v>47</v>
      </c>
      <c r="B48" s="2" t="inlineStr">
        <is>
          <t>12/13/2014</t>
        </is>
      </c>
      <c r="C48" s="2" t="inlineStr">
        <is>
          <t>PetSmart board (with management, J.P. Morgan and Wachtell Lipton)</t>
        </is>
      </c>
      <c r="D48" s="2" t="inlineStr">
        <is>
          <t>Target decision</t>
        </is>
      </c>
      <c r="E48" s="2" t="n">
        <v>1</v>
      </c>
      <c r="F48" s="2" t="n">
        <v>2</v>
      </c>
      <c r="G48" s="2" t="n"/>
      <c r="H48" s="2" t="inlineStr">
        <is>
          <t>Board reviewed the final bids, the process and the financing commitments; J.P. Morgan rendered its oral fairness opinion ($83.00 fair from a financial point of view), subsequently confirmed in writing; the board unanimously determined the merger with the Buyer Group advisable and in the best interests of PetSmart and its stockholders and recommended adoption — subject to confirmation that remaining open points in the merger agreement were satisfactorily resolved, with reconvening if needed.</t>
        </is>
      </c>
      <c r="I48" s="2" t="n"/>
      <c r="J48" s="2" t="n"/>
      <c r="K48" s="2" t="inlineStr">
        <is>
          <t>Stated. Preferred-bidder/approval decision; qualifications preserved. “Following extensive discussion, the board unanimously determined that the merger agreement and the transactions contemplated thereby, including the merger, were advisable and in the best interests of PetSmart and its stockholders,” (p.26). “The board’s determination was subject, however, to confirmation that the remaining open points in the merger agreement had been satisfactorily resolved,” (p.26).</t>
        </is>
      </c>
      <c r="L48" s="3" t="inlineStr">
        <is>
          <t>P-030</t>
        </is>
      </c>
      <c r="M48" s="2" t="n"/>
      <c r="N48" s="2" t="n"/>
      <c r="O48" s="2" t="inlineStr">
        <is>
          <t>R047</t>
        </is>
      </c>
      <c r="P48" s="2" t="inlineStr">
        <is>
          <t>Yes</t>
        </is>
      </c>
      <c r="Q48" s="4" t="n"/>
      <c r="R48" s="5" t="n">
        <v>41986</v>
      </c>
      <c r="S48" s="5" t="n">
        <v>41986</v>
      </c>
      <c r="T48" s="5" t="n">
        <v>41986</v>
      </c>
      <c r="U48" s="2" t="inlineStr">
        <is>
          <t>Reported day</t>
        </is>
      </c>
      <c r="V48" s="2" t="inlineStr">
        <is>
          <t>Reported</t>
        </is>
      </c>
      <c r="W48" s="6" t="n"/>
      <c r="X48" s="6" t="n"/>
      <c r="Y48" s="2" t="n"/>
      <c r="Z48" s="2" t="n"/>
      <c r="AA48" s="2" t="n"/>
      <c r="AB48" s="2" t="n"/>
      <c r="AC48" s="6" t="n"/>
      <c r="AD48" s="2" t="n"/>
      <c r="AE48" s="5" t="n"/>
      <c r="AF48" s="2" t="n"/>
      <c r="AG48" s="2" t="n"/>
      <c r="AH48" s="2" t="n"/>
      <c r="AI48" s="2" t="n"/>
      <c r="AJ48" s="2" t="n"/>
      <c r="AK48" s="2" t="n">
        <v>26</v>
      </c>
      <c r="AL48" s="2" t="inlineStr">
        <is>
          <t>R046; R048</t>
        </is>
      </c>
      <c r="AM48" s="2" t="inlineStr">
        <is>
          <t>PetSmart</t>
        </is>
      </c>
    </row>
    <row r="49">
      <c r="A49" s="2" t="n">
        <v>48</v>
      </c>
      <c r="B49" s="2" t="inlineStr">
        <is>
          <t>12/14/2014</t>
        </is>
      </c>
      <c r="C49" s="2" t="inlineStr">
        <is>
          <t>PetSmart / Argos Holdings Inc. and Argos Merger Sub Inc. (Buyer Group)</t>
        </is>
      </c>
      <c r="D49" s="2" t="inlineStr">
        <is>
          <t>Merger agreement signed</t>
        </is>
      </c>
      <c r="E49" s="2" t="n">
        <v>1</v>
      </c>
      <c r="F49" s="2" t="n">
        <v>2</v>
      </c>
      <c r="G49" s="2" t="n"/>
      <c r="H49" s="2" t="inlineStr">
        <is>
          <t>Agreed consideration: $83.00 per share in cash. Executed the merger agreement with Parent (Argos Holdings Inc., affiliates of funds advised by BC Partners) and Merger Sub; also executed the Longview voting agreement (7,424,591 shares to vote in favor) and related transaction agreements, including the Parent–Longview rollover agreement (3,012,050 shares). Signing is not a bid; numeric price cells and formality/conditionality cells left blank.</t>
        </is>
      </c>
      <c r="I49" s="2" t="n"/>
      <c r="J49" s="2" t="n"/>
      <c r="K49" s="2" t="inlineStr">
        <is>
          <t>Stated. Agreed consideration recorded here, not as another bid. “On December 14, 2014, the parties executed the merger agreement, the voting agreement and related transaction agreements and issued a press release announcing the transaction.” (p.26). “Longview has agreed to contribute 3,012,050 shares (“rollover shares”) to Parent immediately prior to the effective time in exchange for equity interests in Parent.” (p.41).</t>
        </is>
      </c>
      <c r="L49" s="3" t="inlineStr">
        <is>
          <t>P-031; X-004; X-015</t>
        </is>
      </c>
      <c r="M49" s="2" t="n"/>
      <c r="N49" s="2" t="n"/>
      <c r="O49" s="2" t="inlineStr">
        <is>
          <t>R048</t>
        </is>
      </c>
      <c r="P49" s="2" t="inlineStr">
        <is>
          <t>Yes</t>
        </is>
      </c>
      <c r="Q49" s="4" t="n"/>
      <c r="R49" s="5" t="n">
        <v>41987</v>
      </c>
      <c r="S49" s="5" t="n">
        <v>41987</v>
      </c>
      <c r="T49" s="5" t="n">
        <v>41987</v>
      </c>
      <c r="U49" s="2" t="inlineStr">
        <is>
          <t>Reported day</t>
        </is>
      </c>
      <c r="V49" s="2" t="inlineStr">
        <is>
          <t>Reported</t>
        </is>
      </c>
      <c r="W49" s="6" t="n"/>
      <c r="X49" s="6" t="n"/>
      <c r="Y49" s="2" t="n"/>
      <c r="Z49" s="2" t="n"/>
      <c r="AA49" s="2" t="n"/>
      <c r="AB49" s="2" t="n"/>
      <c r="AC49" s="6" t="n"/>
      <c r="AD49" s="2" t="n"/>
      <c r="AE49" s="5" t="n"/>
      <c r="AF49" s="2" t="n"/>
      <c r="AG49" s="2" t="n"/>
      <c r="AH49" s="2" t="n"/>
      <c r="AI49" s="2" t="n"/>
      <c r="AJ49" s="2" t="n"/>
      <c r="AK49" s="2" t="n">
        <v>26</v>
      </c>
      <c r="AL49" s="2" t="inlineStr">
        <is>
          <t>R043; R046; R047; R049</t>
        </is>
      </c>
      <c r="AM49" s="2" t="inlineStr">
        <is>
          <t>PetSmart</t>
        </is>
      </c>
    </row>
    <row r="50">
      <c r="A50" s="2" t="n">
        <v>49</v>
      </c>
      <c r="B50" s="2" t="inlineStr">
        <is>
          <t>by 12/14/2014</t>
        </is>
      </c>
      <c r="C50" s="2" t="inlineStr">
        <is>
          <t>Bidder 2</t>
        </is>
      </c>
      <c r="D50" s="2" t="inlineStr">
        <is>
          <t>Not selected at signing</t>
        </is>
      </c>
      <c r="E50" s="2" t="n">
        <v>1</v>
      </c>
      <c r="F50" s="2" t="n">
        <v>2</v>
      </c>
      <c r="G50" s="2" t="inlineStr">
        <is>
          <t>Financial</t>
        </is>
      </c>
      <c r="H50" s="2" t="inlineStr">
        <is>
          <t>Bidder 2’s best and final $81.50 was below the winning $83.00; the board noted neither other bidding group was willing to make a definitive offer above $81.50. Decided by: Target. Exit reason: Lower offer than rivals. Count 1.</t>
        </is>
      </c>
      <c r="I50" s="2" t="n"/>
      <c r="J50" s="2" t="n"/>
      <c r="K50" s="2" t="inlineStr">
        <is>
          <t>Stated outcome (was still bidding when the target chose another). Timing assigned to the signing date (section 10.2). “neither of which was willing to make a definitive offer at a price above $81.50, which was lower than the $83.00 price offered by the Buyer Group.” (p.27). “Bidder 2 had informed the Company’s representatives that $81.50 per share was its best and final offer.” (p.27).</t>
        </is>
      </c>
      <c r="L50" s="3" t="inlineStr">
        <is>
          <t>X-008a; X-008b; P-031</t>
        </is>
      </c>
      <c r="M50" s="2" t="inlineStr">
        <is>
          <t>Q5</t>
        </is>
      </c>
      <c r="N50" s="2" t="n"/>
      <c r="O50" s="2" t="inlineStr">
        <is>
          <t>R049</t>
        </is>
      </c>
      <c r="P50" s="2" t="inlineStr">
        <is>
          <t>Yes</t>
        </is>
      </c>
      <c r="Q50" s="4" t="n">
        <v>1</v>
      </c>
      <c r="R50" s="5" t="n"/>
      <c r="S50" s="5" t="n">
        <v>41987</v>
      </c>
      <c r="T50" s="5" t="n">
        <v>41987</v>
      </c>
      <c r="U50" s="2" t="inlineStr">
        <is>
          <t>Relative only</t>
        </is>
      </c>
      <c r="V50" s="2" t="inlineStr">
        <is>
          <t>Assigned: bound</t>
        </is>
      </c>
      <c r="W50" s="6" t="n"/>
      <c r="X50" s="6" t="n"/>
      <c r="Y50" s="2" t="n"/>
      <c r="Z50" s="2" t="n"/>
      <c r="AA50" s="2" t="n"/>
      <c r="AB50" s="2" t="n"/>
      <c r="AC50" s="6" t="n"/>
      <c r="AD50" s="2" t="n"/>
      <c r="AE50" s="5" t="n"/>
      <c r="AF50" s="2" t="n"/>
      <c r="AG50" s="2" t="n"/>
      <c r="AH50" s="2" t="inlineStr">
        <is>
          <t>Target</t>
        </is>
      </c>
      <c r="AI50" s="2" t="inlineStr">
        <is>
          <t>Lower offer than rivals</t>
        </is>
      </c>
      <c r="AJ50" s="2" t="inlineStr">
        <is>
          <t>Stated</t>
        </is>
      </c>
      <c r="AK50" s="2" t="n">
        <v>27</v>
      </c>
      <c r="AL50" s="2" t="inlineStr">
        <is>
          <t>R044; R048</t>
        </is>
      </c>
      <c r="AM50" s="2" t="inlineStr">
        <is>
          <t>PetSmart</t>
        </is>
      </c>
    </row>
    <row r="51">
      <c r="A51" s="2" t="n">
        <v>50</v>
      </c>
      <c r="B51" s="2" t="inlineStr">
        <is>
          <t>12/14/2014</t>
        </is>
      </c>
      <c r="C51" s="2" t="inlineStr">
        <is>
          <t>PetSmart, Inc. (issuer)</t>
        </is>
      </c>
      <c r="D51" s="2" t="inlineStr">
        <is>
          <t>Merger announced</t>
        </is>
      </c>
      <c r="E51" s="2" t="n">
        <v>1</v>
      </c>
      <c r="F51" s="2" t="n">
        <v>2</v>
      </c>
      <c r="G51" s="2" t="n"/>
      <c r="H51" s="2" t="inlineStr">
        <is>
          <t>Press release announcing the transaction (same day as signing).</t>
        </is>
      </c>
      <c r="I51" s="2" t="n"/>
      <c r="J51" s="2" t="n"/>
      <c r="K51" s="2" t="inlineStr">
        <is>
          <t>Stated. “issued a press release announcing the transaction.” (p.26).</t>
        </is>
      </c>
      <c r="L51" s="3" t="inlineStr">
        <is>
          <t>P-031</t>
        </is>
      </c>
      <c r="M51" s="2" t="n"/>
      <c r="N51" s="2" t="n"/>
      <c r="O51" s="2" t="inlineStr">
        <is>
          <t>R050</t>
        </is>
      </c>
      <c r="P51" s="2" t="inlineStr">
        <is>
          <t>Yes</t>
        </is>
      </c>
      <c r="Q51" s="4" t="n"/>
      <c r="R51" s="5" t="n">
        <v>41987</v>
      </c>
      <c r="S51" s="5" t="n">
        <v>41987</v>
      </c>
      <c r="T51" s="5" t="n">
        <v>41987</v>
      </c>
      <c r="U51" s="2" t="inlineStr">
        <is>
          <t>Reported day</t>
        </is>
      </c>
      <c r="V51" s="2" t="inlineStr">
        <is>
          <t>Reported</t>
        </is>
      </c>
      <c r="W51" s="6" t="n"/>
      <c r="X51" s="6" t="n"/>
      <c r="Y51" s="2" t="n"/>
      <c r="Z51" s="2" t="n"/>
      <c r="AA51" s="2" t="n"/>
      <c r="AB51" s="2" t="n"/>
      <c r="AC51" s="6" t="n"/>
      <c r="AD51" s="2" t="n"/>
      <c r="AE51" s="5" t="n"/>
      <c r="AF51" s="2" t="n"/>
      <c r="AG51" s="2" t="n"/>
      <c r="AH51" s="2" t="n"/>
      <c r="AI51" s="2" t="n"/>
      <c r="AJ51" s="2" t="n"/>
      <c r="AK51" s="2" t="n">
        <v>26</v>
      </c>
      <c r="AL51" s="2" t="inlineStr">
        <is>
          <t>R048</t>
        </is>
      </c>
      <c r="AM51" s="2" t="inlineStr">
        <is>
          <t>PetSmart</t>
        </is>
      </c>
    </row>
    <row r="52">
      <c r="A52" s="2" t="n">
        <v>51</v>
      </c>
      <c r="B52" s="2" t="inlineStr">
        <is>
          <t>12/14/2014 (earliest supported service date)</t>
        </is>
      </c>
      <c r="C52" s="2" t="inlineStr">
        <is>
          <t>Simpson Thacher &amp; Bartlett LLP (adviser)</t>
        </is>
      </c>
      <c r="D52" s="2" t="inlineStr">
        <is>
          <t>Adviser service observed</t>
        </is>
      </c>
      <c r="E52" s="2" t="n">
        <v>1</v>
      </c>
      <c r="F52" s="2" t="n">
        <v>2</v>
      </c>
      <c r="G52" s="2" t="n"/>
      <c r="H52" s="2" t="inlineStr">
        <is>
          <t>Client: Parent / Merger Sub (Buyer Group). Role: legal counsel; earliest supported appearance is the executed merger agreement’s notice provisions; engagement date not disclosed.</t>
        </is>
      </c>
      <c r="I52" s="2" t="n"/>
      <c r="J52" s="2" t="n"/>
      <c r="K52" s="2" t="inlineStr">
        <is>
          <t>Stated (service observed). No earlier date is disclosed; first mention cannot be treated as the engagement date. “Simpson Thacher and Bartlett LLP 425 Lexington Avenue New York, NY 10017 Facsimile: (212) 455-2502 Email: rsymons@stblaw.com Attention: Ryerson Symons” (p.A-46).</t>
        </is>
      </c>
      <c r="L52" s="3" t="inlineStr">
        <is>
          <t>X-028</t>
        </is>
      </c>
      <c r="M52" s="2" t="inlineStr">
        <is>
          <t>Q5</t>
        </is>
      </c>
      <c r="N52" s="2" t="n"/>
      <c r="O52" s="2" t="inlineStr">
        <is>
          <t>R051</t>
        </is>
      </c>
      <c r="P52" s="2" t="inlineStr">
        <is>
          <t>Yes</t>
        </is>
      </c>
      <c r="Q52" s="4" t="n"/>
      <c r="R52" s="5" t="n">
        <v>41987</v>
      </c>
      <c r="S52" s="5" t="n">
        <v>41987</v>
      </c>
      <c r="T52" s="5" t="n">
        <v>41987</v>
      </c>
      <c r="U52" s="2" t="inlineStr">
        <is>
          <t>Reported day</t>
        </is>
      </c>
      <c r="V52" s="2" t="inlineStr">
        <is>
          <t>Reported</t>
        </is>
      </c>
      <c r="W52" s="6" t="n"/>
      <c r="X52" s="6" t="n"/>
      <c r="Y52" s="2" t="n"/>
      <c r="Z52" s="2" t="n"/>
      <c r="AA52" s="2" t="n"/>
      <c r="AB52" s="2" t="n"/>
      <c r="AC52" s="6" t="n"/>
      <c r="AD52" s="2" t="n"/>
      <c r="AE52" s="5" t="n"/>
      <c r="AF52" s="2" t="n"/>
      <c r="AG52" s="2" t="n"/>
      <c r="AH52" s="2" t="n"/>
      <c r="AI52" s="2" t="n"/>
      <c r="AJ52" s="2" t="n"/>
      <c r="AK52" s="2" t="inlineStr">
        <is>
          <t>A-46</t>
        </is>
      </c>
      <c r="AL52" s="2" t="inlineStr"/>
      <c r="AM52" s="2" t="inlineStr">
        <is>
          <t>PetSmart</t>
        </is>
      </c>
    </row>
  </sheetData>
  <autoFilter ref="A1:AM52"/>
  <conditionalFormatting sqref="B2:B82">
    <cfRule type="expression" priority="1" dxfId="0" stopIfTrue="0">
      <formula>AND($O2&lt;&gt;"",SUMPRODUCT(('AI original'!$O$2:$O$52=$O2)*(EXACT('AI original'!B$2:B$52&amp;"",B2&amp;"")))=0)</formula>
    </cfRule>
  </conditionalFormatting>
  <conditionalFormatting sqref="C2:C82">
    <cfRule type="expression" priority="2" dxfId="0" stopIfTrue="0">
      <formula>AND($O2&lt;&gt;"",SUMPRODUCT(('AI original'!$O$2:$O$52=$O2)*(EXACT('AI original'!C$2:C$52&amp;"",C2&amp;"")))=0)</formula>
    </cfRule>
  </conditionalFormatting>
  <conditionalFormatting sqref="D2:D82">
    <cfRule type="expression" priority="3" dxfId="0" stopIfTrue="0">
      <formula>AND($O2&lt;&gt;"",SUMPRODUCT(('AI original'!$O$2:$O$52=$O2)*(EXACT('AI original'!D$2:D$52&amp;"",D2&amp;"")))=0)</formula>
    </cfRule>
  </conditionalFormatting>
  <conditionalFormatting sqref="E2:E82">
    <cfRule type="expression" priority="4" dxfId="0" stopIfTrue="0">
      <formula>AND($O2&lt;&gt;"",SUMPRODUCT(('AI original'!$O$2:$O$52=$O2)*(EXACT('AI original'!E$2:E$52&amp;"",E2&amp;"")))=0)</formula>
    </cfRule>
  </conditionalFormatting>
  <conditionalFormatting sqref="F2:F82">
    <cfRule type="expression" priority="5" dxfId="0" stopIfTrue="0">
      <formula>AND($O2&lt;&gt;"",SUMPRODUCT(('AI original'!$O$2:$O$52=$O2)*(EXACT('AI original'!F$2:F$52&amp;"",F2&amp;"")))=0)</formula>
    </cfRule>
  </conditionalFormatting>
  <conditionalFormatting sqref="G2:G82">
    <cfRule type="expression" priority="6" dxfId="0" stopIfTrue="0">
      <formula>AND($O2&lt;&gt;"",SUMPRODUCT(('AI original'!$O$2:$O$52=$O2)*(EXACT('AI original'!G$2:G$52&amp;"",G2&amp;"")))=0)</formula>
    </cfRule>
  </conditionalFormatting>
  <conditionalFormatting sqref="H2:H82">
    <cfRule type="expression" priority="7" dxfId="0" stopIfTrue="0">
      <formula>AND($O2&lt;&gt;"",SUMPRODUCT(('AI original'!$O$2:$O$52=$O2)*(EXACT('AI original'!H$2:H$52&amp;"",H2&amp;"")))=0)</formula>
    </cfRule>
  </conditionalFormatting>
  <conditionalFormatting sqref="I2:I82">
    <cfRule type="expression" priority="8" dxfId="0" stopIfTrue="0">
      <formula>AND($O2&lt;&gt;"",SUMPRODUCT(('AI original'!$O$2:$O$52=$O2)*(EXACT('AI original'!I$2:I$52&amp;"",I2&amp;"")))=0)</formula>
    </cfRule>
  </conditionalFormatting>
  <conditionalFormatting sqref="J2:J82">
    <cfRule type="expression" priority="9" dxfId="0" stopIfTrue="0">
      <formula>AND($O2&lt;&gt;"",SUMPRODUCT(('AI original'!$O$2:$O$52=$O2)*(EXACT('AI original'!J$2:J$52&amp;"",J2&amp;"")))=0)</formula>
    </cfRule>
  </conditionalFormatting>
  <conditionalFormatting sqref="K2:K82">
    <cfRule type="expression" priority="10" dxfId="0" stopIfTrue="0">
      <formula>AND($O2&lt;&gt;"",SUMPRODUCT(('AI original'!$O$2:$O$52=$O2)*(EXACT('AI original'!K$2:K$52&amp;"",K2&amp;"")))=0)</formula>
    </cfRule>
  </conditionalFormatting>
  <conditionalFormatting sqref="L2:L82">
    <cfRule type="expression" priority="11" dxfId="0" stopIfTrue="0">
      <formula>AND($O2&lt;&gt;"",SUMPRODUCT(('AI original'!$O$2:$O$52=$O2)*(EXACT('AI original'!L$2:L$52&amp;"",L2&amp;"")))=0)</formula>
    </cfRule>
  </conditionalFormatting>
  <conditionalFormatting sqref="M2:M82">
    <cfRule type="expression" priority="12" dxfId="0" stopIfTrue="0">
      <formula>AND($O2&lt;&gt;"",SUMPRODUCT(('AI original'!$O$2:$O$52=$O2)*(EXACT('AI original'!M$2:M$52&amp;"",M2&amp;"")))=0)</formula>
    </cfRule>
  </conditionalFormatting>
  <conditionalFormatting sqref="N2:N82">
    <cfRule type="expression" priority="13" dxfId="0" stopIfTrue="0">
      <formula>AND($O2&lt;&gt;"",SUMPRODUCT(('AI original'!$O$2:$O$52=$O2)*(EXACT('AI original'!N$2:N$52&amp;"",N2&amp;"")))=0)</formula>
    </cfRule>
  </conditionalFormatting>
  <conditionalFormatting sqref="O2:O82">
    <cfRule type="expression" priority="14" dxfId="0" stopIfTrue="0">
      <formula>AND($O2&lt;&gt;"",SUMPRODUCT(('AI original'!$O$2:$O$52=$O2)*(EXACT('AI original'!O$2:O$52&amp;"",O2&amp;"")))=0)</formula>
    </cfRule>
  </conditionalFormatting>
  <conditionalFormatting sqref="Q2:Q82">
    <cfRule type="expression" priority="15" dxfId="0" stopIfTrue="0">
      <formula>AND($O2&lt;&gt;"",SUMPRODUCT(('AI original'!$O$2:$O$52=$O2)*(EXACT('AI original'!Q$2:Q$52&amp;"",Q2&amp;"")))=0)</formula>
    </cfRule>
  </conditionalFormatting>
  <conditionalFormatting sqref="R2:R82">
    <cfRule type="expression" priority="16" dxfId="0" stopIfTrue="0">
      <formula>AND($O2&lt;&gt;"",SUMPRODUCT(('AI original'!$O$2:$O$52=$O2)*(EXACT('AI original'!R$2:R$52&amp;"",R2&amp;"")))=0)</formula>
    </cfRule>
  </conditionalFormatting>
  <conditionalFormatting sqref="S2:S82">
    <cfRule type="expression" priority="17" dxfId="0" stopIfTrue="0">
      <formula>AND($O2&lt;&gt;"",SUMPRODUCT(('AI original'!$O$2:$O$52=$O2)*(EXACT('AI original'!S$2:S$52&amp;"",S2&amp;"")))=0)</formula>
    </cfRule>
  </conditionalFormatting>
  <conditionalFormatting sqref="T2:T82">
    <cfRule type="expression" priority="18" dxfId="0" stopIfTrue="0">
      <formula>AND($O2&lt;&gt;"",SUMPRODUCT(('AI original'!$O$2:$O$52=$O2)*(EXACT('AI original'!T$2:T$52&amp;"",T2&amp;"")))=0)</formula>
    </cfRule>
  </conditionalFormatting>
  <conditionalFormatting sqref="U2:U82">
    <cfRule type="expression" priority="19" dxfId="0" stopIfTrue="0">
      <formula>AND($O2&lt;&gt;"",SUMPRODUCT(('AI original'!$O$2:$O$52=$O2)*(EXACT('AI original'!U$2:U$52&amp;"",U2&amp;"")))=0)</formula>
    </cfRule>
  </conditionalFormatting>
  <conditionalFormatting sqref="V2:V82">
    <cfRule type="expression" priority="20" dxfId="0" stopIfTrue="0">
      <formula>AND($O2&lt;&gt;"",SUMPRODUCT(('AI original'!$O$2:$O$52=$O2)*(EXACT('AI original'!V$2:V$52&amp;"",V2&amp;"")))=0)</formula>
    </cfRule>
  </conditionalFormatting>
  <conditionalFormatting sqref="W2:W82">
    <cfRule type="expression" priority="21" dxfId="0" stopIfTrue="0">
      <formula>AND($O2&lt;&gt;"",SUMPRODUCT(('AI original'!$O$2:$O$52=$O2)*(EXACT('AI original'!W$2:W$52&amp;"",W2&amp;"")))=0)</formula>
    </cfRule>
  </conditionalFormatting>
  <conditionalFormatting sqref="X2:X82">
    <cfRule type="expression" priority="22" dxfId="0" stopIfTrue="0">
      <formula>AND($O2&lt;&gt;"",SUMPRODUCT(('AI original'!$O$2:$O$52=$O2)*(EXACT('AI original'!X$2:X$52&amp;"",X2&amp;"")))=0)</formula>
    </cfRule>
  </conditionalFormatting>
  <conditionalFormatting sqref="Y2:Y82">
    <cfRule type="expression" priority="23" dxfId="0" stopIfTrue="0">
      <formula>AND($O2&lt;&gt;"",SUMPRODUCT(('AI original'!$O$2:$O$52=$O2)*(EXACT('AI original'!Y$2:Y$52&amp;"",Y2&amp;"")))=0)</formula>
    </cfRule>
  </conditionalFormatting>
  <conditionalFormatting sqref="Z2:Z82">
    <cfRule type="expression" priority="24" dxfId="0" stopIfTrue="0">
      <formula>AND($O2&lt;&gt;"",SUMPRODUCT(('AI original'!$O$2:$O$52=$O2)*(EXACT('AI original'!Z$2:Z$52&amp;"",Z2&amp;"")))=0)</formula>
    </cfRule>
  </conditionalFormatting>
  <conditionalFormatting sqref="AA2:AA82">
    <cfRule type="expression" priority="25" dxfId="0" stopIfTrue="0">
      <formula>AND($O2&lt;&gt;"",SUMPRODUCT(('AI original'!$O$2:$O$52=$O2)*(EXACT('AI original'!AA$2:AA$52&amp;"",AA2&amp;"")))=0)</formula>
    </cfRule>
  </conditionalFormatting>
  <conditionalFormatting sqref="AB2:AB82">
    <cfRule type="expression" priority="26" dxfId="0" stopIfTrue="0">
      <formula>AND($O2&lt;&gt;"",SUMPRODUCT(('AI original'!$O$2:$O$52=$O2)*(EXACT('AI original'!AB$2:AB$52&amp;"",AB2&amp;"")))=0)</formula>
    </cfRule>
  </conditionalFormatting>
  <conditionalFormatting sqref="AC2:AC82">
    <cfRule type="expression" priority="27" dxfId="0" stopIfTrue="0">
      <formula>AND($O2&lt;&gt;"",SUMPRODUCT(('AI original'!$O$2:$O$52=$O2)*(EXACT('AI original'!AC$2:AC$52&amp;"",AC2&amp;"")))=0)</formula>
    </cfRule>
  </conditionalFormatting>
  <conditionalFormatting sqref="AD2:AD82">
    <cfRule type="expression" priority="28" dxfId="0" stopIfTrue="0">
      <formula>AND($O2&lt;&gt;"",SUMPRODUCT(('AI original'!$O$2:$O$52=$O2)*(EXACT('AI original'!AD$2:AD$52&amp;"",AD2&amp;"")))=0)</formula>
    </cfRule>
  </conditionalFormatting>
  <conditionalFormatting sqref="AE2:AE82">
    <cfRule type="expression" priority="29" dxfId="0" stopIfTrue="0">
      <formula>AND($O2&lt;&gt;"",SUMPRODUCT(('AI original'!$O$2:$O$52=$O2)*(EXACT('AI original'!AE$2:AE$52&amp;"",AE2&amp;"")))=0)</formula>
    </cfRule>
  </conditionalFormatting>
  <conditionalFormatting sqref="AF2:AF82">
    <cfRule type="expression" priority="30" dxfId="0" stopIfTrue="0">
      <formula>AND($O2&lt;&gt;"",SUMPRODUCT(('AI original'!$O$2:$O$52=$O2)*(EXACT('AI original'!AF$2:AF$52&amp;"",AF2&amp;"")))=0)</formula>
    </cfRule>
  </conditionalFormatting>
  <conditionalFormatting sqref="AG2:AG82">
    <cfRule type="expression" priority="31" dxfId="0" stopIfTrue="0">
      <formula>AND($O2&lt;&gt;"",SUMPRODUCT(('AI original'!$O$2:$O$52=$O2)*(EXACT('AI original'!AG$2:AG$52&amp;"",AG2&amp;"")))=0)</formula>
    </cfRule>
  </conditionalFormatting>
  <conditionalFormatting sqref="AH2:AH82">
    <cfRule type="expression" priority="32" dxfId="0" stopIfTrue="0">
      <formula>AND($O2&lt;&gt;"",SUMPRODUCT(('AI original'!$O$2:$O$52=$O2)*(EXACT('AI original'!AH$2:AH$52&amp;"",AH2&amp;"")))=0)</formula>
    </cfRule>
  </conditionalFormatting>
  <conditionalFormatting sqref="AI2:AI82">
    <cfRule type="expression" priority="33" dxfId="0" stopIfTrue="0">
      <formula>AND($O2&lt;&gt;"",SUMPRODUCT(('AI original'!$O$2:$O$52=$O2)*(EXACT('AI original'!AI$2:AI$52&amp;"",AI2&amp;"")))=0)</formula>
    </cfRule>
  </conditionalFormatting>
  <conditionalFormatting sqref="AJ2:AJ82">
    <cfRule type="expression" priority="34" dxfId="0" stopIfTrue="0">
      <formula>AND($O2&lt;&gt;"",SUMPRODUCT(('AI original'!$O$2:$O$52=$O2)*(EXACT('AI original'!AJ$2:AJ$52&amp;"",AJ2&amp;"")))=0)</formula>
    </cfRule>
  </conditionalFormatting>
  <conditionalFormatting sqref="AK2:AK82">
    <cfRule type="expression" priority="35" dxfId="0" stopIfTrue="0">
      <formula>AND($O2&lt;&gt;"",SUMPRODUCT(('AI original'!$O$2:$O$52=$O2)*(EXACT('AI original'!AK$2:AK$52&amp;"",AK2&amp;"")))=0)</formula>
    </cfRule>
  </conditionalFormatting>
  <conditionalFormatting sqref="AL2:AL82">
    <cfRule type="expression" priority="36" dxfId="0" stopIfTrue="0">
      <formula>AND($O2&lt;&gt;"",SUMPRODUCT(('AI original'!$O$2:$O$52=$O2)*(EXACT('AI original'!AL$2:AL$52&amp;"",AL2&amp;"")))=0)</formula>
    </cfRule>
  </conditionalFormatting>
  <conditionalFormatting sqref="AM2:AM82">
    <cfRule type="expression" priority="37" dxfId="0" stopIfTrue="0">
      <formula>AND($O2&lt;&gt;"",SUMPRODUCT(('AI original'!$O$2:$O$52=$O2)*(EXACT('AI original'!AM$2:AM$52&amp;"",AM2&amp;"")))=0)</formula>
    </cfRule>
  </conditionalFormatting>
  <dataValidations count="15">
    <dataValidation sqref="D2:D82" showDropDown="0" showInputMessage="0" showErrorMessage="0" allowBlank="1" error="Use a value from the Lists sheet." promptTitle="What happened" type="list">
      <formula1>'Lists'!$A$2:$A$41</formula1>
    </dataValidation>
    <dataValidation sqref="G2:G82" showDropDown="0" showInputMessage="0" showErrorMessage="0" allowBlank="1" error="Use a value from the Lists sheet." promptTitle="Type" type="list">
      <formula1>'Lists'!$B$2:$B$5</formula1>
    </dataValidation>
    <dataValidation sqref="I2:I82" showDropDown="0" showInputMessage="0" showErrorMessage="0" allowBlank="1" error="Use a value from the Lists sheet." promptTitle="Formality" type="list">
      <formula1>'Lists'!$C$2:$C$5</formula1>
    </dataValidation>
    <dataValidation sqref="J2:J82" showDropDown="0" showInputMessage="0" showErrorMessage="0" allowBlank="1" error="Use a value from the Lists sheet." promptTitle="Conditions level" type="list">
      <formula1>'Lists'!$D$2:$D$6</formula1>
    </dataValidation>
    <dataValidation sqref="P2:P82" showDropDown="0" showInputMessage="0" showErrorMessage="0" allowBlank="1" error="Use a value from the Lists sheet." promptTitle="Include" type="list">
      <formula1>'Lists'!$E$2:$E$3</formula1>
    </dataValidation>
    <dataValidation sqref="U2:U82" showDropDown="0" showInputMessage="0" showErrorMessage="0" allowBlank="1" error="Use a value from the Lists sheet." promptTitle="Date basis" type="list">
      <formula1>'Lists'!$F$2:$F$7</formula1>
    </dataValidation>
    <dataValidation sqref="V2:V82" showDropDown="0" showInputMessage="0" showErrorMessage="0" allowBlank="1" error="Use a value from the Lists sheet." promptTitle="Date method" type="list">
      <formula1>'Lists'!$G$2:$G$8</formula1>
    </dataValidation>
    <dataValidation sqref="Y2:Y82" showDropDown="0" showInputMessage="0" showErrorMessage="0" allowBlank="1" error="Use a value from the Lists sheet." promptTitle="Price kind" type="list">
      <formula1>'Lists'!$H$2:$H$6</formula1>
    </dataValidation>
    <dataValidation sqref="Z2:Z82" showDropDown="0" showInputMessage="0" showErrorMessage="0" allowBlank="1" error="Use a value from the Lists sheet." promptTitle="Price origin" type="list">
      <formula1>'Lists'!$I$2:$I$4</formula1>
    </dataValidation>
    <dataValidation sqref="AB2:AB82" showDropDown="0" showInputMessage="0" showErrorMessage="0" allowBlank="1" error="Use a value from the Lists sheet." promptTitle="All cash" type="list">
      <formula1>'Lists'!$J$2:$J$4</formula1>
    </dataValidation>
    <dataValidation sqref="AF2:AF82" showDropDown="0" showInputMessage="0" showErrorMessage="0" allowBlank="1" error="Use a value from the Lists sheet." promptTitle="Deadline treatment" type="list">
      <formula1>'Lists'!$K$2:$K$8</formula1>
    </dataValidation>
    <dataValidation sqref="AG2:AG82" showDropDown="0" showInputMessage="0" showErrorMessage="0" allowBlank="1" error="Use a value from the Lists sheet." promptTitle="Round finality" type="list">
      <formula1>'Lists'!$L$2:$L$4</formula1>
    </dataValidation>
    <dataValidation sqref="AH2:AH82" showDropDown="0" showInputMessage="0" showErrorMessage="0" allowBlank="1" error="Use a value from the Lists sheet." promptTitle="Decided by" type="list">
      <formula1>'Lists'!$M$2:$M$5</formula1>
    </dataValidation>
    <dataValidation sqref="AI2:AI82" showDropDown="0" showInputMessage="0" showErrorMessage="0" allowBlank="1" error="Use a value from the Lists sheet." promptTitle="Exit reason" type="list">
      <formula1>'Lists'!$N$2:$N$10</formula1>
    </dataValidation>
    <dataValidation sqref="AJ2:AJ82" showDropDown="0" showInputMessage="0" showErrorMessage="0" allowBlank="1" error="Use a value from the Lists sheet." promptTitle="Outcome basis" type="list">
      <formula1>'Lists'!$O$2:$O$6</formula1>
    </dataValidation>
  </dataValidations>
  <hyperlinks>
    <hyperlink ref="L2" location="'Source text'!A6"/>
    <hyperlink ref="L3" location="'Source text'!A6"/>
    <hyperlink ref="L4" location="'Source text'!A7"/>
    <hyperlink ref="L5" location="'Source text'!A8"/>
    <hyperlink ref="L6" location="'Source text'!A8"/>
    <hyperlink ref="L7" location="'Source text'!A8"/>
    <hyperlink ref="L8" location="'Source text'!A8"/>
    <hyperlink ref="L9" location="'Source text'!A9"/>
    <hyperlink ref="L10" location="'Source text'!A10"/>
    <hyperlink ref="L11" location="'Source text'!A10"/>
    <hyperlink ref="L12" location="'Source text'!A13"/>
    <hyperlink ref="L13" location="'Source text'!A13"/>
    <hyperlink ref="L14" location="'Source text'!A11"/>
    <hyperlink ref="L15" location="'Source text'!A12"/>
    <hyperlink ref="L16" location="'Source text'!A12"/>
    <hyperlink ref="L17" location="'Source text'!A15"/>
    <hyperlink ref="L18" location="'Source text'!A15"/>
    <hyperlink ref="L19" location="'Source text'!A14"/>
    <hyperlink ref="L20" location="'Source text'!A16"/>
    <hyperlink ref="L21" location="'Source text'!A18"/>
    <hyperlink ref="L22" location="'Source text'!A15"/>
    <hyperlink ref="L23" location="'Source text'!A18"/>
    <hyperlink ref="L24" location="'Source text'!A18"/>
    <hyperlink ref="L25" location="'Source text'!A18"/>
    <hyperlink ref="L26" location="'Source text'!A18"/>
    <hyperlink ref="L27" location="'Source text'!A18"/>
    <hyperlink ref="L28" location="'Source text'!A18"/>
    <hyperlink ref="L29" location="'Source text'!A19"/>
    <hyperlink ref="L30" location="'Source text'!A18"/>
    <hyperlink ref="L31" location="'Source text'!A20"/>
    <hyperlink ref="L32" location="'Source text'!A20"/>
    <hyperlink ref="L33" location="'Source text'!A20"/>
    <hyperlink ref="L34" location="'Source text'!A21"/>
    <hyperlink ref="L35" location="'Source text'!A22"/>
    <hyperlink ref="L36" location="'Source text'!A26"/>
    <hyperlink ref="L37" location="'Source text'!A27"/>
    <hyperlink ref="L38" location="'Source text'!A27"/>
    <hyperlink ref="L39" location="'Source text'!A27"/>
    <hyperlink ref="L40" location="'Source text'!A27"/>
    <hyperlink ref="L41" location="'Source text'!A27"/>
    <hyperlink ref="L42" location="'Source text'!A28"/>
    <hyperlink ref="L43" location="'Source text'!A31"/>
    <hyperlink ref="L44" location="'Source text'!A29"/>
    <hyperlink ref="L45" location="'Source text'!A31"/>
    <hyperlink ref="L46" location="'Source text'!A31"/>
    <hyperlink ref="L47" location="'Source text'!A31"/>
    <hyperlink ref="L48" location="'Source text'!A32"/>
    <hyperlink ref="L49" location="'Source text'!A33"/>
    <hyperlink ref="L50" location="'Source text'!A41"/>
    <hyperlink ref="L51" location="'Source text'!A33"/>
    <hyperlink ref="L52" location="'Source text'!A63"/>
  </hyperlink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D52"/>
  <sheetViews>
    <sheetView workbookViewId="0">
      <selection activeCell="A1" sqref="A1"/>
    </sheetView>
  </sheetViews>
  <sheetFormatPr baseColWidth="8" defaultRowHeight="15"/>
  <cols>
    <col width="40" customWidth="1" min="1" max="1"/>
    <col width="150" customWidth="1" min="2" max="2"/>
    <col width="30" customWidth="1" min="3" max="3"/>
    <col width="60" customWidth="1" min="4" max="4"/>
  </cols>
  <sheetData>
    <row r="1" ht="24" customHeight="1">
      <c r="A1" s="7" t="inlineStr">
        <is>
          <t>PetSmart, Inc. — sale process ledger</t>
        </is>
      </c>
      <c r="B1" s="8" t="inlineStr">
        <is>
          <t>Deal short name: PetSmart  |  Ledger rows: 51  |  Process 1  |  Rounds 0–2  |  Delivered: 09/19/2026</t>
        </is>
      </c>
    </row>
    <row r="2" ht="90" customHeight="1">
      <c r="A2" s="9" t="inlineStr">
        <is>
          <t>Status</t>
        </is>
      </c>
      <c r="B2" s="8" t="inlineStr">
        <is>
          <t>AI first pass; not human-approved. Instruction revision: 19 September 2026 (Pro). Source coverage: the complete supplied filing — PetSmart, Inc. Definitive Proxy Statement on Schedule 14A (DEFM14A), filed 02/02/2015 (raw_filing/petsmart_2015-02-02_DEFM14A.htm; ~163 pages including Annexes A–C). The ledger is built from the complete Background of the Merger (pp. 21–26) plus passages cited from the Summary, Q&amp;A, Reasons, Financing, Regulatory, Litigation, Market Price and Security Ownership sections and the merger-agreement notices. Last recheck status: initial build only; no post-delivery recheck yet. Correction tracking: the hidden "AI original" sheet holds a values-only baseline of the Deal ledger; changed cells are highlighted red bold by Row id + column (programmatically simulated, not tested in Excel).</t>
        </is>
      </c>
    </row>
    <row r="3">
      <c r="A3" s="10" t="inlineStr">
        <is>
          <t>1. Commercial account</t>
        </is>
      </c>
      <c r="B3" s="8" t="inlineStr"/>
    </row>
    <row r="4" ht="75" customHeight="1">
      <c r="A4" s="9" t="inlineStr">
        <is>
          <t>Story</t>
        </is>
      </c>
      <c r="B4" s="8" t="inlineStr">
        <is>
          <t>After a weak 05/21/2014 earnings release and public pressure from JANA Partners (9.9% Schedule 13D on 07/03/2014) and Longview (07/07/2014 letter advocating a sale), the PetSmart board decided on 08/13/2014 to explore strategic alternatives including a possible sale, publicly announced the exploration on 08/19/2014, and excluded antitrust-risky Industry Participant from the process. J.P. Morgan was contacted by 27 potential participants (3 strategic, 24 financial); 15 financial buyers signed confidentiality and standstill agreements in the first week of October 2014 and received uniform diligence access, management presentations and Profit Improvement Plan information.</t>
        </is>
      </c>
    </row>
    <row r="5" ht="45" customHeight="1">
      <c r="A5" s="9" t="inlineStr"/>
      <c r="B5" s="8" t="inlineStr">
        <is>
          <t>Six parties submitted non-binding indications of interest on 10/30/2014 (Buyer Group $81.00–$83.00; another bidder $80.00–$85.00; Bidder 2 $78.00 increased to $81.00–$84.00; an unnamed bidder whose range reached at least $80.00; and two submitters below $80.00). The board advanced the four at or above $80.00 to the final round on 11/03/2014; two of them combined as "Bidder 3" (units 4 → 3: Buyer Group, Bidder 2, Bidder 3).</t>
        </is>
      </c>
    </row>
    <row r="6" ht="45" customHeight="1">
      <c r="A6" s="9" t="inlineStr"/>
      <c r="B6" s="8" t="inlineStr">
        <is>
          <t>Final bids on 12/10/2014 were $80.70 (Buyer Group) and $80.35 (Bidder 2), with Bidder 3 giving only an uncompetitive verbal indication (not above approximately $78.00). The ad hoc committee extended bidding to 12/12/2014, when Bidder 2 confirmed $81.50 as best and final and the Buyer Group moved $82.50 → $83.00 best and final with committed financing and substantially executable documentation.</t>
        </is>
      </c>
    </row>
    <row r="7" ht="60" customHeight="1">
      <c r="A7" s="9" t="inlineStr"/>
      <c r="B7" s="8" t="inlineStr">
        <is>
          <t>The board approved the Buyer Group merger on 12/13/2014 and the parties signed on 12/14/2014 at $83.00 per share in cash — a 38.8% premium to the 07/02/2014 unaffected price and 6.9% above the 12/12/2014 close of $77.67 — with Longview rolling over 3,012,050 shares (about $250m) and voting 7,424,591 shares in favour. Observed outcome: signed with the Buyer Group; no post-signing competing proposal as of 02/02/2015; closing not observed in the filing (expected first half of 2015).</t>
        </is>
      </c>
    </row>
    <row r="8" ht="45" customHeight="1">
      <c r="A8" s="9" t="inlineStr">
        <is>
          <t>Initiation assessment</t>
        </is>
      </c>
      <c r="B8" s="8" t="inlineStr">
        <is>
          <t>Mixed, with activist influence and substantial inbound interest: the board’s own alternatives review and Profit Improvement Plan planning (06/18/2014) preceded, but did not cause, a sale; the 08/13/2014 sale decision followed the JANA/Longview campaigns, and the process then ran largely on parties approaching J.P. Morgan after the 08/19/2014 publicity.</t>
        </is>
      </c>
    </row>
    <row r="9">
      <c r="A9" s="10" t="inlineStr">
        <is>
          <t>2. Deal facts</t>
        </is>
      </c>
      <c r="B9" s="8" t="inlineStr"/>
    </row>
    <row r="10" ht="15" customHeight="1">
      <c r="A10" s="9" t="inlineStr">
        <is>
          <t>Target</t>
        </is>
      </c>
      <c r="B10" s="8" t="inlineStr">
        <is>
          <t>PetSmart, Inc. (Delaware; NASDAQ: PETM; 1,404 stores; 202 in-store boarding facilities in the U.S., Canada and Puerto Rico). [P-001, P-002, X-007]</t>
        </is>
      </c>
    </row>
    <row r="11" ht="30" customHeight="1">
      <c r="A11" s="9" t="inlineStr">
        <is>
          <t>Focal acquirer</t>
        </is>
      </c>
      <c r="B11" s="8" t="inlineStr">
        <is>
          <t>Argos Holdings Inc. ("Parent") / Argos Merger Sub Inc., affiliates of funds advised by BC Partners, Inc.; Parent to be owned by the Buyer Group. Type: Financial (private-equity-led consortium; no strategic buyer advanced). [X-007, R048]</t>
        </is>
      </c>
    </row>
    <row r="12" ht="45" customHeight="1">
      <c r="A12" s="9" t="inlineStr">
        <is>
          <t>Buyer Group</t>
        </is>
      </c>
      <c r="B12" s="8" t="inlineStr">
        <is>
          <t>Funds advised by BC Partners, Inc.; La Caisse de dépôt et placement du Québec; affiliates of GIC Special Investments Pte Ltd; affiliates of StepStone Group LP; and Longview Asset Management, LLC at all times after 12/12/2014. (Names indicating non-US entities: La Caisse de dépôt et placement du Québec and GIC Special Investments Pte Ltd.) [X-001, X-007]</t>
        </is>
      </c>
    </row>
    <row r="13" ht="15" customHeight="1">
      <c r="A13" s="9" t="inlineStr">
        <is>
          <t>Agreed consideration</t>
        </is>
      </c>
      <c r="B13" s="8" t="inlineStr">
        <is>
          <t>$83.00 per share in cash; all cash; transaction not subject to a financing condition. [X-002, X-005, R046, R048]</t>
        </is>
      </c>
    </row>
    <row r="14" ht="30" customHeight="1">
      <c r="A14" s="9" t="inlineStr">
        <is>
          <t>Key dates</t>
        </is>
      </c>
      <c r="B14" s="8" t="inlineStr">
        <is>
          <t>Merger agreement dated as of 12/14/2014; announced 12/14/2014. Special meeting 03/06/2015; record date 01/29/2015 (99,455,151 shares outstanding; majority of outstanding shares required). Expected closing first half of 2015 — not observed in the filing. [P-031, X-003, X-025, X-024, X-002]</t>
        </is>
      </c>
    </row>
    <row r="15" ht="30" customHeight="1">
      <c r="A15" s="9" t="inlineStr">
        <is>
          <t>Termination fees</t>
        </is>
      </c>
      <c r="B15" s="8" t="inlineStr">
        <is>
          <t>$255m company termination fee; $510m Parent reverse termination fee; expense reimbursement up to $15m. Legal terms recorded for context only (no ledger rows). [X-029]</t>
        </is>
      </c>
    </row>
    <row r="16" ht="30" customHeight="1">
      <c r="A16" s="9" t="inlineStr">
        <is>
          <t>Share counts / rollover</t>
        </is>
      </c>
      <c r="B16" s="8" t="inlineStr">
        <is>
          <t>Record date shares 99,455,151; Longview rollover 3,012,050 shares ($250m worth) for Parent equity; Longview voting agreement 7,424,591 shares (~7.5%); Longview beneficial ownership 8,214,170 shares (8.3%) per its 12/19/2014 Schedule 13D/A. [X-003, X-015, X-004, X-022]</t>
        </is>
      </c>
    </row>
    <row r="17" ht="30" customHeight="1">
      <c r="A17" s="9" t="inlineStr">
        <is>
          <t>Financing inputs</t>
        </is>
      </c>
      <c r="B17" s="8" t="inlineStr">
        <is>
          <t>Total funds required estimated at approximately $8.4bn: debt up to ~$6.2bn plus a $750m senior secured ABL revolver (aggregate debt facility up to $6.95bn; not all drawn), cash equity up to ~$1.83bn, Longview rollover $250m, and ~$425m cash on hand at closing. [X-011–X-015]</t>
        </is>
      </c>
    </row>
    <row r="18" ht="30" customHeight="1">
      <c r="A18" s="9" t="inlineStr">
        <is>
          <t>Filing</t>
        </is>
      </c>
      <c r="B18" s="8" t="inlineStr">
        <is>
          <t>DEFM14A, filed 02/02/2015; source file: raw_filing/petsmart_2015-02-02_DEFM14A.htm (relative local link). Background pages 21–26. Full passages in the Source text sheet.</t>
        </is>
      </c>
    </row>
    <row r="19">
      <c r="A19" s="10" t="inlineStr">
        <is>
          <t>3. Process and round map</t>
        </is>
      </c>
      <c r="B19" s="8" t="inlineStr"/>
    </row>
    <row r="20" ht="45" customHeight="1">
      <c r="A20" s="9" t="inlineStr">
        <is>
          <t>Process 1</t>
        </is>
      </c>
      <c r="B20" s="8" t="inlineStr">
        <is>
          <t>Only sale attempt observed: exploration decision 08/13/2014 → Round 1 (October NDA/IOI stage) → Round 2 final round 11/03/2014 → signing 12/14/2014. Outcome: signed with the Buyer Group; closing pending at the filing date. No process termination or restart. Post-signing: no go-shop; no-solicitation with fiduciary out; 15 signers’ standstills; no unsolicited proposal as of 02/02/2015. [R009; R016; R028; R048; X-009; X-010]</t>
        </is>
      </c>
    </row>
    <row r="21" ht="30" customHeight="1">
      <c r="A21" s="9" t="inlineStr">
        <is>
          <t>Round 0 (pre-opening)</t>
        </is>
      </c>
      <c r="B21" s="8" t="inlineStr">
        <is>
          <t>No Round opened row. 06/18/2014 board review and committee formation [R001–R002]; J.P. Morgan retention (July) [R003]; JANA/Longview activism [R004–R007]; Industry Participant approaches and exclusion [R008–R015]; 27 contacts [R011–R012]; 08/19 announcement [R013].</t>
        </is>
      </c>
    </row>
    <row r="22" ht="75" customHeight="1">
      <c r="A22" s="9" t="inlineStr">
        <is>
          <t>Round 1 — Not final</t>
        </is>
      </c>
      <c r="B22" s="8" t="inlineStr">
        <is>
          <t>Opened at the confidentiality/standstill wave, first week of October 2014 [R016] (R1 anchor; rejected candidates R009, R013, R008/R015, R019–R020). Scope: 15 financial signers [R017]. IOI deadline communicated during October, due 10/30/2014 — Enforced [R019–R020]. Submissions: Buyer Group $81–83 [R022]; Bidder 2 $78 [R023] revised to $81–84 [R027]; Unnamed financial bidder A $80–85 [R024]; Unnamed financial bidder B range reached ≥$80 [R025]; two other submitters, prices not disclosed [R026]; nine inferred non-submitters [R021]. Transition 11/03/2014 [R028]: four advanced; two eliminated [R029].</t>
        </is>
      </c>
    </row>
    <row r="23" ht="75" customHeight="1">
      <c r="A23" s="9" t="inlineStr">
        <is>
          <t>Round 2 — Announced as final</t>
        </is>
      </c>
      <c r="B23" s="8" t="inlineStr">
        <is>
          <t>Opened 11/03/2014 [R028]. Units: 4 invited → two combine as Bidder 3 [R030–R032] → 3 independent units. November: further diligence; updated FY2014 projections [R033]. Deadlines: final-bid date set earlier for 12/05/2014, revised 12/04–05 to 12/10/2014 [R034] — Extended [R036]; improvement request 12/10 → 12/12/2014 [R041] — Extended [R042]. Bids: Buyer Group $80.70 [R037]; Bidder 2 $80.35 [R038]; Bidder 3 ≤~$78 verbal [R039] and no written offer [R040]. Longview introductory meetings 12/09 [R035]; rollover permitted/formed 12/12 [R043]. Improved/best and final: Bidder 2 $81.50 [R044]; Buyer Group $82.50 [R045] → $83.00 [R046]. Board approval 12/13 [R047]; signing and announcement 12/14 [R048–R050].</t>
        </is>
      </c>
    </row>
    <row r="24" ht="45" customHeight="1">
      <c r="A24" s="9" t="inlineStr">
        <is>
          <t>Deadline history</t>
        </is>
      </c>
      <c r="B24" s="8" t="inlineStr">
        <is>
          <t>10/30/2014 — Enforced (six IOIs; board advanced four). 12/05/2014 — superseded before arrival by the 12/04–05 revision (Extended; no milestone row). 12/10/2014 — Extended (improved bids to 12/12). 12/12/2014 — Enforced (bids received; selection and signing followed). No late bids accepted. [R019–R020, R034, R036, R041–R042]</t>
        </is>
      </c>
    </row>
    <row r="25" ht="30" customHeight="1">
      <c r="A25" s="9" t="inlineStr">
        <is>
          <t>Round-bidder tallies</t>
        </is>
      </c>
      <c r="B25" s="8" t="inlineStr">
        <is>
          <t>Round 1: 6 submitting units. Round 2: 3 submitting/communicating units (Buyer Group, Bidder 2, Bidder 3). These are stage-specific units, not unique firms across the deal. [R022–R027; R037–R039, R044–R046]</t>
        </is>
      </c>
    </row>
    <row r="26">
      <c r="A26" s="10" t="inlineStr">
        <is>
          <t>4. Participants and advisers</t>
        </is>
      </c>
      <c r="B26" s="8" t="inlineStr"/>
    </row>
    <row r="27" ht="45" customHeight="1">
      <c r="A27" s="9" t="inlineStr">
        <is>
          <t>Buyer Group</t>
        </is>
      </c>
      <c r="B27" s="8" t="inlineStr">
        <is>
          <t>Financial (PE-led consortium). Among the 15 signers (first week October); first recorded bid 10/30 $81–83 [R022]; advanced 11/03; final bid $80.70 [R037]; improved $82.50 → $83.00 best and final [R045–R046]; winner — no exit row; closing pending at the filing date. Longview admitted to the group after 12/12/2014 (rollover, not a membership change).</t>
        </is>
      </c>
    </row>
    <row r="28" ht="30" customHeight="1">
      <c r="A28" s="9" t="inlineStr">
        <is>
          <t>Bidder 2</t>
        </is>
      </c>
      <c r="B28" s="8" t="inlineStr">
        <is>
          <t>Financial. IOI $78.00 [R023] revised to $81–84 [R027]; advanced; final bid $80.35 [R038]; improved best and final $81.50 [R044]; Not selected at signing (Stated; Target; Lower offer than rivals) [R049].</t>
        </is>
      </c>
    </row>
    <row r="29" ht="30" customHeight="1">
      <c r="A29" s="9" t="inlineStr">
        <is>
          <t>Bidder 3</t>
        </is>
      </c>
      <c r="B29" s="8" t="inlineStr">
        <is>
          <t>Financial. Formed early November 2014 from two unnamed final-round bidders [R030]; verbal indication not above approximately $78 [R039]; Did not submit (Stated; Both; Value at or below market price) [R040].</t>
        </is>
      </c>
    </row>
    <row r="30" ht="30" customHeight="1">
      <c r="A30" s="9" t="inlineStr">
        <is>
          <t>Unnamed financial bidder A</t>
        </is>
      </c>
      <c r="B30" s="8" t="inlineStr">
        <is>
          <t>Financial. IOI $80.00–$85.00 [R024]; final-round bidder; Joined group / Inferred: identity, Count 0 (closes independent bidding; may be one of Bidder 3’s members) [R031].</t>
        </is>
      </c>
    </row>
    <row r="31" ht="30" customHeight="1">
      <c r="A31" s="9" t="inlineStr">
        <is>
          <t>Unnamed financial bidder B</t>
        </is>
      </c>
      <c r="B31" s="8" t="inlineStr">
        <is>
          <t>Financial. IOI with a range that reached at least $80.00, endpoints not disclosed [R025]; final-round bidder; Joined group / Inferred: identity, Count 0 [R032].</t>
        </is>
      </c>
    </row>
    <row r="32" ht="30" customHeight="1">
      <c r="A32" s="9" t="inlineStr">
        <is>
          <t>Other submitters / signers</t>
        </is>
      </c>
      <c r="B32" s="8" t="inlineStr">
        <is>
          <t>Two further IOI submitters (cohort, prices not disclosed; Dropped by target 11/03) [R026, R029]; nine NDA signers (Did not submit at 10/30; Inferred: residual) [R021]; 3 strategic parties and 9 financial parties contacted but never admitted — no outcome rows.</t>
        </is>
      </c>
    </row>
    <row r="33" ht="30" customHeight="1">
      <c r="A33" s="9" t="inlineStr">
        <is>
          <t>Industry Participant</t>
        </is>
      </c>
      <c r="B33" s="8" t="inlineStr">
        <is>
          <t>Strategic. Approaches 08/07/2014 and 08/27/2014; excluded from the process by target decision 08/13/2014, reaffirmed 10/03/2014; never entered — no outcome row. [R008, R010, R014, R015, R018]</t>
        </is>
      </c>
    </row>
    <row r="34" ht="30" customHeight="1">
      <c r="A34" s="9" t="inlineStr">
        <is>
          <t>Activists</t>
        </is>
      </c>
      <c r="B34" s="8" t="inlineStr">
        <is>
          <t>JANA Partners (13D 9.9% on 07/03; in-person meeting 07/10; further amendments/letters through July–August) and Longview (public letter 07/07; call 07/10; later rollover investor and voting-agreement party). [R004–R007, R043, R048]</t>
        </is>
      </c>
    </row>
    <row r="35" ht="75" customHeight="1">
      <c r="A35" s="9" t="inlineStr">
        <is>
          <t>Advisers</t>
        </is>
      </c>
      <c r="B35" s="8" t="inlineStr">
        <is>
          <t>J.P. Morgan Securities LLC — Company financial advisor and process bank (engaged July 2014; fairness opinion 12/13, confirmed 12/14) [R003, R047]. Wachtell, Lipton, Rosen &amp; Katz — Company legal advisor (earliest supported service 06/18/2014) [R002]. Simpson Thacher &amp; Bartlett LLP — Parent/Merger Sub legal counsel (earliest support: executed merger agreement, 12/14/2014) [R051]. Innisfree M&amp;A Incorporated — Company proxy solicitor for the special meeting (~$182,725 paid by the record date; ~$240,000 expected through March 2015; engagement date not disclosed) — Summary only [X-023]. An unnamed financial advisor attended the 06/18/2014 board meeting and is not attributed to any named firm [P-004].</t>
        </is>
      </c>
    </row>
    <row r="36" ht="30" customHeight="1">
      <c r="A36" s="9" t="inlineStr">
        <is>
          <t>Financing sources</t>
        </is>
      </c>
      <c r="B36" s="8" t="inlineStr">
        <is>
          <t>Debt financing lenders (not advisers): Citigroup Global Markets Inc., Barclays Bank PLC, Deutsche Bank AG New York Branch, Nomura Securities International, Inc., Jefferies Finance LLC; joined by RBC Capital Markets, Macquarie Capital (USA) Inc. and Natixis, New York Branch. [X-017]</t>
        </is>
      </c>
    </row>
    <row r="37">
      <c r="A37" s="10" t="inlineStr">
        <is>
          <t>5. Counts and auction screen</t>
        </is>
      </c>
      <c r="B37" s="8" t="inlineStr"/>
    </row>
    <row r="38" ht="75" customHeight="1">
      <c r="A38" s="9" t="inlineStr">
        <is>
          <t>Contacts (organisations approached)</t>
        </is>
      </c>
      <c r="B38" s="11">
        <f>SUMIFS('Deal ledger'!$Q$2:$Q$52,'Deal ledger'!$D$2:$D$52,"Contact",'Deal ledger'!$P$2:$P$52,"Yes")+SUMIFS('Deal ledger'!$Q$2:$Q$52,'Deal ledger'!$D$2:$D$52,"Bidder interest",'Deal ledger'!$P$2:$P$52,"Yes")</f>
        <v/>
      </c>
      <c r="C38" s="8" t="inlineStr">
        <is>
          <t>27 potential participants (3 strategic + 24 financial; p.23); "more than 25" (p.27)</t>
        </is>
      </c>
      <c r="D38" s="8" t="inlineStr">
        <is>
          <t>Ledger 28 includes Industry Participant (carried on its Bidder interest row R008, Count 1) which the filing excludes from the 27. Scope: organisations, not bids.</t>
        </is>
      </c>
    </row>
    <row r="39" ht="75" customHeight="1">
      <c r="A39" s="9" t="inlineStr">
        <is>
          <t>NDA signers (new)</t>
        </is>
      </c>
      <c r="B39" s="11">
        <f>SUMIFS('Deal ledger'!$Q$2:$Q$52,'Deal ledger'!$D$2:$D$52,"NDA signed",'Deal ledger'!$P$2:$P$52,"Yes")</f>
        <v/>
      </c>
      <c r="C39" s="8" t="inlineStr">
        <is>
          <t>15 potentially interested financial buyers (p.23)</t>
        </is>
      </c>
      <c r="D39" s="8" t="inlineStr">
        <is>
          <t>All financial; no reused agreements identified. Auction screen (more than one independent prospective acquiring bidder unit with executed confidentiality agreements): MET.</t>
        </is>
      </c>
    </row>
    <row r="40" ht="60" customHeight="1">
      <c r="A40" s="9" t="inlineStr">
        <is>
          <t>Round 1 submitting units</t>
        </is>
      </c>
      <c r="B40" s="11">
        <f>SUMIFS('Deal ledger'!$Q$2:$Q$52,'Deal ledger'!$D$2:$D$52,"Bid",'Deal ledger'!$F$2:$F$52,1,'Deal ledger'!$P$2:$P$52,"Yes")</f>
        <v/>
      </c>
      <c r="C40" s="8" t="inlineStr">
        <is>
          <t>Six parties submitted indications of interest (p.24); "5 bidder groups" (p.27)</t>
        </is>
      </c>
      <c r="D40" s="8" t="inlineStr">
        <is>
          <t>Conflict preserved; preferred reading = six parties (background, specific); the reasons’ group-basis count may reflect the two combining bidders (see Q4).</t>
        </is>
      </c>
    </row>
    <row r="41" ht="15" customHeight="1">
      <c r="A41" s="9" t="inlineStr">
        <is>
          <t>Round 2 submitting/communicating units</t>
        </is>
      </c>
      <c r="B41" s="11">
        <f>SUMIFS('Deal ledger'!$Q$2:$Q$52,'Deal ledger'!$D$2:$D$52,"Bid",'Deal ledger'!$F$2:$F$52,2,'Deal ledger'!$P$2:$P$52,"Yes")</f>
        <v/>
      </c>
      <c r="C41" s="8" t="inlineStr">
        <is>
          <t>"negotiated with the Buyer Group as well as two other bidding groups" (p.27)</t>
        </is>
      </c>
      <c r="D41" s="8" t="inlineStr">
        <is>
          <t>Buyer Group, Bidder 2, Bidder 3.</t>
        </is>
      </c>
    </row>
    <row r="42" ht="45" customHeight="1">
      <c r="A42" s="9" t="inlineStr">
        <is>
          <t>Inferred non-submitters (R1)</t>
        </is>
      </c>
      <c r="B42" s="11">
        <f>SUMIFS('Deal ledger'!$Q$2:$Q$52,'Deal ledger'!$D$2:$D$52,"Did not submit",'Deal ledger'!$AJ$2:$AJ$52,"Inferred: residual",'Deal ledger'!$P$2:$P$52,"Yes")</f>
        <v/>
      </c>
      <c r="C42" s="8" t="inlineStr">
        <is>
          <t>Derived 15 signers − 6 submitters</t>
        </is>
      </c>
      <c r="D42" s="8" t="inlineStr">
        <is>
          <t>Base assumption: all six submitters were among the 15 signers; if not, the residual rises (see Q4).</t>
        </is>
      </c>
    </row>
    <row r="43" ht="15" customHeight="1">
      <c r="A43" s="9" t="inlineStr">
        <is>
          <t>Stated R1 exits (dropped)</t>
        </is>
      </c>
      <c r="B43" s="11">
        <f>SUMIFS('Deal ledger'!$Q$2:$Q$52,'Deal ledger'!$D$2:$D$52,"Dropped by target",'Deal ledger'!$AJ$2:$AJ$52,"Stated",'Deal ledger'!$P$2:$P$52,"Yes")</f>
        <v/>
      </c>
      <c r="C43" s="8" t="inlineStr">
        <is>
          <t>The eliminated parties were notified (p.24)</t>
        </is>
      </c>
      <c r="D43" s="8" t="inlineStr">
        <is>
          <t>The two submitters below $80.00.</t>
        </is>
      </c>
    </row>
    <row r="44" ht="30" customHeight="1">
      <c r="A44" s="9" t="inlineStr">
        <is>
          <t>Stage balance (R1)</t>
        </is>
      </c>
      <c r="B44" s="8" t="inlineStr">
        <is>
          <t>Entrants 15 (NDA signers) − stated exits 2 (dropped below-$80 submitters) − inferred exits 9 (non-submitters) = 4 continuing (the four bidders advanced to the final round). Inferred share of R1 exits: 9/11 (82%).</t>
        </is>
      </c>
    </row>
    <row r="45" ht="45" customHeight="1">
      <c r="A45" s="9" t="inlineStr">
        <is>
          <t>Stage balance (R2)</t>
        </is>
      </c>
      <c r="B45" s="8" t="inlineStr">
        <is>
          <t>Round 2 units: 4 bidders invited → two combine as Bidder 3 (units 4 → 3; R030–R032). Of the three units, Bidder 3 did not submit a written offer (out 12/10; R040) and Bidder 2 was not selected at signing (out by 12/14; R049). Remaining: 1 — the Buyer Group (winner). All R2 exits are stated; the two membership closures use Count-0 "Inferred: identity" rows (R031–R032).</t>
        </is>
      </c>
    </row>
    <row r="46" ht="45" customHeight="1">
      <c r="A46" s="9" t="inlineStr">
        <is>
          <t>Outcome tallies</t>
        </is>
      </c>
      <c r="B46" s="8" t="inlineStr">
        <is>
          <t>Occurrences/affected units (not unique permanent exits): Dropped by target 2; Did not submit 10 (9 inferred + 1 stated); Not selected at signing 1; Joined group 2 members. Winner: Buyer Group. Organisations vs units: 15 NDA signer organisations; 6 R1 submitting parties; 3 R2 independent units; 1 winner.</t>
        </is>
      </c>
    </row>
    <row r="47">
      <c r="A47" s="10" t="inlineStr">
        <is>
          <t>6. Comparability and inputs</t>
        </is>
      </c>
      <c r="B47" s="8" t="inlineStr"/>
    </row>
    <row r="48" ht="30" customHeight="1">
      <c r="A48" s="9" t="inlineStr">
        <is>
          <t>Scope / currency</t>
        </is>
      </c>
      <c r="B48" s="8" t="inlineStr">
        <is>
          <t>Other-scope proposals: none observed — all proposals were for whole-company equity. Currency: USD throughout; no conversions. Contingent consideration: none; no CVRs.</t>
        </is>
      </c>
    </row>
    <row r="49" ht="30" customHeight="1">
      <c r="A49" s="9" t="inlineStr">
        <is>
          <t>Unusual consideration</t>
        </is>
      </c>
      <c r="B49" s="8" t="inlineStr">
        <is>
          <t>Longview rollover (equity in Parent for 3,012,050 shares, $250m worth) is not public consideration; all other Longview shares receive $83.00 cash. Standstill provisions limit post-signing bidding by the 15 signers. No go-shop. Reverse termination fee $510m.</t>
        </is>
      </c>
    </row>
    <row r="50" ht="45" customHeight="1">
      <c r="A50" s="9" t="inlineStr">
        <is>
          <t>Market benchmarks</t>
        </is>
      </c>
      <c r="B50" s="8" t="inlineStr">
        <is>
          <t>Agreed price $83.00; premium 38.8% to the 07/02/2014 unaffected price (calculated implied unaffected price ≈ $59.80 = 83.00 / 1.388); 12/12/2014 close $77.67 (last trading day before announcement); 01/30/2015 close $81.71; 2014 Q4 high/low $81.97 / $63.21; 2015 Q1-through-01/30 high/low $81.95 / $81.00. [X-021, X-026]</t>
        </is>
      </c>
    </row>
    <row r="51" ht="30" customHeight="1">
      <c r="A51" s="9" t="inlineStr">
        <is>
          <t>Optional calculations</t>
        </is>
      </c>
      <c r="B51" s="8" t="inlineStr">
        <is>
          <t>Equity value at $83.00 × 99,455,151 shares = $8,254,777,533 (outstanding-basis only; excludes options/RSUs/PSUs and any dilution; not a filing-stated total). Premium to 12/12/2014 close = 6.9% (83.00/77.67 − 1). [X-003, X-002]</t>
        </is>
      </c>
    </row>
    <row r="52" ht="75" customHeight="1">
      <c r="A52" s="9" t="inlineStr">
        <is>
          <t>Glossary</t>
        </is>
      </c>
      <c r="B52" s="8" t="inlineStr">
        <is>
          <t>NDA = confidentiality/non-disclosure agreement. Standstill = contractual limit on acquiring shares/announcing bids (here, also barring higher bids after a definitive agreement). IOI = indication of interest. Rollover = holder contributes shares to the buyer’s vehicle instead of receiving cash. Go-shop = post-signing solicitation window (none here). HSR = U.S. Hart-Scott-Rodino antitrust waiting period (early termination 01/07/2015). ARC = Canada Advance Ruling Certificate (issued 01/14/2015). Bound only = one-sided communicated price limit, not a submitted level. Reverse termination fee = fee payable by the buyer/Parent ($510m here). [X-018, X-019]</t>
        </is>
      </c>
    </row>
  </sheetData>
  <pageMargins left="0.75" right="0.75" top="1" bottom="1" header="0.5" footer="0.5"/>
</worksheet>
</file>

<file path=xl/worksheets/sheet3.xml><?xml version="1.0" encoding="utf-8"?>
<worksheet xmlns="http://schemas.openxmlformats.org/spreadsheetml/2006/main">
  <sheetPr>
    <tabColor rgb="002E75B6"/>
    <outlinePr summaryBelow="1" summaryRight="1"/>
    <pageSetUpPr/>
  </sheetPr>
  <dimension ref="A1:H20"/>
  <sheetViews>
    <sheetView workbookViewId="0">
      <selection activeCell="A1" sqref="A1"/>
    </sheetView>
  </sheetViews>
  <sheetFormatPr baseColWidth="8" defaultRowHeight="15"/>
  <cols>
    <col width="7" customWidth="1" min="1" max="1"/>
    <col width="26" customWidth="1" min="2" max="2"/>
    <col width="62" customWidth="1" min="3" max="3"/>
    <col width="62" customWidth="1" min="4" max="4"/>
    <col width="30" customWidth="1" min="5" max="5"/>
    <col width="42" customWidth="1" min="6" max="6"/>
    <col width="10" customWidth="1" min="7" max="7"/>
    <col width="26" customWidth="1" min="8" max="8"/>
  </cols>
  <sheetData>
    <row r="1" ht="22" customHeight="1">
      <c r="A1" s="1" t="inlineStr">
        <is>
          <t>Q</t>
        </is>
      </c>
      <c r="B1" s="1" t="inlineStr">
        <is>
          <t>Review topic</t>
        </is>
      </c>
      <c r="C1" s="1" t="inlineStr">
        <is>
          <t>Recommended answer</t>
        </is>
      </c>
      <c r="D1" s="1" t="inlineStr">
        <is>
          <t>Why and source</t>
        </is>
      </c>
      <c r="E1" s="1" t="inlineStr">
        <is>
          <t>Affected rows/fields</t>
        </is>
      </c>
      <c r="F1" s="1" t="inlineStr">
        <is>
          <t>Consequence of changing it</t>
        </is>
      </c>
      <c r="G1" s="1" t="inlineStr">
        <is>
          <t>Status</t>
        </is>
      </c>
      <c r="H1" s="1" t="inlineStr">
        <is>
          <t>Reviewer note</t>
        </is>
      </c>
    </row>
    <row r="2">
      <c r="A2" s="12" t="inlineStr">
        <is>
          <t>Q1</t>
        </is>
      </c>
      <c r="B2" s="2" t="inlineStr">
        <is>
          <t>Process and round map; rejected boundaries</t>
        </is>
      </c>
      <c r="C2" s="2" t="inlineStr">
        <is>
          <t>Adopt one process (Process 1) with two analytical rounds: R1 opened at the first-week-of-October 2014 confidentiality/standstill wave (Not final; preliminary IOI stage) and R2 the final round opened 11/03/2014 (Announced as final). Keep round 0 for pre-opening approaches. Reject a separate R3 for the November request for final bids: it is the continuing purpose of R2 and the smallest map preserving real transitions. Reject the 08/13 sale decision, 08/19 press release, Industry Participant contacts and the 10/30 deadline as the R1 anchor (no target outreach wave is reported; the NDA wave is the first target-organized admission step). No go-shop; no post-signing solicitation; no process termination/restart.</t>
        </is>
      </c>
      <c r="D2" s="2" t="inlineStr">
        <is>
          <t>Instruction 6.3 anchor order and round rules; P-011 ("J.P. Morgan was contacted by 27 potential participants"), P-013 (NDA wave), P-017 (four to the final round), P-020/P-021 (final-bid timetable), P-031 (signing). The reasons describe the same process (X-008a).</t>
        </is>
      </c>
      <c r="E2" s="2" t="inlineStr">
        <is>
          <t>R016, R028, R009, R013, R008/R015, R019/R020</t>
        </is>
      </c>
      <c r="F2" s="2" t="inlineStr">
        <is>
          <t>If a third round were adopted, R2 finality and round-bidder tallies split and the 12/10 bids would need re-rounding; if the anchor moved to 08/13, R1 scope would include parties that never signed and R1 bidder counts would not match the 15-signer base.</t>
        </is>
      </c>
    </row>
    <row r="3">
      <c r="A3" s="12" t="inlineStr">
        <is>
          <t>Q2</t>
        </is>
      </c>
      <c r="B3" s="2" t="inlineStr">
        <is>
          <t>Deadline history and treatments</t>
        </is>
      </c>
      <c r="C3" s="2" t="inlineStr">
        <is>
          <t>Keep: 10/30/2014 IOI deadline — Enforced; 12/05/2014 final-bid date — superseded before arrival by the 12/04–05 revision (remains in history; no milestone row; treated Extended on the revised row); 12/10/2014 final-bid deadline — Extended (improved bids requested for 12/12); 12/12/2014 — Enforced. No "Late bids accepted": Bidder 2’s increase after 10/30 was target-solicited continuing negotiation, not late acceptance.</t>
        </is>
      </c>
      <c r="D3" s="2" t="inlineStr">
        <is>
          <t>P-014/P-016 (IOIs due and submitted), P-017 (advancement on the bids in hand), P-020/P-021 (revision 12/05→12/10), P-026 (improvement to 12/12), P-029 (bids), P-030 (selection).</t>
        </is>
      </c>
      <c r="E3" s="2" t="inlineStr">
        <is>
          <t>R019, R020, R034, R036, R041, R042 (Due date / Deadline treatment fields; Summary deadline map)</t>
        </is>
      </c>
      <c r="F3" s="2" t="inlineStr">
        <is>
          <t>Different labels change the Summary deadline map; marking 10/30 "Late bids accepted" would wrongly reclassify the target-solicited Bidder 2 revision.</t>
        </is>
      </c>
    </row>
    <row r="4">
      <c r="A4" s="12" t="inlineStr">
        <is>
          <t>Q3</t>
        </is>
      </c>
      <c r="B4" s="2" t="inlineStr">
        <is>
          <t>Bidder 3 membership and unit reconciliation</t>
        </is>
      </c>
      <c r="C4" s="2" t="inlineStr">
        <is>
          <t>Recommended reading: Bidder 3 was formed by the two final-round bidders other than the Buyer Group and Bidder 2 (Unnamed financial bidders A and B; R024/R025). This is the only reading that reconciles the four invited bidders to the three bidding units active in December and the Reasons’ statement that the Company "negotiated with the Buyer Group as well as two other bidding groups". The filing does not name the members; keep R031/R032 as Count-0 "Inferred: identity" rows and do not treat the names as settled.</t>
        </is>
      </c>
      <c r="D4" s="2" t="inlineStr">
        <is>
          <t>P-016 (four bidders at/above $80; specific prices for Buyer Group and the $80–85 bidder), P-017 (four allowed to proceed; two eliminated), P-018 (two requested to work together; "Bidder 3"), P-025 (December record: Buyer Group, Bidder 2 and a verbal indication from Bidder 3 only), X-008a ("two other bidding groups").</t>
        </is>
      </c>
      <c r="E4" s="2" t="inlineStr">
        <is>
          <t>R030, R031, R032, R024, R025, R028, R036</t>
        </is>
      </c>
      <c r="F4" s="2" t="inlineStr">
        <is>
          <t>If the pair instead included an eliminated below-$80 bidder, an invited bidder would have disappeared without a disclosed outcome and the three-unit December record would not reconcile; the Unit-count statements in Summary would need rework.</t>
        </is>
      </c>
    </row>
    <row r="5">
      <c r="A5" s="12" t="inlineStr">
        <is>
          <t>Q4</t>
        </is>
      </c>
      <c r="B5" s="2" t="inlineStr">
        <is>
          <t>NDA quantities, overlap, type splits and the 6-vs-5 conflict</t>
        </is>
      </c>
      <c r="C5" s="2" t="inlineStr">
        <is>
          <t>Keep: 15 new NDA signers, all financial buyers (auction screen MET); 27 contacts split 3 strategic + 24 financial; six submitting parties in Round 1 (Background p.24) as the primary count, with the Reasons’ "5 bidder groups" (p.27) preserved as a conflicting group-basis statement (two combining bidders counted as one group, or drafting variance); nine non-submitters as the residual 15 − 6 with the base assumption stated. Note: the six submitters are assumed to be among the 15 signers; if not, the residual rises.</t>
        </is>
      </c>
      <c r="D5" s="2" t="inlineStr">
        <is>
          <t>P-011, P-013, P-016, P-017; X-008a ("5 bidder groups"); X-009 (standstills); P-021 arithmetic.</t>
        </is>
      </c>
      <c r="E5" s="2" t="inlineStr">
        <is>
          <t>R011, R012, R017, R021, R022–R027</t>
        </is>
      </c>
      <c r="F5" s="2" t="inlineStr">
        <is>
          <t>Changing the submitting count to five would make the residual ten and alter the R1 stage balance; changing the NDA base would alter the auction-screen statement and Summary totals.</t>
        </is>
      </c>
    </row>
    <row r="6">
      <c r="A6" s="12" t="inlineStr">
        <is>
          <t>Q5</t>
        </is>
      </c>
      <c r="B6" s="2" t="inlineStr">
        <is>
          <t>Participation outcomes, agency and inferred closings</t>
        </is>
      </c>
      <c r="C6" s="2" t="inlineStr">
        <is>
          <t>Adopt: 9 non-submitters — Did not submit (Inferred: residual; Unknown / Not stated; assigned to the 10/30/2014 deadline). Two below-$80 submitters — Dropped by target (Stated; Target; Lower offer than rivals). Bidder 3 — Did not submit (Stated; Both — target discouragement before non-submission; Value at or below market price). Bidder 2 — Not selected at signing (Stated; Target; Lower offer than rivals). Unnamed financial bidders A and B — Count-0 Inferred: identity rows. Industry Participant never entered: contacts and target decisions only, no outcome row.</t>
        </is>
      </c>
      <c r="D6" s="2" t="inlineStr">
        <is>
          <t>P-013/P-016 (base and six submitters), P-017 (eliminations), P-025 (verbal indication; no written offer), X-008a/b ($81.50 best and final vs $83.00), P-010/P-012 (Industry Participant exclusion).</t>
        </is>
      </c>
      <c r="E6" s="2" t="inlineStr">
        <is>
          <t>R021, R029, R040, R049, R031, R032, R008–R015</t>
        </is>
      </c>
      <c r="F6" s="2" t="inlineStr">
        <is>
          <t>Agency labels feed the outcome tallies and the Summary balance; converting the residual to individual exits is not supported and would fabricate identities; treating Industry Participant as entered would require an invented outcome.</t>
        </is>
      </c>
    </row>
    <row r="7">
      <c r="A7" s="12" t="inlineStr">
        <is>
          <t>Q6</t>
        </is>
      </c>
      <c r="B7" s="2" t="inlineStr">
        <is>
          <t>Formality and conditions levels</t>
        </is>
      </c>
      <c r="C7" s="2" t="inlineStr">
        <is>
          <t>Keep: IOIs Informal (preliminary non-binding indications; no supported formal signal) with Conditions level Insufficient evidence (price only; October diligence access existed but no conditions are stated). Final bids: Buyer Group Formal/Light (returned agreement markups; financing commitment documents 12/06; no diligence condition stated); Bidder 2 Formal with 12/10 Insufficient evidence and 12/12 Light (financing commitment documents submitted); Bidder 3 Informal with a bound-only price and Insufficient evidence. The 12/06 markups and 12/08 revised drafts belong to the 12/10 bids (no separate rows). No None, no Heavy, and no late-reconfirmation rows are created.</t>
        </is>
      </c>
      <c r="D7" s="2" t="inlineStr">
        <is>
          <t>P-016 (IOIs), P-017 (advancement), P-022 (12/06 comments and financing documents), P-025 (final bids; comparative conditionality), P-029 (revised drafts and financing documents), P-021 (documents "in advance"), X-027 (committed debt/equity financing). The winner reaches signing with Formal rows (R037, R045, R046); no None, Heavy or late-reconfirmation rows arise.</t>
        </is>
      </c>
      <c r="E7" s="2" t="inlineStr">
        <is>
          <t>R022–R027, R037, R038, R039, R044, R045, R046 (Formality / Conditions level / Conditions detail)</t>
        </is>
      </c>
      <c r="F7" s="2" t="inlineStr">
        <is>
          <t>Reclassifying the IOIs as Heavy by context would contradict the instruction (substantive diligence access had preceded them); moving the 12/06 markups into their own rows would create duplicate draft events.</t>
        </is>
      </c>
    </row>
    <row r="8">
      <c r="A8" s="12" t="inlineStr">
        <is>
          <t>Q7</t>
        </is>
      </c>
      <c r="B8" s="2" t="inlineStr">
        <is>
          <t>Scope, currency, price interpretation and normalization</t>
        </is>
      </c>
      <c r="C8" s="2" t="inlineStr">
        <is>
          <t>Keep: no other-scope proposals (all whole-company); all amounts USD, no conversions; Bidder 3’s "not above approximately $78" recorded as a Bound-only price (Price high 78.00; approximate, based on the then-current stock price — flagged). Unnamed financial bidder B’s "range reached at least $80.00" is ambiguous (floor on the range vs level reached); endpoints left blank and kept in text. Longview’s rollover is equity in Parent, not public consideration — all other shares receive $83.00 cash; the ~$8.25bn equity value is an outstanding-basis calculation (83.00 × 99,455,151), not a filing-stated total.</t>
        </is>
      </c>
      <c r="D8" s="2" t="inlineStr">
        <is>
          <t>P-016 (ranges), P-025 (verbal indication), X-002/X-003 (consideration; shares), X-013 (rollover $250m), X-015 (3,012,050 shares), X-011–X-014 (funds).</t>
        </is>
      </c>
      <c r="E8" s="2" t="inlineStr">
        <is>
          <t>R024, R025, R039, R043, R046; Summary comparability inputs</t>
        </is>
      </c>
      <c r="F8" s="2" t="inlineStr">
        <is>
          <t>Reading B as a floor would add a Bound-only row and change the R1 price display; blanking Bidder 3’s Price high would lose a disclosed bound; adding the rollover to public consideration would misstate per-share cash.</t>
        </is>
      </c>
    </row>
    <row r="9">
      <c r="A9" s="12" t="inlineStr">
        <is>
          <t>Q8</t>
        </is>
      </c>
      <c r="B9" s="2" t="inlineStr">
        <is>
          <t>Dates, assigned Working dates and same-day order</t>
        </is>
      </c>
      <c r="C9" s="2" t="inlineStr">
        <is>
          <t>Keep the disclosed conventions: NDA wave Working date 10/01 (first day of the "first week of October"; the relative order with the 10/03 board meeting is not stated — display convention); J.P. Morgan retention 07/01 (Assigned: sequence, to preserve reading order ahead of the dated 07/03 JANA filing); November projections update 11/15 (period midpoint); Bidder 3 formation 11/04 (first admissible day after 11/03); the Bidder 3 non-submission assigned to the 12/10 deadline; same-day sequences 12/10 (deadline → bids → improvement revision) and 12/12 (deadline → rollover approval → Bidder 2 → Buyer Group $82.50 → $83.00); 12/13 approval before 12/14 signing and announcement.</t>
        </is>
      </c>
      <c r="D9" s="2" t="inlineStr">
        <is>
          <t>Instruction 8.1 rules; P-013 (first week of October), P-012 (10/03 meeting), P-005 (July retention), P-019 (November projections), P-018 (formation after 11/03), P-025/P-026/P-029 (December sequence), P-030/P-031.</t>
        </is>
      </c>
      <c r="E9" s="2" t="inlineStr">
        <is>
          <t>R003, R016–R018, R033, R030–R032, R040, R036–R041, R045–R050</t>
        </is>
      </c>
      <c r="F9" s="2" t="inlineStr">
        <is>
          <t>These choices affect only display order and the sort key, never the source facts; moving a Working date could reorder same-date rows within a round (relevant to the December sequence and the R1/R2 boundary).</t>
        </is>
      </c>
    </row>
    <row r="10">
      <c r="A10" s="12" t="inlineStr">
        <is>
          <t>Q9</t>
        </is>
      </c>
      <c r="B10" s="2" t="inlineStr">
        <is>
          <t>Bidder types and adviser clients</t>
        </is>
      </c>
      <c r="C10" s="2" t="inlineStr">
        <is>
          <t>Keep all bidders Financial (all 15 signers were financial buyers; no strategic party advanced) and Industry Participant Strategic. Adviser clients are clear: J.P. Morgan and Wachtell Lipton for the Company, Simpson Thacher for Parent/Merger Sub, Innisfree (proxy solicitor) for the Company. The unnamed financial advisor present at the 06/18/2014 board meeting is not attributed to any named firm and Innisfree’s engagement date is not disclosed; both limitations are stated rather than resolved.</t>
        </is>
      </c>
      <c r="D10" s="2" t="inlineStr">
        <is>
          <t>P-011/P-013 (three strategic vs 15 financial), P-008 (Industry Participant antitrust exclusion), P-004/P-005 (advisers), X-028 (Simpson Thacher notices), X-023 (Innisfree fees; no engagement date).</t>
        </is>
      </c>
      <c r="E10" s="2" t="inlineStr">
        <is>
          <t>R002, R003, R008, R011, R012, R017, R051; Summary Type/advisers blocks</t>
        </is>
      </c>
      <c r="F10" s="2" t="inlineStr">
        <is>
          <t>A type change would alter the Summary type statements and, for any bidder, the research classification; an adviser-client correction would change the adviser rows but not the commercial account.</t>
        </is>
      </c>
    </row>
    <row r="12">
      <c r="A12" s="13" t="inlineStr">
        <is>
          <t>Check results (instruction section 13) — run at build, 09/19/2026</t>
        </is>
      </c>
    </row>
    <row r="13">
      <c r="A13" s="2" t="inlineStr">
        <is>
          <t>1. Coverage and materiality</t>
        </is>
      </c>
      <c r="B13" s="2" t="inlineStr">
        <is>
          <t>Passed</t>
        </is>
      </c>
      <c r="C13" s="2" t="inlineStr">
        <is>
          <t>All disclosed core offers, contacts/NDAs, information/selection changes, participation outcomes, process transitions, signing and publicity are represented. Routine 12/06 comments and 12/08 draft exchanges are deliberately folded into the 12/10 bids; inferred closing rows are explicit (R021, R031, R032).</t>
        </is>
      </c>
    </row>
    <row r="14">
      <c r="A14" s="2" t="inlineStr">
        <is>
          <t>2. Counts and population</t>
        </is>
      </c>
      <c r="B14" s="2" t="inlineStr">
        <is>
          <t>Qualified</t>
        </is>
      </c>
      <c r="C14" s="2" t="inlineStr">
        <is>
          <t>Summary arithmetic matches included ledger contributions (NDA 15; contacts 28 incl. Industry Participant; R1 submissions 6; R2 units 3). Source qualifiers preserved: the Reasons’ "5 bidder groups" conflicts with the Background’s six submitters; the 9-residual assumes all six submitters were signers; the Bidder 3 identity reading affects the unit break-down (see Q3/Q4).</t>
        </is>
      </c>
    </row>
    <row r="15">
      <c r="A15" s="2" t="inlineStr">
        <is>
          <t>3. Participation continuity</t>
        </is>
      </c>
      <c r="B15" s="2" t="inlineStr">
        <is>
          <t>Passed</t>
        </is>
      </c>
      <c r="C15" s="2" t="inlineStr">
        <is>
          <t>Every participant that entered is closed: 9 inferred non-submitters; 2 dropped; 2 joined-group Count-0 identity rows; 1 did not submit; 1 not selected at signing; the Buyer Group remains as winner. Entrant stock never negative; Industry Participant never entered and has no outcome row. The closure mechanism for Unnamed financial bidders A/B depends on the Q3 reading.</t>
        </is>
      </c>
    </row>
    <row r="16">
      <c r="A16" s="2" t="inlineStr">
        <is>
          <t>4. Dates and order</t>
        </is>
      </c>
      <c r="B16" s="2" t="inlineStr">
        <is>
          <t>Passed</t>
        </is>
      </c>
      <c r="C16" s="2" t="inlineStr">
        <is>
          <t>Programmatic checks: every row has a Working date and Date method; sorting by Working date with # as tie-breaker reproduces the ledger order (non-decreasing); Working dates lie within their Date from/Date to windows; Date basis/method pairs are valid (Reported day = Reported; Inferred day = Inferred); deadline communication, due dates and signing are kept distinct. Based on the filing text; not externally validated.</t>
        </is>
      </c>
    </row>
    <row r="17">
      <c r="A17" s="2" t="inlineStr">
        <is>
          <t>5. Offers and classifications</t>
        </is>
      </c>
      <c r="B17" s="2" t="inlineStr">
        <is>
          <t>Qualified</t>
        </is>
      </c>
      <c r="C17" s="2" t="inlineStr">
        <is>
          <t>Formality and conditions assessments are reasoned; Conditions detail strings use the fixed format on every Bid/Bid reaffirmed row. Insufficient-evidence levels remain for the preliminary IOIs and Bidder 2’s first final bid; Bidder 3 is a Bound-only price; no Heavy or None classifications were required. Offer updates, groups, reaffirmations and signing are not mistaken for extra priced submissions.</t>
        </is>
      </c>
    </row>
    <row r="18">
      <c r="A18" s="2" t="inlineStr">
        <is>
          <t>6. Structure and consistency</t>
        </is>
      </c>
      <c r="B18" s="2" t="inlineStr">
        <is>
          <t>Passed</t>
        </is>
      </c>
      <c r="C18" s="2" t="inlineStr">
        <is>
          <t>One Round opened row per round with a Round finality value; R1 anchor tag present with rejected candidates as rows; every Deadline row carries a treatment matching the Summary map; Page populated wherever Source is populated (R051 uses "A-46" for the annex); tags and structured fields agree; Row ids unique; Include defaults to Yes.</t>
        </is>
      </c>
    </row>
    <row r="19">
      <c r="A19" s="2" t="inlineStr">
        <is>
          <t>7. Evidence</t>
        </is>
      </c>
      <c r="B19" s="2" t="inlineStr">
        <is>
          <t>Passed</t>
        </is>
      </c>
      <c r="C19" s="2" t="inlineStr">
        <is>
          <t>Every quotation in Why and evidence was programmatically recovered exactly from its cited Source text passage (token match, allowing only declared whitespace/quote normalization), and pages were carried from the filing. Interpretation validity was checked by reading (see Q3, Q5, Q8).</t>
        </is>
      </c>
    </row>
    <row r="20">
      <c r="A20" s="2" t="inlineStr">
        <is>
          <t>8. Review and workbook operation</t>
        </is>
      </c>
      <c r="B20" s="2" t="inlineStr">
        <is>
          <t>Qualified</t>
        </is>
      </c>
      <c r="C20" s="2" t="inlineStr">
        <is>
          <t>Data validations, hidden sheets, column groups, autofilter and layout were created programmatically and re-read with openpyxl; LibreOffice headless crashed in this environment (even on a trivial test file), so formulas were NOT recalculated in a spreadsheet application. SUMIFS results were instead verified by simulating the same aggregation against the delivered ledger (NDA 15; contacts 28 incl. Industry Participant; R1 submissions 6; R2 units 3; inferred residual 9). Internal Source links and the AI-original baseline comparison (red-bold conditional formatting) were not rendered or tested in Excel; links are static and may need refreshing after sorting; the baseline is a values-only snapshot.</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D6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8" customWidth="1" min="3" max="3"/>
    <col width="150" customWidth="1" min="4" max="4"/>
  </cols>
  <sheetData>
    <row r="1" ht="20" customHeight="1">
      <c r="A1" s="1" t="inlineStr">
        <is>
          <t>Paragraph</t>
        </is>
      </c>
      <c r="B1" s="1" t="inlineStr">
        <is>
          <t>Section</t>
        </is>
      </c>
      <c r="C1" s="1" t="inlineStr">
        <is>
          <t>Page</t>
        </is>
      </c>
      <c r="D1" s="1" t="inlineStr">
        <is>
          <t>Text</t>
        </is>
      </c>
    </row>
    <row r="2">
      <c r="A2" s="14" t="inlineStr">
        <is>
          <t>Note</t>
        </is>
      </c>
      <c r="B2" s="14" t="inlineStr">
        <is>
          <t>Layout</t>
        </is>
      </c>
      <c r="D2" s="15" t="inlineStr">
        <is>
          <t>Declared layout normalization: text extracted from the filed HTML; whitespace collapsed; punctuation as filed (including smart quotes); printed page labels used. P-001..P-031 are the complete Background of the Merger in source order (continuations marked "(cont.)"); X-001.. are additional passages used in the ledger or Summary.</t>
        </is>
      </c>
    </row>
    <row r="3">
      <c r="A3" s="2" t="inlineStr">
        <is>
          <t>P-001</t>
        </is>
      </c>
      <c r="B3" s="2" t="inlineStr">
        <is>
          <t>Background of the Merger</t>
        </is>
      </c>
      <c r="C3" s="2" t="inlineStr">
        <is>
          <t>21</t>
        </is>
      </c>
      <c r="D3" s="2" t="inlineStr">
        <is>
          <t>Background of the Merger</t>
        </is>
      </c>
    </row>
    <row r="4">
      <c r="A4" s="2" t="inlineStr">
        <is>
          <t>P-002</t>
        </is>
      </c>
      <c r="B4" s="2" t="inlineStr">
        <is>
          <t>Background of the Merger</t>
        </is>
      </c>
      <c r="C4" s="2" t="inlineStr">
        <is>
          <t>21</t>
        </is>
      </c>
      <c r="D4" s="2" t="inlineStr">
        <is>
          <t>The board frequently reviews, with the Company’s management and with the assistance of financial and legal advisors, the Company’s strategic and financial alternatives in light of developments in the Company’s business, in the sectors in which it competes, in the economy generally and in financial markets. The alternatives reviewed have included large and small acquisitions, mergers, a sale of the Company, as well as alternatives for returning capital to stockholders, including by means of levered or unlevered share repurchases or extraordinary dividends, and, from time to time, the Company received inquiries from third parties seeking to determine the Company’s interest in a sale transaction. During the first calendar quarter of 2014, one of the alternatives considered by the board was a merger with or acquisition of another participant in PetSmart’s industry, a privately-held company which we refer to here as “Industry Participant.” In March, 2014, the board authorized management to contact Industry Participant to determine Industry Participant’s interest in initiating exploratory discussions concerning the feasibility of a merger or acquisition transaction. During the Spring of 2014, David Lenhardt, PetSmart’s chief executive officer, spoke on a few occasions to Industry Participant’s CEO. Industry Participant’s CEO informed Mr. Lenhardt that Industry Participant was not for sale and that, in any event, Industry Participant’s management and owners believed that antitrust clearance for a combination of PetSmart and Industry Participant would not be received or would be received only with unacceptable conditions. Over the next two months, Mr. Lenhardt spoke on several other occasions with Industry Participant’s CEO and with a representative of one of Industry Participant’s controlling stockholders, during which time, Industry Participant continued to raise concerns regarding receiving antitrust clearance for such a transaction.</t>
        </is>
      </c>
    </row>
    <row r="5">
      <c r="A5" s="2" t="inlineStr">
        <is>
          <t>P-003</t>
        </is>
      </c>
      <c r="B5" s="2" t="inlineStr">
        <is>
          <t>Background of the Merger</t>
        </is>
      </c>
      <c r="C5" s="2" t="inlineStr">
        <is>
          <t>21</t>
        </is>
      </c>
      <c r="D5" s="2" t="inlineStr">
        <is>
          <t>On May 21, 2014, the Company released its first quarter earnings announcement, which disclosed quarterly performance below Wall Street expectations and weaker-than-expected guidance for its second quarter and full year. Following this release, in late May and June 2014, the Company received written or verbal communications from some stockholders and from interested parties suggesting that the Company engage in various strategic or financial alternatives. Among the alternatives suggested were a levered return of capital to stockholders and a sale of the Company. Also during May 2014, representatives of Longview met with certain members of the board and senior management. At those meetings, representatives of Longview presented their views on the business and strategic direction of the Company, but did not advocate for any specific transactions or alternatives.</t>
        </is>
      </c>
    </row>
    <row r="6">
      <c r="A6" s="2" t="inlineStr">
        <is>
          <t>P-004 (cont.)</t>
        </is>
      </c>
      <c r="B6" s="2" t="inlineStr">
        <is>
          <t>Background of the Merger</t>
        </is>
      </c>
      <c r="C6" s="2" t="inlineStr">
        <is>
          <t>21</t>
        </is>
      </c>
      <c r="D6" s="2" t="inlineStr">
        <is>
          <t>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The board also established an ad hoc advisory subcommittee (the “ad hoc committee”) with respect to, among other</t>
        </is>
      </c>
    </row>
    <row r="7">
      <c r="A7" s="2" t="inlineStr">
        <is>
          <t>P-005 (cont.)</t>
        </is>
      </c>
      <c r="B7" s="2" t="inlineStr">
        <is>
          <t>Background of the Merger</t>
        </is>
      </c>
      <c r="C7" s="2" t="inlineStr">
        <is>
          <t>22</t>
        </is>
      </c>
      <c r="D7" s="2" t="inlineStr">
        <is>
          <t>things, the review of alternatives. Chairman Gregory Josefowicz and directors Rakesh Gangwal and Thomas Stemberg, all of whom are nonexecutive, independent directors, were appointed to the ad hoc committee. In addition, the board authorized the vetting and retention of a financial advisor to assist in the review.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t>
        </is>
      </c>
    </row>
    <row r="8">
      <c r="A8" s="2" t="inlineStr">
        <is>
          <t>P-006</t>
        </is>
      </c>
      <c r="B8" s="2" t="inlineStr">
        <is>
          <t>Background of the Merger</t>
        </is>
      </c>
      <c r="C8" s="2" t="inlineStr">
        <is>
          <t>22</t>
        </is>
      </c>
      <c r="D8" s="2" t="inlineStr">
        <is>
          <t>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Over the course of July and August, JANA Partners filed several amendments to its Schedule 13D and publicly disclosed letters to the board, advocating for a sale of PetSmart. On July 10, 2014, representatives of JANA met in person with representatives of the Company. At this meeting, the JANA representatives presented their perspectives on the Company and advocated for a sale of the Company. On July 10, 2014, representatives of the Company also spoke to representatives of Longview and Longview reiterated its advocacy for a sale of the Company.</t>
        </is>
      </c>
    </row>
    <row r="9">
      <c r="A9" s="2" t="inlineStr">
        <is>
          <t>P-007</t>
        </is>
      </c>
      <c r="B9" s="2" t="inlineStr">
        <is>
          <t>Background of the Merger</t>
        </is>
      </c>
      <c r="C9" s="2" t="inlineStr">
        <is>
          <t>22</t>
        </is>
      </c>
      <c r="D9" s="2" t="inlineStr">
        <is>
          <t>On August 7, 2014,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The J.P. Morgan representative reported the conversation to the ad hoc committee.</t>
        </is>
      </c>
    </row>
    <row r="10">
      <c r="A10" s="2" t="inlineStr">
        <is>
          <t>P-008 (cont.)</t>
        </is>
      </c>
      <c r="B10" s="2" t="inlineStr">
        <is>
          <t>Background of the Merger</t>
        </is>
      </c>
      <c r="C10" s="2" t="inlineStr">
        <is>
          <t>22</t>
        </is>
      </c>
      <c r="D10" s="2" t="inlineStr">
        <is>
          <t>On August 13, 2014, the board met in person, together with members of management and representatives of J.P. Morgan and Wachtell Lipton, to complete its initial review of strategic and financial alternatives potentially available to the Company and to receive an update on communications from stockholders and other interested parties, including Industry Participant. As a result of this meeting, the board (1) determined to explore strategic alternatives (including a possible sale of the Company) for the Company to maximize value for stockholders including by commencing a process to determine the potential value that could be achieved via a sale of the Company; (2) instructed management to commence intensive planning for a cost-reduction and profit-improvement plan (which we refer to collectively as the “Profit Improvement Plan”) to potentially increase the value of the Company, whether in a sale of the Company or on a standalone basis should no sale materialize; and (3) authorized the ad hoc committee to oversee the sale exploration process, and, in between meetings of the full board, to give direction to the Company’s financial and legal advisors, to lead on behalf of the Company (or to give guidance to the Company’s representatives in connection with) any negotiations with potentially interested parties and periodically to brief the full board on the status of the sale exploration process. Together with the Company’s financial and legal advisors, the board also considered and discussed alternative formats and timing for the conduct of the exploratory sale process, and determined that at the appropriate time, which was expected to be during the second half of September or early October, J.P. Morgan should contact financial and strategic parties deemed likely to be interested and capable of completing a transaction. In addition, the board determined that the Company would issue a public announcement of its intention to explore strategic alternatives, which would ensure that interested parties not contacted would become aware of the process and could contact J.P. Morgan on their own initiative. In connection with this discussion, after deliberation and consultation with its financial and legal advisors, the board reviewed the potential benefits and risks of inviting Industry Participant to participate in the exploratory sale process. In this regard, the board considered, among other things, in addition to the communications with Industry Representative in the Spring and on August 7, the very high risk that an acquisition by or a combination with Industry Participant would not receive antitrust clearances, or would receive such clearances only with the imposition by governmental authorities of unacceptable conditions; the near certainty that the process of seeking such clearances would result in the receipt of a so-called “second request” from governmental</t>
        </is>
      </c>
    </row>
    <row r="11">
      <c r="A11" s="2" t="inlineStr">
        <is>
          <t>P-009 (cont.)</t>
        </is>
      </c>
      <c r="B11" s="2" t="inlineStr">
        <is>
          <t>Background of the Merger</t>
        </is>
      </c>
      <c r="C11" s="2" t="inlineStr">
        <is>
          <t>23</t>
        </is>
      </c>
      <c r="D11" s="2" t="inlineStr">
        <is>
          <t>authorities and would take eight months to a year, or longer, to pursue, with no assurance of success even after such a delay; the risk that Industry Participant would obtain competitively advantageous information in the course of due diligence even if it were not the winning bidder or indeed never bid; and the risk that participation by Industry Participant in the sale process would disrupt or negatively impact the sale process or impose an unacceptable time delay, in either case which would not advance the goal of maximizing shareholder value. On August 19, 2014, concurrent with its second quarter earnings announcement, the Company issued a press release announcing that it determined to explore strategic alternatives for the Company to maximize value for stockholders, including a possible sale of the Company.</t>
        </is>
      </c>
    </row>
    <row r="12">
      <c r="A12" s="2" t="inlineStr">
        <is>
          <t>P-010</t>
        </is>
      </c>
      <c r="B12" s="2" t="inlineStr">
        <is>
          <t>Background of the Merger</t>
        </is>
      </c>
      <c r="C12" s="2" t="inlineStr">
        <is>
          <t>23</t>
        </is>
      </c>
      <c r="D12" s="2" t="inlineStr">
        <is>
          <t>During the weeks following the August 13 board meeting, members of the ad hoc committee continued to discuss among themselves, with fellow directors and with J.P. Morgan, the timing and process for the exploration of strategic alternatives, including issues relating to Industry Participant. In light of the risks discussed at the August 13 meeting and in these subsequent discussions, the ad hoc committee directed J.P. Morgan to communicate to Industry Participant the board’s concerns as a result of which Industry Participant would not be invited to participate in the exploratory process. On August 22, 2014, a representative of J.P. Morgan contacted by telephone the representative of Industry Participant with whom the J.P. Morgan representative had spoken to on August 7. During this call, Industry Participant confirmed that it was aware of the Company’s August 19 announcement and the J.P Morgan representative informed the Industry Participant representative of the board’s concerns regarding Industry Participant’s participation. The parties agreed to speak again in a few days. On August 27, 2014, representatives of Industry Participant contacted by telephone the representative of J.P. Morgan. During this call, the Industry Participant representatives stated that Industry Participant would have interest in discussing the possibility of a combination of the two companies. The J.P. Morgan representative reiterated the concerns identified by the board that engaging with Industry Participant was unlikely to maximize value for PetSmart’s stockholders. The J.P. Morgan representative stated that Industry Participant would not be invited into the exploratory process, but that if Industry Participant were to wish to submit a proposal or other communication to the Company, the board would consider it. There has been no contact between PetSmart and Industry Participant (or between any of their respective representatives) since August 27, 2014.</t>
        </is>
      </c>
    </row>
    <row r="13">
      <c r="A13" s="2" t="inlineStr">
        <is>
          <t>P-011</t>
        </is>
      </c>
      <c r="B13" s="2" t="inlineStr">
        <is>
          <t>Background of the Merger</t>
        </is>
      </c>
      <c r="C13" s="2" t="inlineStr">
        <is>
          <t>23</t>
        </is>
      </c>
      <c r="D13" s="2" t="inlineStr">
        <is>
          <t>During the period from the middle of August through the end of October, the Company developed the Profit Improvement Plan and prepared for a sale process. During this period, J.P. Morgan was contacted by 27 potential participants in a sale process, including three strategic parties (not counting Industry Participant) and 24 financial participants (including potential lead buyers as well as large suppliers of equity capital to lead buyers).</t>
        </is>
      </c>
    </row>
    <row r="14">
      <c r="A14" s="2" t="inlineStr">
        <is>
          <t>P-012</t>
        </is>
      </c>
      <c r="B14" s="2" t="inlineStr">
        <is>
          <t>Background of the Merger</t>
        </is>
      </c>
      <c r="C14" s="2" t="inlineStr">
        <is>
          <t>23</t>
        </is>
      </c>
      <c r="D14" s="2" t="inlineStr">
        <is>
          <t>On October 3, 2014, the board met, together with members of management and representatives of J.P. Morgan and Wachtell Lipton, to conduct regularly scheduled business and to receive an update on the status of the Profit Improvement Plan, the planning for which had been completed, and on the sale process, including an update on communications with the 27 potentially interested parties as well as Industry Participant that had occurred since the August 13 board meeting. Among other things,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t>
        </is>
      </c>
    </row>
    <row r="15">
      <c r="A15" s="2" t="inlineStr">
        <is>
          <t>P-013</t>
        </is>
      </c>
      <c r="B15" s="2" t="inlineStr">
        <is>
          <t>Background of the Merger</t>
        </is>
      </c>
      <c r="C15" s="2" t="inlineStr">
        <is>
          <t>23</t>
        </is>
      </c>
      <c r="D15" s="2" t="inlineStr">
        <is>
          <t>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t>
        </is>
      </c>
    </row>
    <row r="16">
      <c r="A16" s="2" t="inlineStr">
        <is>
          <t>P-014</t>
        </is>
      </c>
      <c r="B16" s="2" t="inlineStr">
        <is>
          <t>Background of the Merger</t>
        </is>
      </c>
      <c r="C16" s="2" t="inlineStr">
        <is>
          <t>23</t>
        </is>
      </c>
      <c r="D16" s="2" t="inlineStr">
        <is>
          <t>During October, the potential bidders were informed that non-binding preliminary indications of interest would be due on October 30, 2014. The potential bidders were also informed that Longview had informed the Company that it would be willing to “roll-over” up to 7.5 million shares on terms and price acceptable to Longview, meaning that such shares would not receive cash merger consideration but would</t>
        </is>
      </c>
    </row>
    <row r="17">
      <c r="A17" s="2" t="inlineStr">
        <is>
          <t>P-015 (cont.)</t>
        </is>
      </c>
      <c r="B17" s="2" t="inlineStr">
        <is>
          <t>Background of the Merger</t>
        </is>
      </c>
      <c r="C17" s="2" t="inlineStr">
        <is>
          <t>24</t>
        </is>
      </c>
      <c r="D17" s="2" t="inlineStr">
        <is>
          <t>remain outstanding as equity in PetSmart or the buyer’s acquisition vehicle, if so desired by the bidder. The Company requested that, in connection with their preliminary indications of interest, the bidders should indicate their interest, if any, in participation by Longview, but that such interest was not a condition to participation in the process.</t>
        </is>
      </c>
    </row>
    <row r="18">
      <c r="A18" s="2" t="inlineStr">
        <is>
          <t>P-016</t>
        </is>
      </c>
      <c r="B18" s="2" t="inlineStr">
        <is>
          <t>Background of the Merger</t>
        </is>
      </c>
      <c r="C18" s="2" t="inlineStr">
        <is>
          <t>24</t>
        </is>
      </c>
      <c r="D18" s="2" t="inlineStr">
        <is>
          <t>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 to hear the parties’ respective rationales for the price levels suggested in their indications or rationales for not submitting an indication. Three bidders initially indicated price ranges that reached at least $80.00 per share, including the Buyer Group, which indicated a range of $81.00 to $83.00 per share, and another bidder, which suggested a range of $80.00 to $85.00 per share. As a result of its discussions with J.P. Morgan, another bidder (which we refer to as “Bidder 2”), which had initially indicated a price of $78.00, increased its indication to a range of $81.00 to $84.00 per share.</t>
        </is>
      </c>
    </row>
    <row r="19">
      <c r="A19" s="2" t="inlineStr">
        <is>
          <t>P-017</t>
        </is>
      </c>
      <c r="B19" s="2" t="inlineStr">
        <is>
          <t>Background of the Merger</t>
        </is>
      </c>
      <c r="C19" s="2" t="inlineStr">
        <is>
          <t>24</t>
        </is>
      </c>
      <c r="D19" s="2" t="inlineStr">
        <is>
          <t>On November 3, 2014, the board met in person, together with members of management and representatives of J.P. Morgan and Wachtell Lipton, to continue its review of strategic alternatives, including a review of the indications of interest. The board determined to allow the four bidders that had indicated a price or range at or above $80.00 per share to proceed to the final round of the sale process. Following this meeting, representatives of J.P. Morgan notified the eliminated parties, none of which indicated any interest or ability to remain in the process at price levels above their respective initial indications.</t>
        </is>
      </c>
    </row>
    <row r="20">
      <c r="A20" s="2" t="inlineStr">
        <is>
          <t>P-018</t>
        </is>
      </c>
      <c r="B20" s="2" t="inlineStr">
        <is>
          <t>Background of the Merger</t>
        </is>
      </c>
      <c r="C20" s="2" t="inlineStr">
        <is>
          <t>24</t>
        </is>
      </c>
      <c r="D20" s="2" t="inlineStr">
        <is>
          <t>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These two bidders informed J.P. Morgan that they had worked together successfully in previous large leveraged buyouts. After deliberation and consultation with the Company’s financial and legal advisors, the ad hoc committee authorized these two bidders to work together. We refer to these two bidders together as “Bidder 3.” Each of the bidders invited into the final round indicated some interest in a Longview rollover, though each also stated that its bid would not be conditioned or dependent on Longview participation.</t>
        </is>
      </c>
    </row>
    <row r="21">
      <c r="A21" s="2" t="inlineStr">
        <is>
          <t>P-019</t>
        </is>
      </c>
      <c r="B21" s="2" t="inlineStr">
        <is>
          <t>Background of the Merger</t>
        </is>
      </c>
      <c r="C21" s="2" t="inlineStr">
        <is>
          <t>24</t>
        </is>
      </c>
      <c r="D21" s="2" t="inlineStr">
        <is>
          <t>During November, the bidders engaged in further extensive due diligence investigations of the Company, including further detailed management presentations. Also during November, the Company circulated a form of merger agreement to the bidders with instructions that the bidders submit any proposed comments on the merger agreement together with their final bids. Following the Company’s third quarter earnings announcement and, at the request of bidders and the direction of the board and the Company, representatives of J.P. Morgan provided the bidders with updates to the Company’s fiscal year 2014 financial projections.</t>
        </is>
      </c>
    </row>
    <row r="22">
      <c r="A22" s="2" t="inlineStr">
        <is>
          <t>P-020</t>
        </is>
      </c>
      <c r="B22" s="2" t="inlineStr">
        <is>
          <t>Background of the Merger</t>
        </is>
      </c>
      <c r="C22" s="2" t="inlineStr">
        <is>
          <t>24</t>
        </is>
      </c>
      <c r="D22" s="2" t="inlineStr">
        <is>
          <t>On December 3, 2014, the board met in-person for a regularly scheduled meeting. In addition to regular business, significant portions of this meeting were devoted to a further review and financial analysis of the Company’s strategic and financial alternatives, particularly in light of positive indications about the Company’s operating results based on preliminary information from the Fall and Thanksgiving season and indications that the Profit Improvement Plan would likely be successful in achieving at least $200 million in annual incremental profit. During these portions of the meeting, which were attended by members of management and representatives of J.P. Morgan and Wachtell Lipton, the board considered the values for the Company that might be achieved on a standalone basis, with and without a leveraged return of capital to stockholders. Because the board did not have bids in hand at this time, no decisions were made. The board had initially targeted Monday, December 15 for completion of the sale process, and had initially set Friday, December 5 as the date for submission of bids so as to allow sufficient time for the Company to receive and analyze the bids, conduct further rounds of bidding, if necessary, to negotiate final documentation, and to permit the winning bidder a short period of time to discuss and negotiate a Longview rollover, if desired by the winning bidder. However, on December 4 and December 5, 2014, after consultation with the Company’s financial and legal advisors, the ad hoc committee concluded that these matters could be accomplished in a shorter period of time, which would reduce the risk of leaks or</t>
        </is>
      </c>
    </row>
    <row r="23">
      <c r="A23" s="2" t="inlineStr">
        <is>
          <t>P-021 (cont.)</t>
        </is>
      </c>
      <c r="B23" s="2" t="inlineStr">
        <is>
          <t>Background of the Merger</t>
        </is>
      </c>
      <c r="C23" s="2" t="inlineStr">
        <is>
          <t>25</t>
        </is>
      </c>
      <c r="D23" s="2" t="inlineStr">
        <is>
          <t>unintended public disclosure. Accordingly, the Company set the evening of Wednesday, December 10 (five days, rather than 10 days prior to the anticipated December 15 completion date) as the deadline for submission of final bids, and at the same time asked the bidders to submit mark-ups of the draft merger agreement and the other transaction documents and financing commitments, if possible, in advance.</t>
        </is>
      </c>
    </row>
    <row r="24">
      <c r="A24" s="2" t="inlineStr">
        <is>
          <t>P-022</t>
        </is>
      </c>
      <c r="B24" s="2" t="inlineStr">
        <is>
          <t>Background of the Merger</t>
        </is>
      </c>
      <c r="C24" s="2" t="inlineStr">
        <is>
          <t>25</t>
        </is>
      </c>
      <c r="D24" s="2" t="inlineStr">
        <is>
          <t>On December 6, 2014, the Buyer Group and Bidder 2 submitted their respective comments on the draft merger agreement and other transaction documents, and the Buyer Group provided its financing commitment documents.</t>
        </is>
      </c>
    </row>
    <row r="25">
      <c r="A25" s="2" t="inlineStr">
        <is>
          <t>P-023</t>
        </is>
      </c>
      <c r="B25" s="2" t="inlineStr">
        <is>
          <t>Background of the Merger</t>
        </is>
      </c>
      <c r="C25" s="2" t="inlineStr">
        <is>
          <t>25</t>
        </is>
      </c>
      <c r="D25" s="2" t="inlineStr">
        <is>
          <t>On December 8, 2014, the board met telephonically, together with members of management and representatives of J.P. Morgan and Wachtell Lipton, to receive an update and review and discuss the comments from the bidders on the draft merger agreement and other transaction documents. Later on December 8, 2014, Wachtell Lipton sent to the Buyer Group and Bidder 2 revised versions of the form of merger agreement and other transaction documents, reflecting the Company’s positions and reactions to the bidders’ respective comments.</t>
        </is>
      </c>
    </row>
    <row r="26">
      <c r="A26" s="2" t="inlineStr">
        <is>
          <t>P-024</t>
        </is>
      </c>
      <c r="B26" s="2" t="inlineStr">
        <is>
          <t>Background of the Merger</t>
        </is>
      </c>
      <c r="C26" s="2" t="inlineStr">
        <is>
          <t>25</t>
        </is>
      </c>
      <c r="D26" s="2" t="inlineStr">
        <is>
          <t>Following the execution of a confidentiality agreement, on December 9, 2014, J.P. Morgan arranged introductory meetings between Longview and the Buyer Group, and between Longview and Bidder 2. These meetings, which were attended by representatives of J.P. Morgan and Wachtell Lipton, were introductory in nature, to enable the bidders to determine their interest in working with Longview, and vice versa, and the bidders were prohibited at this time from disclosing to Longview the respective prices that the bidders intended to bid.</t>
        </is>
      </c>
    </row>
    <row r="27">
      <c r="A27" s="2" t="inlineStr">
        <is>
          <t>P-025</t>
        </is>
      </c>
      <c r="B27" s="2" t="inlineStr">
        <is>
          <t>Background of the Merger</t>
        </is>
      </c>
      <c r="C27" s="2" t="inlineStr">
        <is>
          <t>25</t>
        </is>
      </c>
      <c r="D27" s="2" t="inlineStr">
        <is>
          <t>On December 10, PetSmart received final bid letters along with revised versions of the merger agreement and other transaction documents from the Buyer Group and from Bidder 2 and a verbal indication from Bidder 3. The Buyer Group offered $80.70 per share, in cash, and Bidder 2 offered $80.35 per share, in cash. Bidder 3 verbally communicated to J.P. Morgan that their valuation would not be above the current stock price of approximately $78 per share. J.P. Morgan communicated to Bidder 3 that it was unlikely to be competitive and accordingly Bidder 3 did not submit a written offer.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Each bidder indicated that its bid was not dependent on a rollover by Longview, but neither the Buyer Group nor Bidder 2 ruled out the possibility of partnering with Longview in a transaction, though Bidder 2 indicated that any partnering with Longview would only occur after completion of bidding and execution of a definitive merger agreement with the Company.</t>
        </is>
      </c>
    </row>
    <row r="28">
      <c r="A28" s="2" t="inlineStr">
        <is>
          <t>P-026</t>
        </is>
      </c>
      <c r="B28" s="2" t="inlineStr">
        <is>
          <t>Background of the Merger</t>
        </is>
      </c>
      <c r="C28" s="2" t="inlineStr">
        <is>
          <t>25</t>
        </is>
      </c>
      <c r="D28" s="2" t="inlineStr">
        <is>
          <t>On December 10, 2014, the ad hoc committee discussed the bids and the draft merger agreements with representatives of J.P. Morgan and Wachtell Lipton. The ad hoc committee was of the view that there could be no assurance that the board would approve either bid unless improved. In light of the closeness of the bids, recent positive developments identified at the board meeting on December 3, and the view shared by the ad hoc committee and J.P. Morgan that neither of the bids represented the bidders’ respective best offers, the ad hoc committee instructed J.P. Morgan to inform each bidder that it would need to increase its bid, and to instruct the bidders to submit improved bids on December 12, 2014. On the evening of December 11, 2014, representatives of J.P. Morgan contacted Longview to inform Longview that the bidders have been asked to submit revised and improved bids, and to confirm that Longview continued to be interested and willing to participate in a potential transaction by rolling over a portion of its Company common stock, so long as Longview’s participation was desired and approved by the ad hoc committee.</t>
        </is>
      </c>
    </row>
    <row r="29">
      <c r="A29" s="2" t="inlineStr">
        <is>
          <t>P-027</t>
        </is>
      </c>
      <c r="B29" s="2" t="inlineStr">
        <is>
          <t>Background of the Merger</t>
        </is>
      </c>
      <c r="C29" s="2" t="inlineStr">
        <is>
          <t>25</t>
        </is>
      </c>
      <c r="D29" s="2" t="inlineStr">
        <is>
          <t>Early in the day on December 12, 2014, the Buyer Group requested permission to work more closely with Longview in order to include a rollover of a portion of the Company shares managed by Longview in the Buyer Group’s bid. The Buyer Group informed J.P. Morgan that the Buyer Group was working to achieve a higher price, and that Longview participation with the Buyer Group might enhance the Buyer Group’s ability to do so. Bidder 2 indicated to J.P. Morgan that accommodation of a Longview rollover would not affect Bidder 2’s price, and that Bidder 2 would consider accommodating a Longview rollover only after execution of a merger agreement between the Company and Bidder 2. After consultation with the Company’s financial and legal advisors, the ad hoc committee approved the Buyer Group’s request, and,</t>
        </is>
      </c>
    </row>
    <row r="30">
      <c r="A30" s="2" t="inlineStr">
        <is>
          <t>P-028 (cont.)</t>
        </is>
      </c>
      <c r="B30" s="2" t="inlineStr">
        <is>
          <t>Background of the Merger</t>
        </is>
      </c>
      <c r="C30" s="2" t="inlineStr">
        <is>
          <t>26</t>
        </is>
      </c>
      <c r="D30" s="2" t="inlineStr">
        <is>
          <t>later that day, Longview and the Buyer Group entered into a confidentiality agreement permitting the exchange of detailed information between them, including bid price, which had not previously been shared with Longview. The ad hoc committee also instructed Wachtell Lipton to provide a form of voting agreement to Longview to secure Longview’s commitment to vote for the merger subject to certain exceptions, including a change of recommendation by the board.</t>
        </is>
      </c>
    </row>
    <row r="31">
      <c r="A31" s="2" t="inlineStr">
        <is>
          <t>P-029</t>
        </is>
      </c>
      <c r="B31" s="2" t="inlineStr">
        <is>
          <t>Background of the Merger</t>
        </is>
      </c>
      <c r="C31" s="2" t="inlineStr">
        <is>
          <t>26</t>
        </is>
      </c>
      <c r="D31" s="2" t="inlineStr">
        <is>
          <t>During the evening of December 12, 2014, Bidder 2 submitted an offer of $81.50 per share, in cash. Representatives of J.P. Morgan confirmed via a conversation with Bidder 2 on the evening of December 12, 2014 that $81.50 per share was its best and final offer. The Buyer Group initially submitted an oral offer of $82.50 per share, in cash, but stated that it was working to increase the offer within the next few hours. Later in the evening,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t>
        </is>
      </c>
    </row>
    <row r="32">
      <c r="A32" s="2" t="inlineStr">
        <is>
          <t>P-030</t>
        </is>
      </c>
      <c r="B32" s="2" t="inlineStr">
        <is>
          <t>Background of the Merger</t>
        </is>
      </c>
      <c r="C32" s="2" t="inlineStr">
        <is>
          <t>26</t>
        </is>
      </c>
      <c r="D32" s="2" t="inlineStr">
        <is>
          <t>On December 13, 2014, the board met in person, together with the members of management and representatives of J.P. Morgan and Wachtell Lipton, to discuss and review the final bids and to consider the proposed transaction. Representatives of J.P. Morgan reviewed the respective bids as well as the recent progression of the sale process. Representatives of Wachtell Lipton reviewed the terms of the draft merger agreement and other transaction documents and reviewed the financing commitments that had been provided by the Buyer Group. Representatives of J.P. Morgan made a financial presentation concerning the proposed transaction with the Buyer Group, as well as the Company’s alternatives to a sale of the Company, including a leveraged share repurchase. J.P. Morgan then rendered its oral opinion, which was subsequently confirmed in writing, to the board that, as of that date, and based upon and subject to the factors, assumptions and limitations set forth in its opinion, the merger consideration of $83.00 in cash to be paid to the holders of the Company’s common stock in the merger was fair, from a financial point of view, to such holders. Following extensive discussion, the board unanimously determined that the merger agreement and the transactions contemplated thereby, including the merger, were advisable and in the best interests of PetSmart and its stockholders, and to recommend that the Company’s stockholders approve the adoption of the merger agreement. The board’s determination was subject, however, to confirmation that the remaining open points in the merger agreement had been satisfactorily resolved, and the board determined to reconvene, if deemed necessary by the ad hoc committee or the chairman of the board.</t>
        </is>
      </c>
    </row>
    <row r="33">
      <c r="A33" s="2" t="inlineStr">
        <is>
          <t>P-031</t>
        </is>
      </c>
      <c r="B33" s="2" t="inlineStr">
        <is>
          <t>Background of the Merger</t>
        </is>
      </c>
      <c r="C33" s="2" t="inlineStr">
        <is>
          <t>26</t>
        </is>
      </c>
      <c r="D33" s="2" t="inlineStr">
        <is>
          <t>Following the board meeting, the parties completed negotiations on terms satisfactory to both parties, and finalized the terms of the Longview voting agreement. On December 14, 2014, the parties executed the merger agreement, the voting agreement and related transaction agreements and issued a press release announcing the transaction.</t>
        </is>
      </c>
    </row>
    <row r="34">
      <c r="A34" s="2" t="inlineStr">
        <is>
          <t>X-001</t>
        </is>
      </c>
      <c r="B34" s="2" t="inlineStr">
        <is>
          <t>Summary — Definitions</t>
        </is>
      </c>
      <c r="C34" s="2" t="inlineStr">
        <is>
          <t>1</t>
        </is>
      </c>
      <c r="D34" s="2" t="inlineStr">
        <is>
          <t>the “Buyer Group” refers to a consortium of funds advised by BC Partners, Inc., La Caisse de dépôt et placement du Québec, affiliates of GIC Special Investments Pte Ltd, affiliates of StepStone Group LP and, at all times after December 12, 2014, Longview Asset Management, LLC;</t>
        </is>
      </c>
    </row>
    <row r="35">
      <c r="A35" s="2" t="inlineStr">
        <is>
          <t>X-002</t>
        </is>
      </c>
      <c r="B35" s="2" t="inlineStr">
        <is>
          <t>Summary — Effect of Merger</t>
        </is>
      </c>
      <c r="C35" s="2" t="inlineStr">
        <is>
          <t>2</t>
        </is>
      </c>
      <c r="D35" s="2" t="inlineStr">
        <is>
          <t>The merger agreement provides that at the effective time of the merger each outstanding share of common stock (other than shares owned by the Company, any subsidiary of the Company, Parent, any direct or indirect holding company of Parent, Merger Sub and holders who are entitled to and properly exercise appraisal rights under Delaware law), will be converted into the right to receive $83.00 in cash (the “merger consideration”). Following the merger, the Company will therefore become a privately held company, wholly owned by Parent and the Company’s common stock will be delisted from NASDAQ and deregistered under the Securities Exchange Act of 1934, as amended. At the closing of the transactions contemplated by the merger agreement, Parent will be owned by the Buyer Group.</t>
        </is>
      </c>
    </row>
    <row r="36">
      <c r="A36" s="2" t="inlineStr">
        <is>
          <t>X-003</t>
        </is>
      </c>
      <c r="B36" s="2" t="inlineStr">
        <is>
          <t>Summary — Record Date and Quorum</t>
        </is>
      </c>
      <c r="C36" s="2" t="inlineStr">
        <is>
          <t>2</t>
        </is>
      </c>
      <c r="D36" s="2" t="inlineStr">
        <is>
          <t>The holders of record of the common stock as of the close of business on January 29, 2015 (the record date for determination of stockholders entitled to notice of and to vote at the special meeting), are entitled to receive notice of and to vote at the special meeting. As of the close of business on the record date, there were 99,455,151 shares of common stock outstanding.</t>
        </is>
      </c>
    </row>
    <row r="37">
      <c r="A37" s="2" t="inlineStr">
        <is>
          <t>X-004</t>
        </is>
      </c>
      <c r="B37" s="2" t="inlineStr">
        <is>
          <t>Summary — Voting Support Agreement</t>
        </is>
      </c>
      <c r="C37" s="2" t="inlineStr">
        <is>
          <t>3</t>
        </is>
      </c>
      <c r="D37" s="2" t="inlineStr">
        <is>
          <t>•</t>
        </is>
      </c>
    </row>
    <row r="38">
      <c r="A38" s="2" t="inlineStr">
        <is>
          <t>X-005</t>
        </is>
      </c>
      <c r="B38" s="2" t="inlineStr">
        <is>
          <t>Questions and Answers</t>
        </is>
      </c>
      <c r="C38" s="2" t="inlineStr">
        <is>
          <t>10</t>
        </is>
      </c>
      <c r="D38" s="2" t="inlineStr">
        <is>
          <t>If the merger is completed, you will be entitled to receive $83.00 in cash, without interest and less any applicable withholding taxes, for each share of our common stock that you own. For example, if you own 100 shares of common stock, you will be entitled to receive $8,300 in cash in exchange for your shares of common stock, less any applicable withholding taxes. You will not be entitled to receive shares in the surviving corporation or in Parent.</t>
        </is>
      </c>
    </row>
    <row r="39">
      <c r="A39" s="2" t="inlineStr">
        <is>
          <t>X-006</t>
        </is>
      </c>
      <c r="B39" s="2" t="inlineStr">
        <is>
          <t>Questions and Answers</t>
        </is>
      </c>
      <c r="C39" s="2" t="inlineStr">
        <is>
          <t>11</t>
        </is>
      </c>
      <c r="D39" s="2" t="inlineStr">
        <is>
          <t>In connection with the merger agreement, the Company, Parent and Longview entered into the voting agreement, pursuant to which Longview has agreed, among other things and subject to certain conditions, to vote 7,424,591 shares of common stock in favor of the merger proposal and against any proposal made in opposition to or in competition with the merger or the merger agreement that is not approved by the board.</t>
        </is>
      </c>
    </row>
    <row r="40">
      <c r="A40" s="2" t="inlineStr">
        <is>
          <t>X-007</t>
        </is>
      </c>
      <c r="B40" s="2" t="inlineStr">
        <is>
          <t>The Parties to the Merger Agreement</t>
        </is>
      </c>
      <c r="C40" s="2" t="inlineStr">
        <is>
          <t>16</t>
        </is>
      </c>
      <c r="D40" s="2" t="inlineStr">
        <is>
          <t>Argos Holdings Inc. is a Delaware corporation. Argos Merger Sub Inc. is a Delaware corporation and a wholly owned subsidiary of Parent. Parent and Merger Sub are affiliates of funds advised by BC Partners, Inc. and at the closing of the transactions contemplated by the merger agreement will be owned by a consortium comprised of funds advised by BC Partners, Inc., La Caisse de dépôt et placement du Québec, affiliates of GIC Special Investments Pte Ltd, affiliates of StepStone Group LP and Longview. The principal executive offices of both Parent and Merger Sub are located at 667 Madison Avenue, 19th Floor, New York, NY 10065. Both Parent and Merger Sub were formed solely for the purpose of entering into the merger agreement and consummating the transactions contemplated by the merger agreement, and have not engaged in any business except for activities incidental to their formation and as contemplated by the merger agreement.</t>
        </is>
      </c>
    </row>
    <row r="41">
      <c r="A41" s="2" t="inlineStr">
        <is>
          <t>X-008a</t>
        </is>
      </c>
      <c r="B41" s="2" t="inlineStr">
        <is>
          <t>Reasons for the Merger</t>
        </is>
      </c>
      <c r="C41" s="2" t="inlineStr">
        <is>
          <t>27</t>
        </is>
      </c>
      <c r="D41" s="2" t="inlineStr">
        <is>
          <t>The board considered that the Company had conducted a lengthy and thorough process, directed by the board and the ad hoc committee, which consisted solely of independent directors, during which representatives of the Company contacted or were contacted by more than 25 potential participants, entered into non-disclosure agreements with and engaged in due diligence or provided management presentation to 15 potential bidders, received first round indications of interest from 5 bidder groups, and ultimately negotiated with the Buyer Group as well as two other bidding groups, neither of which was willing to make a definitive offer at a price above $81.50, which was lower than the $83.00 price offered by the Buyer Group.</t>
        </is>
      </c>
    </row>
    <row r="42">
      <c r="A42" s="2" t="inlineStr">
        <is>
          <t>X-008b (cont.)</t>
        </is>
      </c>
      <c r="B42" s="2" t="inlineStr">
        <is>
          <t>Reasons for the Merger</t>
        </is>
      </c>
      <c r="C42" s="2" t="inlineStr">
        <is>
          <t>27</t>
        </is>
      </c>
      <c r="D42" s="2" t="inlineStr">
        <is>
          <t>The board noted that Bidder 2 had informed the Company’s representatives that $81.50 per share was its best and final offer. The board also noted that, based on conversations with, and based on the course of negotiations with, the Buyer Group, $83.00 per share appeared to be the highest price the Buyer Group could offer.</t>
        </is>
      </c>
    </row>
    <row r="43">
      <c r="A43" s="2" t="inlineStr">
        <is>
          <t>X-008c (cont.)</t>
        </is>
      </c>
      <c r="B43" s="2" t="inlineStr">
        <is>
          <t>Reasons for the Merger</t>
        </is>
      </c>
      <c r="C43" s="2" t="inlineStr">
        <is>
          <t>27</t>
        </is>
      </c>
      <c r="D43" s="2" t="inlineStr">
        <is>
          <t>Among other things, the Buyer Group informed representatives of the Company that after increasing its offer from $82.50 to $83.00 per share, some members of the group, or all of them, were unwilling or unable to offer additional consideration. The Buyer Group also informed representatives of the Company that Longview’s willingness to participate in the Buyer Group with respect to $250 million of the common stock was helpful in achieving an $83.00 per share price.</t>
        </is>
      </c>
    </row>
    <row r="44">
      <c r="A44" s="2" t="inlineStr">
        <is>
          <t>X-009</t>
        </is>
      </c>
      <c r="B44" s="2" t="inlineStr">
        <is>
          <t>Reasons for the Merger</t>
        </is>
      </c>
      <c r="C44" s="2" t="inlineStr">
        <is>
          <t>28</t>
        </is>
      </c>
      <c r="D44" s="2" t="inlineStr">
        <is>
          <t>PetSmart’s right, subject to certain conditions, to respond to and negotiate unsolicited acquisition proposals made prior to the time PetSmart’s stockholders approve the proposal to adopt the merger agreement. In this regard, the board took into consideration that the confidentiality agreements entered into by the 15 potentially interested parties that engaged in due diligence contained standstill provisions that prevent those parties from submitting (or even seeking permission to submit) a higher bid once the Company entered into a definitive transaction agreement with the winning sale process participant. The board, after deliberation and consultation with its financial and legal advisors, believed that such provisions promoted the goal of maximizing shareholder value by encouraging the potentially interested parties to put their best bids forward during the sale process;</t>
        </is>
      </c>
    </row>
    <row r="45">
      <c r="A45" s="2" t="inlineStr">
        <is>
          <t>X-010</t>
        </is>
      </c>
      <c r="B45" s="2" t="inlineStr">
        <is>
          <t>Reasons for the Merger</t>
        </is>
      </c>
      <c r="C45" s="2" t="inlineStr">
        <is>
          <t>28</t>
        </is>
      </c>
      <c r="D45" s="2" t="inlineStr">
        <is>
          <t>the fact that as of February 2, 2015, the date of this proxy statement, no person has made an unsolicited offer or proposal to acquire PetSmart.</t>
        </is>
      </c>
    </row>
    <row r="46">
      <c r="A46" s="2" t="inlineStr">
        <is>
          <t>X-011</t>
        </is>
      </c>
      <c r="B46" s="2" t="inlineStr">
        <is>
          <t>Financing</t>
        </is>
      </c>
      <c r="C46" s="2" t="inlineStr">
        <is>
          <t>40</t>
        </is>
      </c>
      <c r="D46" s="2" t="inlineStr">
        <is>
          <t>The Company and Parent estimate that the total amount of funds required to complete the merger and related transactions and pay related fees and expenses will be approximately $8.4 billion. Parent expects this amount to be funded through a combination of the following:</t>
        </is>
      </c>
    </row>
    <row r="47">
      <c r="A47" s="2" t="inlineStr">
        <is>
          <t>X-012</t>
        </is>
      </c>
      <c r="B47" s="2" t="inlineStr">
        <is>
          <t>Financing — Debt</t>
        </is>
      </c>
      <c r="C47" s="2" t="inlineStr">
        <is>
          <t>40</t>
        </is>
      </c>
      <c r="D47" s="2" t="inlineStr">
        <is>
          <t>debt financing in an aggregate principal amount of up to approximately $6.2 billion as well as a $750 million senior secured asset-based revolving credit facility, a portion of which will be available at closing. Parent has received firm commitments from a consortium of financial institutions to provide the debt financing and revolving credit facility. See “ — Debt Financing ”;</t>
        </is>
      </c>
    </row>
    <row r="48">
      <c r="A48" s="2" t="inlineStr">
        <is>
          <t>X-013</t>
        </is>
      </c>
      <c r="B48" s="2" t="inlineStr">
        <is>
          <t>Financing — Equity</t>
        </is>
      </c>
      <c r="C48" s="2" t="inlineStr">
        <is>
          <t>40</t>
        </is>
      </c>
      <c r="D48" s="2" t="inlineStr">
        <is>
          <t>cash equity investments by members of the Buyer Group (other than Longview) in an aggregate amount up to approximately $1.83 billion and Longview’s contribution to Parent of $250 million worth of the Company’s common stock immediately prior to the effective time of the merger. Parent has received equity commitments for the equity financing from the Buyer Group (other than Longview) and has entered into a rollover agreement with Longview with respect to its contribution of Company common stock to Parent. See “ — Equity Financing ”; and</t>
        </is>
      </c>
    </row>
    <row r="49">
      <c r="A49" s="2" t="inlineStr">
        <is>
          <t>X-014</t>
        </is>
      </c>
      <c r="B49" s="2" t="inlineStr">
        <is>
          <t>Financing</t>
        </is>
      </c>
      <c r="C49" s="2" t="inlineStr">
        <is>
          <t>40</t>
        </is>
      </c>
      <c r="D49" s="2" t="inlineStr">
        <is>
          <t>approximately $425 million of cash is expected to be on hand and available at the closing.</t>
        </is>
      </c>
    </row>
    <row r="50">
      <c r="A50" s="2" t="inlineStr">
        <is>
          <t>X-015</t>
        </is>
      </c>
      <c r="B50" s="2" t="inlineStr">
        <is>
          <t>Financing — Equity</t>
        </is>
      </c>
      <c r="C50" s="2" t="inlineStr">
        <is>
          <t>41</t>
        </is>
      </c>
      <c r="D50" s="2" t="inlineStr">
        <is>
          <t>On December 14, 2014, the Parent and Longview entered into a rollover agreement (the “rollover agreement”) under which Longview has agreed to contribute 3,012,050 shares (“rollover shares”) to Parent immediately prior to the effective time in exchange for equity interests in Parent. Longview’s obligation to transfer and contribute to Parent the rollover shares is subject to the satisfaction of the following conditions:</t>
        </is>
      </c>
    </row>
    <row r="51">
      <c r="A51" s="2" t="inlineStr">
        <is>
          <t>X-016</t>
        </is>
      </c>
      <c r="B51" s="2" t="inlineStr">
        <is>
          <t>Financing — Equity</t>
        </is>
      </c>
      <c r="C51" s="2" t="inlineStr">
        <is>
          <t>41</t>
        </is>
      </c>
      <c r="D51" s="2" t="inlineStr">
        <is>
          <t>Longview will receive the same $83.00 per share merger consideration as the other holders of the Company’s common stock for all other shares of common stock beneficially owned by it (other than the rollover shares).</t>
        </is>
      </c>
    </row>
    <row r="52">
      <c r="A52" s="2" t="inlineStr">
        <is>
          <t>X-017</t>
        </is>
      </c>
      <c r="B52" s="2" t="inlineStr">
        <is>
          <t>Financing — Debt</t>
        </is>
      </c>
      <c r="C52" s="2" t="inlineStr">
        <is>
          <t>41</t>
        </is>
      </c>
      <c r="D52" s="2" t="inlineStr">
        <is>
          <t>In connection with the entry into the merger agreement, Merger Sub has (i) obtained a commitment letter (as amended from time to time in accordance with the merger agreement, the “debt commitment letter”) from Citigroup Global Markets Inc., Barclays Bank PLC, Deutsche Bank AG New York Branch, Nomura Securities International, Inc. and Jefferies Finance LLC, and, in some cases, certain of their affiliates (collectively, the “Initial Lenders”) and (ii) entered into joinder agreements with respect to the debt commitment letter with each of RBC Capital Markets, Macquarie Capital (USA) Inc. and Natixis, New York Branch (together with the Initial Lenders, the “Lenders”) to provide, severally but not jointly, upon the terms and subject to the conditions set forth in the debt commitment letter, in the aggregate up to $6.95 billion in debt financing (not all of which is expected to be drawn at the closing of the merger), consisting of the following:</t>
        </is>
      </c>
    </row>
    <row r="53">
      <c r="A53" s="2" t="inlineStr">
        <is>
          <t>X-018</t>
        </is>
      </c>
      <c r="B53" s="2" t="inlineStr">
        <is>
          <t>Regulatory Approvals</t>
        </is>
      </c>
      <c r="C53" s="2" t="inlineStr">
        <is>
          <t>52</t>
        </is>
      </c>
      <c r="D53" s="2" t="inlineStr">
        <is>
          <t>Under the HSR Act and related rules, certain transactions, including the merger, may not be completed until notifications have been given and information furnished to the Antitrust Division and the FTC and all statutory waiting period requirements have been satisfied. On December 24, 2014, both the Company and Parent filed their respective Notification and Report Forms with the Antitrust Division and the FTC. The 30-day waiting period under the HSR Act will expire at 11:59 pm on January 23, 2015, unless terminated early or otherwise extended. Both the Company and Parent received early termination of the HSR waiting period on January 7, 2015.</t>
        </is>
      </c>
    </row>
    <row r="54">
      <c r="A54" s="2" t="inlineStr">
        <is>
          <t>X-019</t>
        </is>
      </c>
      <c r="B54" s="2" t="inlineStr">
        <is>
          <t>Regulatory Approvals</t>
        </is>
      </c>
      <c r="C54" s="2" t="inlineStr">
        <is>
          <t>52</t>
        </is>
      </c>
      <c r="D54" s="2" t="inlineStr">
        <is>
          <t>Under the Competition Act in Canada, the parties must file a pre-Merger notification and observe the specified waiting period requirements before consummating the merger, unless the parties are exempted from such requirements through the issuance of an ARC, or a “no-action” letter together with a waiver of the notification and waiting period requirements. On December 30, 2014, the parties submitted a request to the Commissioner of Competition in Canada for an ARC or, in the alternative, a “no-action” letter. The parties were issued an ARC pursuant to section 102 of the Competition Act on January 14, 2015.</t>
        </is>
      </c>
    </row>
    <row r="55">
      <c r="A55" s="2" t="inlineStr">
        <is>
          <t>X-020</t>
        </is>
      </c>
      <c r="B55" s="2" t="inlineStr">
        <is>
          <t>Litigation</t>
        </is>
      </c>
      <c r="C55" s="2" t="inlineStr">
        <is>
          <t>52</t>
        </is>
      </c>
      <c r="D55" s="2" t="inlineStr">
        <is>
          <t>Since the December 14, 2014 announcement of the transaction, the members of the board, Parent, Merger Sub, and BC Partners, Inc. have been named in seven putative class action lawsuits filed in the Delaware Court of Chancery challenging the merger. PetSmart, La Caisse de dépôt et placement du Québec, GIC Special Investments Pte Ltd, Longview Asset Management, LLC and Stepstone Group LP have been named in six of the seven lawsuits, and Jana Partners LLC has been named in one of the lawsuits. The cases are captioned Soffer v. Lenhardt, et al. , C.A. No. 10482-VCN, Sharkey v. PetSmart, Inc., et al. , C.A. No. 10496-VCN, Lipovich v. PetSmart, Inc., et al. , C.A. No. 10504-VCN, Wayne County Employees’ Retirement System v. BC Partners, Inc., et al ., C.A. No. 10514-VCN, Levine v. PetSmart, Inc., et al. , C.A. No. 10516-VCN, City of Atlanta Firefighters Pension Plan v. Lenhardt, et al. , C.A. No. 10527-VCN and Seawell v. PetSmart, Inc., et al. , C.A. No. 10541-VCN. On January 20, 2015, plaintiff in the City of Atlanta Firefighters Pension Plan action filed an Amended Verified Class Action Complaint for Breach of Fiduciary Duty. On January 30, 2015, plaintiff in the Soffer action filed a Verified Amended Class Action Complaint. The complaints generally allege, among other things, that the PetSmart directors breached their fiduciary duties by agreeing to the transaction at an inadequate price and through an inadequate process and by agreeing to deal terms that allegedly prevent a superior offer for the Company. The amended complaints in the City of Atlanta Firefighters Pension Plan and Soffer actions also allege that the individual defendants breached their fiduciary duties by filing a false and misleading preliminary proxy statement. The complaints also allege that PetSmart and/or some or all of the other entity defendants aided and abetted the directors’ alleged breaches of duty. The complaints seek, among other things, to enjoin the transaction or to rescind the transaction if consummated, and attorney’s fees and other costs.</t>
        </is>
      </c>
    </row>
    <row r="56">
      <c r="A56" s="2" t="inlineStr">
        <is>
          <t>X-021</t>
        </is>
      </c>
      <c r="B56" s="2" t="inlineStr">
        <is>
          <t>Market Price of the Company’s Common Stock</t>
        </is>
      </c>
      <c r="C56" s="2" t="inlineStr">
        <is>
          <t>76</t>
        </is>
      </c>
      <c r="D56" s="2" t="inlineStr">
        <is>
          <t>The closing sale price of our common stock on December 12, 2014, which was the last trading day before the merger was publicly announced, was $77.67 per share. On January 30, 2015, the most recent practicable date before this proxy statement was mailed to our stockholders, the closing price for our common stock was $81.71 per share. You are encouraged to obtain current market quotations for our common stock in connection with voting your shares of our common stock.</t>
        </is>
      </c>
    </row>
    <row r="57">
      <c r="A57" s="2" t="inlineStr">
        <is>
          <t>X-022</t>
        </is>
      </c>
      <c r="B57" s="2" t="inlineStr">
        <is>
          <t>Security Ownership of Certain Beneficial Owners and Management</t>
        </is>
      </c>
      <c r="C57" s="2" t="inlineStr">
        <is>
          <t>77</t>
        </is>
      </c>
      <c r="D57" s="2" t="inlineStr">
        <is>
          <t>Information is based solely upon a Schedule 13D/A filed by Longview Asset Management, LLC on December 19, 2014, which reported that Longview Asset Management, LLC has an aggregate beneficial ownership of 8,214,170 shares.</t>
        </is>
      </c>
    </row>
    <row r="58">
      <c r="A58" s="2" t="inlineStr">
        <is>
          <t>X-023</t>
        </is>
      </c>
      <c r="B58" s="2" t="inlineStr">
        <is>
          <t>Solicitation of Proxies</t>
        </is>
      </c>
      <c r="C58" s="2" t="inlineStr">
        <is>
          <t>20</t>
        </is>
      </c>
      <c r="D58" s="2" t="inlineStr">
        <is>
          <t>The board is soliciting your proxy, and we will bear the cost of soliciting proxies. This includes the charges and expenses of brokerage firms and others for forwarding solicitation material to beneficial owners of our outstanding common stock. Innisfree M&amp;A Incorporated, a proxy solicitation firm, has been retained to assist it in the solicitation of proxies for the special meeting. As of the record date, the Company has paid Innisfree M&amp;A Incorporated approximately $182,725 for the solicitation of proxies in connection with the special meeting and other advisory work, and expects to pay Innisfree M&amp;A Incorporated, in the aggregate, approximately $240,000 through March 2015. Proxies may be solicited by mail, personal interview, e-mail, telephone, or via the Internet by Innisfree M&amp;A Incorporated or, without additional compensation by certain of the Company’s directors, officers and employees.</t>
        </is>
      </c>
    </row>
    <row r="59">
      <c r="A59" s="2" t="inlineStr">
        <is>
          <t>X-024</t>
        </is>
      </c>
      <c r="B59" s="2" t="inlineStr">
        <is>
          <t>Proxy Statement — Date</t>
        </is>
      </c>
      <c r="C59" s="2" t="inlineStr">
        <is>
          <t>Cover letter</t>
        </is>
      </c>
      <c r="D59" s="2" t="inlineStr">
        <is>
          <t>This proxy statement is dated February 2, 2015 and is first being mailed to stockholders on or about February 2, 2015.</t>
        </is>
      </c>
    </row>
    <row r="60">
      <c r="A60" s="2" t="inlineStr">
        <is>
          <t>X-025</t>
        </is>
      </c>
      <c r="B60" s="2" t="inlineStr">
        <is>
          <t>The Special Meeting</t>
        </is>
      </c>
      <c r="C60" s="2" t="inlineStr">
        <is>
          <t>17</t>
        </is>
      </c>
      <c r="D60" s="2" t="inlineStr">
        <is>
          <t>This proxy statement is being furnished to our stockholders as part of the solicitation of proxies by the board for use at the special meeting to be held at the Sheraton Crescent Hotel, 2620 W. Dunlap Avenue, Phoenix, AZ 85021 on March 6, 2015, starting at 1:00 p.m., local time or at any adjournment or postponement thereof.</t>
        </is>
      </c>
    </row>
    <row r="61">
      <c r="A61" s="2" t="inlineStr">
        <is>
          <t>X-026</t>
        </is>
      </c>
      <c r="B61" s="2" t="inlineStr">
        <is>
          <t>Reasons for the Merger</t>
        </is>
      </c>
      <c r="C61" s="2" t="inlineStr">
        <is>
          <t>26</t>
        </is>
      </c>
      <c r="D61" s="2" t="inlineStr">
        <is>
          <t>Attractive Value. The board considered the current and historical market prices of the common stock, including the market performance of the common stock relative to those of other participants in the Company’s industry and general market indices, and the fact that the merger consideration of $83.00 per share in cash represents an attractive premium to estimates of the Company’s unaffected stock price, including a premium of 38.8% to the Company’s stock price on July 2, 2014, the date on which a PetSmart stockholder disclosed its acquisition of a 9.9% stake in the Company and advocated publicly for the Company to explore strategic alternatives, including a sale of the Company.</t>
        </is>
      </c>
    </row>
    <row r="62">
      <c r="A62" s="2" t="inlineStr">
        <is>
          <t>X-027</t>
        </is>
      </c>
      <c r="B62" s="2" t="inlineStr">
        <is>
          <t>Reasons for the Merger — Likelihood of Completion</t>
        </is>
      </c>
      <c r="C62" s="2" t="inlineStr">
        <is>
          <t>28</t>
        </is>
      </c>
      <c r="D62" s="2" t="inlineStr">
        <is>
          <t>the fact that Parent and Merger Sub have obtained committed debt financing for the transaction from reputable financial institutions and committed equity financing, the limited number and nature of the conditions to the debt and equity financing and the obligation of Parent to use reasonable best efforts to consummate the debt financing;</t>
        </is>
      </c>
    </row>
    <row r="63">
      <c r="A63" s="2" t="inlineStr">
        <is>
          <t>X-028</t>
        </is>
      </c>
      <c r="B63" s="2" t="inlineStr">
        <is>
          <t>The Merger Agreement — Notices (Annex A)</t>
        </is>
      </c>
      <c r="C63" s="2" t="inlineStr">
        <is>
          <t>A-46</t>
        </is>
      </c>
      <c r="D63" s="2" t="inlineStr">
        <is>
          <t>Simpson Thacher and Bartlett LLP 425 Lexington Avenue New York, NY 10017 Facsimile: (212) 455-2502 Email: rsymons@stblaw.com Attention: Ryerson Symons</t>
        </is>
      </c>
    </row>
    <row r="64">
      <c r="A64" s="2" t="inlineStr">
        <is>
          <t>X-029</t>
        </is>
      </c>
      <c r="B64" s="2" t="inlineStr">
        <is>
          <t>Questions and Answers</t>
        </is>
      </c>
      <c r="C64" s="2" t="inlineStr">
        <is>
          <t>12</t>
        </is>
      </c>
      <c r="D64" s="2" t="inlineStr">
        <is>
          <t>If the merger agreement is not approved by the Company’s stockholders, or if the merger is not consummated for any other reason, the Company’s stockholders will not receive any payment for their shares in connection with the merger. Instead, the Company will remain a public company and shares of our common stock will continue to be listed and traded on the NASDAQ. Under specified circumstances, the Company may be required to pay Parent a termination fee of $255 million and/or reimburse Parent’s and the Buyer Group expenses up to a maximum amount of $15 million (with any expense reimbursement payable to Parent and the Buyer Group reducing the amount of any termination fee payable by the Company), or Parent may be required to pay the Company a termination fee of $510 million or reimburse the Company for certain expenses or losses incurred in connection with the transactions contemplated by the merger agreement. See “ The Merger Agreement — Termination Fees ” and “ The Merger Agreement — Reimbursement of Expenses.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54"/>
  <sheetViews>
    <sheetView workbookViewId="0">
      <selection activeCell="A1" sqref="A1"/>
    </sheetView>
  </sheetViews>
  <sheetFormatPr baseColWidth="8" defaultRowHeight="15"/>
  <cols>
    <col width="6" customWidth="1" min="1" max="1"/>
    <col width="17" customWidth="1" min="2" max="2"/>
    <col width="27" customWidth="1" min="3" max="3"/>
    <col width="19" customWidth="1" min="4" max="4"/>
    <col width="9" customWidth="1" min="5" max="5"/>
    <col width="8" customWidth="1" min="6" max="6"/>
    <col width="11" customWidth="1" min="7" max="7"/>
    <col width="62" customWidth="1" min="8" max="8"/>
    <col width="13" customWidth="1" min="9" max="9"/>
    <col width="15" customWidth="1" min="10" max="10"/>
    <col width="85" customWidth="1" min="11" max="11"/>
    <col width="20" customWidth="1" min="12" max="12"/>
    <col width="11" customWidth="1" min="13" max="13"/>
    <col width="16" customWidth="1" min="14" max="14"/>
    <col width="9" customWidth="1" min="15" max="15"/>
    <col width="9" customWidth="1" min="16" max="16"/>
    <col width="8" customWidth="1" min="17" max="17"/>
    <col width="11" customWidth="1" min="18" max="18"/>
    <col width="11" customWidth="1" min="19" max="19"/>
    <col width="12" customWidth="1" min="20" max="20"/>
    <col width="14" customWidth="1" min="21" max="21"/>
    <col width="17" customWidth="1" min="22" max="22"/>
    <col width="10" customWidth="1" min="23" max="23"/>
    <col width="10" customWidth="1" min="24" max="24"/>
    <col width="13" customWidth="1" min="25" max="25"/>
    <col width="13" customWidth="1" min="26" max="26"/>
    <col width="9" customWidth="1" min="27" max="27"/>
    <col width="10" customWidth="1" min="28" max="28"/>
    <col width="12" customWidth="1" min="29" max="29"/>
    <col width="62" customWidth="1" min="30" max="30"/>
    <col width="11" customWidth="1" min="31" max="31"/>
    <col width="15" customWidth="1" min="32" max="32"/>
    <col width="15" customWidth="1" min="33" max="33"/>
    <col width="11" customWidth="1" min="34" max="34"/>
    <col width="22" customWidth="1" min="35" max="35"/>
    <col width="17" customWidth="1" min="36" max="36"/>
    <col width="8" customWidth="1" min="37" max="37"/>
    <col width="24" customWidth="1" min="38" max="38"/>
    <col width="10" customWidth="1" min="39" max="39"/>
  </cols>
  <sheetData>
    <row r="1">
      <c r="A1" s="1" t="inlineStr">
        <is>
          <t>#</t>
        </is>
      </c>
      <c r="B1" s="1" t="inlineStr">
        <is>
          <t>When</t>
        </is>
      </c>
      <c r="C1" s="1" t="inlineStr">
        <is>
          <t>Who</t>
        </is>
      </c>
      <c r="D1" s="1" t="inlineStr">
        <is>
          <t>What happened</t>
        </is>
      </c>
      <c r="E1" s="1" t="inlineStr">
        <is>
          <t>Process</t>
        </is>
      </c>
      <c r="F1" s="1" t="inlineStr">
        <is>
          <t>Round</t>
        </is>
      </c>
      <c r="G1" s="1" t="inlineStr">
        <is>
          <t>Type</t>
        </is>
      </c>
      <c r="H1" s="1" t="inlineStr">
        <is>
          <t>Terms or outcome</t>
        </is>
      </c>
      <c r="I1" s="1" t="inlineStr">
        <is>
          <t>Formality</t>
        </is>
      </c>
      <c r="J1" s="1" t="inlineStr">
        <is>
          <t>Conditions level</t>
        </is>
      </c>
      <c r="K1" s="1" t="inlineStr">
        <is>
          <t>Why and evidence</t>
        </is>
      </c>
      <c r="L1" s="1" t="inlineStr">
        <is>
          <t>Source</t>
        </is>
      </c>
      <c r="M1" s="1" t="inlineStr">
        <is>
          <t>Review</t>
        </is>
      </c>
      <c r="N1" s="1" t="inlineStr">
        <is>
          <t>Reviewer note</t>
        </is>
      </c>
      <c r="O1" s="1" t="inlineStr">
        <is>
          <t>Row id</t>
        </is>
      </c>
      <c r="P1" s="1" t="inlineStr">
        <is>
          <t>Include</t>
        </is>
      </c>
      <c r="Q1" s="1" t="inlineStr">
        <is>
          <t>Count</t>
        </is>
      </c>
      <c r="R1" s="1" t="inlineStr">
        <is>
          <t>Date from</t>
        </is>
      </c>
      <c r="S1" s="1" t="inlineStr">
        <is>
          <t>Date to</t>
        </is>
      </c>
      <c r="T1" s="1" t="inlineStr">
        <is>
          <t>Working date</t>
        </is>
      </c>
      <c r="U1" s="1" t="inlineStr">
        <is>
          <t>Date basis</t>
        </is>
      </c>
      <c r="V1" s="1" t="inlineStr">
        <is>
          <t>Date method</t>
        </is>
      </c>
      <c r="W1" s="1" t="inlineStr">
        <is>
          <t>Price low</t>
        </is>
      </c>
      <c r="X1" s="1" t="inlineStr">
        <is>
          <t>Price high</t>
        </is>
      </c>
      <c r="Y1" s="1" t="inlineStr">
        <is>
          <t>Price kind</t>
        </is>
      </c>
      <c r="Z1" s="1" t="inlineStr">
        <is>
          <t>Price origin</t>
        </is>
      </c>
      <c r="AA1" s="1" t="inlineStr">
        <is>
          <t>Currency</t>
        </is>
      </c>
      <c r="AB1" s="1" t="inlineStr">
        <is>
          <t>All cash</t>
        </is>
      </c>
      <c r="AC1" s="1" t="inlineStr">
        <is>
          <t>Cash at closing</t>
        </is>
      </c>
      <c r="AD1" s="1" t="inlineStr">
        <is>
          <t>Conditions detail</t>
        </is>
      </c>
      <c r="AE1" s="1" t="inlineStr">
        <is>
          <t>Due date</t>
        </is>
      </c>
      <c r="AF1" s="1" t="inlineStr">
        <is>
          <t>Deadline treatment</t>
        </is>
      </c>
      <c r="AG1" s="1" t="inlineStr">
        <is>
          <t>Round finality</t>
        </is>
      </c>
      <c r="AH1" s="1" t="inlineStr">
        <is>
          <t>Decided by</t>
        </is>
      </c>
      <c r="AI1" s="1" t="inlineStr">
        <is>
          <t>Exit reason</t>
        </is>
      </c>
      <c r="AJ1" s="1" t="inlineStr">
        <is>
          <t>Outcome basis</t>
        </is>
      </c>
      <c r="AK1" s="1" t="inlineStr">
        <is>
          <t>Page</t>
        </is>
      </c>
      <c r="AL1" s="1" t="inlineStr">
        <is>
          <t>Related rows</t>
        </is>
      </c>
      <c r="AM1" s="1" t="inlineStr">
        <is>
          <t>Deal</t>
        </is>
      </c>
    </row>
    <row r="2">
      <c r="A2" s="2" t="n">
        <v>1</v>
      </c>
      <c r="B2" s="2" t="inlineStr">
        <is>
          <t>06/18/2014</t>
        </is>
      </c>
      <c r="C2" s="2" t="inlineStr">
        <is>
          <t>PetSmart board (with management, a financial advisor and Wachtell Lipton)</t>
        </is>
      </c>
      <c r="D2" s="2" t="inlineStr">
        <is>
          <t>Material process update</t>
        </is>
      </c>
      <c r="E2" s="2" t="n">
        <v>1</v>
      </c>
      <c r="F2" s="2" t="n">
        <v>0</v>
      </c>
      <c r="G2" s="2" t="n"/>
      <c r="H2" s="2" t="inlineStr">
        <is>
          <t>Board reviewed strategic and financial alternatives; determined to explore capital-structure changes with a focus on returning capital to stockholders; established the ad hoc committee (Chairman Gregory Josefowicz, Rakesh Gangwal, Thomas Stemberg); authorized the vetting and retention of a financial advisor.</t>
        </is>
      </c>
      <c r="I2" s="2" t="n"/>
      <c r="J2" s="2" t="n"/>
      <c r="K2" s="2" t="inlineStr">
        <is>
          <t>Stated. First board step in the exploration that became the sale process; not itself a sale decision. “At a meeting on June 18, 2014, the board reviewed, together with a financial advisor and with Wachtell, Lipton, Rosen &amp; Katz (“Wachtell Lipton”), its legal advisor, the various strategic and financial alternatives potentially available to the Company and determined to explore more intensively potential changes to the Company’s capital structure, with a focus on returning capital to stockholders.” (p.21). “Chairman Gregory Josefowicz and directors Rakesh Gangwal and Thomas Stemberg, all of whom are nonexecutive, independent directors, were appointed to the ad hoc committee. In addition, the board authorized the vetting and retention of a financial advisor to assist in the review.” (p.22).</t>
        </is>
      </c>
      <c r="L2" s="2" t="inlineStr">
        <is>
          <t>P-004; P-005</t>
        </is>
      </c>
      <c r="M2" s="2" t="inlineStr">
        <is>
          <t>Q1</t>
        </is>
      </c>
      <c r="N2" s="2" t="n"/>
      <c r="O2" s="2" t="inlineStr">
        <is>
          <t>R001</t>
        </is>
      </c>
      <c r="P2" s="2" t="inlineStr">
        <is>
          <t>Yes</t>
        </is>
      </c>
      <c r="Q2" s="4" t="n"/>
      <c r="R2" s="5" t="n">
        <v>41808</v>
      </c>
      <c r="S2" s="5" t="n">
        <v>41808</v>
      </c>
      <c r="T2" s="5" t="n">
        <v>41808</v>
      </c>
      <c r="U2" s="2" t="inlineStr">
        <is>
          <t>Reported day</t>
        </is>
      </c>
      <c r="V2" s="2" t="inlineStr">
        <is>
          <t>Reported</t>
        </is>
      </c>
      <c r="W2" s="6" t="n"/>
      <c r="X2" s="6" t="n"/>
      <c r="Y2" s="2" t="n"/>
      <c r="Z2" s="2" t="n"/>
      <c r="AA2" s="2" t="n"/>
      <c r="AB2" s="2" t="n"/>
      <c r="AC2" s="6" t="n"/>
      <c r="AD2" s="2" t="n"/>
      <c r="AE2" s="5" t="n"/>
      <c r="AF2" s="2" t="n"/>
      <c r="AG2" s="2" t="n"/>
      <c r="AH2" s="2" t="n"/>
      <c r="AI2" s="2" t="n"/>
      <c r="AJ2" s="2" t="n"/>
      <c r="AK2" s="2" t="n">
        <v>21</v>
      </c>
      <c r="AL2" s="2" t="inlineStr"/>
      <c r="AM2" s="2" t="inlineStr">
        <is>
          <t>PetSmart</t>
        </is>
      </c>
    </row>
    <row r="3">
      <c r="A3" s="2" t="n">
        <v>2</v>
      </c>
      <c r="B3" s="2" t="inlineStr">
        <is>
          <t>06/18/2014</t>
        </is>
      </c>
      <c r="C3" s="2" t="inlineStr">
        <is>
          <t>Wachtell, Lipton, Rosen &amp; Katz (adviser)</t>
        </is>
      </c>
      <c r="D3" s="2" t="inlineStr">
        <is>
          <t>Adviser service observed</t>
        </is>
      </c>
      <c r="E3" s="2" t="n">
        <v>1</v>
      </c>
      <c r="F3" s="2" t="n">
        <v>0</v>
      </c>
      <c r="G3" s="2" t="n"/>
      <c r="H3" s="2" t="inlineStr">
        <is>
          <t>Client: PetSmart (Company). Role: legal advisor. Shown acting at the June 18, 2014 board meeting; engagement date not disclosed.</t>
        </is>
      </c>
      <c r="I3" s="2" t="n"/>
      <c r="J3" s="2" t="n"/>
      <c r="K3" s="2" t="inlineStr">
        <is>
          <t>Stated (earliest supported service date). A first narrative mention alone is not proof of retention on that date; the filing shows Wachtell advising the board on this mandate. “the board reviewed, together with a financial advisor and with Wachtell, Lipton, Rosen &amp; Katz (“Wachtell Lipton”), its legal advisor,” (p.21).</t>
        </is>
      </c>
      <c r="L3" s="2" t="inlineStr">
        <is>
          <t>P-004</t>
        </is>
      </c>
      <c r="M3" s="2" t="n"/>
      <c r="N3" s="2" t="n"/>
      <c r="O3" s="2" t="inlineStr">
        <is>
          <t>R002</t>
        </is>
      </c>
      <c r="P3" s="2" t="inlineStr">
        <is>
          <t>Yes</t>
        </is>
      </c>
      <c r="Q3" s="4" t="n"/>
      <c r="R3" s="5" t="n">
        <v>41808</v>
      </c>
      <c r="S3" s="5" t="n">
        <v>41808</v>
      </c>
      <c r="T3" s="5" t="n">
        <v>41808</v>
      </c>
      <c r="U3" s="2" t="inlineStr">
        <is>
          <t>Reported day</t>
        </is>
      </c>
      <c r="V3" s="2" t="inlineStr">
        <is>
          <t>Reported</t>
        </is>
      </c>
      <c r="W3" s="6" t="n"/>
      <c r="X3" s="6" t="n"/>
      <c r="Y3" s="2" t="n"/>
      <c r="Z3" s="2" t="n"/>
      <c r="AA3" s="2" t="n"/>
      <c r="AB3" s="2" t="n"/>
      <c r="AC3" s="6" t="n"/>
      <c r="AD3" s="2" t="n"/>
      <c r="AE3" s="5" t="n"/>
      <c r="AF3" s="2" t="n"/>
      <c r="AG3" s="2" t="n"/>
      <c r="AH3" s="2" t="n"/>
      <c r="AI3" s="2" t="n"/>
      <c r="AJ3" s="2" t="n"/>
      <c r="AK3" s="2" t="n">
        <v>21</v>
      </c>
      <c r="AL3" s="2" t="inlineStr"/>
      <c r="AM3" s="2" t="inlineStr">
        <is>
          <t>PetSmart</t>
        </is>
      </c>
    </row>
    <row r="4">
      <c r="A4" s="2" t="n">
        <v>3</v>
      </c>
      <c r="B4" s="2" t="inlineStr">
        <is>
          <t>July 2014 (day not disclosed)</t>
        </is>
      </c>
      <c r="C4" s="2" t="inlineStr">
        <is>
          <t>J.P. Morgan Securities LLC (adviser)</t>
        </is>
      </c>
      <c r="D4" s="2" t="inlineStr">
        <is>
          <t>Adviser engaged</t>
        </is>
      </c>
      <c r="E4" s="2" t="n">
        <v>1</v>
      </c>
      <c r="F4" s="2" t="n">
        <v>0</v>
      </c>
      <c r="G4" s="2" t="n"/>
      <c r="H4" s="2" t="inlineStr">
        <is>
          <t>Client: PetSmart (Company). Role: financial advisor and process bank (the only named target financial advisor; fairness opinion rendered 12/13/2014, confirmed in writing 12/14/2014). Retained in July 2014 after interviewing several potential financial advisors.</t>
        </is>
      </c>
      <c r="I4" s="2" t="n"/>
      <c r="J4" s="2" t="n"/>
      <c r="K4" s="2" t="inlineStr">
        <is>
          <t>Stated engagement; month stated without a day. Convention: Working date assigned to 07/01 to preserve reading order ahead of the dated July 3 JANA filing; the retention day is not disclosed (also see Q8). “In July, after interviewing several potential financial advisors, the Company retained J.P. Morgan as financial advisor based on, among other factors, J.P. Morgan’s reputation, experience in mergers and acquisitions, valuation, financing and capital markets and its familiarity with the Company.” (p.22).</t>
        </is>
      </c>
      <c r="L4" s="2" t="inlineStr">
        <is>
          <t>P-005</t>
        </is>
      </c>
      <c r="M4" s="2" t="inlineStr">
        <is>
          <t>Q8</t>
        </is>
      </c>
      <c r="N4" s="2" t="n"/>
      <c r="O4" s="2" t="inlineStr">
        <is>
          <t>R003</t>
        </is>
      </c>
      <c r="P4" s="2" t="inlineStr">
        <is>
          <t>Yes</t>
        </is>
      </c>
      <c r="Q4" s="4" t="n"/>
      <c r="R4" s="5" t="n">
        <v>41821</v>
      </c>
      <c r="S4" s="5" t="n">
        <v>41851</v>
      </c>
      <c r="T4" s="5" t="n">
        <v>41821</v>
      </c>
      <c r="U4" s="2" t="inlineStr">
        <is>
          <t>Reported interval</t>
        </is>
      </c>
      <c r="V4" s="2" t="inlineStr">
        <is>
          <t>Assigned: sequence</t>
        </is>
      </c>
      <c r="W4" s="6" t="n"/>
      <c r="X4" s="6" t="n"/>
      <c r="Y4" s="2" t="n"/>
      <c r="Z4" s="2" t="n"/>
      <c r="AA4" s="2" t="n"/>
      <c r="AB4" s="2" t="n"/>
      <c r="AC4" s="6" t="n"/>
      <c r="AD4" s="2" t="n"/>
      <c r="AE4" s="5" t="n"/>
      <c r="AF4" s="2" t="n"/>
      <c r="AG4" s="2" t="n"/>
      <c r="AH4" s="2" t="n"/>
      <c r="AI4" s="2" t="n"/>
      <c r="AJ4" s="2" t="n"/>
      <c r="AK4" s="2" t="n">
        <v>22</v>
      </c>
      <c r="AL4" s="2" t="inlineStr"/>
      <c r="AM4" s="2" t="inlineStr">
        <is>
          <t>PetSmart</t>
        </is>
      </c>
    </row>
    <row r="5">
      <c r="A5" s="2" t="n">
        <v>4</v>
      </c>
      <c r="B5" s="2" t="inlineStr">
        <is>
          <t>07/03/2014</t>
        </is>
      </c>
      <c r="C5" s="2" t="inlineStr">
        <is>
          <t>JANA Partners LLC (activist)</t>
        </is>
      </c>
      <c r="D5" s="2" t="inlineStr">
        <is>
          <t>Activist pressure</t>
        </is>
      </c>
      <c r="E5" s="2" t="n">
        <v>1</v>
      </c>
      <c r="F5" s="2" t="n">
        <v>0</v>
      </c>
      <c r="G5" s="2" t="n"/>
      <c r="H5" s="2" t="inlineStr">
        <is>
          <t>JANA disclosed a 9.9% stake and intent to engage management and the board on a review of strategic alternatives, including a sale; over July–August JANA filed further Schedule 13D amendments and public letters advocating a sale.</t>
        </is>
      </c>
      <c r="I5" s="2" t="n"/>
      <c r="J5" s="2" t="n"/>
      <c r="K5" s="2" t="inlineStr">
        <is>
          <t>Stated. Sale advocacy (not a bid). “On July 3, 2014, JANA Partners filed a Schedule 13D with the SEC disclosing that JANA had acquired 9.9% of the Company’s outstanding common stock and that JANA intended to engage in discussions with management and the board with respect to a review of strategic alternatives, including a sale of the Company.” (p.22).</t>
        </is>
      </c>
      <c r="L5" s="2" t="inlineStr">
        <is>
          <t>P-006</t>
        </is>
      </c>
      <c r="M5" s="2" t="n"/>
      <c r="N5" s="2" t="n"/>
      <c r="O5" s="2" t="inlineStr">
        <is>
          <t>R004</t>
        </is>
      </c>
      <c r="P5" s="2" t="inlineStr">
        <is>
          <t>Yes</t>
        </is>
      </c>
      <c r="Q5" s="4" t="n"/>
      <c r="R5" s="5" t="n">
        <v>41823</v>
      </c>
      <c r="S5" s="5" t="n">
        <v>41823</v>
      </c>
      <c r="T5" s="5" t="n">
        <v>41823</v>
      </c>
      <c r="U5" s="2" t="inlineStr">
        <is>
          <t>Reported day</t>
        </is>
      </c>
      <c r="V5" s="2" t="inlineStr">
        <is>
          <t>Reported</t>
        </is>
      </c>
      <c r="W5" s="6" t="n"/>
      <c r="X5" s="6" t="n"/>
      <c r="Y5" s="2" t="n"/>
      <c r="Z5" s="2" t="n"/>
      <c r="AA5" s="2" t="n"/>
      <c r="AB5" s="2" t="n"/>
      <c r="AC5" s="6" t="n"/>
      <c r="AD5" s="2" t="n"/>
      <c r="AE5" s="5" t="n"/>
      <c r="AF5" s="2" t="n"/>
      <c r="AG5" s="2" t="n"/>
      <c r="AH5" s="2" t="n"/>
      <c r="AI5" s="2" t="n"/>
      <c r="AJ5" s="2" t="n"/>
      <c r="AK5" s="2" t="n">
        <v>22</v>
      </c>
      <c r="AL5" s="2" t="inlineStr"/>
      <c r="AM5" s="2" t="inlineStr">
        <is>
          <t>PetSmart</t>
        </is>
      </c>
    </row>
    <row r="6">
      <c r="A6" s="2" t="n">
        <v>5</v>
      </c>
      <c r="B6" s="2" t="inlineStr">
        <is>
          <t>07/07/2014</t>
        </is>
      </c>
      <c r="C6" s="2" t="inlineStr">
        <is>
          <t>Longview Asset Management, LLC (activist / later rollover investor)</t>
        </is>
      </c>
      <c r="D6" s="2" t="inlineStr">
        <is>
          <t>Activist pressure</t>
        </is>
      </c>
      <c r="E6" s="2" t="n">
        <v>1</v>
      </c>
      <c r="F6" s="2" t="n">
        <v>0</v>
      </c>
      <c r="G6" s="2" t="n"/>
      <c r="H6" s="2" t="inlineStr">
        <is>
          <t>Longview publicly urged the board to consider a sale and said it would consider rolling part or all of its holdings into acquiring-entity equity rather than cash if needed to enable a transaction.</t>
        </is>
      </c>
      <c r="I6" s="2" t="n"/>
      <c r="J6" s="2" t="n"/>
      <c r="K6" s="2" t="inlineStr">
        <is>
          <t>Stated. Earliest disclosed Longview rollover willingness; the rollover-support relationship is recorded once when permitted/formed (R043). “On July 7, 2014, Longview made public a letter to the board in which Longview stated that the board should consider the a sale of the Company (as well as other strategic alternatives) and that should the board determine a sale transaction to be in the interests of all stockholders, Longview would consider, depending on the parties and terms involved, rolling part or all of its holdings into equity of the acquiring entity rather than receive cash consideration, should doing so prove necessary in order to enable the Company to complete a transaction.” (p.22).</t>
        </is>
      </c>
      <c r="L6" s="2" t="inlineStr">
        <is>
          <t>P-006</t>
        </is>
      </c>
      <c r="M6" s="2" t="n"/>
      <c r="N6" s="2" t="n"/>
      <c r="O6" s="2" t="inlineStr">
        <is>
          <t>R005</t>
        </is>
      </c>
      <c r="P6" s="2" t="inlineStr">
        <is>
          <t>Yes</t>
        </is>
      </c>
      <c r="Q6" s="4" t="n"/>
      <c r="R6" s="5" t="n">
        <v>41827</v>
      </c>
      <c r="S6" s="5" t="n">
        <v>41827</v>
      </c>
      <c r="T6" s="5" t="n">
        <v>41827</v>
      </c>
      <c r="U6" s="2" t="inlineStr">
        <is>
          <t>Reported day</t>
        </is>
      </c>
      <c r="V6" s="2" t="inlineStr">
        <is>
          <t>Reported</t>
        </is>
      </c>
      <c r="W6" s="6" t="n"/>
      <c r="X6" s="6" t="n"/>
      <c r="Y6" s="2" t="n"/>
      <c r="Z6" s="2" t="n"/>
      <c r="AA6" s="2" t="n"/>
      <c r="AB6" s="2" t="n"/>
      <c r="AC6" s="6" t="n"/>
      <c r="AD6" s="2" t="n"/>
      <c r="AE6" s="5" t="n"/>
      <c r="AF6" s="2" t="n"/>
      <c r="AG6" s="2" t="n"/>
      <c r="AH6" s="2" t="n"/>
      <c r="AI6" s="2" t="n"/>
      <c r="AJ6" s="2" t="n"/>
      <c r="AK6" s="2" t="n">
        <v>22</v>
      </c>
      <c r="AL6" s="2" t="inlineStr">
        <is>
          <t>R043</t>
        </is>
      </c>
      <c r="AM6" s="2" t="inlineStr">
        <is>
          <t>PetSmart</t>
        </is>
      </c>
    </row>
    <row r="7">
      <c r="A7" s="2" t="n">
        <v>6</v>
      </c>
      <c r="B7" s="2" t="inlineStr">
        <is>
          <t>07/10/2014</t>
        </is>
      </c>
      <c r="C7" s="2" t="inlineStr">
        <is>
          <t>JANA Partners LLC (activist)</t>
        </is>
      </c>
      <c r="D7" s="2" t="inlineStr">
        <is>
          <t>Activist pressure</t>
        </is>
      </c>
      <c r="E7" s="2" t="n">
        <v>1</v>
      </c>
      <c r="F7" s="2" t="n">
        <v>0</v>
      </c>
      <c r="G7" s="2" t="n"/>
      <c r="H7" s="2" t="inlineStr">
        <is>
          <t>JANA representatives met in person with Company representatives and advocated for a sale.</t>
        </is>
      </c>
      <c r="I7" s="2" t="n"/>
      <c r="J7" s="2" t="n"/>
      <c r="K7" s="2" t="inlineStr">
        <is>
          <t>Stated. “On July 10, 2014, representatives of JANA met in person with representatives of the Company. At this meeting, the JANA representatives presented their perspectives on the Company and advocated for a sale of the Company.” (p.22).</t>
        </is>
      </c>
      <c r="L7" s="2" t="inlineStr">
        <is>
          <t>P-006</t>
        </is>
      </c>
      <c r="M7" s="2" t="n"/>
      <c r="N7" s="2" t="n"/>
      <c r="O7" s="2" t="inlineStr">
        <is>
          <t>R006</t>
        </is>
      </c>
      <c r="P7" s="2" t="inlineStr">
        <is>
          <t>Yes</t>
        </is>
      </c>
      <c r="Q7" s="4" t="n"/>
      <c r="R7" s="5" t="n">
        <v>41830</v>
      </c>
      <c r="S7" s="5" t="n">
        <v>41830</v>
      </c>
      <c r="T7" s="5" t="n">
        <v>41830</v>
      </c>
      <c r="U7" s="2" t="inlineStr">
        <is>
          <t>Reported day</t>
        </is>
      </c>
      <c r="V7" s="2" t="inlineStr">
        <is>
          <t>Reported</t>
        </is>
      </c>
      <c r="W7" s="6" t="n"/>
      <c r="X7" s="6" t="n"/>
      <c r="Y7" s="2" t="n"/>
      <c r="Z7" s="2" t="n"/>
      <c r="AA7" s="2" t="n"/>
      <c r="AB7" s="2" t="n"/>
      <c r="AC7" s="6" t="n"/>
      <c r="AD7" s="2" t="n"/>
      <c r="AE7" s="5" t="n"/>
      <c r="AF7" s="2" t="n"/>
      <c r="AG7" s="2" t="n"/>
      <c r="AH7" s="2" t="n"/>
      <c r="AI7" s="2" t="n"/>
      <c r="AJ7" s="2" t="n"/>
      <c r="AK7" s="2" t="n">
        <v>22</v>
      </c>
      <c r="AL7" s="2" t="inlineStr"/>
      <c r="AM7" s="2" t="inlineStr">
        <is>
          <t>PetSmart</t>
        </is>
      </c>
    </row>
    <row r="8">
      <c r="A8" s="2" t="n">
        <v>7</v>
      </c>
      <c r="B8" s="2" t="inlineStr">
        <is>
          <t>07/10/2014</t>
        </is>
      </c>
      <c r="C8" s="2" t="inlineStr">
        <is>
          <t>Longview Asset Management, LLC (activist)</t>
        </is>
      </c>
      <c r="D8" s="2" t="inlineStr">
        <is>
          <t>Activist pressure</t>
        </is>
      </c>
      <c r="E8" s="2" t="n">
        <v>1</v>
      </c>
      <c r="F8" s="2" t="n">
        <v>0</v>
      </c>
      <c r="G8" s="2" t="n"/>
      <c r="H8" s="2" t="inlineStr">
        <is>
          <t>Company representatives spoke with Longview, which reiterated its advocacy for a sale.</t>
        </is>
      </c>
      <c r="I8" s="2" t="n"/>
      <c r="J8" s="2" t="n"/>
      <c r="K8" s="2" t="inlineStr">
        <is>
          <t>Stated. “representatives of the Company also spoke to representatives of Longview and Longview reiterated its advocacy for a sale of the Company.” (p.22).</t>
        </is>
      </c>
      <c r="L8" s="2" t="inlineStr">
        <is>
          <t>P-006</t>
        </is>
      </c>
      <c r="M8" s="2" t="n"/>
      <c r="N8" s="2" t="n"/>
      <c r="O8" s="2" t="inlineStr">
        <is>
          <t>R007</t>
        </is>
      </c>
      <c r="P8" s="2" t="inlineStr">
        <is>
          <t>Yes</t>
        </is>
      </c>
      <c r="Q8" s="4" t="n"/>
      <c r="R8" s="5" t="n">
        <v>41830</v>
      </c>
      <c r="S8" s="5" t="n">
        <v>41830</v>
      </c>
      <c r="T8" s="5" t="n">
        <v>41830</v>
      </c>
      <c r="U8" s="2" t="inlineStr">
        <is>
          <t>Reported day</t>
        </is>
      </c>
      <c r="V8" s="2" t="inlineStr">
        <is>
          <t>Reported</t>
        </is>
      </c>
      <c r="W8" s="6" t="n"/>
      <c r="X8" s="6" t="n"/>
      <c r="Y8" s="2" t="n"/>
      <c r="Z8" s="2" t="n"/>
      <c r="AA8" s="2" t="n"/>
      <c r="AB8" s="2" t="n"/>
      <c r="AC8" s="6" t="n"/>
      <c r="AD8" s="2" t="n"/>
      <c r="AE8" s="5" t="n"/>
      <c r="AF8" s="2" t="n"/>
      <c r="AG8" s="2" t="n"/>
      <c r="AH8" s="2" t="n"/>
      <c r="AI8" s="2" t="n"/>
      <c r="AJ8" s="2" t="n"/>
      <c r="AK8" s="2" t="n">
        <v>22</v>
      </c>
      <c r="AL8" s="2" t="inlineStr"/>
      <c r="AM8" s="2" t="inlineStr">
        <is>
          <t>PetSmart</t>
        </is>
      </c>
    </row>
    <row r="9">
      <c r="A9" s="2" t="n">
        <v>8</v>
      </c>
      <c r="B9" s="2" t="inlineStr">
        <is>
          <t>08/07/2014</t>
        </is>
      </c>
      <c r="C9" s="2" t="inlineStr">
        <is>
          <t>Industry Participant (strategic party)</t>
        </is>
      </c>
      <c r="D9" s="2" t="inlineStr">
        <is>
          <t>Bidder interest</t>
        </is>
      </c>
      <c r="E9" s="2" t="n">
        <v>1</v>
      </c>
      <c r="F9" s="2" t="n">
        <v>0</v>
      </c>
      <c r="G9" s="2" t="inlineStr">
        <is>
          <t>Strategic</t>
        </is>
      </c>
      <c r="H9" s="2" t="inlineStr">
        <is>
          <t>Industry Participant contacted J.P. Morgan: if PetSmart pursued strategic alternatives, it might be interested in revisiting a possible combination; J.P. Morgan reported the conversation to the ad hoc committee. Unpriced. Count 1 (Industry Participant’s first contact representation).</t>
        </is>
      </c>
      <c r="I9" s="2" t="n"/>
      <c r="J9" s="2" t="n"/>
      <c r="K9" s="2" t="inlineStr">
        <is>
          <t>Stated. Inbound unpriced approach; Industry Participant never entered the process and is not closed out (see R010, R014 and Q5). “a representative of Industry Participant contacted a representative of J.P. Morgan. The Industry Participant representative indicated that she had heard rumors that J.P. Morgan was working with the Company and wanted to inform J.P. Morgan that, if the Company were to pursue strategic alternatives, Industry Participant might be interested in re-visiting the conversations that had taken place in the Spring concerning the feasibility of a possible combination of the two Companies.” (p.22).</t>
        </is>
      </c>
      <c r="L9" s="2" t="inlineStr">
        <is>
          <t>P-007</t>
        </is>
      </c>
      <c r="M9" s="2" t="inlineStr">
        <is>
          <t>Q5</t>
        </is>
      </c>
      <c r="N9" s="2" t="n"/>
      <c r="O9" s="2" t="inlineStr">
        <is>
          <t>R008</t>
        </is>
      </c>
      <c r="P9" s="2" t="inlineStr">
        <is>
          <t>Yes</t>
        </is>
      </c>
      <c r="Q9" s="4" t="n">
        <v>1</v>
      </c>
      <c r="R9" s="5" t="n">
        <v>41858</v>
      </c>
      <c r="S9" s="5" t="n">
        <v>41858</v>
      </c>
      <c r="T9" s="5" t="n">
        <v>41858</v>
      </c>
      <c r="U9" s="2" t="inlineStr">
        <is>
          <t>Reported day</t>
        </is>
      </c>
      <c r="V9" s="2" t="inlineStr">
        <is>
          <t>Reported</t>
        </is>
      </c>
      <c r="W9" s="6" t="n"/>
      <c r="X9" s="6" t="n"/>
      <c r="Y9" s="2" t="n"/>
      <c r="Z9" s="2" t="n"/>
      <c r="AA9" s="2" t="n"/>
      <c r="AB9" s="2" t="n"/>
      <c r="AC9" s="6" t="n"/>
      <c r="AD9" s="2" t="n"/>
      <c r="AE9" s="5" t="n"/>
      <c r="AF9" s="2" t="n"/>
      <c r="AG9" s="2" t="n"/>
      <c r="AH9" s="2" t="n"/>
      <c r="AI9" s="2" t="n"/>
      <c r="AJ9" s="2" t="n"/>
      <c r="AK9" s="2" t="n">
        <v>22</v>
      </c>
      <c r="AL9" s="2" t="inlineStr">
        <is>
          <t>R010; R014; R015</t>
        </is>
      </c>
      <c r="AM9" s="2" t="inlineStr">
        <is>
          <t>PetSmart</t>
        </is>
      </c>
    </row>
    <row r="10">
      <c r="A10" s="2" t="n">
        <v>9</v>
      </c>
      <c r="B10" s="2" t="inlineStr">
        <is>
          <t>08/13/2014</t>
        </is>
      </c>
      <c r="C10" s="2" t="inlineStr">
        <is>
          <t>PetSmart board (with management, J.P. Morgan and Wachtell Lipton)</t>
        </is>
      </c>
      <c r="D10" s="2" t="inlineStr">
        <is>
          <t>Target sale decision</t>
        </is>
      </c>
      <c r="E10" s="2" t="n">
        <v>1</v>
      </c>
      <c r="F10" s="2" t="n">
        <v>0</v>
      </c>
      <c r="G10" s="2" t="n"/>
      <c r="H10" s="2" t="inlineStr">
        <is>
          <t>Board determined to explore strategic alternatives, including a possible sale of the Company, to maximize stockholder value; instructed management to plan the Profit Improvement Plan; authorized the ad hoc committee to oversee the sale exploration, direct advisers and lead negotiations; planned J.P. Morgan outreach to financial and strategic parties in the second half of September or early October and a public announcement to draw inbound interest.</t>
        </is>
      </c>
      <c r="I10" s="2" t="n"/>
      <c r="J10" s="2" t="n"/>
      <c r="K10" s="2" t="inlineStr">
        <is>
          <t>Stated. Target-led exploration decision; the filing does not report the planned outreach as beginning within about a week, so this is not the Round 1 anchor (see R016 and Q1). “determined to explore strategic alternatives (including a possible sale of the Company) for the Company to maximize value for stockholders” (p.22).</t>
        </is>
      </c>
      <c r="L10" s="2" t="inlineStr">
        <is>
          <t>P-008</t>
        </is>
      </c>
      <c r="M10" s="2" t="inlineStr">
        <is>
          <t>Q1</t>
        </is>
      </c>
      <c r="N10" s="2" t="n"/>
      <c r="O10" s="2" t="inlineStr">
        <is>
          <t>R009</t>
        </is>
      </c>
      <c r="P10" s="2" t="inlineStr">
        <is>
          <t>Yes</t>
        </is>
      </c>
      <c r="Q10" s="4" t="n"/>
      <c r="R10" s="5" t="n">
        <v>41864</v>
      </c>
      <c r="S10" s="5" t="n">
        <v>41864</v>
      </c>
      <c r="T10" s="5" t="n">
        <v>41864</v>
      </c>
      <c r="U10" s="2" t="inlineStr">
        <is>
          <t>Reported day</t>
        </is>
      </c>
      <c r="V10" s="2" t="inlineStr">
        <is>
          <t>Reported</t>
        </is>
      </c>
      <c r="W10" s="6" t="n"/>
      <c r="X10" s="6" t="n"/>
      <c r="Y10" s="2" t="n"/>
      <c r="Z10" s="2" t="n"/>
      <c r="AA10" s="2" t="n"/>
      <c r="AB10" s="2" t="n"/>
      <c r="AC10" s="6" t="n"/>
      <c r="AD10" s="2" t="n"/>
      <c r="AE10" s="5" t="n"/>
      <c r="AF10" s="2" t="n"/>
      <c r="AG10" s="2" t="n"/>
      <c r="AH10" s="2" t="n"/>
      <c r="AI10" s="2" t="n"/>
      <c r="AJ10" s="2" t="n"/>
      <c r="AK10" s="2" t="n">
        <v>22</v>
      </c>
      <c r="AL10" s="2" t="inlineStr">
        <is>
          <t>R016; R017</t>
        </is>
      </c>
      <c r="AM10" s="2" t="inlineStr">
        <is>
          <t>PetSmart</t>
        </is>
      </c>
    </row>
    <row r="11">
      <c r="A11" s="2" t="n">
        <v>10</v>
      </c>
      <c r="B11" s="2" t="inlineStr">
        <is>
          <t>08/13/2014</t>
        </is>
      </c>
      <c r="C11" s="2" t="inlineStr">
        <is>
          <t>PetSmart board (re Industry Participant)</t>
        </is>
      </c>
      <c r="D11" s="2" t="inlineStr">
        <is>
          <t>Target decision</t>
        </is>
      </c>
      <c r="E11" s="2" t="n">
        <v>1</v>
      </c>
      <c r="F11" s="2" t="n">
        <v>0</v>
      </c>
      <c r="G11" s="2" t="n"/>
      <c r="H11" s="2" t="inlineStr">
        <is>
          <t>Board determined not to invite Industry Participant to the exploratory sale process after weighing the very high antitrust-clearance risk (likely “second request”, eight months to a year or longer, no assurance of success), the risk of giving it diligence information, and process disruption/delay risk.</t>
        </is>
      </c>
      <c r="I11" s="2" t="n"/>
      <c r="J11" s="2" t="n"/>
      <c r="K11" s="2" t="inlineStr">
        <is>
          <t>Stated. Exclusion of a party that never entered; no participation-outcome row (see Q5). “the very high risk that an acquisition by or a combination with Industry Participant would not receive antitrust clearances, or would receive such clearances only with the imposition by governmental authorities of unacceptable conditions;” (p.22). “Industry Participant would not be invited into the exploratory process, but that if Industry Participant were to wish to submit a proposal or other communication to the Company, the board would consider it.” (p.23).</t>
        </is>
      </c>
      <c r="L11" s="2" t="inlineStr">
        <is>
          <t>P-008; P-010</t>
        </is>
      </c>
      <c r="M11" s="2" t="inlineStr">
        <is>
          <t>Q5</t>
        </is>
      </c>
      <c r="N11" s="2" t="n"/>
      <c r="O11" s="2" t="inlineStr">
        <is>
          <t>R010</t>
        </is>
      </c>
      <c r="P11" s="2" t="inlineStr">
        <is>
          <t>Yes</t>
        </is>
      </c>
      <c r="Q11" s="4" t="n"/>
      <c r="R11" s="5" t="n">
        <v>41864</v>
      </c>
      <c r="S11" s="5" t="n">
        <v>41864</v>
      </c>
      <c r="T11" s="5" t="n">
        <v>41864</v>
      </c>
      <c r="U11" s="2" t="inlineStr">
        <is>
          <t>Reported day</t>
        </is>
      </c>
      <c r="V11" s="2" t="inlineStr">
        <is>
          <t>Reported</t>
        </is>
      </c>
      <c r="W11" s="6" t="n"/>
      <c r="X11" s="6" t="n"/>
      <c r="Y11" s="2" t="n"/>
      <c r="Z11" s="2" t="n"/>
      <c r="AA11" s="2" t="n"/>
      <c r="AB11" s="2" t="n"/>
      <c r="AC11" s="6" t="n"/>
      <c r="AD11" s="2" t="n"/>
      <c r="AE11" s="5" t="n"/>
      <c r="AF11" s="2" t="n"/>
      <c r="AG11" s="2" t="n"/>
      <c r="AH11" s="2" t="n"/>
      <c r="AI11" s="2" t="n"/>
      <c r="AJ11" s="2" t="n"/>
      <c r="AK11" s="2" t="n">
        <v>22</v>
      </c>
      <c r="AL11" s="2" t="inlineStr">
        <is>
          <t>R008; R014; R015</t>
        </is>
      </c>
      <c r="AM11" s="2" t="inlineStr">
        <is>
          <t>PetSmart</t>
        </is>
      </c>
    </row>
    <row r="12">
      <c r="A12" s="2" t="n">
        <v>11</v>
      </c>
      <c r="B12" s="2" t="inlineStr">
        <is>
          <t>mid-August to end-October 2014</t>
        </is>
      </c>
      <c r="C12" s="2" t="inlineStr">
        <is>
          <t>Three strategic parties (cohort; excluding Industry Participant)</t>
        </is>
      </c>
      <c r="D12" s="2" t="inlineStr">
        <is>
          <t>Contact</t>
        </is>
      </c>
      <c r="E12" s="2" t="n">
        <v>1</v>
      </c>
      <c r="F12" s="2" t="n">
        <v>0</v>
      </c>
      <c r="G12" s="2" t="inlineStr">
        <is>
          <t>Strategic</t>
        </is>
      </c>
      <c r="H12" s="2" t="inlineStr">
        <is>
          <t>J.P. Morgan was contacted by three strategic parties (not counting Industry Participant) while the Company prepared for a sale process; unpriced. None proceeded to a confidentiality agreement (the 15 signers were all financial buyers). Count 3.</t>
        </is>
      </c>
      <c r="I12" s="2" t="n"/>
      <c r="J12" s="2" t="n"/>
      <c r="K12" s="2" t="inlineStr">
        <is>
          <t>Stated (split by type). Inferred that the three strategic parties did not sign non-disclosure agreements: the filing describes the signer cohort as 15 financial buyers. “J.P. Morgan was contacted by 27 potential participants in a sale process, including three strategic parties (not counting Industry Participant) and 24 financial participants” (p.23).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(p.23).</t>
        </is>
      </c>
      <c r="L12" s="2" t="inlineStr">
        <is>
          <t>P-011; P-013</t>
        </is>
      </c>
      <c r="M12" s="2" t="inlineStr">
        <is>
          <t>Q4</t>
        </is>
      </c>
      <c r="N12" s="2" t="n"/>
      <c r="O12" s="2" t="inlineStr">
        <is>
          <t>R011</t>
        </is>
      </c>
      <c r="P12" s="2" t="inlineStr">
        <is>
          <t>Yes</t>
        </is>
      </c>
      <c r="Q12" s="4" t="n">
        <v>3</v>
      </c>
      <c r="R12" s="5" t="n">
        <v>41864</v>
      </c>
      <c r="S12" s="5" t="n">
        <v>41943</v>
      </c>
      <c r="T12" s="5" t="n">
        <v>41864</v>
      </c>
      <c r="U12" s="2" t="inlineStr">
        <is>
          <t>Reported interval</t>
        </is>
      </c>
      <c r="V12" s="2" t="inlineStr">
        <is>
          <t>Assigned: bound</t>
        </is>
      </c>
      <c r="W12" s="6" t="n"/>
      <c r="X12" s="6" t="n"/>
      <c r="Y12" s="2" t="n"/>
      <c r="Z12" s="2" t="n"/>
      <c r="AA12" s="2" t="n"/>
      <c r="AB12" s="2" t="n"/>
      <c r="AC12" s="6" t="n"/>
      <c r="AD12" s="2" t="n"/>
      <c r="AE12" s="5" t="n"/>
      <c r="AF12" s="2" t="n"/>
      <c r="AG12" s="2" t="n"/>
      <c r="AH12" s="2" t="n"/>
      <c r="AI12" s="2" t="n"/>
      <c r="AJ12" s="2" t="n"/>
      <c r="AK12" s="2" t="n">
        <v>23</v>
      </c>
      <c r="AL12" s="2" t="inlineStr">
        <is>
          <t>R012; R017</t>
        </is>
      </c>
      <c r="AM12" s="2" t="inlineStr">
        <is>
          <t>PetSmart</t>
        </is>
      </c>
    </row>
    <row r="13">
      <c r="A13" s="2" t="n">
        <v>12</v>
      </c>
      <c r="B13" s="2" t="inlineStr">
        <is>
          <t>mid-August to end-October 2014</t>
        </is>
      </c>
      <c r="C13" s="2" t="inlineStr">
        <is>
          <t>24 financial parties (cohort)</t>
        </is>
      </c>
      <c r="D13" s="2" t="inlineStr">
        <is>
          <t>Contact</t>
        </is>
      </c>
      <c r="E13" s="2" t="n">
        <v>1</v>
      </c>
      <c r="F13" s="2" t="n">
        <v>0</v>
      </c>
      <c r="G13" s="2" t="inlineStr">
        <is>
          <t>Financial</t>
        </is>
      </c>
      <c r="H13" s="2" t="inlineStr">
        <is>
          <t>J.P. Morgan was contacted by 24 financial participants (including potential lead buyers and large suppliers of equity capital to lead buyers); 15 later signed confidentiality agreements and entered the process; 9 did not sign. Count 24. Contacts continued through end-October and span the Round 1 opening.</t>
        </is>
      </c>
      <c r="I13" s="2" t="n"/>
      <c r="J13" s="2" t="n"/>
      <c r="K13" s="2" t="inlineStr">
        <is>
          <t>Stated (split by type). One disclosed aggregate; the 15 signers are a subset of these 24. “including three strategic parties (not counting Industry Participant) and 24 financial participants (including potential lead buyers as well as large suppliers of equity capital to lead buyers).” (p.23).</t>
        </is>
      </c>
      <c r="L13" s="2" t="inlineStr">
        <is>
          <t>P-011</t>
        </is>
      </c>
      <c r="M13" s="2" t="inlineStr">
        <is>
          <t>Q4</t>
        </is>
      </c>
      <c r="N13" s="2" t="n"/>
      <c r="O13" s="2" t="inlineStr">
        <is>
          <t>R012</t>
        </is>
      </c>
      <c r="P13" s="2" t="inlineStr">
        <is>
          <t>Yes</t>
        </is>
      </c>
      <c r="Q13" s="4" t="n">
        <v>24</v>
      </c>
      <c r="R13" s="5" t="n">
        <v>41864</v>
      </c>
      <c r="S13" s="5" t="n">
        <v>41943</v>
      </c>
      <c r="T13" s="5" t="n">
        <v>41864</v>
      </c>
      <c r="U13" s="2" t="inlineStr">
        <is>
          <t>Reported interval</t>
        </is>
      </c>
      <c r="V13" s="2" t="inlineStr">
        <is>
          <t>Assigned: bound</t>
        </is>
      </c>
      <c r="W13" s="6" t="n"/>
      <c r="X13" s="6" t="n"/>
      <c r="Y13" s="2" t="n"/>
      <c r="Z13" s="2" t="n"/>
      <c r="AA13" s="2" t="n"/>
      <c r="AB13" s="2" t="n"/>
      <c r="AC13" s="6" t="n"/>
      <c r="AD13" s="2" t="n"/>
      <c r="AE13" s="5" t="n"/>
      <c r="AF13" s="2" t="n"/>
      <c r="AG13" s="2" t="n"/>
      <c r="AH13" s="2" t="n"/>
      <c r="AI13" s="2" t="n"/>
      <c r="AJ13" s="2" t="n"/>
      <c r="AK13" s="2" t="n">
        <v>23</v>
      </c>
      <c r="AL13" s="2" t="inlineStr">
        <is>
          <t>R011; R017</t>
        </is>
      </c>
      <c r="AM13" s="2" t="inlineStr">
        <is>
          <t>PetSmart</t>
        </is>
      </c>
    </row>
    <row r="14">
      <c r="A14" s="2" t="n">
        <v>13</v>
      </c>
      <c r="B14" s="2" t="inlineStr">
        <is>
          <t>08/19/2014</t>
        </is>
      </c>
      <c r="C14" s="2" t="inlineStr">
        <is>
          <t>PetSmart, Inc. (issuer)</t>
        </is>
      </c>
      <c r="D14" s="2" t="inlineStr">
        <is>
          <t>Sale process announced</t>
        </is>
      </c>
      <c r="E14" s="2" t="n">
        <v>1</v>
      </c>
      <c r="F14" s="2" t="n">
        <v>0</v>
      </c>
      <c r="G14" s="2" t="n"/>
      <c r="H14" s="2" t="inlineStr">
        <is>
          <t>Press release (concurrent with PetSmart’s second-quarter earnings announcement) disclosing the determination to explore strategic alternatives, including a possible sale, to maximize stockholder value.</t>
        </is>
      </c>
      <c r="I14" s="2" t="n"/>
      <c r="J14" s="2" t="n"/>
      <c r="K14" s="2" t="inlineStr">
        <is>
          <t>Stated. Publicity made parties not contacted aware of the process and able to approach J.P. Morgan. “On August 19, 2014, concurrent with its second quarter earnings announcement, the Company issued a press release announcing that it determined to explore strategic alternatives for the Company to maximize value for stockholders, including a possible sale of the Company.” (p.23).</t>
        </is>
      </c>
      <c r="L14" s="2" t="inlineStr">
        <is>
          <t>P-009</t>
        </is>
      </c>
      <c r="M14" s="2" t="inlineStr">
        <is>
          <t>Q1</t>
        </is>
      </c>
      <c r="N14" s="2" t="n"/>
      <c r="O14" s="2" t="inlineStr">
        <is>
          <t>R013</t>
        </is>
      </c>
      <c r="P14" s="2" t="inlineStr">
        <is>
          <t>Yes</t>
        </is>
      </c>
      <c r="Q14" s="4" t="n"/>
      <c r="R14" s="5" t="n">
        <v>41870</v>
      </c>
      <c r="S14" s="5" t="n">
        <v>41870</v>
      </c>
      <c r="T14" s="5" t="n">
        <v>41870</v>
      </c>
      <c r="U14" s="2" t="inlineStr">
        <is>
          <t>Reported day</t>
        </is>
      </c>
      <c r="V14" s="2" t="inlineStr">
        <is>
          <t>Reported</t>
        </is>
      </c>
      <c r="W14" s="6" t="n"/>
      <c r="X14" s="6" t="n"/>
      <c r="Y14" s="2" t="n"/>
      <c r="Z14" s="2" t="n"/>
      <c r="AA14" s="2" t="n"/>
      <c r="AB14" s="2" t="n"/>
      <c r="AC14" s="6" t="n"/>
      <c r="AD14" s="2" t="n"/>
      <c r="AE14" s="5" t="n"/>
      <c r="AF14" s="2" t="n"/>
      <c r="AG14" s="2" t="n"/>
      <c r="AH14" s="2" t="n"/>
      <c r="AI14" s="2" t="n"/>
      <c r="AJ14" s="2" t="n"/>
      <c r="AK14" s="2" t="n">
        <v>23</v>
      </c>
      <c r="AL14" s="2" t="inlineStr">
        <is>
          <t>R009; R016</t>
        </is>
      </c>
      <c r="AM14" s="2" t="inlineStr">
        <is>
          <t>PetSmart</t>
        </is>
      </c>
    </row>
    <row r="15">
      <c r="A15" s="2" t="n">
        <v>14</v>
      </c>
      <c r="B15" s="2" t="inlineStr">
        <is>
          <t>08/22/2014</t>
        </is>
      </c>
      <c r="C15" s="2" t="inlineStr">
        <is>
          <t>J.P. Morgan (target side) / Industry Participant</t>
        </is>
      </c>
      <c r="D15" s="2" t="inlineStr">
        <is>
          <t>Contact</t>
        </is>
      </c>
      <c r="E15" s="2" t="n">
        <v>1</v>
      </c>
      <c r="F15" s="2" t="n">
        <v>0</v>
      </c>
      <c r="G15" s="2" t="n"/>
      <c r="H15" s="2" t="inlineStr">
        <is>
          <t>J.P. Morgan called Industry Participant’s representative: confirmed Industry Participant was aware of the August 19 announcement and informed it of the board’s concerns; the parties agreed to speak again. Count 0 (Industry Participant already represented by R008).</t>
        </is>
      </c>
      <c r="I15" s="2" t="n"/>
      <c r="J15" s="2" t="n"/>
      <c r="K15" s="2" t="inlineStr">
        <is>
          <t>Stated. Direction: target to bidder; implementing the exclusion decision. “On August 22, 2014, a representative of J.P. Morgan contacted by telephone the representative of Industry Participant with whom the J.P. Morgan representative had spoken to on August 7. During this call, Industry Participant confirmed that it was aware of the Company’s August 19 announcement and the J.P Morgan representative informed the Industry Participant representative of the board’s concerns regarding Industry Participant’s participation. The parties agreed to speak again in a few days.” (p.23).</t>
        </is>
      </c>
      <c r="L15" s="2" t="inlineStr">
        <is>
          <t>P-010</t>
        </is>
      </c>
      <c r="M15" s="2" t="n"/>
      <c r="N15" s="2" t="n"/>
      <c r="O15" s="2" t="inlineStr">
        <is>
          <t>R014</t>
        </is>
      </c>
      <c r="P15" s="2" t="inlineStr">
        <is>
          <t>Yes</t>
        </is>
      </c>
      <c r="Q15" s="4" t="n">
        <v>0</v>
      </c>
      <c r="R15" s="5" t="n">
        <v>41873</v>
      </c>
      <c r="S15" s="5" t="n">
        <v>41873</v>
      </c>
      <c r="T15" s="5" t="n">
        <v>41873</v>
      </c>
      <c r="U15" s="2" t="inlineStr">
        <is>
          <t>Reported day</t>
        </is>
      </c>
      <c r="V15" s="2" t="inlineStr">
        <is>
          <t>Reported</t>
        </is>
      </c>
      <c r="W15" s="6" t="n"/>
      <c r="X15" s="6" t="n"/>
      <c r="Y15" s="2" t="n"/>
      <c r="Z15" s="2" t="n"/>
      <c r="AA15" s="2" t="n"/>
      <c r="AB15" s="2" t="n"/>
      <c r="AC15" s="6" t="n"/>
      <c r="AD15" s="2" t="n"/>
      <c r="AE15" s="5" t="n"/>
      <c r="AF15" s="2" t="n"/>
      <c r="AG15" s="2" t="n"/>
      <c r="AH15" s="2" t="n"/>
      <c r="AI15" s="2" t="n"/>
      <c r="AJ15" s="2" t="n"/>
      <c r="AK15" s="2" t="n">
        <v>23</v>
      </c>
      <c r="AL15" s="2" t="inlineStr">
        <is>
          <t>R008; R010</t>
        </is>
      </c>
      <c r="AM15" s="2" t="inlineStr">
        <is>
          <t>PetSmart</t>
        </is>
      </c>
    </row>
    <row r="16">
      <c r="A16" s="2" t="n">
        <v>15</v>
      </c>
      <c r="B16" s="2" t="inlineStr">
        <is>
          <t>08/27/2014</t>
        </is>
      </c>
      <c r="C16" s="2" t="inlineStr">
        <is>
          <t>Industry Participant (bidder side) / J.P. Morgan (target side)</t>
        </is>
      </c>
      <c r="D16" s="2" t="inlineStr">
        <is>
          <t>Contact</t>
        </is>
      </c>
      <c r="E16" s="2" t="n">
        <v>1</v>
      </c>
      <c r="F16" s="2" t="n">
        <v>0</v>
      </c>
      <c r="G16" s="2" t="n"/>
      <c r="H16" s="2" t="inlineStr">
        <is>
          <t>Industry Participant called J.P. Morgan stating it would have interest in discussing a combination; J.P. Morgan reiterated the board’s concerns and said Industry Participant would not be invited into the exploratory process, but any proposal or communication it submitted would be considered by the board. No contact between PetSmart and Industry Participant since. Count 0.</t>
        </is>
      </c>
      <c r="I16" s="2" t="n"/>
      <c r="J16" s="2" t="n"/>
      <c r="K16" s="2" t="inlineStr">
        <is>
          <t>Stated. Final exclusion position; Industry Participant never entered and has no outcome row. “Industry Participant would have interest in discussing the possibility of a combination of the two companies. The J.P. Morgan representative reiterated the concerns identified by the board that engaging with Industry Participant was unlikely to maximize value for PetSmart’s stockholders. The J.P. Morgan representative stated that Industry Participant would not be invited into the exploratory process, but that if Industry Participant were to wish to submit a proposal or other communication to the Company, the board would consider it.” (p.23).</t>
        </is>
      </c>
      <c r="L16" s="2" t="inlineStr">
        <is>
          <t>P-010</t>
        </is>
      </c>
      <c r="M16" s="2" t="inlineStr">
        <is>
          <t>Q5</t>
        </is>
      </c>
      <c r="N16" s="2" t="n"/>
      <c r="O16" s="2" t="inlineStr">
        <is>
          <t>R015</t>
        </is>
      </c>
      <c r="P16" s="2" t="inlineStr">
        <is>
          <t>Yes</t>
        </is>
      </c>
      <c r="Q16" s="4" t="n">
        <v>0</v>
      </c>
      <c r="R16" s="5" t="n">
        <v>41878</v>
      </c>
      <c r="S16" s="5" t="n">
        <v>41878</v>
      </c>
      <c r="T16" s="5" t="n">
        <v>41878</v>
      </c>
      <c r="U16" s="2" t="inlineStr">
        <is>
          <t>Reported day</t>
        </is>
      </c>
      <c r="V16" s="2" t="inlineStr">
        <is>
          <t>Reported</t>
        </is>
      </c>
      <c r="W16" s="6" t="n"/>
      <c r="X16" s="6" t="n"/>
      <c r="Y16" s="2" t="n"/>
      <c r="Z16" s="2" t="n"/>
      <c r="AA16" s="2" t="n"/>
      <c r="AB16" s="2" t="n"/>
      <c r="AC16" s="6" t="n"/>
      <c r="AD16" s="2" t="n"/>
      <c r="AE16" s="5" t="n"/>
      <c r="AF16" s="2" t="n"/>
      <c r="AG16" s="2" t="n"/>
      <c r="AH16" s="2" t="n"/>
      <c r="AI16" s="2" t="n"/>
      <c r="AJ16" s="2" t="n"/>
      <c r="AK16" s="2" t="n">
        <v>23</v>
      </c>
      <c r="AL16" s="2" t="inlineStr">
        <is>
          <t>R008; R010</t>
        </is>
      </c>
      <c r="AM16" s="2" t="inlineStr">
        <is>
          <t>PetSmart</t>
        </is>
      </c>
    </row>
    <row r="17">
      <c r="A17" s="2" t="n">
        <v>16</v>
      </c>
      <c r="B17" s="2" t="inlineStr">
        <is>
          <t>first week of October 2014</t>
        </is>
      </c>
      <c r="C17" s="2" t="inlineStr">
        <is>
          <t>PetSmart / J.P. Morgan (process)</t>
        </is>
      </c>
      <c r="D17" s="2" t="inlineStr">
        <is>
          <t>Round opened</t>
        </is>
      </c>
      <c r="E17" s="2" t="n">
        <v>1</v>
      </c>
      <c r="F17" s="2" t="n">
        <v>1</v>
      </c>
      <c r="G17" s="2" t="n"/>
      <c r="H17" s="2" t="inlineStr">
        <is>
          <t>R1 anchor: confidentiality and standstill agreements with 15 financial buyers, first week of October 2014. Rejected candidate anchors: R009 (08/13 sale decision), R013 (08/19 press release), R008/R015 (Industry Participant contacts), R019–R020 (10/30 IOI deadline). No target outreach wave is reported (parties came to the target after the 08/19 announcement), so Round 1 opens at the first target-organized step that admits participants. Round finality: Not final — only non-binding preliminary indications of interest were solicited; no finality announcement.</t>
        </is>
      </c>
      <c r="I17" s="2" t="n"/>
      <c r="J17" s="2" t="n"/>
      <c r="K17" s="2" t="inlineStr">
        <is>
          <t>Convention (boundary): per section 6.3 anchor order. The NDA wave is the earliest target-organized admission step (the October process letter carrying the IOI deadline came later). “In the first week of October 2014, the Company entered into confidentiality and standstill agreements with 15 potentially interested financial buyers, all 15 of which, during the month of October engaged in due diligence, received management presentations involving the Company’s senior-most management,” (p.23). “J.P. Morgan was contacted by 27 potential participants in a sale process, including three strategic parties (not counting Industry Participant) and 24 financial participants” (p.23).</t>
        </is>
      </c>
      <c r="L17" s="2" t="inlineStr">
        <is>
          <t>P-013; P-011</t>
        </is>
      </c>
      <c r="M17" s="2" t="inlineStr">
        <is>
          <t>Q1</t>
        </is>
      </c>
      <c r="N17" s="2" t="n"/>
      <c r="O17" s="2" t="inlineStr">
        <is>
          <t>R016</t>
        </is>
      </c>
      <c r="P17" s="2" t="inlineStr">
        <is>
          <t>Yes</t>
        </is>
      </c>
      <c r="Q17" s="4" t="n"/>
      <c r="R17" s="5" t="n">
        <v>41913</v>
      </c>
      <c r="S17" s="5" t="n">
        <v>41919</v>
      </c>
      <c r="T17" s="5" t="n">
        <v>41913</v>
      </c>
      <c r="U17" s="2" t="inlineStr">
        <is>
          <t>Reported interval</t>
        </is>
      </c>
      <c r="V17" s="2" t="inlineStr">
        <is>
          <t>Assigned: bound</t>
        </is>
      </c>
      <c r="W17" s="6" t="n"/>
      <c r="X17" s="6" t="n"/>
      <c r="Y17" s="2" t="n"/>
      <c r="Z17" s="2" t="n"/>
      <c r="AA17" s="2" t="n"/>
      <c r="AB17" s="2" t="n"/>
      <c r="AC17" s="6" t="n"/>
      <c r="AD17" s="2" t="n"/>
      <c r="AE17" s="5" t="n"/>
      <c r="AF17" s="2" t="n"/>
      <c r="AG17" s="2" t="inlineStr">
        <is>
          <t>Not final</t>
        </is>
      </c>
      <c r="AH17" s="2" t="n"/>
      <c r="AI17" s="2" t="n"/>
      <c r="AJ17" s="2" t="n"/>
      <c r="AK17" s="2" t="n">
        <v>23</v>
      </c>
      <c r="AL17" s="2" t="inlineStr">
        <is>
          <t>R009; R013; R019; R020</t>
        </is>
      </c>
      <c r="AM17" s="2" t="inlineStr">
        <is>
          <t>PetSmart</t>
        </is>
      </c>
    </row>
    <row r="18">
      <c r="A18" s="2" t="n">
        <v>17</v>
      </c>
      <c r="B18" s="2" t="inlineStr">
        <is>
          <t>first week of October 2014</t>
        </is>
      </c>
      <c r="C18" s="2" t="inlineStr">
        <is>
          <t>15 potentially interested financial buyers (cohort)</t>
        </is>
      </c>
      <c r="D18" s="2" t="inlineStr">
        <is>
          <t>NDA signed</t>
        </is>
      </c>
      <c r="E18" s="2" t="n">
        <v>1</v>
      </c>
      <c r="F18" s="2" t="n">
        <v>1</v>
      </c>
      <c r="G18" s="2" t="inlineStr">
        <is>
          <t>Financial</t>
        </is>
      </c>
      <c r="H18" s="2" t="inlineStr">
        <is>
          <t>15 financial buyers executed confidentiality and standstill agreements with the Company (new signatures; no reused agreements identified). All 15 engaged in due diligence during October, received management presentations involving senior-most management, and received detailed financial and business plan information including the Profit Improvement Plan and cost-saving plans. Standstills prevent them from submitting (or seeking permission to submit) a higher bid once the Company entered a definitive agreement with the winning process participant. Count 15.</t>
        </is>
      </c>
      <c r="I18" s="2" t="n"/>
      <c r="J18" s="2" t="n"/>
      <c r="K18" s="2" t="inlineStr">
        <is>
          <t>Stated. Uniform stage access is stated on this admission row, not as separate information-access rows. Auction screen: more than one independent prospective acquiring bidder unit signed (met). “all 15 of which, during the month of October engaged in due diligence, received management presentations involving the Company’s senior-most management, and received detailed financial and business plan information, including detailed information concerning the Profit Improvement Plan and associated cost-saving plans and opportunities.” (p.23). “standstill provisions that prevent those parties from submitting (or even seeking permission to submit) a higher bid once the Company entered into a definitive transaction agreement with the winning sale process participant.” (p.28).</t>
        </is>
      </c>
      <c r="L18" s="2" t="inlineStr">
        <is>
          <t>P-013; X-009</t>
        </is>
      </c>
      <c r="M18" s="2" t="inlineStr">
        <is>
          <t>Q4</t>
        </is>
      </c>
      <c r="N18" s="2" t="n"/>
      <c r="O18" s="2" t="inlineStr">
        <is>
          <t>R017</t>
        </is>
      </c>
      <c r="P18" s="2" t="inlineStr">
        <is>
          <t>Yes</t>
        </is>
      </c>
      <c r="Q18" s="4" t="n">
        <v>15</v>
      </c>
      <c r="R18" s="5" t="n">
        <v>41913</v>
      </c>
      <c r="S18" s="5" t="n">
        <v>41919</v>
      </c>
      <c r="T18" s="5" t="n">
        <v>41913</v>
      </c>
      <c r="U18" s="2" t="inlineStr">
        <is>
          <t>Reported interval</t>
        </is>
      </c>
      <c r="V18" s="2" t="inlineStr">
        <is>
          <t>Assigned: bound</t>
        </is>
      </c>
      <c r="W18" s="6" t="n"/>
      <c r="X18" s="6" t="n"/>
      <c r="Y18" s="2" t="n"/>
      <c r="Z18" s="2" t="n"/>
      <c r="AA18" s="2" t="n"/>
      <c r="AB18" s="2" t="n"/>
      <c r="AC18" s="6" t="n"/>
      <c r="AD18" s="2" t="n"/>
      <c r="AE18" s="5" t="n"/>
      <c r="AF18" s="2" t="n"/>
      <c r="AG18" s="2" t="n"/>
      <c r="AH18" s="2" t="n"/>
      <c r="AI18" s="2" t="n"/>
      <c r="AJ18" s="2" t="n"/>
      <c r="AK18" s="2" t="n">
        <v>23</v>
      </c>
      <c r="AL18" s="2" t="inlineStr">
        <is>
          <t>R016; R021</t>
        </is>
      </c>
      <c r="AM18" s="2" t="inlineStr">
        <is>
          <t>PetSmart</t>
        </is>
      </c>
    </row>
    <row r="19">
      <c r="A19" s="2" t="n">
        <v>18</v>
      </c>
      <c r="B19" s="2" t="inlineStr">
        <is>
          <t>10/03/2014</t>
        </is>
      </c>
      <c r="C19" s="2" t="inlineStr">
        <is>
          <t>PetSmart board (with management, J.P. Morgan and Wachtell Lipton)</t>
        </is>
      </c>
      <c r="D19" s="2" t="inlineStr">
        <is>
          <t>Target decision</t>
        </is>
      </c>
      <c r="E19" s="2" t="n">
        <v>1</v>
      </c>
      <c r="F19" s="2" t="n">
        <v>1</v>
      </c>
      <c r="G19" s="2" t="n"/>
      <c r="H19" s="2" t="inlineStr">
        <is>
          <t>Board received a process update: approximately 15 parties had expressed interest; reviewed communications with the 27 potential participants and Industry Participant; reaffirmed the determination not to invite Industry Participant to the process.</t>
        </is>
      </c>
      <c r="I19" s="2" t="n"/>
      <c r="J19" s="2" t="n"/>
      <c r="K19" s="2" t="inlineStr">
        <is>
          <t>Stated. The relative order of this meeting and the NDA wave start is not stated; the NDA-wave rows are placed first under the section 8.1 order convention (see Q8). “the board was informed that approximately 15 parties had expressed interest in participating in the process. In addition, at this meeting, in consultation with its financial and legal advisors, the board reviewed and, for the reasons discussed in August, reaffirmed the determination not to invite Industry Participant to participate in the sale process.” (p.23).</t>
        </is>
      </c>
      <c r="L19" s="2" t="inlineStr">
        <is>
          <t>P-012</t>
        </is>
      </c>
      <c r="M19" s="2" t="inlineStr">
        <is>
          <t>Q8</t>
        </is>
      </c>
      <c r="N19" s="2" t="n"/>
      <c r="O19" s="2" t="inlineStr">
        <is>
          <t>R018</t>
        </is>
      </c>
      <c r="P19" s="2" t="inlineStr">
        <is>
          <t>Yes</t>
        </is>
      </c>
      <c r="Q19" s="4" t="n"/>
      <c r="R19" s="5" t="n">
        <v>41915</v>
      </c>
      <c r="S19" s="5" t="n">
        <v>41915</v>
      </c>
      <c r="T19" s="5" t="n">
        <v>41915</v>
      </c>
      <c r="U19" s="2" t="inlineStr">
        <is>
          <t>Reported day</t>
        </is>
      </c>
      <c r="V19" s="2" t="inlineStr">
        <is>
          <t>Reported</t>
        </is>
      </c>
      <c r="W19" s="6" t="n"/>
      <c r="X19" s="6" t="n"/>
      <c r="Y19" s="2" t="n"/>
      <c r="Z19" s="2" t="n"/>
      <c r="AA19" s="2" t="n"/>
      <c r="AB19" s="2" t="n"/>
      <c r="AC19" s="6" t="n"/>
      <c r="AD19" s="2" t="n"/>
      <c r="AE19" s="5" t="n"/>
      <c r="AF19" s="2" t="n"/>
      <c r="AG19" s="2" t="n"/>
      <c r="AH19" s="2" t="n"/>
      <c r="AI19" s="2" t="n"/>
      <c r="AJ19" s="2" t="n"/>
      <c r="AK19" s="2" t="n">
        <v>23</v>
      </c>
      <c r="AL19" s="2" t="inlineStr">
        <is>
          <t>R010; R015; R016</t>
        </is>
      </c>
      <c r="AM19" s="2" t="inlineStr">
        <is>
          <t>PetSmart</t>
        </is>
      </c>
    </row>
    <row r="20">
      <c r="A20" s="2" t="n">
        <v>19</v>
      </c>
      <c r="B20" s="2" t="inlineStr">
        <is>
          <t>during October 2014 (day not disclosed)</t>
        </is>
      </c>
      <c r="C20" s="2" t="inlineStr">
        <is>
          <t>PetSmart / J.P. Morgan (process)</t>
        </is>
      </c>
      <c r="D20" s="2" t="inlineStr">
        <is>
          <t>Deadline set</t>
        </is>
      </c>
      <c r="E20" s="2" t="n">
        <v>1</v>
      </c>
      <c r="F20" s="2" t="n">
        <v>1</v>
      </c>
      <c r="G20" s="2" t="n"/>
      <c r="H20" s="2" t="inlineStr">
        <is>
          <t>Potential bidders were informed that non-binding preliminary indications of interest were due on 10/30/2014. They were also informed Longview would be willing to “roll-over” up to 7.5 million shares on terms and price acceptable to Longview, and were asked to indicate their interest in Longview participation; such interest was not a condition to participation. Due date 10/30/2014.</t>
        </is>
      </c>
      <c r="I20" s="2" t="n"/>
      <c r="J20" s="2" t="n"/>
      <c r="K20" s="2" t="inlineStr">
        <is>
          <t>Stated. Communication day not disclosed; assigned the period midpoint (see Q8). The Longview rollover availability is folded into this process communication; the rollover relationship itself is recorded once at R043. “During October, the potential bidders were informed that non-binding preliminary indications of interest would be due on October 30, 2014. The potential bidders were also informed that Longview had informed the Company that it would be willing to “roll-over” up to 7.5 million shares on terms and price acceptable to Longview,” (p.23). “such interest was not a condition to participation in the process.” (p.24).</t>
        </is>
      </c>
      <c r="L20" s="2" t="inlineStr">
        <is>
          <t>P-014; P-015</t>
        </is>
      </c>
      <c r="M20" s="2" t="inlineStr">
        <is>
          <t>Q8</t>
        </is>
      </c>
      <c r="N20" s="2" t="n"/>
      <c r="O20" s="2" t="inlineStr">
        <is>
          <t>R019</t>
        </is>
      </c>
      <c r="P20" s="2" t="inlineStr">
        <is>
          <t>Yes</t>
        </is>
      </c>
      <c r="Q20" s="4" t="n"/>
      <c r="R20" s="5" t="n">
        <v>41913</v>
      </c>
      <c r="S20" s="5" t="n">
        <v>41942</v>
      </c>
      <c r="T20" s="5" t="n">
        <v>41927</v>
      </c>
      <c r="U20" s="2" t="inlineStr">
        <is>
          <t>Reported interval</t>
        </is>
      </c>
      <c r="V20" s="2" t="inlineStr">
        <is>
          <t>Assigned: midpoint</t>
        </is>
      </c>
      <c r="W20" s="6" t="n"/>
      <c r="X20" s="6" t="n"/>
      <c r="Y20" s="2" t="n"/>
      <c r="Z20" s="2" t="n"/>
      <c r="AA20" s="2" t="n"/>
      <c r="AB20" s="2" t="n"/>
      <c r="AC20" s="6" t="n"/>
      <c r="AD20" s="2" t="n"/>
      <c r="AE20" s="5" t="n">
        <v>41942</v>
      </c>
      <c r="AF20" s="2" t="n"/>
      <c r="AG20" s="2" t="n"/>
      <c r="AH20" s="2" t="n"/>
      <c r="AI20" s="2" t="n"/>
      <c r="AJ20" s="2" t="n"/>
      <c r="AK20" s="2" t="n">
        <v>23</v>
      </c>
      <c r="AL20" s="2" t="inlineStr">
        <is>
          <t>R020</t>
        </is>
      </c>
      <c r="AM20" s="2" t="inlineStr">
        <is>
          <t>PetSmart</t>
        </is>
      </c>
    </row>
    <row r="21">
      <c r="A21" s="2" t="n">
        <v>20</v>
      </c>
      <c r="B21" s="2" t="inlineStr">
        <is>
          <t>10/30/2014</t>
        </is>
      </c>
      <c r="C21" s="2" t="inlineStr">
        <is>
          <t>PetSmart (process deadline)</t>
        </is>
      </c>
      <c r="D21" s="2" t="inlineStr">
        <is>
          <t>Deadline</t>
        </is>
      </c>
      <c r="E21" s="2" t="n">
        <v>1</v>
      </c>
      <c r="F21" s="2" t="n">
        <v>1</v>
      </c>
      <c r="G21" s="2" t="n"/>
      <c r="H21" s="2" t="inlineStr">
        <is>
          <t>Due date for non-binding preliminary indications of interest. Six parties submitted on 10/30/2014; J.P. Morgan then spoke with all potentially interested parties, including non-submitters. Treatment: Enforced — the board took its next step (advancing four bidders) on the bids in hand. Due date 10/30/2014.</t>
        </is>
      </c>
      <c r="I21" s="2" t="n"/>
      <c r="J21" s="2" t="n"/>
      <c r="K21" s="2" t="inlineStr">
        <is>
          <t>Stated. Treatment assessed from what followed in the same round: the 11/03 board advancement (R028). No extension and no late bid accepted; Bidder 2’s increase was solicited in the target’s follow-up calls and is continuing negotiation, not late acceptance. “On October 30, six of the potentially interested parties submitted indications of interest. From October 30 to November 2, 2014, representatives of J.P. Morgan spoke by telephone with all of the potentially interested parties, including those that did not submit an indication of interest, to hear the parties’ respective rationales for the price levels suggested in their indications or rationales for not submitting an indication.” (p.24).</t>
        </is>
      </c>
      <c r="L21" s="2" t="inlineStr">
        <is>
          <t>P-016</t>
        </is>
      </c>
      <c r="M21" s="2" t="inlineStr">
        <is>
          <t>Q2</t>
        </is>
      </c>
      <c r="N21" s="2" t="n"/>
      <c r="O21" s="2" t="inlineStr">
        <is>
          <t>R020</t>
        </is>
      </c>
      <c r="P21" s="2" t="inlineStr">
        <is>
          <t>Yes</t>
        </is>
      </c>
      <c r="Q21" s="4" t="n"/>
      <c r="R21" s="5" t="n">
        <v>41942</v>
      </c>
      <c r="S21" s="5" t="n">
        <v>41942</v>
      </c>
      <c r="T21" s="5" t="n">
        <v>41942</v>
      </c>
      <c r="U21" s="2" t="inlineStr">
        <is>
          <t>Reported day</t>
        </is>
      </c>
      <c r="V21" s="2" t="inlineStr">
        <is>
          <t>Reported</t>
        </is>
      </c>
      <c r="W21" s="6" t="n"/>
      <c r="X21" s="6" t="n"/>
      <c r="Y21" s="2" t="n"/>
      <c r="Z21" s="2" t="n"/>
      <c r="AA21" s="2" t="n"/>
      <c r="AB21" s="2" t="n"/>
      <c r="AC21" s="6" t="n"/>
      <c r="AD21" s="2" t="n"/>
      <c r="AE21" s="5" t="n">
        <v>41942</v>
      </c>
      <c r="AF21" s="2" t="inlineStr">
        <is>
          <t>Enforced</t>
        </is>
      </c>
      <c r="AG21" s="2" t="n"/>
      <c r="AH21" s="2" t="n"/>
      <c r="AI21" s="2" t="n"/>
      <c r="AJ21" s="2" t="n"/>
      <c r="AK21" s="2" t="n">
        <v>24</v>
      </c>
      <c r="AL21" s="2" t="inlineStr">
        <is>
          <t>R019; R028</t>
        </is>
      </c>
      <c r="AM21" s="2" t="inlineStr">
        <is>
          <t>PetSmart</t>
        </is>
      </c>
    </row>
    <row r="22">
      <c r="A22" s="2" t="n">
        <v>21</v>
      </c>
      <c r="B22" s="2" t="inlineStr">
        <is>
          <t>by 10/30/2014</t>
        </is>
      </c>
      <c r="C22" s="2" t="inlineStr">
        <is>
          <t>Nine NDA signers (cohort)</t>
        </is>
      </c>
      <c r="D22" s="2" t="inlineStr">
        <is>
          <t>Did not submit</t>
        </is>
      </c>
      <c r="E22" s="2" t="n">
        <v>1</v>
      </c>
      <c r="F22" s="2" t="n">
        <v>1</v>
      </c>
      <c r="G22" s="2" t="inlineStr">
        <is>
          <t>Financial</t>
        </is>
      </c>
      <c r="H22" s="2" t="inlineStr">
        <is>
          <t>Inferred: residual (base assumes all six IOI submitters were among the 15 confidentiality-agreement signers) — 15 NDA signers − 6 submitters = 9 non-submitters; range allowed by the uncertainty: at least 9. No submission recorded at the 10/30/2014 solicitation.</t>
        </is>
      </c>
      <c r="I22" s="2" t="n"/>
      <c r="J22" s="2" t="n"/>
      <c r="K22" s="2" t="inlineStr">
        <is>
          <t>Inferred: residual. Arithmetic uses the filing’s stated base (15 signers) minus the six accounted-for submitters; no notice, motive or identity is inferred. See Q4/Q5. “the Company entered into confidentiality and standstill agreements with 15 potentially interested financial buyers, all 15 of which, during the month of October engaged in due diligence, received management presentations involving the Company’s senior-most management, and received detailed financial and business plan information,” (p.23). “six of the potentially interested parties submitted indications of interest.” (p.24).</t>
        </is>
      </c>
      <c r="L22" s="2" t="inlineStr">
        <is>
          <t>P-013; P-016</t>
        </is>
      </c>
      <c r="M22" s="2" t="inlineStr">
        <is>
          <t>Q4; Q5</t>
        </is>
      </c>
      <c r="N22" s="2" t="n"/>
      <c r="O22" s="2" t="inlineStr">
        <is>
          <t>R021</t>
        </is>
      </c>
      <c r="P22" s="2" t="inlineStr">
        <is>
          <t>Yes</t>
        </is>
      </c>
      <c r="Q22" s="4" t="n">
        <v>9</v>
      </c>
      <c r="R22" s="5" t="n"/>
      <c r="S22" s="5" t="n">
        <v>41942</v>
      </c>
      <c r="T22" s="5" t="n">
        <v>41942</v>
      </c>
      <c r="U22" s="2" t="inlineStr">
        <is>
          <t>Relative only</t>
        </is>
      </c>
      <c r="V22" s="2" t="inlineStr">
        <is>
          <t>Assigned: deadline</t>
        </is>
      </c>
      <c r="W22" s="6" t="n"/>
      <c r="X22" s="6" t="n"/>
      <c r="Y22" s="2" t="n"/>
      <c r="Z22" s="2" t="n"/>
      <c r="AA22" s="2" t="n"/>
      <c r="AB22" s="2" t="n"/>
      <c r="AC22" s="6" t="n"/>
      <c r="AD22" s="2" t="n"/>
      <c r="AE22" s="5" t="n"/>
      <c r="AF22" s="2" t="n"/>
      <c r="AG22" s="2" t="n"/>
      <c r="AH22" s="2" t="inlineStr">
        <is>
          <t>Unknown</t>
        </is>
      </c>
      <c r="AI22" s="2" t="inlineStr">
        <is>
          <t>Not stated</t>
        </is>
      </c>
      <c r="AJ22" s="2" t="inlineStr">
        <is>
          <t>Inferred: residual</t>
        </is>
      </c>
      <c r="AK22" s="2" t="n">
        <v>24</v>
      </c>
      <c r="AL22" s="2" t="inlineStr">
        <is>
          <t>R017; R022</t>
        </is>
      </c>
      <c r="AM22" s="2" t="inlineStr">
        <is>
          <t>PetSmart</t>
        </is>
      </c>
    </row>
    <row r="23">
      <c r="A23" s="2" t="n">
        <v>22</v>
      </c>
      <c r="B23" s="2" t="inlineStr">
        <is>
          <t>10/30/2014</t>
        </is>
      </c>
      <c r="C23" s="2" t="inlineStr">
        <is>
          <t>Buyer Group (BC Partners-led consortium)</t>
        </is>
      </c>
      <c r="D23" s="2" t="inlineStr">
        <is>
          <t>Bid</t>
        </is>
      </c>
      <c r="E23" s="2" t="n">
        <v>1</v>
      </c>
      <c r="F23" s="2" t="n">
        <v>1</v>
      </c>
      <c r="G23" s="2" t="inlineStr">
        <is>
          <t>Financial</t>
        </is>
      </c>
      <c r="H23" s="2" t="inlineStr">
        <is>
          <t>Non-binding preliminary indication of interest of $81.00–$83.00 per share. Count 1. Advanced to the final round 11/03/2014 (R028). Related: later bids R037, R045, R046.</t>
        </is>
      </c>
      <c r="I23" s="2" t="inlineStr">
        <is>
          <t>Informal</t>
        </is>
      </c>
      <c r="J23" s="2" t="inlineStr">
        <is>
          <t>Insufficient evidence</t>
        </is>
      </c>
      <c r="K23" s="2" t="inlineStr">
        <is>
          <t>Stated price; Convention: preliminary exploratory offer with no supported formal signal → Informal. Conditions: price only; nothing stated on financing or diligence, so Insufficient evidence (stage context: substantive October data-room/management access had preceded the IOI). “the Buyer Group, which indicated a range of $81.00 to $83.00 per share, and another bidder, which suggested a range of $80.00 to $85.00 per share.” (p.24).</t>
        </is>
      </c>
      <c r="L23" s="2" t="inlineStr">
        <is>
          <t>P-016</t>
        </is>
      </c>
      <c r="M23" s="2" t="inlineStr">
        <is>
          <t>Q6</t>
        </is>
      </c>
      <c r="N23" s="2" t="n"/>
      <c r="O23" s="2" t="inlineStr">
        <is>
          <t>R022</t>
        </is>
      </c>
      <c r="P23" s="2" t="inlineStr">
        <is>
          <t>Yes</t>
        </is>
      </c>
      <c r="Q23" s="4" t="n">
        <v>1</v>
      </c>
      <c r="R23" s="5" t="n">
        <v>41942</v>
      </c>
      <c r="S23" s="5" t="n">
        <v>41942</v>
      </c>
      <c r="T23" s="5" t="n">
        <v>41942</v>
      </c>
      <c r="U23" s="2" t="inlineStr">
        <is>
          <t>Reported day</t>
        </is>
      </c>
      <c r="V23" s="2" t="inlineStr">
        <is>
          <t>Reported</t>
        </is>
      </c>
      <c r="W23" s="6" t="n">
        <v>81</v>
      </c>
      <c r="X23" s="6" t="n">
        <v>83</v>
      </c>
      <c r="Y23" s="2" t="inlineStr">
        <is>
          <t>Bidder range</t>
        </is>
      </c>
      <c r="Z23" s="2" t="inlineStr">
        <is>
          <t>Stated</t>
        </is>
      </c>
      <c r="AA23" s="2" t="inlineStr">
        <is>
          <t>USD</t>
        </is>
      </c>
      <c r="AB23" s="2" t="inlineStr">
        <is>
          <t>Not stated</t>
        </is>
      </c>
      <c r="AC23" s="6" t="n"/>
      <c r="AD23" s="2" t="inlineStr">
        <is>
          <t>Fin: not stated; DD required: not stated; DD open: yes; Excl: not stated</t>
        </is>
      </c>
      <c r="AE23" s="5" t="n"/>
      <c r="AF23" s="2" t="n"/>
      <c r="AG23" s="2" t="n"/>
      <c r="AH23" s="2" t="n"/>
      <c r="AI23" s="2" t="n"/>
      <c r="AJ23" s="2" t="n"/>
      <c r="AK23" s="2" t="n">
        <v>24</v>
      </c>
      <c r="AL23" s="2" t="inlineStr">
        <is>
          <t>R028; R037; R045; R046</t>
        </is>
      </c>
      <c r="AM23" s="2" t="inlineStr">
        <is>
          <t>PetSmart</t>
        </is>
      </c>
    </row>
    <row r="24">
      <c r="A24" s="2" t="n">
        <v>23</v>
      </c>
      <c r="B24" s="2" t="inlineStr">
        <is>
          <t>10/30/2014</t>
        </is>
      </c>
      <c r="C24" s="2" t="inlineStr">
        <is>
          <t>Bidder 2</t>
        </is>
      </c>
      <c r="D24" s="2" t="inlineStr">
        <is>
          <t>Bid</t>
        </is>
      </c>
      <c r="E24" s="2" t="n">
        <v>1</v>
      </c>
      <c r="F24" s="2" t="n">
        <v>1</v>
      </c>
      <c r="G24" s="2" t="inlineStr">
        <is>
          <t>Financial</t>
        </is>
      </c>
      <c r="H24" s="2" t="inlineStr">
        <is>
          <t>Non-binding preliminary indication of interest of $78.00 per share; later increased during J.P. Morgan’s follow-up calls (R027). Count 1.</t>
        </is>
      </c>
      <c r="I24" s="2" t="inlineStr">
        <is>
          <t>Informal</t>
        </is>
      </c>
      <c r="J24" s="2" t="inlineStr">
        <is>
          <t>Insufficient evidence</t>
        </is>
      </c>
      <c r="K24" s="2" t="inlineStr">
        <is>
          <t>Stated price; Convention: preliminary exploratory offer → Informal. Conditions: Insufficient evidence (price only; nothing stated on financing/diligence). “another bidder (which we refer to as “Bidder 2”), which had initially indicated a price of $78.00,” (p.24).</t>
        </is>
      </c>
      <c r="L24" s="2" t="inlineStr">
        <is>
          <t>P-016</t>
        </is>
      </c>
      <c r="M24" s="2" t="inlineStr">
        <is>
          <t>Q6</t>
        </is>
      </c>
      <c r="N24" s="2" t="n"/>
      <c r="O24" s="2" t="inlineStr">
        <is>
          <t>R023</t>
        </is>
      </c>
      <c r="P24" s="2" t="inlineStr">
        <is>
          <t>Yes</t>
        </is>
      </c>
      <c r="Q24" s="4" t="n">
        <v>1</v>
      </c>
      <c r="R24" s="5" t="n">
        <v>41942</v>
      </c>
      <c r="S24" s="5" t="n">
        <v>41942</v>
      </c>
      <c r="T24" s="5" t="n">
        <v>41942</v>
      </c>
      <c r="U24" s="2" t="inlineStr">
        <is>
          <t>Reported day</t>
        </is>
      </c>
      <c r="V24" s="2" t="inlineStr">
        <is>
          <t>Reported</t>
        </is>
      </c>
      <c r="W24" s="6" t="n">
        <v>78</v>
      </c>
      <c r="X24" s="6" t="n">
        <v>78</v>
      </c>
      <c r="Y24" s="2" t="inlineStr">
        <is>
          <t>Point</t>
        </is>
      </c>
      <c r="Z24" s="2" t="inlineStr">
        <is>
          <t>Stated</t>
        </is>
      </c>
      <c r="AA24" s="2" t="inlineStr">
        <is>
          <t>USD</t>
        </is>
      </c>
      <c r="AB24" s="2" t="inlineStr">
        <is>
          <t>Not stated</t>
        </is>
      </c>
      <c r="AC24" s="6" t="n"/>
      <c r="AD24" s="2" t="inlineStr">
        <is>
          <t>Fin: not stated; DD required: not stated; DD open: yes; Excl: not stated</t>
        </is>
      </c>
      <c r="AE24" s="5" t="n"/>
      <c r="AF24" s="2" t="n"/>
      <c r="AG24" s="2" t="n"/>
      <c r="AH24" s="2" t="n"/>
      <c r="AI24" s="2" t="n"/>
      <c r="AJ24" s="2" t="n"/>
      <c r="AK24" s="2" t="n">
        <v>24</v>
      </c>
      <c r="AL24" s="2" t="inlineStr">
        <is>
          <t>R027</t>
        </is>
      </c>
      <c r="AM24" s="2" t="inlineStr">
        <is>
          <t>PetSmart</t>
        </is>
      </c>
    </row>
    <row r="25">
      <c r="A25" s="2" t="n">
        <v>24</v>
      </c>
      <c r="B25" s="2" t="inlineStr">
        <is>
          <t>10/30/2014</t>
        </is>
      </c>
      <c r="C25" s="2" t="inlineStr">
        <is>
          <t>Unnamed financial bidder A</t>
        </is>
      </c>
      <c r="D25" s="2" t="inlineStr">
        <is>
          <t>Bid</t>
        </is>
      </c>
      <c r="E25" s="2" t="n">
        <v>1</v>
      </c>
      <c r="F25" s="2" t="n">
        <v>1</v>
      </c>
      <c r="G25" s="2" t="inlineStr">
        <is>
          <t>Financial</t>
        </is>
      </c>
      <c r="H25" s="2" t="inlineStr">
        <is>
          <t>Non-binding preliminary indication of interest of $80.00–$85.00 per share. Count 1. Among the four bidders allowed to proceed to the final round (R028). The filing does not name this bidder.</t>
        </is>
      </c>
      <c r="I25" s="2" t="inlineStr">
        <is>
          <t>Informal</t>
        </is>
      </c>
      <c r="J25" s="2" t="inlineStr">
        <is>
          <t>Insufficient evidence</t>
        </is>
      </c>
      <c r="K25" s="2" t="inlineStr">
        <is>
          <t>Stated price; Convention: Informal (preliminary IOI). Conditions: Insufficient evidence. Identity not disclosed; may be one of the two bidders that formed Bidder 3 (see Q3), stated as a hypothesis only. “and another bidder, which suggested a range of $80.00 to $85.00 per share.” (p.24).</t>
        </is>
      </c>
      <c r="L25" s="2" t="inlineStr">
        <is>
          <t>P-016</t>
        </is>
      </c>
      <c r="M25" s="2" t="inlineStr">
        <is>
          <t>Q3; Q6</t>
        </is>
      </c>
      <c r="N25" s="2" t="n"/>
      <c r="O25" s="2" t="inlineStr">
        <is>
          <t>R024</t>
        </is>
      </c>
      <c r="P25" s="2" t="inlineStr">
        <is>
          <t>Yes</t>
        </is>
      </c>
      <c r="Q25" s="4" t="n">
        <v>1</v>
      </c>
      <c r="R25" s="5" t="n">
        <v>41942</v>
      </c>
      <c r="S25" s="5" t="n">
        <v>41942</v>
      </c>
      <c r="T25" s="5" t="n">
        <v>41942</v>
      </c>
      <c r="U25" s="2" t="inlineStr">
        <is>
          <t>Reported day</t>
        </is>
      </c>
      <c r="V25" s="2" t="inlineStr">
        <is>
          <t>Reported</t>
        </is>
      </c>
      <c r="W25" s="6" t="n">
        <v>80</v>
      </c>
      <c r="X25" s="6" t="n">
        <v>85</v>
      </c>
      <c r="Y25" s="2" t="inlineStr">
        <is>
          <t>Bidder range</t>
        </is>
      </c>
      <c r="Z25" s="2" t="inlineStr">
        <is>
          <t>Stated</t>
        </is>
      </c>
      <c r="AA25" s="2" t="inlineStr">
        <is>
          <t>USD</t>
        </is>
      </c>
      <c r="AB25" s="2" t="inlineStr">
        <is>
          <t>Not stated</t>
        </is>
      </c>
      <c r="AC25" s="6" t="n"/>
      <c r="AD25" s="2" t="inlineStr">
        <is>
          <t>Fin: not stated; DD required: not stated; DD open: yes; Excl: not stated</t>
        </is>
      </c>
      <c r="AE25" s="5" t="n"/>
      <c r="AF25" s="2" t="n"/>
      <c r="AG25" s="2" t="n"/>
      <c r="AH25" s="2" t="n"/>
      <c r="AI25" s="2" t="n"/>
      <c r="AJ25" s="2" t="n"/>
      <c r="AK25" s="2" t="n">
        <v>24</v>
      </c>
      <c r="AL25" s="2" t="inlineStr">
        <is>
          <t>R028; R031</t>
        </is>
      </c>
      <c r="AM25" s="2" t="inlineStr">
        <is>
          <t>PetSmart</t>
        </is>
      </c>
    </row>
    <row r="26">
      <c r="A26" s="2" t="n">
        <v>25</v>
      </c>
      <c r="B26" s="2" t="inlineStr">
        <is>
          <t>10/30/2014</t>
        </is>
      </c>
      <c r="C26" s="2" t="inlineStr">
        <is>
          <t>Unnamed financial bidder B</t>
        </is>
      </c>
      <c r="D26" s="2" t="inlineStr">
        <is>
          <t>Bid</t>
        </is>
      </c>
      <c r="E26" s="2" t="n">
        <v>1</v>
      </c>
      <c r="F26" s="2" t="n">
        <v>1</v>
      </c>
      <c r="G26" s="2" t="inlineStr">
        <is>
          <t>Financial</t>
        </is>
      </c>
      <c r="H26" s="2" t="inlineStr">
        <is>
          <t>Non-binding preliminary indication of interest whose price range reached at least $80.00 per share; endpoints not disclosed. Count 1. Among the four bidders allowed to proceed to the final round (R028). The filing does not name this bidder.</t>
        </is>
      </c>
      <c r="I26" s="2" t="inlineStr">
        <is>
          <t>Informal</t>
        </is>
      </c>
      <c r="J26" s="2" t="inlineStr">
        <is>
          <t>Insufficient evidence</t>
        </is>
      </c>
      <c r="K26" s="2" t="inlineStr">
        <is>
          <t>Stated that the range reached at least $80.00; Convention: endpoints not stated → cells left blank (ambiguous whether a floor on the whole range or a level the range reached — see Q7). Informal; Insufficient evidence. “Three bidders initially indicated price ranges that reached at least $80.00 per share, including the Buyer Group, which indicated a range of $81.00 to $83.00 per share, and another bidder, which suggested a range of $80.00 to $85.00 per share. As a result of its discussions with J.P. Morgan,” (p.24).</t>
        </is>
      </c>
      <c r="L26" s="2" t="inlineStr">
        <is>
          <t>P-016</t>
        </is>
      </c>
      <c r="M26" s="2" t="inlineStr">
        <is>
          <t>Q3; Q7</t>
        </is>
      </c>
      <c r="N26" s="2" t="n"/>
      <c r="O26" s="2" t="inlineStr">
        <is>
          <t>R025</t>
        </is>
      </c>
      <c r="P26" s="2" t="inlineStr">
        <is>
          <t>Yes</t>
        </is>
      </c>
      <c r="Q26" s="4" t="n">
        <v>1</v>
      </c>
      <c r="R26" s="5" t="n">
        <v>41942</v>
      </c>
      <c r="S26" s="5" t="n">
        <v>41942</v>
      </c>
      <c r="T26" s="5" t="n">
        <v>41942</v>
      </c>
      <c r="U26" s="2" t="inlineStr">
        <is>
          <t>Reported day</t>
        </is>
      </c>
      <c r="V26" s="2" t="inlineStr">
        <is>
          <t>Reported</t>
        </is>
      </c>
      <c r="W26" s="6" t="n"/>
      <c r="X26" s="6" t="n"/>
      <c r="Y26" s="2" t="inlineStr">
        <is>
          <t>Undisclosed</t>
        </is>
      </c>
      <c r="Z26" s="2" t="n"/>
      <c r="AA26" s="2" t="inlineStr">
        <is>
          <t>USD</t>
        </is>
      </c>
      <c r="AB26" s="2" t="inlineStr">
        <is>
          <t>Not stated</t>
        </is>
      </c>
      <c r="AC26" s="6" t="n"/>
      <c r="AD26" s="2" t="inlineStr">
        <is>
          <t>Fin: not stated; DD required: not stated; DD open: yes; Excl: not stated</t>
        </is>
      </c>
      <c r="AE26" s="5" t="n"/>
      <c r="AF26" s="2" t="n"/>
      <c r="AG26" s="2" t="n"/>
      <c r="AH26" s="2" t="n"/>
      <c r="AI26" s="2" t="n"/>
      <c r="AJ26" s="2" t="n"/>
      <c r="AK26" s="2" t="n">
        <v>24</v>
      </c>
      <c r="AL26" s="2" t="inlineStr">
        <is>
          <t>R028; R032</t>
        </is>
      </c>
      <c r="AM26" s="2" t="inlineStr">
        <is>
          <t>PetSmart</t>
        </is>
      </c>
    </row>
    <row r="27">
      <c r="A27" s="2" t="n">
        <v>26</v>
      </c>
      <c r="B27" s="2" t="inlineStr">
        <is>
          <t>10/30/2014</t>
        </is>
      </c>
      <c r="C27" s="2" t="inlineStr">
        <is>
          <t>Two other IOI submitters (cohort)</t>
        </is>
      </c>
      <c r="D27" s="2" t="inlineStr">
        <is>
          <t>Bid</t>
        </is>
      </c>
      <c r="E27" s="2" t="n">
        <v>1</v>
      </c>
      <c r="F27" s="2" t="n">
        <v>1</v>
      </c>
      <c r="G27" s="2" t="inlineStr">
        <is>
          <t>Financial</t>
        </is>
      </c>
      <c r="H27" s="2" t="inlineStr">
        <is>
          <t>Non-binding preliminary indications of interest from the two remaining submitters; prices not disclosed (they did not reach the $80.00 advancement level; this is inferred from the stated set of four bidders at or above $80.00). Count 2.</t>
        </is>
      </c>
      <c r="I27" s="2" t="inlineStr">
        <is>
          <t>Informal</t>
        </is>
      </c>
      <c r="J27" s="2" t="inlineStr">
        <is>
          <t>Insufficient evidence</t>
        </is>
      </c>
      <c r="K27" s="2" t="inlineStr">
        <is>
          <t>Stated submission count (six total; four individually described); Inferred (convention) that these two were below $80.00: the board advanced the four bidders that had indicated at least $80.00. Informal; Insufficient evidence. “The board determined to allow the four bidders that had indicated a price or range at or above $80.00 per share to proceed to the final round of the sale process.” (p.24).</t>
        </is>
      </c>
      <c r="L27" s="2" t="inlineStr">
        <is>
          <t>P-016; P-017</t>
        </is>
      </c>
      <c r="M27" s="2" t="inlineStr">
        <is>
          <t>Q4; Q6</t>
        </is>
      </c>
      <c r="N27" s="2" t="n"/>
      <c r="O27" s="2" t="inlineStr">
        <is>
          <t>R026</t>
        </is>
      </c>
      <c r="P27" s="2" t="inlineStr">
        <is>
          <t>Yes</t>
        </is>
      </c>
      <c r="Q27" s="4" t="n">
        <v>2</v>
      </c>
      <c r="R27" s="5" t="n">
        <v>41942</v>
      </c>
      <c r="S27" s="5" t="n">
        <v>41942</v>
      </c>
      <c r="T27" s="5" t="n">
        <v>41942</v>
      </c>
      <c r="U27" s="2" t="inlineStr">
        <is>
          <t>Reported day</t>
        </is>
      </c>
      <c r="V27" s="2" t="inlineStr">
        <is>
          <t>Reported</t>
        </is>
      </c>
      <c r="W27" s="6" t="n"/>
      <c r="X27" s="6" t="n"/>
      <c r="Y27" s="2" t="inlineStr">
        <is>
          <t>Undisclosed</t>
        </is>
      </c>
      <c r="Z27" s="2" t="n"/>
      <c r="AA27" s="2" t="inlineStr">
        <is>
          <t>USD</t>
        </is>
      </c>
      <c r="AB27" s="2" t="inlineStr">
        <is>
          <t>Not stated</t>
        </is>
      </c>
      <c r="AC27" s="6" t="n"/>
      <c r="AD27" s="2" t="inlineStr">
        <is>
          <t>Fin: not stated; DD required: not stated; DD open: yes; Excl: not stated</t>
        </is>
      </c>
      <c r="AE27" s="5" t="n"/>
      <c r="AF27" s="2" t="n"/>
      <c r="AG27" s="2" t="n"/>
      <c r="AH27" s="2" t="n"/>
      <c r="AI27" s="2" t="n"/>
      <c r="AJ27" s="2" t="n"/>
      <c r="AK27" s="2" t="n">
        <v>24</v>
      </c>
      <c r="AL27" s="2" t="inlineStr">
        <is>
          <t>R029</t>
        </is>
      </c>
      <c r="AM27" s="2" t="inlineStr">
        <is>
          <t>PetSmart</t>
        </is>
      </c>
    </row>
    <row r="28">
      <c r="A28" s="2" t="n">
        <v>27</v>
      </c>
      <c r="B28" s="2" t="inlineStr">
        <is>
          <t>10/30/2014–11/02/2014 (day not disclosed)</t>
        </is>
      </c>
      <c r="C28" s="2" t="inlineStr">
        <is>
          <t>Bidder 2</t>
        </is>
      </c>
      <c r="D28" s="2" t="inlineStr">
        <is>
          <t>Bid</t>
        </is>
      </c>
      <c r="E28" s="2" t="n">
        <v>1</v>
      </c>
      <c r="F28" s="2" t="n">
        <v>1</v>
      </c>
      <c r="G28" s="2" t="inlineStr">
        <is>
          <t>Financial</t>
        </is>
      </c>
      <c r="H28" s="2" t="inlineStr">
        <is>
          <t>Revised indication of interest of $81.00–$84.00 per share, increased from $78.00 as a result of its discussions with J.P. Morgan. Count 0 (same bidder unit as R023). Related: revises R023; advanced to the final round (R028).</t>
        </is>
      </c>
      <c r="I28" s="2" t="inlineStr">
        <is>
          <t>Informal</t>
        </is>
      </c>
      <c r="J28" s="2" t="inlineStr">
        <is>
          <t>Insufficient evidence</t>
        </is>
      </c>
      <c r="K28" s="2" t="inlineStr">
        <is>
          <t>Stated revision; Convention: still the preliminary IOI stage → Informal. Conditions Insufficient evidence. Date: revision occurred within the 10/30–11/02 call window; midpoint assigned. “increased its indication to a range of $81.00 to $84.00 per share.” (p.24).</t>
        </is>
      </c>
      <c r="L28" s="2" t="inlineStr">
        <is>
          <t>P-016</t>
        </is>
      </c>
      <c r="M28" s="2" t="inlineStr">
        <is>
          <t>Q6; Q8</t>
        </is>
      </c>
      <c r="N28" s="2" t="n"/>
      <c r="O28" s="2" t="inlineStr">
        <is>
          <t>R027</t>
        </is>
      </c>
      <c r="P28" s="2" t="inlineStr">
        <is>
          <t>Yes</t>
        </is>
      </c>
      <c r="Q28" s="4" t="n">
        <v>0</v>
      </c>
      <c r="R28" s="5" t="n">
        <v>41942</v>
      </c>
      <c r="S28" s="5" t="n">
        <v>41945</v>
      </c>
      <c r="T28" s="5" t="n">
        <v>41943</v>
      </c>
      <c r="U28" s="2" t="inlineStr">
        <is>
          <t>Reported interval</t>
        </is>
      </c>
      <c r="V28" s="2" t="inlineStr">
        <is>
          <t>Assigned: midpoint</t>
        </is>
      </c>
      <c r="W28" s="6" t="n">
        <v>81</v>
      </c>
      <c r="X28" s="6" t="n">
        <v>84</v>
      </c>
      <c r="Y28" s="2" t="inlineStr">
        <is>
          <t>Bidder range</t>
        </is>
      </c>
      <c r="Z28" s="2" t="inlineStr">
        <is>
          <t>Stated</t>
        </is>
      </c>
      <c r="AA28" s="2" t="inlineStr">
        <is>
          <t>USD</t>
        </is>
      </c>
      <c r="AB28" s="2" t="inlineStr">
        <is>
          <t>Not stated</t>
        </is>
      </c>
      <c r="AC28" s="6" t="n"/>
      <c r="AD28" s="2" t="inlineStr">
        <is>
          <t>Fin: not stated; DD required: not stated; DD open: yes; Excl: not stated</t>
        </is>
      </c>
      <c r="AE28" s="5" t="n"/>
      <c r="AF28" s="2" t="n"/>
      <c r="AG28" s="2" t="n"/>
      <c r="AH28" s="2" t="n"/>
      <c r="AI28" s="2" t="n"/>
      <c r="AJ28" s="2" t="n"/>
      <c r="AK28" s="2" t="n">
        <v>24</v>
      </c>
      <c r="AL28" s="2" t="inlineStr">
        <is>
          <t>R023; R028</t>
        </is>
      </c>
      <c r="AM28" s="2" t="inlineStr">
        <is>
          <t>PetSmart</t>
        </is>
      </c>
    </row>
    <row r="29">
      <c r="A29" s="2" t="n">
        <v>28</v>
      </c>
      <c r="B29" s="2" t="inlineStr">
        <is>
          <t>11/03/2014</t>
        </is>
      </c>
      <c r="C29" s="2" t="inlineStr">
        <is>
          <t>PetSmart board (with management, J.P. Morgan and Wachtell Lipton)</t>
        </is>
      </c>
      <c r="D29" s="2" t="inlineStr">
        <is>
          <t>Round opened</t>
        </is>
      </c>
      <c r="E29" s="2" t="n">
        <v>1</v>
      </c>
      <c r="F29" s="2" t="n">
        <v>2</v>
      </c>
      <c r="G29" s="2" t="n"/>
      <c r="H29" s="2" t="inlineStr">
        <is>
          <t>Round 2 (final round) opens: board allowed the four bidders at or above $80.00 per share to proceed; J.P. Morgan notified the eliminated parties. Final-round work: further extensive due diligence and management presentations, a form of merger agreement circulated with instructions to submit markups together with final bids, and updated FY2014 projections. Each invited bidder indicated interest in a Longview rollover but stated its bid was not conditioned or dependent on Longview participation. Round finality: Announced as final — the target designated this the final round and later solicited final bids on a set deadline.</t>
        </is>
      </c>
      <c r="I29" s="2" t="n"/>
      <c r="J29" s="2" t="n"/>
      <c r="K29" s="2" t="inlineStr">
        <is>
          <t>Stated advancement (new stage, new offers sought). Convention: Announced as final (the target’s own final-round designation). “The board determined to allow the four bidders that had indicated a price or range at or above $80.00 per share to proceed to the final round of the sale process.” (p.24). “Each of the bidders invited into the final round indicated some interest in a Longview rollover, though each also stated that its bid would not be conditioned or dependent on Longview participation.” (p.24).</t>
        </is>
      </c>
      <c r="L29" s="2" t="inlineStr">
        <is>
          <t>P-017; P-018; P-019</t>
        </is>
      </c>
      <c r="M29" s="2" t="inlineStr">
        <is>
          <t>Q1</t>
        </is>
      </c>
      <c r="N29" s="2" t="n"/>
      <c r="O29" s="2" t="inlineStr">
        <is>
          <t>R028</t>
        </is>
      </c>
      <c r="P29" s="2" t="inlineStr">
        <is>
          <t>Yes</t>
        </is>
      </c>
      <c r="Q29" s="4" t="n"/>
      <c r="R29" s="5" t="n">
        <v>41946</v>
      </c>
      <c r="S29" s="5" t="n">
        <v>41946</v>
      </c>
      <c r="T29" s="5" t="n">
        <v>41946</v>
      </c>
      <c r="U29" s="2" t="inlineStr">
        <is>
          <t>Reported day</t>
        </is>
      </c>
      <c r="V29" s="2" t="inlineStr">
        <is>
          <t>Reported</t>
        </is>
      </c>
      <c r="W29" s="6" t="n"/>
      <c r="X29" s="6" t="n"/>
      <c r="Y29" s="2" t="n"/>
      <c r="Z29" s="2" t="n"/>
      <c r="AA29" s="2" t="n"/>
      <c r="AB29" s="2" t="n"/>
      <c r="AC29" s="6" t="n"/>
      <c r="AD29" s="2" t="n"/>
      <c r="AE29" s="5" t="n"/>
      <c r="AF29" s="2" t="n"/>
      <c r="AG29" s="2" t="inlineStr">
        <is>
          <t>Announced as final</t>
        </is>
      </c>
      <c r="AH29" s="2" t="n"/>
      <c r="AI29" s="2" t="n"/>
      <c r="AJ29" s="2" t="n"/>
      <c r="AK29" s="2" t="n">
        <v>24</v>
      </c>
      <c r="AL29" s="2" t="inlineStr">
        <is>
          <t>R020; R022; R023; R024; R025; R029</t>
        </is>
      </c>
      <c r="AM29" s="2" t="inlineStr">
        <is>
          <t>PetSmart</t>
        </is>
      </c>
    </row>
    <row r="30">
      <c r="A30" s="2" t="n">
        <v>29</v>
      </c>
      <c r="B30" s="2" t="inlineStr">
        <is>
          <t>11/03/2014</t>
        </is>
      </c>
      <c r="C30" s="2" t="inlineStr">
        <is>
          <t>Two eliminated IOI submitters (cohort)</t>
        </is>
      </c>
      <c r="D30" s="2" t="inlineStr">
        <is>
          <t>Dropped by target</t>
        </is>
      </c>
      <c r="E30" s="2" t="n">
        <v>1</v>
      </c>
      <c r="F30" s="2" t="n">
        <v>1</v>
      </c>
      <c r="G30" s="2" t="inlineStr">
        <is>
          <t>Financial</t>
        </is>
      </c>
      <c r="H30" s="2" t="inlineStr">
        <is>
          <t>Dropped by target: the two submitters below $80.00 were notified of elimination from the final round; neither indicated any interest or ability to remain in the process at price levels above its initial indication. Denied stage: Round 2. Count 2. Decided by: Target. Exit reason: Lower offer than rivals.</t>
        </is>
      </c>
      <c r="I30" s="2" t="n"/>
      <c r="J30" s="2" t="n"/>
      <c r="K30" s="2" t="inlineStr">
        <is>
          <t>Stated. Round carries the round being left (R1), with the denied stage (R2) explained. “representatives of J.P. Morgan notified the eliminated parties, none of which indicated any interest or ability to remain in the process at price levels above their respective initial indications.” (p.24).</t>
        </is>
      </c>
      <c r="L30" s="2" t="inlineStr">
        <is>
          <t>P-016; P-017</t>
        </is>
      </c>
      <c r="M30" s="2" t="inlineStr">
        <is>
          <t>Q5</t>
        </is>
      </c>
      <c r="N30" s="2" t="n"/>
      <c r="O30" s="2" t="inlineStr">
        <is>
          <t>R029</t>
        </is>
      </c>
      <c r="P30" s="2" t="inlineStr">
        <is>
          <t>Yes</t>
        </is>
      </c>
      <c r="Q30" s="4" t="n">
        <v>2</v>
      </c>
      <c r="R30" s="5" t="n">
        <v>41946</v>
      </c>
      <c r="S30" s="5" t="n">
        <v>41946</v>
      </c>
      <c r="T30" s="5" t="n">
        <v>41946</v>
      </c>
      <c r="U30" s="2" t="inlineStr">
        <is>
          <t>Reported day</t>
        </is>
      </c>
      <c r="V30" s="2" t="inlineStr">
        <is>
          <t>Reported</t>
        </is>
      </c>
      <c r="W30" s="6" t="n"/>
      <c r="X30" s="6" t="n"/>
      <c r="Y30" s="2" t="n"/>
      <c r="Z30" s="2" t="n"/>
      <c r="AA30" s="2" t="n"/>
      <c r="AB30" s="2" t="n"/>
      <c r="AC30" s="6" t="n"/>
      <c r="AD30" s="2" t="n"/>
      <c r="AE30" s="5" t="n"/>
      <c r="AF30" s="2" t="n"/>
      <c r="AG30" s="2" t="n"/>
      <c r="AH30" s="2" t="inlineStr">
        <is>
          <t>Target</t>
        </is>
      </c>
      <c r="AI30" s="2" t="inlineStr">
        <is>
          <t>Lower offer than rivals</t>
        </is>
      </c>
      <c r="AJ30" s="2" t="inlineStr">
        <is>
          <t>Stated</t>
        </is>
      </c>
      <c r="AK30" s="2" t="n">
        <v>24</v>
      </c>
      <c r="AL30" s="2" t="inlineStr">
        <is>
          <t>R026; R028</t>
        </is>
      </c>
      <c r="AM30" s="2" t="inlineStr">
        <is>
          <t>PetSmart</t>
        </is>
      </c>
    </row>
    <row r="31">
      <c r="A31" s="2" t="n">
        <v>30</v>
      </c>
      <c r="B31" s="2" t="inlineStr">
        <is>
          <t>after 11/03/2014; day not disclosed</t>
        </is>
      </c>
      <c r="C31" s="2" t="inlineStr">
        <is>
          <t>Bidder 3 (two final-round bidders)</t>
        </is>
      </c>
      <c r="D31" s="2" t="inlineStr">
        <is>
          <t>Bidding group changed</t>
        </is>
      </c>
      <c r="E31" s="2" t="n">
        <v>1</v>
      </c>
      <c r="F31" s="2" t="n">
        <v>2</v>
      </c>
      <c r="G31" s="2" t="inlineStr">
        <is>
          <t>Financial</t>
        </is>
      </c>
      <c r="H31" s="2" t="inlineStr">
        <is>
          <t>Two final-round bidders (one invited, seeking an equity partner because of the size of a PetSmart acquisition; the other having said it would drop out unless permitted to pair) requested and were authorized by the ad hoc committee to work together as “Bidder 3”; the two had worked together in previous large leveraged buyouts. Proposed/permitted status: permitted/authorized. Composition effect: final-round bidding units 4 → 3. The filing does not name the members (see Q3). Count 2 (members affected).</t>
        </is>
      </c>
      <c r="I31" s="2" t="n"/>
      <c r="J31" s="2" t="n"/>
      <c r="K31" s="2" t="inlineStr">
        <is>
          <t>Stated formation of a bidding group. Anonymous members; the unit effect is stated by the count reconciliation (four invited, three negotiating units in December) rather than by name. Identity hypothesis in Q3. “Two of the bidders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requested permission to work together.” (p.24). “We refer to these two bidders together as “Bidder 3.”” (p.24).</t>
        </is>
      </c>
      <c r="L31" s="2" t="inlineStr">
        <is>
          <t>P-018</t>
        </is>
      </c>
      <c r="M31" s="2" t="inlineStr">
        <is>
          <t>Q3</t>
        </is>
      </c>
      <c r="N31" s="2" t="n"/>
      <c r="O31" s="2" t="inlineStr">
        <is>
          <t>R030</t>
        </is>
      </c>
      <c r="P31" s="2" t="inlineStr">
        <is>
          <t>Yes</t>
        </is>
      </c>
      <c r="Q31" s="4" t="n">
        <v>2</v>
      </c>
      <c r="R31" s="5" t="n">
        <v>41947</v>
      </c>
      <c r="S31" s="5" t="n"/>
      <c r="T31" s="5" t="n">
        <v>41947</v>
      </c>
      <c r="U31" s="2" t="inlineStr">
        <is>
          <t>Relative only</t>
        </is>
      </c>
      <c r="V31" s="2" t="inlineStr">
        <is>
          <t>Assigned: bound</t>
        </is>
      </c>
      <c r="W31" s="6" t="n"/>
      <c r="X31" s="6" t="n"/>
      <c r="Y31" s="2" t="n"/>
      <c r="Z31" s="2" t="n"/>
      <c r="AA31" s="2" t="n"/>
      <c r="AB31" s="2" t="n"/>
      <c r="AC31" s="6" t="n"/>
      <c r="AD31" s="2" t="n"/>
      <c r="AE31" s="5" t="n"/>
      <c r="AF31" s="2" t="n"/>
      <c r="AG31" s="2" t="n"/>
      <c r="AH31" s="2" t="n"/>
      <c r="AI31" s="2" t="n"/>
      <c r="AJ31" s="2" t="n"/>
      <c r="AK31" s="2" t="n">
        <v>24</v>
      </c>
      <c r="AL31" s="2" t="inlineStr">
        <is>
          <t>R024; R025; R031; R032; R039</t>
        </is>
      </c>
      <c r="AM31" s="2" t="inlineStr">
        <is>
          <t>PetSmart</t>
        </is>
      </c>
    </row>
    <row r="32">
      <c r="A32" s="2" t="n">
        <v>31</v>
      </c>
      <c r="B32" s="2" t="inlineStr">
        <is>
          <t>after 11/03/2014; day not disclosed</t>
        </is>
      </c>
      <c r="C32" s="2" t="inlineStr">
        <is>
          <t>Unnamed financial bidder A</t>
        </is>
      </c>
      <c r="D32" s="2" t="inlineStr">
        <is>
          <t>Joined group</t>
        </is>
      </c>
      <c r="E32" s="2" t="n">
        <v>1</v>
      </c>
      <c r="F32" s="2" t="n">
        <v>2</v>
      </c>
      <c r="G32" s="2" t="inlineStr">
        <is>
          <t>Financial</t>
        </is>
      </c>
      <c r="H32" s="2" t="inlineStr">
        <is>
          <t>Inferred: identity — Count 0. May already be counted among the two members of R030 (Bidder 3 formation); the filing does not name the members. Recommended reading: Unnamed financial bidder A is one of the two final-round bidders besides the Buyer Group and Bidder 2 that formed Bidder 3 (see Q3); ends independent bidding; the stage count falls by one. Out as an independent bidder by the 12/10/2014 final-bid transition (continuing units then: Buyer Group, Bidder 2, Bidder 3).</t>
        </is>
      </c>
      <c r="I32" s="2" t="n"/>
      <c r="J32" s="2" t="n"/>
      <c r="K32" s="2" t="inlineStr">
        <is>
          <t>Inferred: identity (section 10.2 Count-0 row). Identity is not stated by the filing; flagged in Q3. Never move counts from a cohort to a name. “(one of which had been invited into the final round but had indicated a desire to work with an equity partner in light of the size of an acquisition of PetSmart, and the other of which had indicated to J.P. Morgan that it would drop out of the process if not permitted to work together with another bidder)” (p.24).</t>
        </is>
      </c>
      <c r="L32" s="2" t="inlineStr">
        <is>
          <t>P-018</t>
        </is>
      </c>
      <c r="M32" s="2" t="inlineStr">
        <is>
          <t>Q3; Q5</t>
        </is>
      </c>
      <c r="N32" s="2" t="n"/>
      <c r="O32" s="2" t="inlineStr">
        <is>
          <t>R031</t>
        </is>
      </c>
      <c r="P32" s="2" t="inlineStr">
        <is>
          <t>Yes</t>
        </is>
      </c>
      <c r="Q32" s="4" t="n">
        <v>0</v>
      </c>
      <c r="R32" s="5" t="n">
        <v>41947</v>
      </c>
      <c r="S32" s="5" t="n"/>
      <c r="T32" s="5" t="n">
        <v>41947</v>
      </c>
      <c r="U32" s="2" t="inlineStr">
        <is>
          <t>Relative only</t>
        </is>
      </c>
      <c r="V32" s="2" t="inlineStr">
        <is>
          <t>Assigned: bound</t>
        </is>
      </c>
      <c r="W32" s="6" t="n"/>
      <c r="X32" s="6" t="n"/>
      <c r="Y32" s="2" t="n"/>
      <c r="Z32" s="2" t="n"/>
      <c r="AA32" s="2" t="n"/>
      <c r="AB32" s="2" t="n"/>
      <c r="AC32" s="6" t="n"/>
      <c r="AD32" s="2" t="n"/>
      <c r="AE32" s="5" t="n"/>
      <c r="AF32" s="2" t="n"/>
      <c r="AG32" s="2" t="n"/>
      <c r="AH32" s="2" t="n"/>
      <c r="AI32" s="2" t="n"/>
      <c r="AJ32" s="2" t="inlineStr">
        <is>
          <t>Inferred: identity</t>
        </is>
      </c>
      <c r="AK32" s="2" t="n">
        <v>24</v>
      </c>
      <c r="AL32" s="2" t="inlineStr">
        <is>
          <t>R030; R024</t>
        </is>
      </c>
      <c r="AM32" s="2" t="inlineStr">
        <is>
          <t>PetSmart</t>
        </is>
      </c>
    </row>
    <row r="33">
      <c r="A33" s="2" t="n">
        <v>32</v>
      </c>
      <c r="B33" s="2" t="inlineStr">
        <is>
          <t>after 11/03/2014; day not disclosed</t>
        </is>
      </c>
      <c r="C33" s="2" t="inlineStr">
        <is>
          <t>Unnamed financial bidder B</t>
        </is>
      </c>
      <c r="D33" s="2" t="inlineStr">
        <is>
          <t>Joined group</t>
        </is>
      </c>
      <c r="E33" s="2" t="n">
        <v>1</v>
      </c>
      <c r="F33" s="2" t="n">
        <v>2</v>
      </c>
      <c r="G33" s="2" t="inlineStr">
        <is>
          <t>Financial</t>
        </is>
      </c>
      <c r="H33" s="2" t="inlineStr">
        <is>
          <t>Inferred: identity — Count 0. May already be counted among the two members of R030 (Bidder 3 formation); the filing does not name the members. Recommended reading: Unnamed financial bidder B is one of the two final-round bidders besides the Buyer Group and Bidder 2 that formed Bidder 3 (see Q3); ends independent bidding; the stage count falls by one. Out as an independent bidder by the 12/10/2014 final-bid transition (continuing units then: Buyer Group, Bidder 2, Bidder 3).</t>
        </is>
      </c>
      <c r="I33" s="2" t="n"/>
      <c r="J33" s="2" t="n"/>
      <c r="K33" s="2" t="inlineStr">
        <is>
          <t>Inferred: identity (section 10.2 Count-0 row). Identity is not stated by the filing; flagged in Q3. “the other of which had indicated to J.P. Morgan that it would drop out of the process if not permitted to work together with another bidder)” (p.24).</t>
        </is>
      </c>
      <c r="L33" s="2" t="inlineStr">
        <is>
          <t>P-018</t>
        </is>
      </c>
      <c r="M33" s="2" t="inlineStr">
        <is>
          <t>Q3; Q5</t>
        </is>
      </c>
      <c r="N33" s="2" t="n"/>
      <c r="O33" s="2" t="inlineStr">
        <is>
          <t>R032</t>
        </is>
      </c>
      <c r="P33" s="2" t="inlineStr">
        <is>
          <t>Yes</t>
        </is>
      </c>
      <c r="Q33" s="4" t="n">
        <v>0</v>
      </c>
      <c r="R33" s="5" t="n">
        <v>41947</v>
      </c>
      <c r="S33" s="5" t="n"/>
      <c r="T33" s="5" t="n">
        <v>41947</v>
      </c>
      <c r="U33" s="2" t="inlineStr">
        <is>
          <t>Relative only</t>
        </is>
      </c>
      <c r="V33" s="2" t="inlineStr">
        <is>
          <t>Assigned: bound</t>
        </is>
      </c>
      <c r="W33" s="6" t="n"/>
      <c r="X33" s="6" t="n"/>
      <c r="Y33" s="2" t="n"/>
      <c r="Z33" s="2" t="n"/>
      <c r="AA33" s="2" t="n"/>
      <c r="AB33" s="2" t="n"/>
      <c r="AC33" s="6" t="n"/>
      <c r="AD33" s="2" t="n"/>
      <c r="AE33" s="5" t="n"/>
      <c r="AF33" s="2" t="n"/>
      <c r="AG33" s="2" t="n"/>
      <c r="AH33" s="2" t="n"/>
      <c r="AI33" s="2" t="n"/>
      <c r="AJ33" s="2" t="inlineStr">
        <is>
          <t>Inferred: identity</t>
        </is>
      </c>
      <c r="AK33" s="2" t="n">
        <v>24</v>
      </c>
      <c r="AL33" s="2" t="inlineStr">
        <is>
          <t>R030; R025</t>
        </is>
      </c>
      <c r="AM33" s="2" t="inlineStr">
        <is>
          <t>PetSmart</t>
        </is>
      </c>
    </row>
    <row r="34">
      <c r="A34" s="2" t="n">
        <v>33</v>
      </c>
      <c r="B34" s="2" t="inlineStr">
        <is>
          <t>November 2014 (day not disclosed)</t>
        </is>
      </c>
      <c r="C34" s="2" t="inlineStr">
        <is>
          <t>J.P. Morgan (target side) / four final-round bidders</t>
        </is>
      </c>
      <c r="D34" s="2" t="inlineStr">
        <is>
          <t>Information access changed</t>
        </is>
      </c>
      <c r="E34" s="2" t="n">
        <v>1</v>
      </c>
      <c r="F34" s="2" t="n">
        <v>2</v>
      </c>
      <c r="G34" s="2" t="n"/>
      <c r="H34" s="2" t="inlineStr">
        <is>
          <t>Following PetSmart’s third-quarter earnings announcement, at the request of bidders and with board direction, J.P. Morgan provided the bidders with updates to the Company’s fiscal year 2014 financial projections. Affected: the four final-round bidders. Reason: reflect Q3 results; the projections were revised after bidding had begun (IOIs 10/30/2014). Count blank.</t>
        </is>
      </c>
      <c r="I34" s="2" t="n"/>
      <c r="J34" s="2" t="n"/>
      <c r="K34" s="2" t="inlineStr">
        <is>
          <t>Stated. Projections issued/revised after bidding had begun — a differentiated information event; day not disclosed (period midpoint assigned; see Q8). “Following the Company’s third quarter earnings announcement and, at the request of bidders and the direction of the board and the Company, representatives of J.P. Morgan provided the bidders with updates to the Company’s fiscal year 2014 financial projections.” (p.24).</t>
        </is>
      </c>
      <c r="L34" s="2" t="inlineStr">
        <is>
          <t>P-019</t>
        </is>
      </c>
      <c r="M34" s="2" t="inlineStr">
        <is>
          <t>Q8</t>
        </is>
      </c>
      <c r="N34" s="2" t="n"/>
      <c r="O34" s="2" t="inlineStr">
        <is>
          <t>R033</t>
        </is>
      </c>
      <c r="P34" s="2" t="inlineStr">
        <is>
          <t>Yes</t>
        </is>
      </c>
      <c r="Q34" s="4" t="n"/>
      <c r="R34" s="5" t="n">
        <v>41944</v>
      </c>
      <c r="S34" s="5" t="n">
        <v>41973</v>
      </c>
      <c r="T34" s="5" t="n">
        <v>41958</v>
      </c>
      <c r="U34" s="2" t="inlineStr">
        <is>
          <t>Reported interval</t>
        </is>
      </c>
      <c r="V34" s="2" t="inlineStr">
        <is>
          <t>Assigned: midpoint</t>
        </is>
      </c>
      <c r="W34" s="6" t="n"/>
      <c r="X34" s="6" t="n"/>
      <c r="Y34" s="2" t="n"/>
      <c r="Z34" s="2" t="n"/>
      <c r="AA34" s="2" t="n"/>
      <c r="AB34" s="2" t="n"/>
      <c r="AC34" s="6" t="n"/>
      <c r="AD34" s="2" t="n"/>
      <c r="AE34" s="5" t="n"/>
      <c r="AF34" s="2" t="n"/>
      <c r="AG34" s="2" t="n"/>
      <c r="AH34" s="2" t="n"/>
      <c r="AI34" s="2" t="n"/>
      <c r="AJ34" s="2" t="n"/>
      <c r="AK34" s="2" t="n">
        <v>24</v>
      </c>
      <c r="AL34" s="2" t="inlineStr">
        <is>
          <t>R016; R028</t>
        </is>
      </c>
      <c r="AM34" s="2" t="inlineStr">
        <is>
          <t>PetSmart</t>
        </is>
      </c>
    </row>
    <row r="35">
      <c r="A35" s="2" t="n">
        <v>34</v>
      </c>
      <c r="B35" s="2" t="inlineStr">
        <is>
          <t>12/04/2014–12/05/2014</t>
        </is>
      </c>
      <c r="C35" s="2" t="inlineStr">
        <is>
          <t>PetSmart ad hoc committee (with financial and legal advisors)</t>
        </is>
      </c>
      <c r="D35" s="2" t="inlineStr">
        <is>
          <t>Deadline revised</t>
        </is>
      </c>
      <c r="E35" s="2" t="n">
        <v>1</v>
      </c>
      <c r="F35" s="2" t="n">
        <v>2</v>
      </c>
      <c r="G35" s="2" t="n"/>
      <c r="H35" s="2" t="inlineStr">
        <is>
          <t>Deadline revised: the ad hoc committee concluded the remaining steps could be done in a shorter period to reduce the risk of leaks or unintended public disclosure; the Company moved the deadline for submission of final bids from 12/05/2014 to the evening of 12/10/2014 (five days rather than ten before the anticipated 12/15 completion) and asked bidders to submit markups of the draft merger agreement and other transaction documents, and financing commitments, in advance if possible. Treatment: Extended. Due date (new): 12/10/2014.</t>
        </is>
      </c>
      <c r="I35" s="2" t="n"/>
      <c r="J35" s="2" t="n"/>
      <c r="K35" s="2" t="inlineStr">
        <is>
          <t>Stated. Revision of an existing due date; old and new preserved. The original 12/05/2014 date was superseded before arrival and has no separate milestone row. “had initially set Friday, December 5 as the date for submission of bids so as to allow sufficient time for the Company to receive and analyze the bids, conduct further rounds of bidding, if necessary,” (p.24). “the Company set the evening of Wednesday, December 10 (five days, rather than 10 days prior to the anticipated December 15 completion date) as the deadline for submission of final bids,” (p.25).</t>
        </is>
      </c>
      <c r="L35" s="2" t="inlineStr">
        <is>
          <t>P-020; P-021</t>
        </is>
      </c>
      <c r="M35" s="2" t="inlineStr">
        <is>
          <t>Q2</t>
        </is>
      </c>
      <c r="N35" s="2" t="n"/>
      <c r="O35" s="2" t="inlineStr">
        <is>
          <t>R034</t>
        </is>
      </c>
      <c r="P35" s="2" t="inlineStr">
        <is>
          <t>Yes</t>
        </is>
      </c>
      <c r="Q35" s="4" t="n"/>
      <c r="R35" s="5" t="n">
        <v>41977</v>
      </c>
      <c r="S35" s="5" t="n">
        <v>41978</v>
      </c>
      <c r="T35" s="5" t="n">
        <v>41978</v>
      </c>
      <c r="U35" s="2" t="inlineStr">
        <is>
          <t>Reported interval</t>
        </is>
      </c>
      <c r="V35" s="2" t="inlineStr">
        <is>
          <t>Assigned: decision day</t>
        </is>
      </c>
      <c r="W35" s="6" t="n"/>
      <c r="X35" s="6" t="n"/>
      <c r="Y35" s="2" t="n"/>
      <c r="Z35" s="2" t="n"/>
      <c r="AA35" s="2" t="n"/>
      <c r="AB35" s="2" t="n"/>
      <c r="AC35" s="6" t="n"/>
      <c r="AD35" s="2" t="n"/>
      <c r="AE35" s="5" t="n">
        <v>41983</v>
      </c>
      <c r="AF35" s="2" t="inlineStr">
        <is>
          <t>Extended</t>
        </is>
      </c>
      <c r="AG35" s="2" t="n"/>
      <c r="AH35" s="2" t="n"/>
      <c r="AI35" s="2" t="n"/>
      <c r="AJ35" s="2" t="n"/>
      <c r="AK35" s="2" t="n">
        <v>25</v>
      </c>
      <c r="AL35" s="2" t="inlineStr">
        <is>
          <t>R036</t>
        </is>
      </c>
      <c r="AM35" s="2" t="inlineStr">
        <is>
          <t>PetSmart</t>
        </is>
      </c>
    </row>
    <row r="36">
      <c r="A36" s="2" t="n">
        <v>35</v>
      </c>
      <c r="B36" s="2" t="inlineStr">
        <is>
          <t>12/09/2014</t>
        </is>
      </c>
      <c r="C36" s="2" t="inlineStr">
        <is>
          <t>J.P. Morgan (arranging); Longview; Buyer Group; Bidder 2</t>
        </is>
      </c>
      <c r="D36" s="2" t="inlineStr">
        <is>
          <t>Information access changed</t>
        </is>
      </c>
      <c r="E36" s="2" t="n">
        <v>1</v>
      </c>
      <c r="F36" s="2" t="n">
        <v>2</v>
      </c>
      <c r="G36" s="2" t="n"/>
      <c r="H36" s="2" t="inlineStr">
        <is>
          <t>Following execution of a confidentiality agreement, J.P. Morgan arranged introductory meetings between Longview and the Buyer Group and between Longview and Bidder 2 (Bidder 3 did not have a meeting on the narrative), to let the bidders assess interest in working with Longview and vice versa; the bidders were prohibited at this time from disclosing their intended bid prices to Longview. Count blank.</t>
        </is>
      </c>
      <c r="I36" s="2" t="n"/>
      <c r="J36" s="2" t="n"/>
      <c r="K36" s="2" t="inlineStr">
        <is>
          <t>Stated. Differentiated access among live finalists (two of the three bidding units met Longview). Material because Longview participation was later credited as helpful in achieving $83.00. “Following the execution of a confidentiality agreement, on December 9, 2014, J.P. Morgan arranged introductory meetings between Longview and the Buyer Group, and between Longview and Bidder 2.” (p.25). “the bidders were prohibited at this time from disclosing to Longview the respective prices that the bidders intended to bid.” (p.25).</t>
        </is>
      </c>
      <c r="L36" s="2" t="inlineStr">
        <is>
          <t>P-024</t>
        </is>
      </c>
      <c r="M36" s="2" t="inlineStr">
        <is>
          <t>Q1</t>
        </is>
      </c>
      <c r="N36" s="2" t="n"/>
      <c r="O36" s="2" t="inlineStr">
        <is>
          <t>R035</t>
        </is>
      </c>
      <c r="P36" s="2" t="inlineStr">
        <is>
          <t>Yes</t>
        </is>
      </c>
      <c r="Q36" s="4" t="n"/>
      <c r="R36" s="5" t="n">
        <v>41982</v>
      </c>
      <c r="S36" s="5" t="n">
        <v>41982</v>
      </c>
      <c r="T36" s="5" t="n">
        <v>41982</v>
      </c>
      <c r="U36" s="2" t="inlineStr">
        <is>
          <t>Reported day</t>
        </is>
      </c>
      <c r="V36" s="2" t="inlineStr">
        <is>
          <t>Reported</t>
        </is>
      </c>
      <c r="W36" s="6" t="n"/>
      <c r="X36" s="6" t="n"/>
      <c r="Y36" s="2" t="n"/>
      <c r="Z36" s="2" t="n"/>
      <c r="AA36" s="2" t="n"/>
      <c r="AB36" s="2" t="n"/>
      <c r="AC36" s="6" t="n"/>
      <c r="AD36" s="2" t="n"/>
      <c r="AE36" s="5" t="n"/>
      <c r="AF36" s="2" t="n"/>
      <c r="AG36" s="2" t="n"/>
      <c r="AH36" s="2" t="n"/>
      <c r="AI36" s="2" t="n"/>
      <c r="AJ36" s="2" t="n"/>
      <c r="AK36" s="2" t="n">
        <v>25</v>
      </c>
      <c r="AL36" s="2" t="inlineStr">
        <is>
          <t>R028; R043</t>
        </is>
      </c>
      <c r="AM36" s="2" t="inlineStr">
        <is>
          <t>PetSmart</t>
        </is>
      </c>
    </row>
    <row r="37">
      <c r="A37" s="2" t="n">
        <v>36</v>
      </c>
      <c r="B37" s="2" t="inlineStr">
        <is>
          <t>12/10/2014 (evening deadline)</t>
        </is>
      </c>
      <c r="C37" s="2" t="inlineStr">
        <is>
          <t>PetSmart (process deadline)</t>
        </is>
      </c>
      <c r="D37" s="2" t="inlineStr">
        <is>
          <t>Deadline</t>
        </is>
      </c>
      <c r="E37" s="2" t="n">
        <v>1</v>
      </c>
      <c r="F37" s="2" t="n">
        <v>2</v>
      </c>
      <c r="G37" s="2" t="n"/>
      <c r="H37" s="2" t="inlineStr">
        <is>
          <t>Deadline for submission of final bids (evening of 12/10/2014). Treatment: Extended — after the bids the ad hoc committee requested improved bids for 12/12/2014 (R041). Due date 12/10/2014.</t>
        </is>
      </c>
      <c r="I37" s="2" t="n"/>
      <c r="J37" s="2" t="n"/>
      <c r="K37" s="2" t="inlineStr">
        <is>
          <t>Stated. Due date revised from 12/05/2014; revised again by the improvement request issued after this date arrived. “On December 10, PetSmart received final bid letters along with revised versions of the merger agreement and other transaction documents from the Buyer Group and from Bidder 2 and a verbal indication from Bidder 3.” (p.25).</t>
        </is>
      </c>
      <c r="L37" s="2" t="inlineStr">
        <is>
          <t>P-025</t>
        </is>
      </c>
      <c r="M37" s="2" t="inlineStr">
        <is>
          <t>Q2</t>
        </is>
      </c>
      <c r="N37" s="2" t="n"/>
      <c r="O37" s="2" t="inlineStr">
        <is>
          <t>R036</t>
        </is>
      </c>
      <c r="P37" s="2" t="inlineStr">
        <is>
          <t>Yes</t>
        </is>
      </c>
      <c r="Q37" s="4" t="n"/>
      <c r="R37" s="5" t="n">
        <v>41983</v>
      </c>
      <c r="S37" s="5" t="n">
        <v>41983</v>
      </c>
      <c r="T37" s="5" t="n">
        <v>41983</v>
      </c>
      <c r="U37" s="2" t="inlineStr">
        <is>
          <t>Reported day</t>
        </is>
      </c>
      <c r="V37" s="2" t="inlineStr">
        <is>
          <t>Reported</t>
        </is>
      </c>
      <c r="W37" s="6" t="n"/>
      <c r="X37" s="6" t="n"/>
      <c r="Y37" s="2" t="n"/>
      <c r="Z37" s="2" t="n"/>
      <c r="AA37" s="2" t="n"/>
      <c r="AB37" s="2" t="n"/>
      <c r="AC37" s="6" t="n"/>
      <c r="AD37" s="2" t="n"/>
      <c r="AE37" s="5" t="n">
        <v>41983</v>
      </c>
      <c r="AF37" s="2" t="inlineStr">
        <is>
          <t>Extended</t>
        </is>
      </c>
      <c r="AG37" s="2" t="n"/>
      <c r="AH37" s="2" t="n"/>
      <c r="AI37" s="2" t="n"/>
      <c r="AJ37" s="2" t="n"/>
      <c r="AK37" s="2" t="n">
        <v>25</v>
      </c>
      <c r="AL37" s="2" t="inlineStr">
        <is>
          <t>R034; R040; R041</t>
        </is>
      </c>
      <c r="AM37" s="2" t="inlineStr">
        <is>
          <t>PetSmart</t>
        </is>
      </c>
    </row>
    <row r="38">
      <c r="A38" s="2" t="n">
        <v>37</v>
      </c>
      <c r="B38" s="2" t="inlineStr">
        <is>
          <t>12/10/2014</t>
        </is>
      </c>
      <c r="C38" s="2" t="inlineStr">
        <is>
          <t>Buyer Group (BC Partners-led consortium)</t>
        </is>
      </c>
      <c r="D38" s="2" t="inlineStr">
        <is>
          <t>Bid</t>
        </is>
      </c>
      <c r="E38" s="2" t="n">
        <v>1</v>
      </c>
      <c r="F38" s="2" t="n">
        <v>2</v>
      </c>
      <c r="G38" s="2" t="inlineStr">
        <is>
          <t>Financial</t>
        </is>
      </c>
      <c r="H38" s="2" t="inlineStr">
        <is>
          <t>Final bid letter: $80.70 per share in cash, with revised merger agreement and transaction documents; the Buyer Group had provided financing commitment documents on 12/06 and its documentation was more favorable to the Company (less conditional, more likely to be completed, more acceptance of the Company’s positions). Count 1. Related: R022 (IOI), R045 (improved).</t>
        </is>
      </c>
      <c r="I38" s="2" t="inlineStr">
        <is>
          <t>Formal</t>
        </is>
      </c>
      <c r="J38" s="2" t="inlineStr">
        <is>
          <t>Light</t>
        </is>
      </c>
      <c r="K38" s="2" t="inlineStr">
        <is>
          <t>Stated price; Formal (signal 1: bidder-returned agreement markups/revised documents). Conditions Light: committed financing provided; no diligence condition stated; diligence under way (DD open). “The Buyer Group offered $80.70 per share, in cash, and Bidder 2 offered $80.35 per share, in cash. Bidder 3 verbally communicated to J.P. Morgan that their valuation would not be above the current stock price of approximately $78 per share. J.P. Morgan communicated to Bidder 3 that it was unlikely to be competitive and accordingly Bidder 3 did not submit a written offer. The form of merger agreement and other transaction documentation submitted by the Buyer Group were more favorable to the Company (including because they were less conditional and more likely to be completed and because they offered more certainty of protection for the Company in the unlikely event of non-completion of the transaction) and reflected substantially more acceptance of the Company’s positions.” (p.25). “the Buyer Group provided its financing commitment documents.” (p.25).</t>
        </is>
      </c>
      <c r="L38" s="2" t="inlineStr">
        <is>
          <t>P-025; P-022</t>
        </is>
      </c>
      <c r="M38" s="2" t="inlineStr">
        <is>
          <t>Q6</t>
        </is>
      </c>
      <c r="N38" s="2" t="n"/>
      <c r="O38" s="2" t="inlineStr">
        <is>
          <t>R037</t>
        </is>
      </c>
      <c r="P38" s="2" t="inlineStr">
        <is>
          <t>Yes</t>
        </is>
      </c>
      <c r="Q38" s="4" t="n">
        <v>1</v>
      </c>
      <c r="R38" s="5" t="n">
        <v>41983</v>
      </c>
      <c r="S38" s="5" t="n">
        <v>41983</v>
      </c>
      <c r="T38" s="5" t="n">
        <v>41983</v>
      </c>
      <c r="U38" s="2" t="inlineStr">
        <is>
          <t>Reported day</t>
        </is>
      </c>
      <c r="V38" s="2" t="inlineStr">
        <is>
          <t>Reported</t>
        </is>
      </c>
      <c r="W38" s="6" t="n">
        <v>80.7</v>
      </c>
      <c r="X38" s="6" t="n">
        <v>80.7</v>
      </c>
      <c r="Y38" s="2" t="inlineStr">
        <is>
          <t>Point</t>
        </is>
      </c>
      <c r="Z38" s="2" t="inlineStr">
        <is>
          <t>Stated</t>
        </is>
      </c>
      <c r="AA38" s="2" t="inlineStr">
        <is>
          <t>USD</t>
        </is>
      </c>
      <c r="AB38" s="2" t="inlineStr">
        <is>
          <t>Yes</t>
        </is>
      </c>
      <c r="AC38" s="6" t="n">
        <v>80.7</v>
      </c>
      <c r="AD38" s="2" t="inlineStr">
        <is>
          <t>Fin: committed; DD required: not stated; DD open: yes; Excl: not stated</t>
        </is>
      </c>
      <c r="AE38" s="5" t="n"/>
      <c r="AF38" s="2" t="n"/>
      <c r="AG38" s="2" t="n"/>
      <c r="AH38" s="2" t="n"/>
      <c r="AI38" s="2" t="n"/>
      <c r="AJ38" s="2" t="n"/>
      <c r="AK38" s="2" t="n">
        <v>25</v>
      </c>
      <c r="AL38" s="2" t="inlineStr">
        <is>
          <t>R022; R045; R046</t>
        </is>
      </c>
      <c r="AM38" s="2" t="inlineStr">
        <is>
          <t>PetSmart</t>
        </is>
      </c>
    </row>
    <row r="39">
      <c r="A39" s="2" t="n">
        <v>38</v>
      </c>
      <c r="B39" s="2" t="inlineStr">
        <is>
          <t>12/10/2014</t>
        </is>
      </c>
      <c r="C39" s="2" t="inlineStr">
        <is>
          <t>Bidder 2</t>
        </is>
      </c>
      <c r="D39" s="2" t="inlineStr">
        <is>
          <t>Bid</t>
        </is>
      </c>
      <c r="E39" s="2" t="n">
        <v>1</v>
      </c>
      <c r="F39" s="2" t="n">
        <v>2</v>
      </c>
      <c r="G39" s="2" t="inlineStr">
        <is>
          <t>Financial</t>
        </is>
      </c>
      <c r="H39" s="2" t="inlineStr">
        <is>
          <t>Final bid letter: $80.35 per share in cash, with revised merger agreement and transaction documents. Bidder 2 indicated any partnering with Longview would occur only after completion of bidding and execution of a definitive merger agreement. Count 1. Related: R027 (revised IOI), R044 (improved).</t>
        </is>
      </c>
      <c r="I39" s="2" t="inlineStr">
        <is>
          <t>Formal</t>
        </is>
      </c>
      <c r="J39" s="2" t="inlineStr">
        <is>
          <t>Insufficient evidence</t>
        </is>
      </c>
      <c r="K39" s="2" t="inlineStr">
        <is>
          <t>Stated price; Formal (signal 1: bidder-returned agreement markups/revised documents). Conditions Insufficient evidence: price and documents but nothing stated on financing or diligence conditions (the filing notes Bidder 2’s documentation was more conditional than the Buyer Group’s). “The Buyer Group offered $80.70 per share, in cash, and Bidder 2 offered $80.35 per share, in cash.” (p.25). “Bidder 2 indicated that any partnering with Longview would only occur after completion of bidding and execution of a definitive merger agreement with the Company.” (p.25).</t>
        </is>
      </c>
      <c r="L39" s="2" t="inlineStr">
        <is>
          <t>P-025</t>
        </is>
      </c>
      <c r="M39" s="2" t="inlineStr">
        <is>
          <t>Q6</t>
        </is>
      </c>
      <c r="N39" s="2" t="n"/>
      <c r="O39" s="2" t="inlineStr">
        <is>
          <t>R038</t>
        </is>
      </c>
      <c r="P39" s="2" t="inlineStr">
        <is>
          <t>Yes</t>
        </is>
      </c>
      <c r="Q39" s="4" t="n">
        <v>1</v>
      </c>
      <c r="R39" s="5" t="n">
        <v>41983</v>
      </c>
      <c r="S39" s="5" t="n">
        <v>41983</v>
      </c>
      <c r="T39" s="5" t="n">
        <v>41983</v>
      </c>
      <c r="U39" s="2" t="inlineStr">
        <is>
          <t>Reported day</t>
        </is>
      </c>
      <c r="V39" s="2" t="inlineStr">
        <is>
          <t>Reported</t>
        </is>
      </c>
      <c r="W39" s="6" t="n">
        <v>80.34999999999999</v>
      </c>
      <c r="X39" s="6" t="n">
        <v>80.34999999999999</v>
      </c>
      <c r="Y39" s="2" t="inlineStr">
        <is>
          <t>Point</t>
        </is>
      </c>
      <c r="Z39" s="2" t="inlineStr">
        <is>
          <t>Stated</t>
        </is>
      </c>
      <c r="AA39" s="2" t="inlineStr">
        <is>
          <t>USD</t>
        </is>
      </c>
      <c r="AB39" s="2" t="inlineStr">
        <is>
          <t>Yes</t>
        </is>
      </c>
      <c r="AC39" s="6" t="n">
        <v>80.34999999999999</v>
      </c>
      <c r="AD39" s="2" t="inlineStr">
        <is>
          <t>Fin: not stated; DD required: not stated; DD open: yes; Excl: not stated</t>
        </is>
      </c>
      <c r="AE39" s="5" t="n"/>
      <c r="AF39" s="2" t="n"/>
      <c r="AG39" s="2" t="n"/>
      <c r="AH39" s="2" t="n"/>
      <c r="AI39" s="2" t="n"/>
      <c r="AJ39" s="2" t="n"/>
      <c r="AK39" s="2" t="n">
        <v>25</v>
      </c>
      <c r="AL39" s="2" t="inlineStr">
        <is>
          <t>R027; R044</t>
        </is>
      </c>
      <c r="AM39" s="2" t="inlineStr">
        <is>
          <t>PetSmart</t>
        </is>
      </c>
    </row>
    <row r="40">
      <c r="A40" s="2" t="n">
        <v>39</v>
      </c>
      <c r="B40" s="2" t="inlineStr">
        <is>
          <t>12/10/2014</t>
        </is>
      </c>
      <c r="C40" s="2" t="inlineStr">
        <is>
          <t>Bidder 3</t>
        </is>
      </c>
      <c r="D40" s="2" t="inlineStr">
        <is>
          <t>Bid</t>
        </is>
      </c>
      <c r="E40" s="2" t="n">
        <v>1</v>
      </c>
      <c r="F40" s="2" t="n">
        <v>2</v>
      </c>
      <c r="G40" s="2" t="inlineStr">
        <is>
          <t>Financial</t>
        </is>
      </c>
      <c r="H40" s="2" t="inlineStr">
        <is>
          <t>Bound: ≤ $78.00 — verbal indication that Bidder 3’s valuation would not be above the current stock price of approximately $78 per share; no written offer; J.P. Morgan communicated that this was unlikely to be competitive. Count 1. Related: R030 (formation), R040 (outcome).</t>
        </is>
      </c>
      <c r="I40" s="2" t="inlineStr">
        <is>
          <t>Informal</t>
        </is>
      </c>
      <c r="J40" s="2" t="inlineStr">
        <is>
          <t>Insufficient evidence</t>
        </is>
      </c>
      <c r="K40" s="2" t="inlineStr">
        <is>
          <t>Stated bound (approximate: “approximately $78”; the number is the then-current stock price, not a stated offer level — see Q7). Convention: Informal (verbal, no documents). Conditions Insufficient evidence; diligence status not disclosed for Bidder 3. “a verbal indication from Bidder 3. The Buyer Group offered $80.70 per share, in cash, and Bidder 2 offered $80.35 per share, in cash. Bidder 3 verbally communicated to J.P. Morgan that their valuation would not be above the current stock price of approximately $78 per share.” (p.25).</t>
        </is>
      </c>
      <c r="L40" s="2" t="inlineStr">
        <is>
          <t>P-025</t>
        </is>
      </c>
      <c r="M40" s="2" t="inlineStr">
        <is>
          <t>Q6; Q7</t>
        </is>
      </c>
      <c r="N40" s="2" t="n"/>
      <c r="O40" s="2" t="inlineStr">
        <is>
          <t>R039</t>
        </is>
      </c>
      <c r="P40" s="2" t="inlineStr">
        <is>
          <t>Yes</t>
        </is>
      </c>
      <c r="Q40" s="4" t="n">
        <v>1</v>
      </c>
      <c r="R40" s="5" t="n">
        <v>41983</v>
      </c>
      <c r="S40" s="5" t="n">
        <v>41983</v>
      </c>
      <c r="T40" s="5" t="n">
        <v>41983</v>
      </c>
      <c r="U40" s="2" t="inlineStr">
        <is>
          <t>Reported day</t>
        </is>
      </c>
      <c r="V40" s="2" t="inlineStr">
        <is>
          <t>Reported</t>
        </is>
      </c>
      <c r="W40" s="6" t="n"/>
      <c r="X40" s="6" t="n">
        <v>78</v>
      </c>
      <c r="Y40" s="2" t="inlineStr">
        <is>
          <t>Bound only</t>
        </is>
      </c>
      <c r="Z40" s="2" t="inlineStr">
        <is>
          <t>Stated</t>
        </is>
      </c>
      <c r="AA40" s="2" t="inlineStr">
        <is>
          <t>USD</t>
        </is>
      </c>
      <c r="AB40" s="2" t="inlineStr">
        <is>
          <t>Not stated</t>
        </is>
      </c>
      <c r="AC40" s="6" t="n"/>
      <c r="AD40" s="2" t="inlineStr">
        <is>
          <t>Fin: not stated; DD required: not stated; DD open: not disclosed; Excl: not stated</t>
        </is>
      </c>
      <c r="AE40" s="5" t="n"/>
      <c r="AF40" s="2" t="n"/>
      <c r="AG40" s="2" t="n"/>
      <c r="AH40" s="2" t="n"/>
      <c r="AI40" s="2" t="n"/>
      <c r="AJ40" s="2" t="n"/>
      <c r="AK40" s="2" t="n">
        <v>25</v>
      </c>
      <c r="AL40" s="2" t="inlineStr">
        <is>
          <t>R030; R040</t>
        </is>
      </c>
      <c r="AM40" s="2" t="inlineStr">
        <is>
          <t>PetSmart</t>
        </is>
      </c>
    </row>
    <row r="41">
      <c r="A41" s="2" t="n">
        <v>40</v>
      </c>
      <c r="B41" s="2" t="inlineStr">
        <is>
          <t>12/10/2014</t>
        </is>
      </c>
      <c r="C41" s="2" t="inlineStr">
        <is>
          <t>Bidder 3</t>
        </is>
      </c>
      <c r="D41" s="2" t="inlineStr">
        <is>
          <t>Did not submit</t>
        </is>
      </c>
      <c r="E41" s="2" t="n">
        <v>1</v>
      </c>
      <c r="F41" s="2" t="n">
        <v>2</v>
      </c>
      <c r="G41" s="2" t="inlineStr">
        <is>
          <t>Financial</t>
        </is>
      </c>
      <c r="H41" s="2" t="inlineStr">
        <is>
          <t>Bidder 3 did not submit a written offer in the final-bid solicitation after J.P. Morgan said its indication was unlikely to be competitive; out by the improved-bid stage (only the Buyer Group and Bidder 2 were asked to improve). Decided by: Both (target discouragement followed by non-submission). Exit reason: Value at or below market price. Count 1.</t>
        </is>
      </c>
      <c r="I41" s="2" t="n"/>
      <c r="J41" s="2" t="n"/>
      <c r="K41" s="2" t="inlineStr">
        <is>
          <t>Stated non-submission; date established by the 12/10/2014 solicitation context (assigned to the due date under section 8.1 rule 2). “J.P. Morgan communicated to Bidder 3 that it was unlikely to be competitive and accordingly Bidder 3 did not submit a written offer.” (p.25).</t>
        </is>
      </c>
      <c r="L41" s="2" t="inlineStr">
        <is>
          <t>P-025; P-026</t>
        </is>
      </c>
      <c r="M41" s="2" t="inlineStr">
        <is>
          <t>Q5</t>
        </is>
      </c>
      <c r="N41" s="2" t="n"/>
      <c r="O41" s="2" t="inlineStr">
        <is>
          <t>R040</t>
        </is>
      </c>
      <c r="P41" s="2" t="inlineStr">
        <is>
          <t>Yes</t>
        </is>
      </c>
      <c r="Q41" s="4" t="n">
        <v>1</v>
      </c>
      <c r="R41" s="5" t="n"/>
      <c r="S41" s="5" t="n">
        <v>41983</v>
      </c>
      <c r="T41" s="5" t="n">
        <v>41983</v>
      </c>
      <c r="U41" s="2" t="inlineStr">
        <is>
          <t>Relative only</t>
        </is>
      </c>
      <c r="V41" s="2" t="inlineStr">
        <is>
          <t>Assigned: deadline</t>
        </is>
      </c>
      <c r="W41" s="6" t="n"/>
      <c r="X41" s="6" t="n"/>
      <c r="Y41" s="2" t="n"/>
      <c r="Z41" s="2" t="n"/>
      <c r="AA41" s="2" t="n"/>
      <c r="AB41" s="2" t="n"/>
      <c r="AC41" s="6" t="n"/>
      <c r="AD41" s="2" t="n"/>
      <c r="AE41" s="5" t="n"/>
      <c r="AF41" s="2" t="n"/>
      <c r="AG41" s="2" t="n"/>
      <c r="AH41" s="2" t="inlineStr">
        <is>
          <t>Both</t>
        </is>
      </c>
      <c r="AI41" s="2" t="inlineStr">
        <is>
          <t>Value at or below market price</t>
        </is>
      </c>
      <c r="AJ41" s="2" t="inlineStr">
        <is>
          <t>Stated</t>
        </is>
      </c>
      <c r="AK41" s="2" t="n">
        <v>25</v>
      </c>
      <c r="AL41" s="2" t="inlineStr">
        <is>
          <t>R039; R041</t>
        </is>
      </c>
      <c r="AM41" s="2" t="inlineStr">
        <is>
          <t>PetSmart</t>
        </is>
      </c>
    </row>
    <row r="42">
      <c r="A42" s="2" t="n">
        <v>41</v>
      </c>
      <c r="B42" s="2" t="inlineStr">
        <is>
          <t>12/10/2014</t>
        </is>
      </c>
      <c r="C42" s="2" t="inlineStr">
        <is>
          <t>PetSmart ad hoc committee (with J.P. Morgan and Wachtell Lipton)</t>
        </is>
      </c>
      <c r="D42" s="2" t="inlineStr">
        <is>
          <t>Deadline revised</t>
        </is>
      </c>
      <c r="E42" s="2" t="n">
        <v>1</v>
      </c>
      <c r="F42" s="2" t="n">
        <v>2</v>
      </c>
      <c r="G42" s="2" t="n"/>
      <c r="H42" s="2" t="inlineStr">
        <is>
          <t>Deadline revised: after reviewing the 12/10/2014 bids, the ad hoc committee — seeing the bids as close, noting positive developments since 12/03/2014 and viewing neither bid as the bidder’s best offer — instructed J.P. Morgan to tell each bidder it must increase its bid and to submit improved bids on 12/12/2014; J.P. Morgan also contacted Longview on the evening of 12/11/2014 to confirm its continued rollover interest. Treatment: Extended. Due date (new): 12/12/2014.</t>
        </is>
      </c>
      <c r="I42" s="2" t="n"/>
      <c r="J42" s="2" t="n"/>
      <c r="K42" s="2" t="inlineStr">
        <is>
          <t>Stated. Improvement request after the due date of a round already opened as final; an extension of that round under section 8.3, not a new round and not a fresh deadline set. “the ad hoc committee instructed J.P. Morgan to inform each bidder that it would need to increase its bid, and to instruct the bidders to submit improved bids on December 12, 2014.” (p.25). “On the evening of December 11, 2014, representatives of J.P. Morgan contacted Longview to inform Longview that the bidders have been asked to submit revised and improved bids, and to confirm that Longview continued to be interested and willing to participate in a potential transaction” (p.25).</t>
        </is>
      </c>
      <c r="L42" s="2" t="inlineStr">
        <is>
          <t>P-026</t>
        </is>
      </c>
      <c r="M42" s="2" t="inlineStr">
        <is>
          <t>Q2</t>
        </is>
      </c>
      <c r="N42" s="2" t="n"/>
      <c r="O42" s="2" t="inlineStr">
        <is>
          <t>R041</t>
        </is>
      </c>
      <c r="P42" s="2" t="inlineStr">
        <is>
          <t>Yes</t>
        </is>
      </c>
      <c r="Q42" s="4" t="n"/>
      <c r="R42" s="5" t="n">
        <v>41983</v>
      </c>
      <c r="S42" s="5" t="n">
        <v>41983</v>
      </c>
      <c r="T42" s="5" t="n">
        <v>41983</v>
      </c>
      <c r="U42" s="2" t="inlineStr">
        <is>
          <t>Reported day</t>
        </is>
      </c>
      <c r="V42" s="2" t="inlineStr">
        <is>
          <t>Reported</t>
        </is>
      </c>
      <c r="W42" s="6" t="n"/>
      <c r="X42" s="6" t="n"/>
      <c r="Y42" s="2" t="n"/>
      <c r="Z42" s="2" t="n"/>
      <c r="AA42" s="2" t="n"/>
      <c r="AB42" s="2" t="n"/>
      <c r="AC42" s="6" t="n"/>
      <c r="AD42" s="2" t="n"/>
      <c r="AE42" s="5" t="n">
        <v>41985</v>
      </c>
      <c r="AF42" s="2" t="inlineStr">
        <is>
          <t>Extended</t>
        </is>
      </c>
      <c r="AG42" s="2" t="n"/>
      <c r="AH42" s="2" t="n"/>
      <c r="AI42" s="2" t="n"/>
      <c r="AJ42" s="2" t="n"/>
      <c r="AK42" s="2" t="n">
        <v>25</v>
      </c>
      <c r="AL42" s="2" t="inlineStr">
        <is>
          <t>R036; R042</t>
        </is>
      </c>
      <c r="AM42" s="2" t="inlineStr">
        <is>
          <t>PetSmart</t>
        </is>
      </c>
    </row>
    <row r="43">
      <c r="A43" s="2" t="n">
        <v>42</v>
      </c>
      <c r="B43" s="2" t="inlineStr">
        <is>
          <t>12/12/2014</t>
        </is>
      </c>
      <c r="C43" s="2" t="inlineStr">
        <is>
          <t>PetSmart (process deadline)</t>
        </is>
      </c>
      <c r="D43" s="2" t="inlineStr">
        <is>
          <t>Deadline</t>
        </is>
      </c>
      <c r="E43" s="2" t="n">
        <v>1</v>
      </c>
      <c r="F43" s="2" t="n">
        <v>2</v>
      </c>
      <c r="G43" s="2" t="n"/>
      <c r="H43" s="2" t="inlineStr">
        <is>
          <t>Deadline for improved bids. Both written bidders submitted on 12/12/2014; the board selected on the bids (approval 12/13/2014; signing 12/14/2014). Treatment: Enforced. Due date 12/12/2014.</t>
        </is>
      </c>
      <c r="I43" s="2" t="n"/>
      <c r="J43" s="2" t="n"/>
      <c r="K43" s="2" t="inlineStr">
        <is>
          <t>Stated. The date passed with no further extension or late bids, and the target took its next step on the bids in hand. “During the evening of December 12, 2014, Bidder 2 submitted an offer of $81.50 per share, in cash. Representatives of J.P. Morgan confirmed via a conversation with Bidder 2 on the evening of December 12, 2014 that $81.50 per share was its best and final offer. The Buyer Group initially submitted an oral offer of $82.50 per share, in cash,” (p.26).</t>
        </is>
      </c>
      <c r="L43" s="2" t="inlineStr">
        <is>
          <t>P-029</t>
        </is>
      </c>
      <c r="M43" s="2" t="inlineStr">
        <is>
          <t>Q2</t>
        </is>
      </c>
      <c r="N43" s="2" t="n"/>
      <c r="O43" s="2" t="inlineStr">
        <is>
          <t>R042</t>
        </is>
      </c>
      <c r="P43" s="2" t="inlineStr">
        <is>
          <t>Yes</t>
        </is>
      </c>
      <c r="Q43" s="4" t="n"/>
      <c r="R43" s="5" t="n">
        <v>41985</v>
      </c>
      <c r="S43" s="5" t="n">
        <v>41985</v>
      </c>
      <c r="T43" s="5" t="n">
        <v>41985</v>
      </c>
      <c r="U43" s="2" t="inlineStr">
        <is>
          <t>Reported day</t>
        </is>
      </c>
      <c r="V43" s="2" t="inlineStr">
        <is>
          <t>Reported</t>
        </is>
      </c>
      <c r="W43" s="6" t="n"/>
      <c r="X43" s="6" t="n"/>
      <c r="Y43" s="2" t="n"/>
      <c r="Z43" s="2" t="n"/>
      <c r="AA43" s="2" t="n"/>
      <c r="AB43" s="2" t="n"/>
      <c r="AC43" s="6" t="n"/>
      <c r="AD43" s="2" t="n"/>
      <c r="AE43" s="5" t="n">
        <v>41985</v>
      </c>
      <c r="AF43" s="2" t="inlineStr">
        <is>
          <t>Enforced</t>
        </is>
      </c>
      <c r="AG43" s="2" t="n"/>
      <c r="AH43" s="2" t="n"/>
      <c r="AI43" s="2" t="n"/>
      <c r="AJ43" s="2" t="n"/>
      <c r="AK43" s="2" t="n">
        <v>26</v>
      </c>
      <c r="AL43" s="2" t="inlineStr">
        <is>
          <t>R041; R047</t>
        </is>
      </c>
      <c r="AM43" s="2" t="inlineStr">
        <is>
          <t>PetSmart</t>
        </is>
      </c>
    </row>
    <row r="44">
      <c r="A44" s="2" t="n">
        <v>43</v>
      </c>
      <c r="B44" s="2" t="inlineStr">
        <is>
          <t>12/12/2014 (with related events on 12/11 and 12/14/2014)</t>
        </is>
      </c>
      <c r="C44" s="2" t="inlineStr">
        <is>
          <t>PetSmart ad hoc committee / Buyer Group / Longview</t>
        </is>
      </c>
      <c r="D44" s="2" t="inlineStr">
        <is>
          <t>Material process update</t>
        </is>
      </c>
      <c r="E44" s="2" t="n">
        <v>1</v>
      </c>
      <c r="F44" s="2" t="n">
        <v>2</v>
      </c>
      <c r="G44" s="2" t="n"/>
      <c r="H44" s="2" t="inlineStr">
        <is>
          <t>Longview rollover permitted and formed: the ad hoc committee approved the Buyer Group’s request to work more closely with Longview and to include a rollover of a portion of the Company shares managed by Longview in its bid (the Buyer Group said Longview participation might enhance its ability to achieve a higher price); Longview and the Buyer Group then entered a confidentiality agreement permitting the exchange of detailed information including bid price (not previously shared); Wachtell Lipton was instructed to provide a voting-agreement form to Longview. Bidder 2 had said accommodating a rollover would not affect its price and would be considered only after execution. The rollover was documented in the 12/14/2014 Parent–Longview rollover agreement (3,012,050 shares, $250 million worth, for Parent equity). Count blank.</t>
        </is>
      </c>
      <c r="I44" s="2" t="n"/>
      <c r="J44" s="2" t="n"/>
      <c r="K44" s="2" t="inlineStr">
        <is>
          <t>Stated. One row for the rollover-support relationship’s permitted/formed step (section 4); the resolution would be at closing (not observed). Longview was not an independent bidder, so this is not a bidding-group change. “the Buyer Group requested permission to work more closely with Longview in order to include a rollover of a portion of the Company shares managed by Longview in the Buyer Group’s bid.” (p.25). “Longview and the Buyer Group entered into a confidentiality agreement permitting the exchange of detailed information between them, including bid price,” (p.26).</t>
        </is>
      </c>
      <c r="L44" s="2" t="inlineStr">
        <is>
          <t>P-027; P-028; X-015</t>
        </is>
      </c>
      <c r="M44" s="2" t="inlineStr">
        <is>
          <t>Q1</t>
        </is>
      </c>
      <c r="N44" s="2" t="n"/>
      <c r="O44" s="2" t="inlineStr">
        <is>
          <t>R043</t>
        </is>
      </c>
      <c r="P44" s="2" t="inlineStr">
        <is>
          <t>Yes</t>
        </is>
      </c>
      <c r="Q44" s="4" t="n"/>
      <c r="R44" s="5" t="n">
        <v>41985</v>
      </c>
      <c r="S44" s="5" t="n">
        <v>41985</v>
      </c>
      <c r="T44" s="5" t="n">
        <v>41985</v>
      </c>
      <c r="U44" s="2" t="inlineStr">
        <is>
          <t>Reported day</t>
        </is>
      </c>
      <c r="V44" s="2" t="inlineStr">
        <is>
          <t>Reported</t>
        </is>
      </c>
      <c r="W44" s="6" t="n"/>
      <c r="X44" s="6" t="n"/>
      <c r="Y44" s="2" t="n"/>
      <c r="Z44" s="2" t="n"/>
      <c r="AA44" s="2" t="n"/>
      <c r="AB44" s="2" t="n"/>
      <c r="AC44" s="6" t="n"/>
      <c r="AD44" s="2" t="n"/>
      <c r="AE44" s="5" t="n"/>
      <c r="AF44" s="2" t="n"/>
      <c r="AG44" s="2" t="n"/>
      <c r="AH44" s="2" t="n"/>
      <c r="AI44" s="2" t="n"/>
      <c r="AJ44" s="2" t="n"/>
      <c r="AK44" s="2" t="n">
        <v>25</v>
      </c>
      <c r="AL44" s="2" t="inlineStr">
        <is>
          <t>R005; R035; R048</t>
        </is>
      </c>
      <c r="AM44" s="2" t="inlineStr">
        <is>
          <t>PetSmart</t>
        </is>
      </c>
    </row>
    <row r="45">
      <c r="A45" s="2" t="n">
        <v>44</v>
      </c>
      <c r="B45" s="2" t="inlineStr">
        <is>
          <t>12/12/2014 (evening)</t>
        </is>
      </c>
      <c r="C45" s="2" t="inlineStr">
        <is>
          <t>Bidder 2</t>
        </is>
      </c>
      <c r="D45" s="2" t="inlineStr">
        <is>
          <t>Bid</t>
        </is>
      </c>
      <c r="E45" s="2" t="n">
        <v>1</v>
      </c>
      <c r="F45" s="2" t="n">
        <v>2</v>
      </c>
      <c r="G45" s="2" t="inlineStr">
        <is>
          <t>Financial</t>
        </is>
      </c>
      <c r="H45" s="2" t="inlineStr">
        <is>
          <t>Improved best and final offer: $81.50 per share in cash; J.P. Morgan confirmed by telephone the same evening that $81.50 was Bidder 2’s best and final offer. Revised merger agreement/transaction documents and financing commitment documents submitted. Count 0 (same unit as R038). Related: R038; best-and-final confirmation folded into this bid (same day).</t>
        </is>
      </c>
      <c r="I45" s="2" t="inlineStr">
        <is>
          <t>Formal</t>
        </is>
      </c>
      <c r="J45" s="2" t="inlineStr">
        <is>
          <t>Light</t>
        </is>
      </c>
      <c r="K45" s="2" t="inlineStr">
        <is>
          <t>Stated price; Formal (signal 1: bidder-returned revised agreement; also best-and-final response). Conditions Light: financing commitment documents submitted; no diligence condition stated. “Bidder 2 submitted an offer of $81.50 per share, in cash. Representatives of J.P. Morgan confirmed via a conversation with Bidder 2 on the evening of December 12, 2014 that $81.50 per share was its best and final offer.” (p.26). “each bidder submitted a revised draft of the merger agreement and other transaction agreements, and copies of their respective financing commitment documents.” (p.26).</t>
        </is>
      </c>
      <c r="L45" s="2" t="inlineStr">
        <is>
          <t>P-029</t>
        </is>
      </c>
      <c r="M45" s="2" t="inlineStr">
        <is>
          <t>Q6</t>
        </is>
      </c>
      <c r="N45" s="2" t="n"/>
      <c r="O45" s="2" t="inlineStr">
        <is>
          <t>R044</t>
        </is>
      </c>
      <c r="P45" s="2" t="inlineStr">
        <is>
          <t>Yes</t>
        </is>
      </c>
      <c r="Q45" s="4" t="n">
        <v>0</v>
      </c>
      <c r="R45" s="5" t="n">
        <v>41985</v>
      </c>
      <c r="S45" s="5" t="n">
        <v>41985</v>
      </c>
      <c r="T45" s="5" t="n">
        <v>41985</v>
      </c>
      <c r="U45" s="2" t="inlineStr">
        <is>
          <t>Reported day</t>
        </is>
      </c>
      <c r="V45" s="2" t="inlineStr">
        <is>
          <t>Reported</t>
        </is>
      </c>
      <c r="W45" s="6" t="n">
        <v>81.5</v>
      </c>
      <c r="X45" s="6" t="n">
        <v>81.5</v>
      </c>
      <c r="Y45" s="2" t="inlineStr">
        <is>
          <t>Point</t>
        </is>
      </c>
      <c r="Z45" s="2" t="inlineStr">
        <is>
          <t>Stated</t>
        </is>
      </c>
      <c r="AA45" s="2" t="inlineStr">
        <is>
          <t>USD</t>
        </is>
      </c>
      <c r="AB45" s="2" t="inlineStr">
        <is>
          <t>Yes</t>
        </is>
      </c>
      <c r="AC45" s="6" t="n">
        <v>81.5</v>
      </c>
      <c r="AD45" s="2" t="inlineStr">
        <is>
          <t>Fin: committed; DD required: not stated; DD open: yes; Excl: not stated</t>
        </is>
      </c>
      <c r="AE45" s="5" t="n"/>
      <c r="AF45" s="2" t="n"/>
      <c r="AG45" s="2" t="n"/>
      <c r="AH45" s="2" t="n"/>
      <c r="AI45" s="2" t="n"/>
      <c r="AJ45" s="2" t="n"/>
      <c r="AK45" s="2" t="n">
        <v>26</v>
      </c>
      <c r="AL45" s="2" t="inlineStr">
        <is>
          <t>R038; R049</t>
        </is>
      </c>
      <c r="AM45" s="2" t="inlineStr">
        <is>
          <t>PetSmart</t>
        </is>
      </c>
    </row>
    <row r="46">
      <c r="A46" s="2" t="n">
        <v>45</v>
      </c>
      <c r="B46" s="2" t="inlineStr">
        <is>
          <t>12/12/2014 (evening)</t>
        </is>
      </c>
      <c r="C46" s="2" t="inlineStr">
        <is>
          <t>Buyer Group (BC Partners-led consortium)</t>
        </is>
      </c>
      <c r="D46" s="2" t="inlineStr">
        <is>
          <t>Bid</t>
        </is>
      </c>
      <c r="E46" s="2" t="n">
        <v>1</v>
      </c>
      <c r="F46" s="2" t="n">
        <v>2</v>
      </c>
      <c r="G46" s="2" t="inlineStr">
        <is>
          <t>Financial</t>
        </is>
      </c>
      <c r="H46" s="2" t="inlineStr">
        <is>
          <t>Oral improved offer of $82.50 per share in cash; the Buyer Group stated it was working to increase the offer within the next few hours. Count 0. Related: R037; superseded the same evening by R046.</t>
        </is>
      </c>
      <c r="I46" s="2" t="inlineStr">
        <is>
          <t>Formal</t>
        </is>
      </c>
      <c r="J46" s="2" t="inlineStr">
        <is>
          <t>Light</t>
        </is>
      </c>
      <c r="K46" s="2" t="inlineStr">
        <is>
          <t>Stated price; Formal documentation carried forward (revised agreement submitted 12/10–12/12 and substantially executable). Conditions Light (committed financing; no diligence condition stated). “The Buyer Group initially submitted an oral offer of $82.50 per share, in cash, but stated that it was working to increase the offer within the next few hours.” (p.26).</t>
        </is>
      </c>
      <c r="L46" s="2" t="inlineStr">
        <is>
          <t>P-029</t>
        </is>
      </c>
      <c r="M46" s="2" t="inlineStr">
        <is>
          <t>Q6</t>
        </is>
      </c>
      <c r="N46" s="2" t="n"/>
      <c r="O46" s="2" t="inlineStr">
        <is>
          <t>R045</t>
        </is>
      </c>
      <c r="P46" s="2" t="inlineStr">
        <is>
          <t>Yes</t>
        </is>
      </c>
      <c r="Q46" s="4" t="n">
        <v>0</v>
      </c>
      <c r="R46" s="5" t="n">
        <v>41985</v>
      </c>
      <c r="S46" s="5" t="n">
        <v>41985</v>
      </c>
      <c r="T46" s="5" t="n">
        <v>41985</v>
      </c>
      <c r="U46" s="2" t="inlineStr">
        <is>
          <t>Reported day</t>
        </is>
      </c>
      <c r="V46" s="2" t="inlineStr">
        <is>
          <t>Reported</t>
        </is>
      </c>
      <c r="W46" s="6" t="n">
        <v>82.5</v>
      </c>
      <c r="X46" s="6" t="n">
        <v>82.5</v>
      </c>
      <c r="Y46" s="2" t="inlineStr">
        <is>
          <t>Point</t>
        </is>
      </c>
      <c r="Z46" s="2" t="inlineStr">
        <is>
          <t>Stated</t>
        </is>
      </c>
      <c r="AA46" s="2" t="inlineStr">
        <is>
          <t>USD</t>
        </is>
      </c>
      <c r="AB46" s="2" t="inlineStr">
        <is>
          <t>Yes</t>
        </is>
      </c>
      <c r="AC46" s="6" t="n">
        <v>82.5</v>
      </c>
      <c r="AD46" s="2" t="inlineStr">
        <is>
          <t>Fin: committed; DD required: not stated; DD open: yes; Excl: not stated</t>
        </is>
      </c>
      <c r="AE46" s="5" t="n"/>
      <c r="AF46" s="2" t="n"/>
      <c r="AG46" s="2" t="n"/>
      <c r="AH46" s="2" t="n"/>
      <c r="AI46" s="2" t="n"/>
      <c r="AJ46" s="2" t="n"/>
      <c r="AK46" s="2" t="n">
        <v>26</v>
      </c>
      <c r="AL46" s="2" t="inlineStr">
        <is>
          <t>R037; R046</t>
        </is>
      </c>
      <c r="AM46" s="2" t="inlineStr">
        <is>
          <t>PetSmart</t>
        </is>
      </c>
    </row>
    <row r="47">
      <c r="A47" s="2" t="n">
        <v>46</v>
      </c>
      <c r="B47" s="2" t="inlineStr">
        <is>
          <t>12/12/2014 (evening)</t>
        </is>
      </c>
      <c r="C47" s="2" t="inlineStr">
        <is>
          <t>Buyer Group (BC Partners-led consortium)</t>
        </is>
      </c>
      <c r="D47" s="2" t="inlineStr">
        <is>
          <t>Bid</t>
        </is>
      </c>
      <c r="E47" s="2" t="n">
        <v>1</v>
      </c>
      <c r="F47" s="2" t="n">
        <v>2</v>
      </c>
      <c r="G47" s="2" t="inlineStr">
        <is>
          <t>Financial</t>
        </is>
      </c>
      <c r="H47" s="2" t="inlineStr">
        <is>
          <t>Best and final offer: $83.00 per share in cash; revised merger agreement and other transaction documents and financing commitment documents submitted, in substantially executable form with few exceptions. Count 0. Related: R045 (same-evening improvement); agreed consideration on signing (R048).</t>
        </is>
      </c>
      <c r="I47" s="2" t="inlineStr">
        <is>
          <t>Formal</t>
        </is>
      </c>
      <c r="J47" s="2" t="inlineStr">
        <is>
          <t>Light</t>
        </is>
      </c>
      <c r="K47" s="2" t="inlineStr">
        <is>
          <t>Stated price; Formal (signal 1). Conditions Light. The board later noted $83.00 appeared to be the highest price the Buyer Group could offer, and that Longview’s participation (approximately $250 million of stock) was helpful in achieving it. “the Buyer Group submitted a best and final offer of $83.00 per share, in cash. In addition, each bidder submitted a revised draft of the merger agreement and other transaction agreements, and copies of their respective financing commitment documents. The versions submitted by the Buyer Group were, with few exceptions, in substantially executable form.” (p.26). “Longview’s willingness to participate in the Buyer Group with respect to $250 million of the common stock was helpful in achieving an $83.00 per share price.” (p.27).</t>
        </is>
      </c>
      <c r="L47" s="2" t="inlineStr">
        <is>
          <t>P-029; X-008c</t>
        </is>
      </c>
      <c r="M47" s="2" t="inlineStr">
        <is>
          <t>Q6</t>
        </is>
      </c>
      <c r="N47" s="2" t="n"/>
      <c r="O47" s="2" t="inlineStr">
        <is>
          <t>R046</t>
        </is>
      </c>
      <c r="P47" s="2" t="inlineStr">
        <is>
          <t>Yes</t>
        </is>
      </c>
      <c r="Q47" s="4" t="n">
        <v>0</v>
      </c>
      <c r="R47" s="5" t="n">
        <v>41985</v>
      </c>
      <c r="S47" s="5" t="n">
        <v>41985</v>
      </c>
      <c r="T47" s="5" t="n">
        <v>41985</v>
      </c>
      <c r="U47" s="2" t="inlineStr">
        <is>
          <t>Reported day</t>
        </is>
      </c>
      <c r="V47" s="2" t="inlineStr">
        <is>
          <t>Reported</t>
        </is>
      </c>
      <c r="W47" s="6" t="n">
        <v>83</v>
      </c>
      <c r="X47" s="6" t="n">
        <v>83</v>
      </c>
      <c r="Y47" s="2" t="inlineStr">
        <is>
          <t>Point</t>
        </is>
      </c>
      <c r="Z47" s="2" t="inlineStr">
        <is>
          <t>Stated</t>
        </is>
      </c>
      <c r="AA47" s="2" t="inlineStr">
        <is>
          <t>USD</t>
        </is>
      </c>
      <c r="AB47" s="2" t="inlineStr">
        <is>
          <t>Yes</t>
        </is>
      </c>
      <c r="AC47" s="6" t="n">
        <v>83</v>
      </c>
      <c r="AD47" s="2" t="inlineStr">
        <is>
          <t>Fin: committed; DD required: not stated; DD open: yes; Excl: not stated</t>
        </is>
      </c>
      <c r="AE47" s="5" t="n"/>
      <c r="AF47" s="2" t="n"/>
      <c r="AG47" s="2" t="n"/>
      <c r="AH47" s="2" t="n"/>
      <c r="AI47" s="2" t="n"/>
      <c r="AJ47" s="2" t="n"/>
      <c r="AK47" s="2" t="n">
        <v>26</v>
      </c>
      <c r="AL47" s="2" t="inlineStr">
        <is>
          <t>R037; R045; R048</t>
        </is>
      </c>
      <c r="AM47" s="2" t="inlineStr">
        <is>
          <t>PetSmart</t>
        </is>
      </c>
    </row>
    <row r="48">
      <c r="A48" s="2" t="n">
        <v>47</v>
      </c>
      <c r="B48" s="2" t="inlineStr">
        <is>
          <t>12/13/2014</t>
        </is>
      </c>
      <c r="C48" s="2" t="inlineStr">
        <is>
          <t>PetSmart board (with management, J.P. Morgan and Wachtell Lipton)</t>
        </is>
      </c>
      <c r="D48" s="2" t="inlineStr">
        <is>
          <t>Target decision</t>
        </is>
      </c>
      <c r="E48" s="2" t="n">
        <v>1</v>
      </c>
      <c r="F48" s="2" t="n">
        <v>2</v>
      </c>
      <c r="G48" s="2" t="n"/>
      <c r="H48" s="2" t="inlineStr">
        <is>
          <t>Board reviewed the final bids, the process and the financing commitments; J.P. Morgan rendered its oral fairness opinion ($83.00 fair from a financial point of view), subsequently confirmed in writing; the board unanimously determined the merger with the Buyer Group advisable and in the best interests of PetSmart and its stockholders and recommended adoption — subject to confirmation that remaining open points in the merger agreement were satisfactorily resolved, with reconvening if needed.</t>
        </is>
      </c>
      <c r="I48" s="2" t="n"/>
      <c r="J48" s="2" t="n"/>
      <c r="K48" s="2" t="inlineStr">
        <is>
          <t>Stated. Preferred-bidder/approval decision; qualifications preserved. “Following extensive discussion, the board unanimously determined that the merger agreement and the transactions contemplated thereby, including the merger, were advisable and in the best interests of PetSmart and its stockholders,” (p.26). “The board’s determination was subject, however, to confirmation that the remaining open points in the merger agreement had been satisfactorily resolved,” (p.26).</t>
        </is>
      </c>
      <c r="L48" s="2" t="inlineStr">
        <is>
          <t>P-030</t>
        </is>
      </c>
      <c r="M48" s="2" t="n"/>
      <c r="N48" s="2" t="n"/>
      <c r="O48" s="2" t="inlineStr">
        <is>
          <t>R047</t>
        </is>
      </c>
      <c r="P48" s="2" t="inlineStr">
        <is>
          <t>Yes</t>
        </is>
      </c>
      <c r="Q48" s="4" t="n"/>
      <c r="R48" s="5" t="n">
        <v>41986</v>
      </c>
      <c r="S48" s="5" t="n">
        <v>41986</v>
      </c>
      <c r="T48" s="5" t="n">
        <v>41986</v>
      </c>
      <c r="U48" s="2" t="inlineStr">
        <is>
          <t>Reported day</t>
        </is>
      </c>
      <c r="V48" s="2" t="inlineStr">
        <is>
          <t>Reported</t>
        </is>
      </c>
      <c r="W48" s="6" t="n"/>
      <c r="X48" s="6" t="n"/>
      <c r="Y48" s="2" t="n"/>
      <c r="Z48" s="2" t="n"/>
      <c r="AA48" s="2" t="n"/>
      <c r="AB48" s="2" t="n"/>
      <c r="AC48" s="6" t="n"/>
      <c r="AD48" s="2" t="n"/>
      <c r="AE48" s="5" t="n"/>
      <c r="AF48" s="2" t="n"/>
      <c r="AG48" s="2" t="n"/>
      <c r="AH48" s="2" t="n"/>
      <c r="AI48" s="2" t="n"/>
      <c r="AJ48" s="2" t="n"/>
      <c r="AK48" s="2" t="n">
        <v>26</v>
      </c>
      <c r="AL48" s="2" t="inlineStr">
        <is>
          <t>R046; R048</t>
        </is>
      </c>
      <c r="AM48" s="2" t="inlineStr">
        <is>
          <t>PetSmart</t>
        </is>
      </c>
    </row>
    <row r="49">
      <c r="A49" s="2" t="n">
        <v>48</v>
      </c>
      <c r="B49" s="2" t="inlineStr">
        <is>
          <t>12/14/2014</t>
        </is>
      </c>
      <c r="C49" s="2" t="inlineStr">
        <is>
          <t>PetSmart / Argos Holdings Inc. and Argos Merger Sub Inc. (Buyer Group)</t>
        </is>
      </c>
      <c r="D49" s="2" t="inlineStr">
        <is>
          <t>Merger agreement signed</t>
        </is>
      </c>
      <c r="E49" s="2" t="n">
        <v>1</v>
      </c>
      <c r="F49" s="2" t="n">
        <v>2</v>
      </c>
      <c r="G49" s="2" t="n"/>
      <c r="H49" s="2" t="inlineStr">
        <is>
          <t>Agreed consideration: $83.00 per share in cash. Executed the merger agreement with Parent (Argos Holdings Inc., affiliates of funds advised by BC Partners) and Merger Sub; also executed the Longview voting agreement (7,424,591 shares to vote in favor) and related transaction agreements, including the Parent–Longview rollover agreement (3,012,050 shares). Signing is not a bid; numeric price cells and formality/conditionality cells left blank.</t>
        </is>
      </c>
      <c r="I49" s="2" t="n"/>
      <c r="J49" s="2" t="n"/>
      <c r="K49" s="2" t="inlineStr">
        <is>
          <t>Stated. Agreed consideration recorded here, not as another bid. “On December 14, 2014, the parties executed the merger agreement, the voting agreement and related transaction agreements and issued a press release announcing the transaction.” (p.26). “Longview has agreed to contribute 3,012,050 shares (“rollover shares”) to Parent immediately prior to the effective time in exchange for equity interests in Parent.” (p.41).</t>
        </is>
      </c>
      <c r="L49" s="2" t="inlineStr">
        <is>
          <t>P-031; X-004; X-015</t>
        </is>
      </c>
      <c r="M49" s="2" t="n"/>
      <c r="N49" s="2" t="n"/>
      <c r="O49" s="2" t="inlineStr">
        <is>
          <t>R048</t>
        </is>
      </c>
      <c r="P49" s="2" t="inlineStr">
        <is>
          <t>Yes</t>
        </is>
      </c>
      <c r="Q49" s="4" t="n"/>
      <c r="R49" s="5" t="n">
        <v>41987</v>
      </c>
      <c r="S49" s="5" t="n">
        <v>41987</v>
      </c>
      <c r="T49" s="5" t="n">
        <v>41987</v>
      </c>
      <c r="U49" s="2" t="inlineStr">
        <is>
          <t>Reported day</t>
        </is>
      </c>
      <c r="V49" s="2" t="inlineStr">
        <is>
          <t>Reported</t>
        </is>
      </c>
      <c r="W49" s="6" t="n"/>
      <c r="X49" s="6" t="n"/>
      <c r="Y49" s="2" t="n"/>
      <c r="Z49" s="2" t="n"/>
      <c r="AA49" s="2" t="n"/>
      <c r="AB49" s="2" t="n"/>
      <c r="AC49" s="6" t="n"/>
      <c r="AD49" s="2" t="n"/>
      <c r="AE49" s="5" t="n"/>
      <c r="AF49" s="2" t="n"/>
      <c r="AG49" s="2" t="n"/>
      <c r="AH49" s="2" t="n"/>
      <c r="AI49" s="2" t="n"/>
      <c r="AJ49" s="2" t="n"/>
      <c r="AK49" s="2" t="n">
        <v>26</v>
      </c>
      <c r="AL49" s="2" t="inlineStr">
        <is>
          <t>R043; R046; R047; R049</t>
        </is>
      </c>
      <c r="AM49" s="2" t="inlineStr">
        <is>
          <t>PetSmart</t>
        </is>
      </c>
    </row>
    <row r="50">
      <c r="A50" s="2" t="n">
        <v>49</v>
      </c>
      <c r="B50" s="2" t="inlineStr">
        <is>
          <t>by 12/14/2014</t>
        </is>
      </c>
      <c r="C50" s="2" t="inlineStr">
        <is>
          <t>Bidder 2</t>
        </is>
      </c>
      <c r="D50" s="2" t="inlineStr">
        <is>
          <t>Not selected at signing</t>
        </is>
      </c>
      <c r="E50" s="2" t="n">
        <v>1</v>
      </c>
      <c r="F50" s="2" t="n">
        <v>2</v>
      </c>
      <c r="G50" s="2" t="inlineStr">
        <is>
          <t>Financial</t>
        </is>
      </c>
      <c r="H50" s="2" t="inlineStr">
        <is>
          <t>Bidder 2’s best and final $81.50 was below the winning $83.00; the board noted neither other bidding group was willing to make a definitive offer above $81.50. Decided by: Target. Exit reason: Lower offer than rivals. Count 1.</t>
        </is>
      </c>
      <c r="I50" s="2" t="n"/>
      <c r="J50" s="2" t="n"/>
      <c r="K50" s="2" t="inlineStr">
        <is>
          <t>Stated outcome (was still bidding when the target chose another). Timing assigned to the signing date (section 10.2). “neither of which was willing to make a definitive offer at a price above $81.50, which was lower than the $83.00 price offered by the Buyer Group.” (p.27). “Bidder 2 had informed the Company’s representatives that $81.50 per share was its best and final offer.” (p.27).</t>
        </is>
      </c>
      <c r="L50" s="2" t="inlineStr">
        <is>
          <t>X-008a; X-008b; P-031</t>
        </is>
      </c>
      <c r="M50" s="2" t="inlineStr">
        <is>
          <t>Q5</t>
        </is>
      </c>
      <c r="N50" s="2" t="n"/>
      <c r="O50" s="2" t="inlineStr">
        <is>
          <t>R049</t>
        </is>
      </c>
      <c r="P50" s="2" t="inlineStr">
        <is>
          <t>Yes</t>
        </is>
      </c>
      <c r="Q50" s="4" t="n">
        <v>1</v>
      </c>
      <c r="R50" s="5" t="n"/>
      <c r="S50" s="5" t="n">
        <v>41987</v>
      </c>
      <c r="T50" s="5" t="n">
        <v>41987</v>
      </c>
      <c r="U50" s="2" t="inlineStr">
        <is>
          <t>Relative only</t>
        </is>
      </c>
      <c r="V50" s="2" t="inlineStr">
        <is>
          <t>Assigned: bound</t>
        </is>
      </c>
      <c r="W50" s="6" t="n"/>
      <c r="X50" s="6" t="n"/>
      <c r="Y50" s="2" t="n"/>
      <c r="Z50" s="2" t="n"/>
      <c r="AA50" s="2" t="n"/>
      <c r="AB50" s="2" t="n"/>
      <c r="AC50" s="6" t="n"/>
      <c r="AD50" s="2" t="n"/>
      <c r="AE50" s="5" t="n"/>
      <c r="AF50" s="2" t="n"/>
      <c r="AG50" s="2" t="n"/>
      <c r="AH50" s="2" t="inlineStr">
        <is>
          <t>Target</t>
        </is>
      </c>
      <c r="AI50" s="2" t="inlineStr">
        <is>
          <t>Lower offer than rivals</t>
        </is>
      </c>
      <c r="AJ50" s="2" t="inlineStr">
        <is>
          <t>Stated</t>
        </is>
      </c>
      <c r="AK50" s="2" t="n">
        <v>27</v>
      </c>
      <c r="AL50" s="2" t="inlineStr">
        <is>
          <t>R044; R048</t>
        </is>
      </c>
      <c r="AM50" s="2" t="inlineStr">
        <is>
          <t>PetSmart</t>
        </is>
      </c>
    </row>
    <row r="51">
      <c r="A51" s="2" t="n">
        <v>50</v>
      </c>
      <c r="B51" s="2" t="inlineStr">
        <is>
          <t>12/14/2014</t>
        </is>
      </c>
      <c r="C51" s="2" t="inlineStr">
        <is>
          <t>PetSmart, Inc. (issuer)</t>
        </is>
      </c>
      <c r="D51" s="2" t="inlineStr">
        <is>
          <t>Merger announced</t>
        </is>
      </c>
      <c r="E51" s="2" t="n">
        <v>1</v>
      </c>
      <c r="F51" s="2" t="n">
        <v>2</v>
      </c>
      <c r="G51" s="2" t="n"/>
      <c r="H51" s="2" t="inlineStr">
        <is>
          <t>Press release announcing the transaction (same day as signing).</t>
        </is>
      </c>
      <c r="I51" s="2" t="n"/>
      <c r="J51" s="2" t="n"/>
      <c r="K51" s="2" t="inlineStr">
        <is>
          <t>Stated. “issued a press release announcing the transaction.” (p.26).</t>
        </is>
      </c>
      <c r="L51" s="2" t="inlineStr">
        <is>
          <t>P-031</t>
        </is>
      </c>
      <c r="M51" s="2" t="n"/>
      <c r="N51" s="2" t="n"/>
      <c r="O51" s="2" t="inlineStr">
        <is>
          <t>R050</t>
        </is>
      </c>
      <c r="P51" s="2" t="inlineStr">
        <is>
          <t>Yes</t>
        </is>
      </c>
      <c r="Q51" s="4" t="n"/>
      <c r="R51" s="5" t="n">
        <v>41987</v>
      </c>
      <c r="S51" s="5" t="n">
        <v>41987</v>
      </c>
      <c r="T51" s="5" t="n">
        <v>41987</v>
      </c>
      <c r="U51" s="2" t="inlineStr">
        <is>
          <t>Reported day</t>
        </is>
      </c>
      <c r="V51" s="2" t="inlineStr">
        <is>
          <t>Reported</t>
        </is>
      </c>
      <c r="W51" s="6" t="n"/>
      <c r="X51" s="6" t="n"/>
      <c r="Y51" s="2" t="n"/>
      <c r="Z51" s="2" t="n"/>
      <c r="AA51" s="2" t="n"/>
      <c r="AB51" s="2" t="n"/>
      <c r="AC51" s="6" t="n"/>
      <c r="AD51" s="2" t="n"/>
      <c r="AE51" s="5" t="n"/>
      <c r="AF51" s="2" t="n"/>
      <c r="AG51" s="2" t="n"/>
      <c r="AH51" s="2" t="n"/>
      <c r="AI51" s="2" t="n"/>
      <c r="AJ51" s="2" t="n"/>
      <c r="AK51" s="2" t="n">
        <v>26</v>
      </c>
      <c r="AL51" s="2" t="inlineStr">
        <is>
          <t>R048</t>
        </is>
      </c>
      <c r="AM51" s="2" t="inlineStr">
        <is>
          <t>PetSmart</t>
        </is>
      </c>
    </row>
    <row r="52">
      <c r="A52" s="2" t="n">
        <v>51</v>
      </c>
      <c r="B52" s="2" t="inlineStr">
        <is>
          <t>12/14/2014 (earliest supported service date)</t>
        </is>
      </c>
      <c r="C52" s="2" t="inlineStr">
        <is>
          <t>Simpson Thacher &amp; Bartlett LLP (adviser)</t>
        </is>
      </c>
      <c r="D52" s="2" t="inlineStr">
        <is>
          <t>Adviser service observed</t>
        </is>
      </c>
      <c r="E52" s="2" t="n">
        <v>1</v>
      </c>
      <c r="F52" s="2" t="n">
        <v>2</v>
      </c>
      <c r="G52" s="2" t="n"/>
      <c r="H52" s="2" t="inlineStr">
        <is>
          <t>Client: Parent / Merger Sub (Buyer Group). Role: legal counsel; earliest supported appearance is the executed merger agreement’s notice provisions; engagement date not disclosed.</t>
        </is>
      </c>
      <c r="I52" s="2" t="n"/>
      <c r="J52" s="2" t="n"/>
      <c r="K52" s="2" t="inlineStr">
        <is>
          <t>Stated (service observed). No earlier date is disclosed; first mention cannot be treated as the engagement date. “Simpson Thacher and Bartlett LLP 425 Lexington Avenue New York, NY 10017 Facsimile: (212) 455-2502 Email: rsymons@stblaw.com Attention: Ryerson Symons” (p.A-46).</t>
        </is>
      </c>
      <c r="L52" s="2" t="inlineStr">
        <is>
          <t>X-028</t>
        </is>
      </c>
      <c r="M52" s="2" t="inlineStr">
        <is>
          <t>Q5</t>
        </is>
      </c>
      <c r="N52" s="2" t="n"/>
      <c r="O52" s="2" t="inlineStr">
        <is>
          <t>R051</t>
        </is>
      </c>
      <c r="P52" s="2" t="inlineStr">
        <is>
          <t>Yes</t>
        </is>
      </c>
      <c r="Q52" s="4" t="n"/>
      <c r="R52" s="5" t="n">
        <v>41987</v>
      </c>
      <c r="S52" s="5" t="n">
        <v>41987</v>
      </c>
      <c r="T52" s="5" t="n">
        <v>41987</v>
      </c>
      <c r="U52" s="2" t="inlineStr">
        <is>
          <t>Reported day</t>
        </is>
      </c>
      <c r="V52" s="2" t="inlineStr">
        <is>
          <t>Reported</t>
        </is>
      </c>
      <c r="W52" s="6" t="n"/>
      <c r="X52" s="6" t="n"/>
      <c r="Y52" s="2" t="n"/>
      <c r="Z52" s="2" t="n"/>
      <c r="AA52" s="2" t="n"/>
      <c r="AB52" s="2" t="n"/>
      <c r="AC52" s="6" t="n"/>
      <c r="AD52" s="2" t="n"/>
      <c r="AE52" s="5" t="n"/>
      <c r="AF52" s="2" t="n"/>
      <c r="AG52" s="2" t="n"/>
      <c r="AH52" s="2" t="n"/>
      <c r="AI52" s="2" t="n"/>
      <c r="AJ52" s="2" t="n"/>
      <c r="AK52" s="2" t="inlineStr">
        <is>
          <t>A-46</t>
        </is>
      </c>
      <c r="AL52" s="2" t="inlineStr"/>
      <c r="AM52" s="2" t="inlineStr">
        <is>
          <t>PetSmart</t>
        </is>
      </c>
    </row>
    <row r="54">
      <c r="A54" s="16" t="inlineStr">
        <is>
          <t>Baseline: values-only copy of the delivered Deal ledger (all expandable fields and Row ids). Corrections are made on the Deal ledger; cells that no longer match this baseline by Row id + column are highlighted red bold by conditional formatting. Do not edit this sheet.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1"/>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s>
  <sheetData>
    <row r="1">
      <c r="A1" s="17" t="inlineStr">
        <is>
          <t>What happened</t>
        </is>
      </c>
      <c r="B1" s="17" t="inlineStr">
        <is>
          <t>Type</t>
        </is>
      </c>
      <c r="C1" s="17" t="inlineStr">
        <is>
          <t>Formality</t>
        </is>
      </c>
      <c r="D1" s="17" t="inlineStr">
        <is>
          <t>Conditions level</t>
        </is>
      </c>
      <c r="E1" s="17" t="inlineStr">
        <is>
          <t>Include</t>
        </is>
      </c>
      <c r="F1" s="17" t="inlineStr">
        <is>
          <t>Date basis</t>
        </is>
      </c>
      <c r="G1" s="17" t="inlineStr">
        <is>
          <t>Date method</t>
        </is>
      </c>
      <c r="H1" s="17" t="inlineStr">
        <is>
          <t>Price kind</t>
        </is>
      </c>
      <c r="I1" s="17" t="inlineStr">
        <is>
          <t>Price origin</t>
        </is>
      </c>
      <c r="J1" s="17" t="inlineStr">
        <is>
          <t>All cash</t>
        </is>
      </c>
      <c r="K1" s="17" t="inlineStr">
        <is>
          <t>Deadline treatment</t>
        </is>
      </c>
      <c r="L1" s="17" t="inlineStr">
        <is>
          <t>Round finality</t>
        </is>
      </c>
      <c r="M1" s="17" t="inlineStr">
        <is>
          <t>Decided by</t>
        </is>
      </c>
      <c r="N1" s="17" t="inlineStr">
        <is>
          <t>Exit reason</t>
        </is>
      </c>
      <c r="O1" s="17" t="inlineStr">
        <is>
          <t>Outcome basis</t>
        </is>
      </c>
    </row>
    <row r="2">
      <c r="A2" t="inlineStr">
        <is>
          <t>Target interest</t>
        </is>
      </c>
      <c r="B2" t="inlineStr">
        <is>
          <t>Strategic</t>
        </is>
      </c>
      <c r="C2" t="inlineStr">
        <is>
          <t>Formal</t>
        </is>
      </c>
      <c r="D2" t="inlineStr">
        <is>
          <t>None</t>
        </is>
      </c>
      <c r="E2" t="inlineStr">
        <is>
          <t>Yes</t>
        </is>
      </c>
      <c r="F2" t="inlineStr">
        <is>
          <t>Reported day</t>
        </is>
      </c>
      <c r="G2" t="inlineStr">
        <is>
          <t>Reported</t>
        </is>
      </c>
      <c r="H2" t="inlineStr">
        <is>
          <t>Point</t>
        </is>
      </c>
      <c r="I2" t="inlineStr">
        <is>
          <t>Stated</t>
        </is>
      </c>
      <c r="J2" t="inlineStr">
        <is>
          <t>Yes</t>
        </is>
      </c>
      <c r="K2" t="inlineStr">
        <is>
          <t>Enforced</t>
        </is>
      </c>
      <c r="L2" t="inlineStr">
        <is>
          <t>Announced as final</t>
        </is>
      </c>
      <c r="M2" t="inlineStr">
        <is>
          <t>Bidder</t>
        </is>
      </c>
      <c r="N2" t="inlineStr">
        <is>
          <t>Value below market price</t>
        </is>
      </c>
      <c r="O2" t="inlineStr">
        <is>
          <t>Stated</t>
        </is>
      </c>
    </row>
    <row r="3">
      <c r="A3" t="inlineStr">
        <is>
          <t>Bidder interest</t>
        </is>
      </c>
      <c r="B3" t="inlineStr">
        <is>
          <t>Financial</t>
        </is>
      </c>
      <c r="C3" t="inlineStr">
        <is>
          <t>Informal</t>
        </is>
      </c>
      <c r="D3" t="inlineStr">
        <is>
          <t>Light</t>
        </is>
      </c>
      <c r="E3" t="inlineStr">
        <is>
          <t>No</t>
        </is>
      </c>
      <c r="F3" t="inlineStr">
        <is>
          <t>Inferred day</t>
        </is>
      </c>
      <c r="G3" t="inlineStr">
        <is>
          <t>Inferred</t>
        </is>
      </c>
      <c r="H3" t="inlineStr">
        <is>
          <t>Bidder range</t>
        </is>
      </c>
      <c r="I3" t="inlineStr">
        <is>
          <t>Carried forward</t>
        </is>
      </c>
      <c r="J3" t="inlineStr">
        <is>
          <t>No</t>
        </is>
      </c>
      <c r="K3" t="inlineStr">
        <is>
          <t>Extended</t>
        </is>
      </c>
      <c r="L3" t="inlineStr">
        <is>
          <t>Inferred final</t>
        </is>
      </c>
      <c r="M3" t="inlineStr">
        <is>
          <t>Target</t>
        </is>
      </c>
      <c r="N3" t="inlineStr">
        <is>
          <t>Value at or below market price</t>
        </is>
      </c>
      <c r="O3" t="inlineStr">
        <is>
          <t>Inferred: residual</t>
        </is>
      </c>
    </row>
    <row r="4">
      <c r="A4" t="inlineStr">
        <is>
          <t>Target sale decision</t>
        </is>
      </c>
      <c r="B4" t="inlineStr">
        <is>
          <t>Mixed</t>
        </is>
      </c>
      <c r="C4" t="inlineStr">
        <is>
          <t>Insufficient evidence</t>
        </is>
      </c>
      <c r="D4" t="inlineStr">
        <is>
          <t>Heavy</t>
        </is>
      </c>
      <c r="F4" t="inlineStr">
        <is>
          <t>Reported interval</t>
        </is>
      </c>
      <c r="G4" t="inlineStr">
        <is>
          <t>Assigned: deadline</t>
        </is>
      </c>
      <c r="H4" t="inlineStr">
        <is>
          <t>Group envelope</t>
        </is>
      </c>
      <c r="I4" t="inlineStr">
        <is>
          <t>Inferred</t>
        </is>
      </c>
      <c r="J4" t="inlineStr">
        <is>
          <t>Not stated</t>
        </is>
      </c>
      <c r="K4" t="inlineStr">
        <is>
          <t>Late bids accepted</t>
        </is>
      </c>
      <c r="L4" t="inlineStr">
        <is>
          <t>Not final</t>
        </is>
      </c>
      <c r="M4" t="inlineStr">
        <is>
          <t>Both</t>
        </is>
      </c>
      <c r="N4" t="inlineStr">
        <is>
          <t>Value below earlier offer</t>
        </is>
      </c>
      <c r="O4" t="inlineStr">
        <is>
          <t>Inferred: exclusivity</t>
        </is>
      </c>
    </row>
    <row r="5">
      <c r="A5" t="inlineStr">
        <is>
          <t>Activist pressure</t>
        </is>
      </c>
      <c r="B5" t="inlineStr">
        <is>
          <t>Unknown</t>
        </is>
      </c>
      <c r="C5" t="inlineStr">
        <is>
          <t>Varies</t>
        </is>
      </c>
      <c r="D5" t="inlineStr">
        <is>
          <t>Insufficient evidence</t>
        </is>
      </c>
      <c r="F5" t="inlineStr">
        <is>
          <t>Approximate window</t>
        </is>
      </c>
      <c r="G5" t="inlineStr">
        <is>
          <t>Assigned: decision day</t>
        </is>
      </c>
      <c r="H5" t="inlineStr">
        <is>
          <t>Bound only</t>
        </is>
      </c>
      <c r="K5" t="inlineStr">
        <is>
          <t>Extended; Late bids accepted</t>
        </is>
      </c>
      <c r="M5" t="inlineStr">
        <is>
          <t>Unknown</t>
        </is>
      </c>
      <c r="N5" t="inlineStr">
        <is>
          <t>Value at earlier offer</t>
        </is>
      </c>
      <c r="O5" t="inlineStr">
        <is>
          <t>Inferred: silent</t>
        </is>
      </c>
    </row>
    <row r="6">
      <c r="A6" t="inlineStr">
        <is>
          <t>Activist involvement</t>
        </is>
      </c>
      <c r="D6" t="inlineStr">
        <is>
          <t>Varies</t>
        </is>
      </c>
      <c r="F6" t="inlineStr">
        <is>
          <t>Relative only</t>
        </is>
      </c>
      <c r="G6" t="inlineStr">
        <is>
          <t>Assigned: midpoint</t>
        </is>
      </c>
      <c r="H6" t="inlineStr">
        <is>
          <t>Undisclosed</t>
        </is>
      </c>
      <c r="K6" t="inlineStr">
        <is>
          <t>Passed without action</t>
        </is>
      </c>
      <c r="N6" t="inlineStr">
        <is>
          <t>Would not improve earlier offer</t>
        </is>
      </c>
      <c r="O6" t="inlineStr">
        <is>
          <t>Inferred: identity</t>
        </is>
      </c>
    </row>
    <row r="7">
      <c r="A7" t="inlineStr">
        <is>
          <t>Adviser engaged</t>
        </is>
      </c>
      <c r="F7" t="inlineStr">
        <is>
          <t>Undated</t>
        </is>
      </c>
      <c r="G7" t="inlineStr">
        <is>
          <t>Assigned: bound</t>
        </is>
      </c>
      <c r="K7" t="inlineStr">
        <is>
          <t>Unclear</t>
        </is>
      </c>
      <c r="N7" t="inlineStr">
        <is>
          <t>Lower offer than rivals</t>
        </is>
      </c>
    </row>
    <row r="8">
      <c r="A8" t="inlineStr">
        <is>
          <t>Adviser service observed</t>
        </is>
      </c>
      <c r="G8" t="inlineStr">
        <is>
          <t>Assigned: sequence</t>
        </is>
      </c>
      <c r="K8" t="inlineStr">
        <is>
          <t>No deadline stated</t>
        </is>
      </c>
      <c r="N8" t="inlineStr">
        <is>
          <t>Terms or process</t>
        </is>
      </c>
    </row>
    <row r="9">
      <c r="A9" t="inlineStr">
        <is>
          <t>Adviser ended</t>
        </is>
      </c>
      <c r="N9" t="inlineStr">
        <is>
          <t>Other stated reason</t>
        </is>
      </c>
    </row>
    <row r="10">
      <c r="A10" t="inlineStr">
        <is>
          <t>Contact</t>
        </is>
      </c>
      <c r="N10" t="inlineStr">
        <is>
          <t>Not stated</t>
        </is>
      </c>
    </row>
    <row r="11">
      <c r="A11" t="inlineStr">
        <is>
          <t>NDA signed</t>
        </is>
      </c>
    </row>
    <row r="12">
      <c r="A12" t="inlineStr">
        <is>
          <t>Round opened</t>
        </is>
      </c>
    </row>
    <row r="13">
      <c r="A13" t="inlineStr">
        <is>
          <t>Deadline set</t>
        </is>
      </c>
    </row>
    <row r="14">
      <c r="A14" t="inlineStr">
        <is>
          <t>Deadline revised</t>
        </is>
      </c>
    </row>
    <row r="15">
      <c r="A15" t="inlineStr">
        <is>
          <t>Deadline</t>
        </is>
      </c>
    </row>
    <row r="16">
      <c r="A16" t="inlineStr">
        <is>
          <t>Target decision</t>
        </is>
      </c>
    </row>
    <row r="17">
      <c r="A17" t="inlineStr">
        <is>
          <t>Information access changed</t>
        </is>
      </c>
    </row>
    <row r="18">
      <c r="A18" t="inlineStr">
        <is>
          <t>Material process update</t>
        </is>
      </c>
    </row>
    <row r="19">
      <c r="A19" t="inlineStr">
        <is>
          <t>Exclusivity changed</t>
        </is>
      </c>
    </row>
    <row r="20">
      <c r="A20" t="inlineStr">
        <is>
          <t>Bid</t>
        </is>
      </c>
    </row>
    <row r="21">
      <c r="A21" t="inlineStr">
        <is>
          <t>Bid reaffirmed</t>
        </is>
      </c>
    </row>
    <row r="22">
      <c r="A22" t="inlineStr">
        <is>
          <t>Offer update</t>
        </is>
      </c>
    </row>
    <row r="23">
      <c r="A23" t="inlineStr">
        <is>
          <t>Other-scope bid</t>
        </is>
      </c>
    </row>
    <row r="24">
      <c r="A24" t="inlineStr">
        <is>
          <t>Valuation statement</t>
        </is>
      </c>
    </row>
    <row r="25">
      <c r="A25" t="inlineStr">
        <is>
          <t>Bidding group changed</t>
        </is>
      </c>
    </row>
    <row r="26">
      <c r="A26" t="inlineStr">
        <is>
          <t>Joined group</t>
        </is>
      </c>
    </row>
    <row r="27">
      <c r="A27" t="inlineStr">
        <is>
          <t>Dropped by target</t>
        </is>
      </c>
    </row>
    <row r="28">
      <c r="A28" t="inlineStr">
        <is>
          <t>Withdrew</t>
        </is>
      </c>
    </row>
    <row r="29">
      <c r="A29" t="inlineStr">
        <is>
          <t>Did not submit</t>
        </is>
      </c>
    </row>
    <row r="30">
      <c r="A30" t="inlineStr">
        <is>
          <t>Participation paused</t>
        </is>
      </c>
    </row>
    <row r="31">
      <c r="A31" t="inlineStr">
        <is>
          <t>Re-entered</t>
        </is>
      </c>
    </row>
    <row r="32">
      <c r="A32" t="inlineStr">
        <is>
          <t>Not selected at signing</t>
        </is>
      </c>
    </row>
    <row r="33">
      <c r="A33" t="inlineStr">
        <is>
          <t>Sale process announced</t>
        </is>
      </c>
    </row>
    <row r="34">
      <c r="A34" t="inlineStr">
        <is>
          <t>Bid announced</t>
        </is>
      </c>
    </row>
    <row r="35">
      <c r="A35" t="inlineStr">
        <is>
          <t>Merger announced</t>
        </is>
      </c>
    </row>
    <row r="36">
      <c r="A36" t="inlineStr">
        <is>
          <t>Merger agreement signed</t>
        </is>
      </c>
    </row>
    <row r="37">
      <c r="A37" t="inlineStr">
        <is>
          <t>Go-shop changed</t>
        </is>
      </c>
    </row>
    <row r="38">
      <c r="A38" t="inlineStr">
        <is>
          <t>Process terminated</t>
        </is>
      </c>
    </row>
    <row r="39">
      <c r="A39" t="inlineStr">
        <is>
          <t>Process restarted</t>
        </is>
      </c>
    </row>
    <row r="40">
      <c r="A40" t="inlineStr">
        <is>
          <t>Agreement terminated</t>
        </is>
      </c>
    </row>
    <row r="41">
      <c r="A41" t="inlineStr">
        <is>
          <t>Closed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2026-09-19T13:41:21Z</dcterms:created>
  <dcterms:modified xmlns:dcterms="http://purl.org/dc/terms/" xmlns:xsi="http://www.w3.org/2001/XMLSchema-instance" xsi:type="dcterms:W3CDTF">2026-09-19T13:41:22Z</dcterms:modified>
</cp:coreProperties>
</file>