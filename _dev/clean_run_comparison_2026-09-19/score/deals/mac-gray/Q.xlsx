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Summary" sheetId="2" state="visible" r:id="rId2"/>
    <sheet xmlns:r="http://schemas.openxmlformats.org/officeDocument/2006/relationships" name="Questions" sheetId="3" state="visible" r:id="rId3"/>
    <sheet xmlns:r="http://schemas.openxmlformats.org/officeDocument/2006/relationships" name="Source text" sheetId="4" state="visible" r:id="rId4"/>
    <sheet xmlns:r="http://schemas.openxmlformats.org/officeDocument/2006/relationships" name="AI original" sheetId="5" state="hidden" r:id="rId5"/>
    <sheet xmlns:r="http://schemas.openxmlformats.org/officeDocument/2006/relationships" name="Lists" sheetId="6" state="hidden" r:id="rId6"/>
  </sheets>
  <definedNames>
    <definedName name="_xlnm._FilterDatabase" localSheetId="0" hidden="1">'Deal ledger'!$A$1:$AN$56</definedName>
  </definedNames>
  <calcPr calcId="124519" fullCalcOnLoad="1"/>
</workbook>
</file>

<file path=xl/styles.xml><?xml version="1.0" encoding="utf-8"?>
<styleSheet xmlns="http://schemas.openxmlformats.org/spreadsheetml/2006/main">
  <numFmts count="2">
    <numFmt numFmtId="164" formatCode="yyyy-mm-dd"/>
    <numFmt numFmtId="165" formatCode="MM/DD/YYYY"/>
  </numFmts>
  <fonts count="6">
    <font>
      <name val="Calibri"/>
      <family val="2"/>
      <color theme="1"/>
      <sz val="11"/>
      <scheme val="minor"/>
    </font>
    <font>
      <b val="1"/>
      <color rgb="00FFFFFF"/>
      <sz val="10"/>
    </font>
    <font>
      <color rgb="000563C1"/>
      <sz val="10"/>
      <u val="single"/>
    </font>
    <font>
      <b val="1"/>
    </font>
    <font>
      <b val="1"/>
      <color rgb="001F3864"/>
      <sz val="11"/>
    </font>
    <font>
      <b val="1"/>
      <sz val="10"/>
    </font>
  </fonts>
  <fills count="4">
    <fill>
      <patternFill/>
    </fill>
    <fill>
      <patternFill patternType="gray125"/>
    </fill>
    <fill>
      <patternFill patternType="solid">
        <fgColor rgb="001F3864"/>
      </patternFill>
    </fill>
    <fill>
      <patternFill patternType="solid">
        <fgColor rgb="00D9E2F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wrapText="1"/>
    </xf>
    <xf numFmtId="0" fontId="2" fillId="0" borderId="1" applyAlignment="1" pivotButton="0" quotePrefix="0" xfId="0">
      <alignment vertical="top" wrapText="1"/>
    </xf>
    <xf numFmtId="165" fontId="0" fillId="0" borderId="1" applyAlignment="1" pivotButton="0" quotePrefix="0" xfId="0">
      <alignment vertical="top" wrapText="1"/>
    </xf>
    <xf numFmtId="1" fontId="0" fillId="0" borderId="1" applyAlignment="1" pivotButton="0" quotePrefix="0" xfId="0">
      <alignment vertical="top" wrapText="1"/>
    </xf>
    <xf numFmtId="4" fontId="0" fillId="0" borderId="1" applyAlignment="1" pivotButton="0" quotePrefix="0" xfId="0">
      <alignment vertical="top" wrapText="1"/>
    </xf>
    <xf numFmtId="0" fontId="4" fillId="0" borderId="0" pivotButton="0" quotePrefix="0" xfId="0"/>
    <xf numFmtId="0" fontId="5" fillId="0" borderId="0" applyAlignment="1" pivotButton="0" quotePrefix="0" xfId="0">
      <alignment vertical="top" wrapText="1"/>
    </xf>
    <xf numFmtId="0" fontId="0" fillId="0" borderId="0" applyAlignment="1" pivotButton="0" quotePrefix="0" xfId="0">
      <alignment vertical="top" wrapText="1"/>
    </xf>
    <xf numFmtId="0" fontId="1" fillId="2" borderId="0" applyAlignment="1" pivotButton="0" quotePrefix="0" xfId="0">
      <alignment vertical="center" wrapText="1"/>
    </xf>
    <xf numFmtId="0" fontId="3" fillId="3" borderId="0" pivotButton="0" quotePrefix="0" xfId="0"/>
    <xf numFmtId="0" fontId="1" fillId="2" borderId="0" pivotButton="0" quotePrefix="0" xfId="0"/>
    <xf numFmtId="0" fontId="3"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applyStyles="0" summaryBelow="1" summaryRight="1"/>
    <pageSetUpPr/>
  </sheetPr>
  <dimension ref="A1:AN5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22" customWidth="1" min="2" max="2"/>
    <col width="24" customWidth="1" min="3" max="3"/>
    <col width="19" customWidth="1" min="4" max="4"/>
    <col width="7" customWidth="1" min="5" max="5"/>
    <col width="6" customWidth="1" min="6" max="6"/>
    <col width="10" customWidth="1" min="7" max="7"/>
    <col width="60" customWidth="1" min="8" max="8"/>
    <col width="11" customWidth="1" min="9" max="9"/>
    <col width="11" customWidth="1" min="10" max="10"/>
    <col width="70" customWidth="1" min="11" max="11"/>
    <col width="16" customWidth="1" min="12" max="12"/>
    <col width="8" customWidth="1" min="13" max="13"/>
    <col width="16" customWidth="1" min="14" max="14"/>
    <col width="14" customWidth="1" min="15" max="15"/>
    <col hidden="1" outlineLevel="1" width="7" customWidth="1" min="16" max="17"/>
    <col hidden="1" outlineLevel="1" width="13" customWidth="1" min="17" max="17"/>
    <col hidden="1" outlineLevel="1" width="7" customWidth="1" min="18" max="18"/>
    <col hidden="1" outlineLevel="1" width="11" customWidth="1" min="19" max="23"/>
    <col hidden="1" outlineLevel="1" width="13" customWidth="1" min="20" max="20"/>
    <col hidden="1" outlineLevel="1" width="13" customWidth="1" min="21" max="21"/>
    <col hidden="1" outlineLevel="1" width="13" customWidth="1" min="22" max="22"/>
    <col hidden="1" outlineLevel="1" width="13" customWidth="1" min="23" max="23"/>
    <col hidden="1" outlineLevel="1" width="9" customWidth="1" min="24" max="28"/>
    <col hidden="1" outlineLevel="1" width="13" customWidth="1" min="25" max="25"/>
    <col hidden="1" outlineLevel="1" width="13" customWidth="1" min="26" max="26"/>
    <col hidden="1" outlineLevel="1" width="13" customWidth="1" min="27" max="27"/>
    <col hidden="1" outlineLevel="1" width="13" customWidth="1" min="28" max="28"/>
    <col hidden="1" outlineLevel="1" width="9" customWidth="1" min="29" max="30"/>
    <col hidden="1" outlineLevel="1" width="13" customWidth="1" min="30" max="30"/>
    <col hidden="1" outlineLevel="1" width="58" customWidth="1" min="31" max="31"/>
    <col hidden="1" outlineLevel="1" width="10" customWidth="1" min="32" max="34"/>
    <col hidden="1" outlineLevel="1" width="13" customWidth="1" min="33" max="33"/>
    <col hidden="1" outlineLevel="1" width="13" customWidth="1" min="34" max="34"/>
    <col hidden="1" outlineLevel="1" width="10" customWidth="1" min="35" max="37"/>
    <col hidden="1" outlineLevel="1" width="13" customWidth="1" min="36" max="36"/>
    <col hidden="1" outlineLevel="1" width="13" customWidth="1" min="37" max="37"/>
    <col hidden="1" outlineLevel="1" width="6" customWidth="1" min="38" max="38"/>
    <col hidden="1" outlineLevel="1" width="22" customWidth="1" min="39" max="39"/>
    <col hidden="1" outlineLevel="1" width="12" customWidth="1" min="40" max="40"/>
  </cols>
  <sheetData>
    <row r="1" ht="28" customHeight="1">
      <c r="A1" s="1" t="inlineStr">
        <is>
          <t>#</t>
        </is>
      </c>
      <c r="B1" s="1" t="inlineStr">
        <is>
          <t>When</t>
        </is>
      </c>
      <c r="C1" s="1" t="inlineStr">
        <is>
          <t>Who</t>
        </is>
      </c>
      <c r="D1" s="1" t="inlineStr">
        <is>
          <t>What happened</t>
        </is>
      </c>
      <c r="E1" s="1" t="inlineStr">
        <is>
          <t>Process</t>
        </is>
      </c>
      <c r="F1" s="1" t="inlineStr">
        <is>
          <t>Round</t>
        </is>
      </c>
      <c r="G1" s="1" t="inlineStr">
        <is>
          <t>Type</t>
        </is>
      </c>
      <c r="H1" s="1" t="inlineStr">
        <is>
          <t>Terms or outcome</t>
        </is>
      </c>
      <c r="I1" s="1" t="inlineStr">
        <is>
          <t>Formality</t>
        </is>
      </c>
      <c r="J1" s="1" t="inlineStr">
        <is>
          <t>Conditions level</t>
        </is>
      </c>
      <c r="K1" s="1" t="inlineStr">
        <is>
          <t>Why and evidence</t>
        </is>
      </c>
      <c r="L1" s="1" t="inlineStr">
        <is>
          <t>Source</t>
        </is>
      </c>
      <c r="M1" s="1" t="inlineStr">
        <is>
          <t>Review</t>
        </is>
      </c>
      <c r="N1" s="1" t="inlineStr">
        <is>
          <t>Reviewer note</t>
        </is>
      </c>
      <c r="O1" s="1" t="inlineStr">
        <is>
          <t>Correction</t>
        </is>
      </c>
      <c r="P1" s="1" t="inlineStr">
        <is>
          <t>Row id</t>
        </is>
      </c>
      <c r="Q1" s="1" t="inlineStr">
        <is>
          <t>Include</t>
        </is>
      </c>
      <c r="R1" s="1" t="inlineStr">
        <is>
          <t>Count</t>
        </is>
      </c>
      <c r="S1" s="1" t="inlineStr">
        <is>
          <t>Date from</t>
        </is>
      </c>
      <c r="T1" s="1" t="inlineStr">
        <is>
          <t>Date to</t>
        </is>
      </c>
      <c r="U1" s="1" t="inlineStr">
        <is>
          <t>Working date</t>
        </is>
      </c>
      <c r="V1" s="1" t="inlineStr">
        <is>
          <t>Date basis</t>
        </is>
      </c>
      <c r="W1" s="1" t="inlineStr">
        <is>
          <t>Date method</t>
        </is>
      </c>
      <c r="X1" s="1" t="inlineStr">
        <is>
          <t>Price low</t>
        </is>
      </c>
      <c r="Y1" s="1" t="inlineStr">
        <is>
          <t>Price high</t>
        </is>
      </c>
      <c r="Z1" s="1" t="inlineStr">
        <is>
          <t>Price kind</t>
        </is>
      </c>
      <c r="AA1" s="1" t="inlineStr">
        <is>
          <t>Price origin</t>
        </is>
      </c>
      <c r="AB1" s="1" t="inlineStr">
        <is>
          <t>Currency</t>
        </is>
      </c>
      <c r="AC1" s="1" t="inlineStr">
        <is>
          <t>All cash</t>
        </is>
      </c>
      <c r="AD1" s="1" t="inlineStr">
        <is>
          <t>Cash at closing</t>
        </is>
      </c>
      <c r="AE1" s="1" t="inlineStr">
        <is>
          <t>Conditions detail</t>
        </is>
      </c>
      <c r="AF1" s="1" t="inlineStr">
        <is>
          <t>Due date</t>
        </is>
      </c>
      <c r="AG1" s="1" t="inlineStr">
        <is>
          <t>Deadline treatment</t>
        </is>
      </c>
      <c r="AH1" s="1" t="inlineStr">
        <is>
          <t>Round finality</t>
        </is>
      </c>
      <c r="AI1" s="1" t="inlineStr">
        <is>
          <t>Decided by</t>
        </is>
      </c>
      <c r="AJ1" s="1" t="inlineStr">
        <is>
          <t>Exit reason</t>
        </is>
      </c>
      <c r="AK1" s="1" t="inlineStr">
        <is>
          <t>Outcome basis</t>
        </is>
      </c>
      <c r="AL1" s="1" t="inlineStr">
        <is>
          <t>Page</t>
        </is>
      </c>
      <c r="AM1" s="1" t="inlineStr">
        <is>
          <t>Related rows</t>
        </is>
      </c>
      <c r="AN1" s="1" t="inlineStr">
        <is>
          <t>Deal</t>
        </is>
      </c>
    </row>
    <row r="2">
      <c r="A2" s="2" t="n">
        <v>1</v>
      </c>
      <c r="B2" s="2" t="inlineStr">
        <is>
          <t>10/23/2012</t>
        </is>
      </c>
      <c r="C2" s="2" t="inlineStr">
        <is>
          <t>BofA Merrill Lynch (financial adviser, Mac-Gray)</t>
        </is>
      </c>
      <c r="D2" s="2" t="inlineStr">
        <is>
          <t>Adviser engaged</t>
        </is>
      </c>
      <c r="E2" s="2" t="n"/>
      <c r="F2" s="2" t="n">
        <v>0</v>
      </c>
      <c r="G2" s="2" t="n"/>
      <c r="H2" s="2" t="inlineStr">
        <is>
          <t>Engaged by Mac-Gray for the 2011-2012 Discussions — the possible acquisition of CSC by Mac-Gray (target-as-acquirer mandate); pre-process context, not a sale of Mac-Gray.</t>
        </is>
      </c>
      <c r="I2" s="2" t="n"/>
      <c r="J2" s="2" t="n"/>
      <c r="K2" s="2" t="inlineStr">
        <is>
          <t>— Stated engagement: "Mac-Gray engaged BofA Merrill Lynch on October 23, 2012" (p.27).</t>
        </is>
      </c>
      <c r="L2" s="3" t="inlineStr">
        <is>
          <t>P-002</t>
        </is>
      </c>
      <c r="M2" s="2" t="n"/>
      <c r="N2" s="2" t="n"/>
      <c r="O2" s="2" t="n"/>
      <c r="P2" s="2" t="inlineStr">
        <is>
          <t>R001</t>
        </is>
      </c>
      <c r="Q2" s="2" t="inlineStr">
        <is>
          <t>Yes</t>
        </is>
      </c>
      <c r="R2" s="2" t="n"/>
      <c r="S2" s="4" t="n">
        <v>41205</v>
      </c>
      <c r="T2" s="4" t="n">
        <v>41205</v>
      </c>
      <c r="U2" s="4" t="n">
        <v>41205</v>
      </c>
      <c r="V2" s="2" t="inlineStr">
        <is>
          <t>Reported day</t>
        </is>
      </c>
      <c r="W2" s="2" t="inlineStr">
        <is>
          <t>Reported</t>
        </is>
      </c>
      <c r="X2" s="2" t="n"/>
      <c r="Y2" s="2" t="n"/>
      <c r="Z2" s="2" t="n"/>
      <c r="AA2" s="2" t="n"/>
      <c r="AB2" s="2" t="n"/>
      <c r="AC2" s="2" t="n"/>
      <c r="AD2" s="2" t="n"/>
      <c r="AE2" s="2" t="n"/>
      <c r="AF2" s="2" t="n"/>
      <c r="AG2" s="2" t="n"/>
      <c r="AH2" s="2" t="n"/>
      <c r="AI2" s="2" t="n"/>
      <c r="AJ2" s="2" t="n"/>
      <c r="AK2" s="2" t="n"/>
      <c r="AL2" s="2" t="n">
        <v>27</v>
      </c>
      <c r="AM2" s="2" t="inlineStr">
        <is>
          <t>R006; R007 (later mandates)</t>
        </is>
      </c>
      <c r="AN2" s="2" t="inlineStr">
        <is>
          <t>Mac-Gray/CSC</t>
        </is>
      </c>
    </row>
    <row r="3">
      <c r="A3" s="2" t="n">
        <v>2</v>
      </c>
      <c r="B3" s="2" t="inlineStr">
        <is>
          <t>04/05/2013</t>
        </is>
      </c>
      <c r="C3" s="2" t="inlineStr">
        <is>
          <t>Mac-Gray Board of Directors</t>
        </is>
      </c>
      <c r="D3" s="2" t="inlineStr">
        <is>
          <t>Target sale decision</t>
        </is>
      </c>
      <c r="E3" s="2" t="n">
        <v>1</v>
      </c>
      <c r="F3" s="2" t="n">
        <v>0</v>
      </c>
      <c r="G3" s="2" t="n"/>
      <c r="H3" s="2" t="inlineStr">
        <is>
          <t>Board reviewed the completed CSC sale to Pamplona and industry M&amp;A activity; authorized management to work with BofA Merrill Lynch on transactional opportunities, including with strategic party "Party A"; deferred further consideration to the 05/09/2013 meeting.</t>
        </is>
      </c>
      <c r="I3" s="2" t="n"/>
      <c r="J3" s="2" t="n"/>
      <c r="K3" s="2" t="inlineStr">
        <is>
          <t>— Stated decision: "authorized Mac-Gray management to work with BofA Merrill Lynch to explore transactional opportunities that might be available to Mac-Gray, including opportunities with another strategic party, whom we refer to as Party A" (p.27).— Deferral: "The Board also determined to further consider Mac-Gray's strategic alternatives at its meeting scheduled for May 9, 2013" (p.27).</t>
        </is>
      </c>
      <c r="L3" s="3" t="inlineStr">
        <is>
          <t>P-003</t>
        </is>
      </c>
      <c r="M3" s="2" t="inlineStr">
        <is>
          <t>Q1</t>
        </is>
      </c>
      <c r="N3" s="2" t="n"/>
      <c r="O3" s="2" t="n"/>
      <c r="P3" s="2" t="inlineStr">
        <is>
          <t>R002</t>
        </is>
      </c>
      <c r="Q3" s="2" t="inlineStr">
        <is>
          <t>Yes</t>
        </is>
      </c>
      <c r="R3" s="2" t="n"/>
      <c r="S3" s="4" t="n">
        <v>41369</v>
      </c>
      <c r="T3" s="4" t="n">
        <v>41369</v>
      </c>
      <c r="U3" s="4" t="n">
        <v>41369</v>
      </c>
      <c r="V3" s="2" t="inlineStr">
        <is>
          <t>Reported day</t>
        </is>
      </c>
      <c r="W3" s="2" t="inlineStr">
        <is>
          <t>Reported</t>
        </is>
      </c>
      <c r="X3" s="2" t="n"/>
      <c r="Y3" s="2" t="n"/>
      <c r="Z3" s="2" t="n"/>
      <c r="AA3" s="2" t="n"/>
      <c r="AB3" s="2" t="n"/>
      <c r="AC3" s="2" t="n"/>
      <c r="AD3" s="2" t="n"/>
      <c r="AE3" s="2" t="n"/>
      <c r="AF3" s="2" t="n"/>
      <c r="AG3" s="2" t="n"/>
      <c r="AH3" s="2" t="n"/>
      <c r="AI3" s="2" t="n"/>
      <c r="AJ3" s="2" t="n"/>
      <c r="AK3" s="2" t="n"/>
      <c r="AL3" s="2" t="n">
        <v>27</v>
      </c>
      <c r="AM3" s="2" t="inlineStr">
        <is>
          <t>R011 (rejected R1 boundary candidate)</t>
        </is>
      </c>
      <c r="AN3" s="2" t="inlineStr">
        <is>
          <t>Mac-Gray/CSC</t>
        </is>
      </c>
    </row>
    <row r="4">
      <c r="A4" s="2" t="n">
        <v>3</v>
      </c>
      <c r="B4" s="2" t="inlineStr">
        <is>
          <t>04/08/2013</t>
        </is>
      </c>
      <c r="C4" s="2" t="inlineStr">
        <is>
          <t>Party A (potential strategic acquirer)</t>
        </is>
      </c>
      <c r="D4" s="2" t="inlineStr">
        <is>
          <t>Target interest</t>
        </is>
      </c>
      <c r="E4" s="2" t="n">
        <v>1</v>
      </c>
      <c r="F4" s="2" t="n">
        <v>0</v>
      </c>
      <c r="G4" s="2" t="inlineStr">
        <is>
          <t>Strategic</t>
        </is>
      </c>
      <c r="H4" s="2" t="inlineStr">
        <is>
          <t>BofA Merrill Lynch, on the Board’s instruction, telephoned Party A about a possible business combination; Party A indicated it might consider one. First sale-related contact with Party A. Party A is inside the 15 potential strategic buyers contacted in the June 24 wave (R012, Count 15), which already counts it; Count 0 avoids double counting.</t>
        </is>
      </c>
      <c r="I4" s="2" t="n"/>
      <c r="J4" s="2" t="n"/>
      <c r="K4" s="2" t="inlineStr">
        <is>
          <t>— Stated contact and receptiveness: "representatives of BofA Merrill Lynch, as instructed by the Board, telephoned a representative of Party A to discuss generally a possible business combination between Party A and Mac-Gray. During this call, the representative of Party A indicated that Party A might consider a business combination with Mac-Gray" (p.27).— Party A is one of the 15 strategic parties in the June 24 wave: "50 parties, including CSC and Pamplona, who together we refer to as CSC/Pamplona, and Party A, to solicit potential interest in a transaction with Mac-Gray, 15 of which were potential strategic buyers" (p.31-32).</t>
        </is>
      </c>
      <c r="L4" s="3" t="inlineStr">
        <is>
          <t>P-004; P-022</t>
        </is>
      </c>
      <c r="M4" s="2" t="inlineStr">
        <is>
          <t>Q3</t>
        </is>
      </c>
      <c r="N4" s="2" t="n"/>
      <c r="O4" s="2" t="n"/>
      <c r="P4" s="2" t="inlineStr">
        <is>
          <t>R003</t>
        </is>
      </c>
      <c r="Q4" s="2" t="inlineStr">
        <is>
          <t>Yes</t>
        </is>
      </c>
      <c r="R4" s="5" t="n">
        <v>0</v>
      </c>
      <c r="S4" s="4" t="n">
        <v>41372</v>
      </c>
      <c r="T4" s="4" t="n">
        <v>41372</v>
      </c>
      <c r="U4" s="4" t="n">
        <v>41372</v>
      </c>
      <c r="V4" s="2" t="inlineStr">
        <is>
          <t>Reported day</t>
        </is>
      </c>
      <c r="W4" s="2" t="inlineStr">
        <is>
          <t>Reported</t>
        </is>
      </c>
      <c r="X4" s="2" t="n"/>
      <c r="Y4" s="2" t="n"/>
      <c r="Z4" s="2" t="n"/>
      <c r="AA4" s="2" t="n"/>
      <c r="AB4" s="2" t="n"/>
      <c r="AC4" s="2" t="n"/>
      <c r="AD4" s="2" t="n"/>
      <c r="AE4" s="2" t="n"/>
      <c r="AF4" s="2" t="n"/>
      <c r="AG4" s="2" t="n"/>
      <c r="AH4" s="2" t="n"/>
      <c r="AI4" s="2" t="n"/>
      <c r="AJ4" s="2" t="n"/>
      <c r="AK4" s="2" t="n"/>
      <c r="AL4" s="2" t="n">
        <v>27</v>
      </c>
      <c r="AM4" s="2" t="inlineStr">
        <is>
          <t>R012 (cohort contains Party A); R009 (Party A June 21 proposal)</t>
        </is>
      </c>
      <c r="AN4" s="2" t="inlineStr">
        <is>
          <t>Mac-Gray/CSC</t>
        </is>
      </c>
    </row>
    <row r="5">
      <c r="A5" s="2" t="n">
        <v>4</v>
      </c>
      <c r="B5" s="2" t="inlineStr">
        <is>
          <t>05/09/2013</t>
        </is>
      </c>
      <c r="C5" s="2" t="inlineStr">
        <is>
          <t>Mac-Gray Board of Directors</t>
        </is>
      </c>
      <c r="D5" s="2" t="inlineStr">
        <is>
          <t>Target decision</t>
        </is>
      </c>
      <c r="E5" s="2" t="n">
        <v>1</v>
      </c>
      <c r="F5" s="2" t="n">
        <v>0</v>
      </c>
      <c r="G5" s="2" t="n"/>
      <c r="H5" s="2" t="inlineStr">
        <is>
          <t>Board discussed whether to approach third parties about a potential sale; formed the Transaction Committee (Thomas Bullock and Paul Daoust) to recommend and engage a financial adviser; concluded to revisit the review at its next meeting.</t>
        </is>
      </c>
      <c r="I5" s="2" t="n"/>
      <c r="J5" s="2" t="n"/>
      <c r="K5" s="2" t="inlineStr">
        <is>
          <t>— Stated discussion: "the Board engaged in a general discussion concerning whether it might be advisable to approach and discuss a potential sale transaction with third parties at this time as a means by which to deliver value to the stockholders of Mac-Gray" (p.28).— Transaction Committee formed: "the Board formed a transaction committee at this meeting, which we refer to as the Transaction Committee, and appointed Thomas Bullock and Paul Daoust, both independent directors, to serve as its members" (p.28).— Deferral: "The Board concluded that it would discuss the review of strategic alternatives, including engaging in a potential sale process, at its next meeting" (p.28).</t>
        </is>
      </c>
      <c r="L5" s="3" t="inlineStr">
        <is>
          <t>P-006; P-007</t>
        </is>
      </c>
      <c r="M5" s="2" t="inlineStr">
        <is>
          <t>Q1</t>
        </is>
      </c>
      <c r="N5" s="2" t="n"/>
      <c r="O5" s="2" t="n"/>
      <c r="P5" s="2" t="inlineStr">
        <is>
          <t>R004</t>
        </is>
      </c>
      <c r="Q5" s="2" t="inlineStr">
        <is>
          <t>Yes</t>
        </is>
      </c>
      <c r="R5" s="2" t="n"/>
      <c r="S5" s="4" t="n">
        <v>41403</v>
      </c>
      <c r="T5" s="4" t="n">
        <v>41403</v>
      </c>
      <c r="U5" s="4" t="n">
        <v>41403</v>
      </c>
      <c r="V5" s="2" t="inlineStr">
        <is>
          <t>Reported day</t>
        </is>
      </c>
      <c r="W5" s="2" t="inlineStr">
        <is>
          <t>Reported</t>
        </is>
      </c>
      <c r="X5" s="2" t="n"/>
      <c r="Y5" s="2" t="n"/>
      <c r="Z5" s="2" t="n"/>
      <c r="AA5" s="2" t="n"/>
      <c r="AB5" s="2" t="n"/>
      <c r="AC5" s="2" t="n"/>
      <c r="AD5" s="2" t="n"/>
      <c r="AE5" s="2" t="n"/>
      <c r="AF5" s="2" t="n"/>
      <c r="AG5" s="2" t="n"/>
      <c r="AH5" s="2" t="n"/>
      <c r="AI5" s="2" t="n"/>
      <c r="AJ5" s="2" t="n"/>
      <c r="AK5" s="2" t="n"/>
      <c r="AL5" s="2" t="n">
        <v>28</v>
      </c>
      <c r="AM5" s="2" t="inlineStr">
        <is>
          <t>R007</t>
        </is>
      </c>
      <c r="AN5" s="2" t="inlineStr">
        <is>
          <t>Mac-Gray/CSC</t>
        </is>
      </c>
    </row>
    <row r="6">
      <c r="A6" s="2" t="n">
        <v>5</v>
      </c>
      <c r="B6" s="2" t="inlineStr">
        <is>
          <t>05/09/2013</t>
        </is>
      </c>
      <c r="C6" s="2" t="inlineStr">
        <is>
          <t>Goodwin Procter LLP (outside legal counsel, Mac-Gray)</t>
        </is>
      </c>
      <c r="D6" s="2" t="inlineStr">
        <is>
          <t>Adviser service observed</t>
        </is>
      </c>
      <c r="E6" s="2" t="n">
        <v>1</v>
      </c>
      <c r="F6" s="2" t="n">
        <v>0</v>
      </c>
      <c r="G6" s="2" t="n"/>
      <c r="H6" s="2" t="inlineStr">
        <is>
          <t>Goodwin Procter LLP, outside legal counsel to Mac-Gray, first shown acting on the strategic-alternatives mandate at the May 9, 2013 Board meeting (fiduciary-duty overview); engagement date and engagement letter not disclosed.</t>
        </is>
      </c>
      <c r="I6" s="2" t="n"/>
      <c r="J6" s="2" t="n"/>
      <c r="K6" s="2" t="inlineStr">
        <is>
          <t>— Earliest observed service: "representatives from BofA Merrill Lynch and Goodwin Procter LLP, outside legal counsel to Mac-Gray, were also in attendance for all or portions of the meeting" (p.27-28).— Fiduciary overview and further service: "a representative of Goodwin Procter provided an overview of the Board's fiduciary duties" (p.28).</t>
        </is>
      </c>
      <c r="L6" s="3" t="inlineStr">
        <is>
          <t>P-005; P-007</t>
        </is>
      </c>
      <c r="M6" s="2" t="n"/>
      <c r="N6" s="2" t="n"/>
      <c r="O6" s="2" t="n"/>
      <c r="P6" s="2" t="inlineStr">
        <is>
          <t>R005</t>
        </is>
      </c>
      <c r="Q6" s="2" t="inlineStr">
        <is>
          <t>Yes</t>
        </is>
      </c>
      <c r="R6" s="2" t="n"/>
      <c r="S6" s="4" t="n">
        <v>41403</v>
      </c>
      <c r="T6" s="4" t="n">
        <v>41403</v>
      </c>
      <c r="U6" s="4" t="n">
        <v>41403</v>
      </c>
      <c r="V6" s="2" t="inlineStr">
        <is>
          <t>Reported day</t>
        </is>
      </c>
      <c r="W6" s="2" t="inlineStr">
        <is>
          <t>Reported</t>
        </is>
      </c>
      <c r="X6" s="2" t="n"/>
      <c r="Y6" s="2" t="n"/>
      <c r="Z6" s="2" t="n"/>
      <c r="AA6" s="2" t="n"/>
      <c r="AB6" s="2" t="n"/>
      <c r="AC6" s="2" t="n"/>
      <c r="AD6" s="2" t="n"/>
      <c r="AE6" s="2" t="n"/>
      <c r="AF6" s="2" t="n"/>
      <c r="AG6" s="2" t="n"/>
      <c r="AH6" s="2" t="n"/>
      <c r="AI6" s="2" t="n"/>
      <c r="AJ6" s="2" t="n"/>
      <c r="AK6" s="2" t="n"/>
      <c r="AL6" s="2" t="n">
        <v>27</v>
      </c>
      <c r="AM6" s="2" t="inlineStr">
        <is>
          <t>R004</t>
        </is>
      </c>
      <c r="AN6" s="2" t="inlineStr">
        <is>
          <t>Mac-Gray/CSC</t>
        </is>
      </c>
    </row>
    <row r="7">
      <c r="A7" s="2" t="n">
        <v>6</v>
      </c>
      <c r="B7" s="2" t="inlineStr">
        <is>
          <t>05/15/2013</t>
        </is>
      </c>
      <c r="C7" s="2" t="inlineStr">
        <is>
          <t>BofA Merrill Lynch (financial adviser, Mac-Gray)</t>
        </is>
      </c>
      <c r="D7" s="2" t="inlineStr">
        <is>
          <t>Adviser ended</t>
        </is>
      </c>
      <c r="E7" s="2" t="n"/>
      <c r="F7" s="2" t="n">
        <v>0</v>
      </c>
      <c r="G7" s="2" t="n"/>
      <c r="H7" s="2" t="inlineStr">
        <is>
          <t>Termination of the 10/23/2012 engagement for the 2011-2012 Discussions: Transaction Committee determined to terminate on 05/14/2013; letter sent 05/15/2013. BofA Merrill Lynch was simultaneously a candidate for the new strategic-alternatives mandate.</t>
        </is>
      </c>
      <c r="I7" s="2" t="n"/>
      <c r="J7" s="2" t="n"/>
      <c r="K7" s="2" t="inlineStr">
        <is>
          <t>— Stated determination and letter: "the Transaction Committee determined to terminate BofA Merrill Lynch's engagement letter entered into for purposes of the 2011-2012 Discussions" (p.29). "On May 15, 2013, Mac-Gray sent a letter to BofA Merrill Lynch terminating their engagement in connection with the 2011-2012 Discussions" (p.29).</t>
        </is>
      </c>
      <c r="L7" s="3" t="inlineStr">
        <is>
          <t>P-009; P-010</t>
        </is>
      </c>
      <c r="M7" s="2" t="n"/>
      <c r="N7" s="2" t="n"/>
      <c r="O7" s="2" t="n"/>
      <c r="P7" s="2" t="inlineStr">
        <is>
          <t>R006</t>
        </is>
      </c>
      <c r="Q7" s="2" t="inlineStr">
        <is>
          <t>Yes</t>
        </is>
      </c>
      <c r="R7" s="2" t="n"/>
      <c r="S7" s="4" t="n">
        <v>41409</v>
      </c>
      <c r="T7" s="4" t="n">
        <v>41409</v>
      </c>
      <c r="U7" s="4" t="n">
        <v>41409</v>
      </c>
      <c r="V7" s="2" t="inlineStr">
        <is>
          <t>Reported day</t>
        </is>
      </c>
      <c r="W7" s="2" t="inlineStr">
        <is>
          <t>Reported</t>
        </is>
      </c>
      <c r="X7" s="2" t="n"/>
      <c r="Y7" s="2" t="n"/>
      <c r="Z7" s="2" t="n"/>
      <c r="AA7" s="2" t="n"/>
      <c r="AB7" s="2" t="n"/>
      <c r="AC7" s="2" t="n"/>
      <c r="AD7" s="2" t="n"/>
      <c r="AE7" s="2" t="n"/>
      <c r="AF7" s="2" t="n"/>
      <c r="AG7" s="2" t="n"/>
      <c r="AH7" s="2" t="n"/>
      <c r="AI7" s="2" t="n"/>
      <c r="AJ7" s="2" t="n"/>
      <c r="AK7" s="2" t="n"/>
      <c r="AL7" s="2" t="n">
        <v>29</v>
      </c>
      <c r="AM7" s="2" t="inlineStr">
        <is>
          <t>R001; R007</t>
        </is>
      </c>
      <c r="AN7" s="2" t="inlineStr">
        <is>
          <t>Mac-Gray/CSC</t>
        </is>
      </c>
    </row>
    <row r="8">
      <c r="A8" s="2" t="n">
        <v>7</v>
      </c>
      <c r="B8" s="2" t="inlineStr">
        <is>
          <t>05/30/2013 (Board approval) – 05/31/2013 (engagement letter)</t>
        </is>
      </c>
      <c r="C8" s="2" t="inlineStr">
        <is>
          <t>BofA Merrill Lynch (financial adviser, Mac-Gray)</t>
        </is>
      </c>
      <c r="D8" s="2" t="inlineStr">
        <is>
          <t>Adviser engaged</t>
        </is>
      </c>
      <c r="E8" s="2" t="n">
        <v>1</v>
      </c>
      <c r="F8" s="2" t="n">
        <v>0</v>
      </c>
      <c r="G8" s="2" t="n"/>
      <c r="H8" s="2" t="inlineStr">
        <is>
          <t>Board unanimously approved engaging BofA Merrill Lynch as financial adviser for the strategic-alternatives review (three banks invited 05/10/2013; presentations 05/22 and 05/29/2013); engagement letter entered 05/31/2013, including a restriction on BofA Merrill Lynch sourcing buyer acquisition financing without Mac-Gray’s prior written consent.</t>
        </is>
      </c>
      <c r="I8" s="2" t="n"/>
      <c r="J8" s="2" t="n"/>
      <c r="K8" s="2" t="inlineStr">
        <is>
          <t>— Selection process: "determined to invite three nationally recognized investment banks to submit proposals" (p.28).— Board approval: "Based on the recommendation of the Transaction Committee, the Board unanimously approved the engagement of BofA Merrill Lynch on the terms discussed at this meeting" (p.29).— Engagement letter and restriction: "On May 31, 2013, Mac-Gray entered into an engagement letter with BofA Merrill Lynch with respect to the Board's undertaking a review of strategic alternatives, including a potential sale process, and in which BofA Merrill Lynch agreed not to engage as a possible source of new acquisition financing for any potential buyers in connection with any such sale process without Mac-Gray's prior written consent" (p.30). Engagement timing: Board approval 05/30/2013; engagement letter 05/31/2013 (Working date assigned to the first day; Assigned: bound).</t>
        </is>
      </c>
      <c r="L8" s="3" t="inlineStr">
        <is>
          <t>P-008; P-014; P-016</t>
        </is>
      </c>
      <c r="M8" s="2" t="inlineStr">
        <is>
          <t>Q1</t>
        </is>
      </c>
      <c r="N8" s="2" t="n"/>
      <c r="O8" s="2" t="n"/>
      <c r="P8" s="2" t="inlineStr">
        <is>
          <t>R007</t>
        </is>
      </c>
      <c r="Q8" s="2" t="inlineStr">
        <is>
          <t>Yes</t>
        </is>
      </c>
      <c r="R8" s="2" t="n"/>
      <c r="S8" s="4" t="n">
        <v>41424</v>
      </c>
      <c r="T8" s="4" t="n">
        <v>41425</v>
      </c>
      <c r="U8" s="4" t="n">
        <v>41424</v>
      </c>
      <c r="V8" s="2" t="inlineStr">
        <is>
          <t>Reported interval</t>
        </is>
      </c>
      <c r="W8" s="2" t="inlineStr">
        <is>
          <t>Assigned: bound</t>
        </is>
      </c>
      <c r="X8" s="2" t="n"/>
      <c r="Y8" s="2" t="n"/>
      <c r="Z8" s="2" t="n"/>
      <c r="AA8" s="2" t="n"/>
      <c r="AB8" s="2" t="n"/>
      <c r="AC8" s="2" t="n"/>
      <c r="AD8" s="2" t="n"/>
      <c r="AE8" s="2" t="n"/>
      <c r="AF8" s="2" t="n"/>
      <c r="AG8" s="2" t="n"/>
      <c r="AH8" s="2" t="n"/>
      <c r="AI8" s="2" t="n"/>
      <c r="AJ8" s="2" t="n"/>
      <c r="AK8" s="2" t="n"/>
      <c r="AL8" s="2" t="n">
        <v>29</v>
      </c>
      <c r="AM8" s="2" t="inlineStr">
        <is>
          <t>R004; R006</t>
        </is>
      </c>
      <c r="AN8" s="2" t="inlineStr">
        <is>
          <t>Mac-Gray/CSC</t>
        </is>
      </c>
    </row>
    <row r="9">
      <c r="A9" s="2" t="n">
        <v>8</v>
      </c>
      <c r="B9" s="2" t="inlineStr">
        <is>
          <t>05/30/2013</t>
        </is>
      </c>
      <c r="C9" s="2" t="inlineStr">
        <is>
          <t>Moab Partners, L.P. and affiliates (activist stockholder); Mac-Gray</t>
        </is>
      </c>
      <c r="D9" s="2" t="inlineStr">
        <is>
          <t>Activist involvement</t>
        </is>
      </c>
      <c r="E9" s="2" t="n">
        <v>1</v>
      </c>
      <c r="F9" s="2" t="n">
        <v>0</v>
      </c>
      <c r="G9" s="2" t="n"/>
      <c r="H9" s="2" t="inlineStr">
        <is>
          <t>Moab’s proxy contest: Moab-nominated Michael M. Rothenberg (Moab co-founder and General Partner) and James E. Hyman elected as directors in place of incumbent nominees; Board size reduced to seven; Moab held approximately 9% of shares. Rothenberg was later excluded from the sale-process evaluation because Moab sought a possible equity rollover (R010, R016).</t>
        </is>
      </c>
      <c r="I9" s="2" t="n"/>
      <c r="J9" s="2" t="n"/>
      <c r="K9" s="2" t="inlineStr">
        <is>
          <t>— Stated election and proxy contest: "the Mac-Gray stockholders elected as directors Michael M. Rothenberg and James E. Hyman, candidates nominated by Mac-Gray's stockholder, Moab Partners, L.P. and certain of its affiliates, which we refer collectively to as Moab. Mac-Gray and Moab engaged in a proxy contest leading up to the annual meeting" (p.29).— Moab stake at the June 12 orientation: "At the time of this meeting, Moab beneficially owned approximately 9% of Mac-Gray's outstanding common stock" (p.30).</t>
        </is>
      </c>
      <c r="L9" s="3" t="inlineStr">
        <is>
          <t>P-015; P-017</t>
        </is>
      </c>
      <c r="M9" s="2" t="n"/>
      <c r="N9" s="2" t="n"/>
      <c r="O9" s="2" t="n"/>
      <c r="P9" s="2" t="inlineStr">
        <is>
          <t>R008</t>
        </is>
      </c>
      <c r="Q9" s="2" t="inlineStr">
        <is>
          <t>Yes</t>
        </is>
      </c>
      <c r="R9" s="2" t="n"/>
      <c r="S9" s="4" t="n">
        <v>41424</v>
      </c>
      <c r="T9" s="4" t="n">
        <v>41424</v>
      </c>
      <c r="U9" s="4" t="n">
        <v>41424</v>
      </c>
      <c r="V9" s="2" t="inlineStr">
        <is>
          <t>Reported day</t>
        </is>
      </c>
      <c r="W9" s="2" t="inlineStr">
        <is>
          <t>Reported</t>
        </is>
      </c>
      <c r="X9" s="2" t="n"/>
      <c r="Y9" s="2" t="n"/>
      <c r="Z9" s="2" t="n"/>
      <c r="AA9" s="2" t="n"/>
      <c r="AB9" s="2" t="n"/>
      <c r="AC9" s="2" t="n"/>
      <c r="AD9" s="2" t="n"/>
      <c r="AE9" s="2" t="n"/>
      <c r="AF9" s="2" t="n"/>
      <c r="AG9" s="2" t="n"/>
      <c r="AH9" s="2" t="n"/>
      <c r="AI9" s="2" t="n"/>
      <c r="AJ9" s="2" t="n"/>
      <c r="AK9" s="2" t="n"/>
      <c r="AL9" s="2" t="n">
        <v>29</v>
      </c>
      <c r="AM9" s="2" t="inlineStr">
        <is>
          <t>R010; R016</t>
        </is>
      </c>
      <c r="AN9" s="2" t="inlineStr">
        <is>
          <t>Mac-Gray/CSC</t>
        </is>
      </c>
    </row>
    <row r="10">
      <c r="A10" s="2" t="n">
        <v>9</v>
      </c>
      <c r="B10" s="2" t="inlineStr">
        <is>
          <t>06/21/2013</t>
        </is>
      </c>
      <c r="C10" s="2" t="inlineStr">
        <is>
          <t>Party A (potential strategic acquirer)</t>
        </is>
      </c>
      <c r="D10" s="2" t="inlineStr">
        <is>
          <t>Bid</t>
        </is>
      </c>
      <c r="E10" s="2" t="n">
        <v>1</v>
      </c>
      <c r="F10" s="2" t="n">
        <v>0</v>
      </c>
      <c r="G10" s="2" t="inlineStr">
        <is>
          <t>Strategic</t>
        </is>
      </c>
      <c r="H10" s="2" t="inlineStr">
        <is>
          <t>Unsolicited all-cash proposal to purchase Mac-Gray at $17.00–$19.00 per share. Made before any NDA or substantive diligence access (NDA signed 08/05/2013, R027); first contact was the 04/08/2013 call (R003). Still standing when round 1 was evaluated, so Party A counts as a round-1 participant although this bid row sits in round 0.</t>
        </is>
      </c>
      <c r="I10" s="2" t="inlineStr">
        <is>
          <t>Informal</t>
        </is>
      </c>
      <c r="J10" s="2" t="inlineStr">
        <is>
          <t>Heavy</t>
        </is>
      </c>
      <c r="K10" s="2" t="inlineStr">
        <is>
          <t>— Stated proposal: "On June 21, 2013, Party A submitted an unsolicited proposal to the Mac-Gray Board of Directors offering to purchase Mac-Gray for an all-cash purchase price of $17.00 to $19.00 per share, which we refer to as the Party A June 21 proposal" (p.30).— No formal signal and no substantive access yet: "outside counsel to Party A and representatives of Goodwin Procter negotiated the terms of a confidentiality and standstill agreement, but did not come to agreement on the terms of the customer and employee non-solicitation provisions" (p.33). Formality: preliminary exploratory proposal, no supported formal signal — Informal. Conditions: Heavy by context — made before any NDA or substantive diligence access.</t>
        </is>
      </c>
      <c r="L10" s="3" t="inlineStr">
        <is>
          <t>P-018; P-030</t>
        </is>
      </c>
      <c r="M10" s="2" t="inlineStr">
        <is>
          <t>Q4</t>
        </is>
      </c>
      <c r="N10" s="2" t="n"/>
      <c r="O10" s="2" t="n"/>
      <c r="P10" s="2" t="inlineStr">
        <is>
          <t>R009</t>
        </is>
      </c>
      <c r="Q10" s="2" t="inlineStr">
        <is>
          <t>Yes</t>
        </is>
      </c>
      <c r="R10" s="5" t="n">
        <v>1</v>
      </c>
      <c r="S10" s="4" t="n">
        <v>41446</v>
      </c>
      <c r="T10" s="4" t="n">
        <v>41446</v>
      </c>
      <c r="U10" s="4" t="n">
        <v>41446</v>
      </c>
      <c r="V10" s="2" t="inlineStr">
        <is>
          <t>Reported day</t>
        </is>
      </c>
      <c r="W10" s="2" t="inlineStr">
        <is>
          <t>Reported</t>
        </is>
      </c>
      <c r="X10" s="6" t="n">
        <v>17</v>
      </c>
      <c r="Y10" s="6" t="n">
        <v>19</v>
      </c>
      <c r="Z10" s="2" t="inlineStr">
        <is>
          <t>Bidder range</t>
        </is>
      </c>
      <c r="AA10" s="2" t="inlineStr">
        <is>
          <t>Stated</t>
        </is>
      </c>
      <c r="AB10" s="2" t="inlineStr">
        <is>
          <t>USD</t>
        </is>
      </c>
      <c r="AC10" s="2" t="inlineStr">
        <is>
          <t>Yes</t>
        </is>
      </c>
      <c r="AD10" s="2" t="n"/>
      <c r="AE10" s="2" t="inlineStr">
        <is>
          <t>Fin: not stated; DD required: not stated; DD open: no; Excl: not stated</t>
        </is>
      </c>
      <c r="AF10" s="2" t="n"/>
      <c r="AG10" s="2" t="n"/>
      <c r="AH10" s="2" t="n"/>
      <c r="AI10" s="2" t="n"/>
      <c r="AJ10" s="2" t="n"/>
      <c r="AK10" s="2" t="n"/>
      <c r="AL10" s="2" t="n">
        <v>30</v>
      </c>
      <c r="AM10" s="2" t="inlineStr">
        <is>
          <t>R003 (first contact); R012/R011 (round-1 participation); R027 (NDA)</t>
        </is>
      </c>
      <c r="AN10" s="2" t="inlineStr">
        <is>
          <t>Mac-Gray/CSC</t>
        </is>
      </c>
    </row>
    <row r="11">
      <c r="A11" s="2" t="n">
        <v>10</v>
      </c>
      <c r="B11" s="2" t="inlineStr">
        <is>
          <t>06/24/2013</t>
        </is>
      </c>
      <c r="C11" s="2" t="inlineStr">
        <is>
          <t>Mac-Gray Board of Directors</t>
        </is>
      </c>
      <c r="D11" s="2" t="inlineStr">
        <is>
          <t>Target decision</t>
        </is>
      </c>
      <c r="E11" s="2" t="n">
        <v>1</v>
      </c>
      <c r="F11" s="2" t="n">
        <v>0</v>
      </c>
      <c r="G11" s="2" t="n"/>
      <c r="H11" s="2" t="inlineStr">
        <is>
          <t>Board established the Special Committee of six independent and disinterested directors (Bullock, Daoust, Hyman, Meagher, Percelay, Robinson; Bullock chairman) and excluded Mr. MacDonald and Mr. Rothenberg from the Board’s evaluation of strategic alternatives because they could be asked to partner with a potential acquirer; Transaction Committee became a sub-committee.</t>
        </is>
      </c>
      <c r="I11" s="2" t="n"/>
      <c r="J11" s="2" t="n"/>
      <c r="K11" s="2" t="inlineStr">
        <is>
          <t>— Stated establishment: "the Board then established the Special Committee, comprised of the six independent and disinterested members of the Board (namely, Mr. Bullock, Mr. Daoust, Mr. Hyman, William F. Meagher, Bruce A. Percelay and Alastair G. Robinson)" (p.30).— Exclusions: "the Board decided, and Mr. MacDonald and Mr. Rothenberg agreed, that it would be appropriate to exclude Mr. MacDonald and Mr. Rothenberg from the Board's evaluation of strategic alternatives and any negotiations with third parties that might take place" (p.30).</t>
        </is>
      </c>
      <c r="L11" s="3" t="inlineStr">
        <is>
          <t>P-019</t>
        </is>
      </c>
      <c r="M11" s="2" t="inlineStr">
        <is>
          <t>Q1</t>
        </is>
      </c>
      <c r="N11" s="2" t="n"/>
      <c r="O11" s="2" t="n"/>
      <c r="P11" s="2" t="inlineStr">
        <is>
          <t>R010</t>
        </is>
      </c>
      <c r="Q11" s="2" t="inlineStr">
        <is>
          <t>Yes</t>
        </is>
      </c>
      <c r="R11" s="2" t="n"/>
      <c r="S11" s="4" t="n">
        <v>41449</v>
      </c>
      <c r="T11" s="4" t="n">
        <v>41449</v>
      </c>
      <c r="U11" s="4" t="n">
        <v>41449</v>
      </c>
      <c r="V11" s="2" t="inlineStr">
        <is>
          <t>Reported day</t>
        </is>
      </c>
      <c r="W11" s="2" t="inlineStr">
        <is>
          <t>Reported</t>
        </is>
      </c>
      <c r="X11" s="2" t="n"/>
      <c r="Y11" s="2" t="n"/>
      <c r="Z11" s="2" t="n"/>
      <c r="AA11" s="2" t="n"/>
      <c r="AB11" s="2" t="n"/>
      <c r="AC11" s="2" t="n"/>
      <c r="AD11" s="2" t="n"/>
      <c r="AE11" s="2" t="n"/>
      <c r="AF11" s="2" t="n"/>
      <c r="AG11" s="2" t="n"/>
      <c r="AH11" s="2" t="n"/>
      <c r="AI11" s="2" t="n"/>
      <c r="AJ11" s="2" t="n"/>
      <c r="AK11" s="2" t="n"/>
      <c r="AL11" s="2" t="n">
        <v>30</v>
      </c>
      <c r="AM11" s="2" t="inlineStr">
        <is>
          <t>R011</t>
        </is>
      </c>
      <c r="AN11" s="2" t="inlineStr">
        <is>
          <t>Mac-Gray/CSC</t>
        </is>
      </c>
    </row>
    <row r="12">
      <c r="A12" s="2" t="n">
        <v>11</v>
      </c>
      <c r="B12" s="2" t="inlineStr">
        <is>
          <t>06/24/2013</t>
        </is>
      </c>
      <c r="C12" s="2" t="inlineStr">
        <is>
          <t>Mac-Gray Special Committee</t>
        </is>
      </c>
      <c r="D12" s="2" t="inlineStr">
        <is>
          <t>Round opened</t>
        </is>
      </c>
      <c r="E12" s="2" t="n">
        <v>1</v>
      </c>
      <c r="F12" s="2" t="n">
        <v>1</v>
      </c>
      <c r="G12" s="2" t="n"/>
      <c r="H12" s="2" t="inlineStr">
        <is>
          <t>R1 anchor: Special Committee’s 06/24/2013 determination to consider a potential sale and to approach 50 parties (15 potential strategic buyers; 35 potential financial buyers), executed by BofA Merrill Lynch outreach beginning within days (first NDA 06/28/2013). Other candidate anchors: R002 (04/05/2013 authorization), R003 (04/08/2013 Party A call), R007 (05/31/2013 engagement letter), R012–R013 (first outreach wave), R014 (06/28/2013 first NDA). Purpose: solicit preliminary indications of interest, with packages furnished to NDA signers and IOIs instructed by 07/23/2013 (R017). Round-1 participant set: Party A (round-0 proposal standing, R009), Party B, Party C, CSC/Pamplona.</t>
        </is>
      </c>
      <c r="I12" s="2" t="n"/>
      <c r="J12" s="2" t="n"/>
      <c r="K12" s="2" t="inlineStr">
        <is>
          <t>— Stated determination and approach scope: "the Special Committee concluded that it would be in the best interests of stockholders to consider a potential sale of Mac-Gray" (p.31). "the Special Committee determined to approach a total of 50 parties, including CSC and Pamplona, who together we refer to as CSC/Pamplona, and Party A, to solicit potential interest in a transaction with Mac-Gray, 15 of which were potential strategic buyers and 35 of which were potential financial buyers, including private equity firms" (p.31-32).</t>
        </is>
      </c>
      <c r="L12" s="3" t="inlineStr">
        <is>
          <t>P-021; P-022</t>
        </is>
      </c>
      <c r="M12" s="2" t="inlineStr">
        <is>
          <t>Q1</t>
        </is>
      </c>
      <c r="N12" s="2" t="n"/>
      <c r="O12" s="2" t="n"/>
      <c r="P12" s="2" t="inlineStr">
        <is>
          <t>R011</t>
        </is>
      </c>
      <c r="Q12" s="2" t="inlineStr">
        <is>
          <t>Yes</t>
        </is>
      </c>
      <c r="R12" s="2" t="n"/>
      <c r="S12" s="4" t="n">
        <v>41449</v>
      </c>
      <c r="T12" s="4" t="n">
        <v>41449</v>
      </c>
      <c r="U12" s="4" t="n">
        <v>41449</v>
      </c>
      <c r="V12" s="2" t="inlineStr">
        <is>
          <t>Reported day</t>
        </is>
      </c>
      <c r="W12" s="2" t="inlineStr">
        <is>
          <t>Reported</t>
        </is>
      </c>
      <c r="X12" s="2" t="n"/>
      <c r="Y12" s="2" t="n"/>
      <c r="Z12" s="2" t="n"/>
      <c r="AA12" s="2" t="n"/>
      <c r="AB12" s="2" t="n"/>
      <c r="AC12" s="2" t="n"/>
      <c r="AD12" s="2" t="n"/>
      <c r="AE12" s="2" t="n"/>
      <c r="AF12" s="2" t="n"/>
      <c r="AG12" s="2" t="n"/>
      <c r="AH12" s="2" t="inlineStr">
        <is>
          <t>Not final</t>
        </is>
      </c>
      <c r="AI12" s="2" t="n"/>
      <c r="AJ12" s="2" t="n"/>
      <c r="AK12" s="2" t="n"/>
      <c r="AL12" s="2" t="n">
        <v>31</v>
      </c>
      <c r="AM12" s="2" t="inlineStr">
        <is>
          <t>R009; R010; R002; R003; R007; R012–R014</t>
        </is>
      </c>
      <c r="AN12" s="2" t="inlineStr">
        <is>
          <t>Mac-Gray/CSC</t>
        </is>
      </c>
    </row>
    <row r="13">
      <c r="A13" s="2" t="n">
        <v>12</v>
      </c>
      <c r="B13" s="2" t="inlineStr">
        <is>
          <t>after 06/24/2013; late June through August 2013 (individual contact dates not disclosed)</t>
        </is>
      </c>
      <c r="C13" s="2" t="inlineStr">
        <is>
          <t>Mac-Gray (via BofA Merrill Lynch) → 15 potential strategic buyers</t>
        </is>
      </c>
      <c r="D13" s="2" t="inlineStr">
        <is>
          <t>Contact</t>
        </is>
      </c>
      <c r="E13" s="2" t="n">
        <v>1</v>
      </c>
      <c r="F13" s="2" t="n">
        <v>1</v>
      </c>
      <c r="G13" s="2" t="inlineStr">
        <is>
          <t>Strategic</t>
        </is>
      </c>
      <c r="H13" s="2" t="inlineStr">
        <is>
          <t>Outreach to the 15 potential strategic buyers identified at the June 24 Special Committee meeting, in accordance with its directives. Parties contacted include Party A (first contacted 04/08/2013, R003 — Count 0 there) and CSC/Pamplona. Count 15 = the cohort as described; treated as a single contact wave.</t>
        </is>
      </c>
      <c r="I13" s="2" t="n"/>
      <c r="J13" s="2" t="n"/>
      <c r="K13" s="2" t="inlineStr">
        <is>
          <t>— Stated outreach: "During the next several weeks, in accordance with the directives of the Special Committee, BofA Merrill Lynch contacted the strategic and financial parties identified at the June 24th Special Committee meeting" (p.32).— Cohort size and composition: "15 of which were potential strategic buyers" (p.31-32). Working date convention: the wave began after the 06/24/2013 directive; individual contact dates are not disclosed (Assigned: bound to the first day of the reported window).</t>
        </is>
      </c>
      <c r="L13" s="3" t="inlineStr">
        <is>
          <t>P-023; P-022</t>
        </is>
      </c>
      <c r="M13" s="2" t="inlineStr">
        <is>
          <t>Q3; Q7</t>
        </is>
      </c>
      <c r="N13" s="2" t="n"/>
      <c r="O13" s="2" t="n"/>
      <c r="P13" s="2" t="inlineStr">
        <is>
          <t>R012</t>
        </is>
      </c>
      <c r="Q13" s="2" t="inlineStr">
        <is>
          <t>Yes</t>
        </is>
      </c>
      <c r="R13" s="5" t="n">
        <v>15</v>
      </c>
      <c r="S13" s="4" t="n">
        <v>41449</v>
      </c>
      <c r="T13" s="4" t="n">
        <v>41513</v>
      </c>
      <c r="U13" s="4" t="n">
        <v>41449</v>
      </c>
      <c r="V13" s="2" t="inlineStr">
        <is>
          <t>Approximate window</t>
        </is>
      </c>
      <c r="W13" s="2" t="inlineStr">
        <is>
          <t>Assigned: bound</t>
        </is>
      </c>
      <c r="X13" s="2" t="n"/>
      <c r="Y13" s="2" t="n"/>
      <c r="Z13" s="2" t="n"/>
      <c r="AA13" s="2" t="n"/>
      <c r="AB13" s="2" t="n"/>
      <c r="AC13" s="2" t="n"/>
      <c r="AD13" s="2" t="n"/>
      <c r="AE13" s="2" t="n"/>
      <c r="AF13" s="2" t="n"/>
      <c r="AG13" s="2" t="n"/>
      <c r="AH13" s="2" t="n"/>
      <c r="AI13" s="2" t="n"/>
      <c r="AJ13" s="2" t="n"/>
      <c r="AK13" s="2" t="n"/>
      <c r="AL13" s="2" t="n">
        <v>32</v>
      </c>
      <c r="AM13" s="2" t="inlineStr">
        <is>
          <t>R003 (Party A, Count 0 there); R011; R013</t>
        </is>
      </c>
      <c r="AN13" s="2" t="inlineStr">
        <is>
          <t>Mac-Gray/CSC</t>
        </is>
      </c>
    </row>
    <row r="14">
      <c r="A14" s="2" t="n">
        <v>13</v>
      </c>
      <c r="B14" s="2" t="inlineStr">
        <is>
          <t>after 06/24/2013; late June through August 2013 (individual contact dates not disclosed)</t>
        </is>
      </c>
      <c r="C14" s="2" t="inlineStr">
        <is>
          <t>Mac-Gray (via BofA Merrill Lynch) → 35 potential financial buyers</t>
        </is>
      </c>
      <c r="D14" s="2" t="inlineStr">
        <is>
          <t>Contact</t>
        </is>
      </c>
      <c r="E14" s="2" t="n">
        <v>1</v>
      </c>
      <c r="F14" s="2" t="n">
        <v>1</v>
      </c>
      <c r="G14" s="2" t="inlineStr">
        <is>
          <t>Financial</t>
        </is>
      </c>
      <c r="H14" s="2" t="inlineStr">
        <is>
          <t>Outreach to the 35 potential financial buyers including private equity firms, in accordance with the Special Committee’s directives. Includes Party B and Party C, later recorded individually at the NDA stage. Count 35 = the cohort as described.</t>
        </is>
      </c>
      <c r="I14" s="2" t="n"/>
      <c r="J14" s="2" t="n"/>
      <c r="K14" s="2" t="inlineStr">
        <is>
          <t>— Stated outreach: "BofA Merrill Lynch contacted the strategic and financial parties identified at the June 24th Special Committee meeting" (p.32).— Cohort size and composition: "35 of which were potential financial buyers, including private equity firms" (p.31-32). Working date convention: the wave began after the 06/24/2013 directive; individual contact dates are not disclosed (Assigned: bound to the first day of the reported window).</t>
        </is>
      </c>
      <c r="L14" s="3" t="inlineStr">
        <is>
          <t>P-023; P-022</t>
        </is>
      </c>
      <c r="M14" s="2" t="inlineStr">
        <is>
          <t>Q3; Q7</t>
        </is>
      </c>
      <c r="N14" s="2" t="n"/>
      <c r="O14" s="2" t="n"/>
      <c r="P14" s="2" t="inlineStr">
        <is>
          <t>R013</t>
        </is>
      </c>
      <c r="Q14" s="2" t="inlineStr">
        <is>
          <t>Yes</t>
        </is>
      </c>
      <c r="R14" s="5" t="n">
        <v>35</v>
      </c>
      <c r="S14" s="4" t="n">
        <v>41449</v>
      </c>
      <c r="T14" s="4" t="n">
        <v>41513</v>
      </c>
      <c r="U14" s="4" t="n">
        <v>41449</v>
      </c>
      <c r="V14" s="2" t="inlineStr">
        <is>
          <t>Approximate window</t>
        </is>
      </c>
      <c r="W14" s="2" t="inlineStr">
        <is>
          <t>Assigned: bound</t>
        </is>
      </c>
      <c r="X14" s="2" t="n"/>
      <c r="Y14" s="2" t="n"/>
      <c r="Z14" s="2" t="n"/>
      <c r="AA14" s="2" t="n"/>
      <c r="AB14" s="2" t="n"/>
      <c r="AC14" s="2" t="n"/>
      <c r="AD14" s="2" t="n"/>
      <c r="AE14" s="2" t="n"/>
      <c r="AF14" s="2" t="n"/>
      <c r="AG14" s="2" t="n"/>
      <c r="AH14" s="2" t="n"/>
      <c r="AI14" s="2" t="n"/>
      <c r="AJ14" s="2" t="n"/>
      <c r="AK14" s="2" t="n"/>
      <c r="AL14" s="2" t="n">
        <v>32</v>
      </c>
      <c r="AM14" s="2" t="inlineStr">
        <is>
          <t>R011; R012</t>
        </is>
      </c>
      <c r="AN14" s="2" t="inlineStr">
        <is>
          <t>Mac-Gray/CSC</t>
        </is>
      </c>
    </row>
    <row r="15">
      <c r="A15" s="2" t="n">
        <v>14</v>
      </c>
      <c r="B15" s="2" t="inlineStr">
        <is>
          <t>06/28/2013</t>
        </is>
      </c>
      <c r="C15" s="2" t="inlineStr">
        <is>
          <t>Party B (financial bidder)</t>
        </is>
      </c>
      <c r="D15" s="2" t="inlineStr">
        <is>
          <t>NDA signed</t>
        </is>
      </c>
      <c r="E15" s="2" t="n">
        <v>1</v>
      </c>
      <c r="F15" s="2" t="n">
        <v>1</v>
      </c>
      <c r="G15" s="2" t="inlineStr">
        <is>
          <t>Financial</t>
        </is>
      </c>
      <c r="H15" s="2" t="inlineStr">
        <is>
          <t>Executed a confidentiality and standstill agreement with Mac-Gray on Mac-Gray’s form (individually negotiated; no material variances) and received the informational package; standstill carried a sunset allowing confidential proposals on announcement of a business combination or change of control.</t>
        </is>
      </c>
      <c r="I15" s="2" t="n"/>
      <c r="J15" s="2" t="n"/>
      <c r="K15" s="2" t="inlineStr">
        <is>
          <t>— Stated execution and package: "Later on June 28, 2013, Party B, entered into a confidentiality and standstill agreement with Mac-Gray and was provided with an informational package for the purpose of providing Party B with data to formulate a preliminary indication of interest" (p.32).— Form and standstill terms: "entered into confidentiality agreements with Mac-Gray on a form provided by Mac-Gray, the terms of which were individually negotiated with potential bidders, but did not vary materially from the form provided" (p.32).</t>
        </is>
      </c>
      <c r="L15" s="3" t="inlineStr">
        <is>
          <t>P-025; P-023</t>
        </is>
      </c>
      <c r="M15" s="2" t="n"/>
      <c r="N15" s="2" t="n"/>
      <c r="O15" s="2" t="n"/>
      <c r="P15" s="2" t="inlineStr">
        <is>
          <t>R014</t>
        </is>
      </c>
      <c r="Q15" s="2" t="inlineStr">
        <is>
          <t>Yes</t>
        </is>
      </c>
      <c r="R15" s="5" t="n">
        <v>1</v>
      </c>
      <c r="S15" s="4" t="n">
        <v>41453</v>
      </c>
      <c r="T15" s="4" t="n">
        <v>41453</v>
      </c>
      <c r="U15" s="4" t="n">
        <v>41453</v>
      </c>
      <c r="V15" s="2" t="inlineStr">
        <is>
          <t>Reported day</t>
        </is>
      </c>
      <c r="W15" s="2" t="inlineStr">
        <is>
          <t>Reported</t>
        </is>
      </c>
      <c r="X15" s="2" t="n"/>
      <c r="Y15" s="2" t="n"/>
      <c r="Z15" s="2" t="n"/>
      <c r="AA15" s="2" t="n"/>
      <c r="AB15" s="2" t="n"/>
      <c r="AC15" s="2" t="n"/>
      <c r="AD15" s="2" t="n"/>
      <c r="AE15" s="2" t="n"/>
      <c r="AF15" s="2" t="n"/>
      <c r="AG15" s="2" t="n"/>
      <c r="AH15" s="2" t="n"/>
      <c r="AI15" s="2" t="n"/>
      <c r="AJ15" s="2" t="n"/>
      <c r="AK15" s="2" t="n"/>
      <c r="AL15" s="2" t="n">
        <v>32</v>
      </c>
      <c r="AM15" s="2" t="n"/>
      <c r="AN15" s="2" t="inlineStr">
        <is>
          <t>Mac-Gray/CSC</t>
        </is>
      </c>
    </row>
    <row r="16">
      <c r="A16" s="2" t="n">
        <v>15</v>
      </c>
      <c r="B16" s="2" t="inlineStr">
        <is>
          <t>06/30/2013</t>
        </is>
      </c>
      <c r="C16" s="2" t="inlineStr">
        <is>
          <t>Party C (financial bidder)</t>
        </is>
      </c>
      <c r="D16" s="2" t="inlineStr">
        <is>
          <t>NDA signed</t>
        </is>
      </c>
      <c r="E16" s="2" t="n">
        <v>1</v>
      </c>
      <c r="F16" s="2" t="n">
        <v>1</v>
      </c>
      <c r="G16" s="2" t="inlineStr">
        <is>
          <t>Financial</t>
        </is>
      </c>
      <c r="H16" s="2" t="inlineStr">
        <is>
          <t>Executed a confidentiality and standstill agreement with Mac-Gray and received the informational package on the same basis as the other signers.</t>
        </is>
      </c>
      <c r="I16" s="2" t="n"/>
      <c r="J16" s="2" t="n"/>
      <c r="K16" s="2" t="inlineStr">
        <is>
          <t>— Stated execution and package: "On June 30, 2013, Party C entered into a confidentiality and standstill agreement with Mac-Gray and was provided with an informational package for the purpose of providing Party C with data to formulate a preliminary indication of interest" (p.32).</t>
        </is>
      </c>
      <c r="L16" s="3" t="inlineStr">
        <is>
          <t>P-026</t>
        </is>
      </c>
      <c r="M16" s="2" t="n"/>
      <c r="N16" s="2" t="n"/>
      <c r="O16" s="2" t="n"/>
      <c r="P16" s="2" t="inlineStr">
        <is>
          <t>R015</t>
        </is>
      </c>
      <c r="Q16" s="2" t="inlineStr">
        <is>
          <t>Yes</t>
        </is>
      </c>
      <c r="R16" s="5" t="n">
        <v>1</v>
      </c>
      <c r="S16" s="4" t="n">
        <v>41455</v>
      </c>
      <c r="T16" s="4" t="n">
        <v>41455</v>
      </c>
      <c r="U16" s="4" t="n">
        <v>41455</v>
      </c>
      <c r="V16" s="2" t="inlineStr">
        <is>
          <t>Reported day</t>
        </is>
      </c>
      <c r="W16" s="2" t="inlineStr">
        <is>
          <t>Reported</t>
        </is>
      </c>
      <c r="X16" s="2" t="n"/>
      <c r="Y16" s="2" t="n"/>
      <c r="Z16" s="2" t="n"/>
      <c r="AA16" s="2" t="n"/>
      <c r="AB16" s="2" t="n"/>
      <c r="AC16" s="2" t="n"/>
      <c r="AD16" s="2" t="n"/>
      <c r="AE16" s="2" t="n"/>
      <c r="AF16" s="2" t="n"/>
      <c r="AG16" s="2" t="n"/>
      <c r="AH16" s="2" t="n"/>
      <c r="AI16" s="2" t="n"/>
      <c r="AJ16" s="2" t="n"/>
      <c r="AK16" s="2" t="n"/>
      <c r="AL16" s="2" t="n">
        <v>32</v>
      </c>
      <c r="AM16" s="2" t="n"/>
      <c r="AN16" s="2" t="inlineStr">
        <is>
          <t>Mac-Gray/CSC</t>
        </is>
      </c>
    </row>
    <row r="17">
      <c r="A17" s="2" t="n">
        <v>16</v>
      </c>
      <c r="B17" s="2" t="inlineStr">
        <is>
          <t>07/06/2013</t>
        </is>
      </c>
      <c r="C17" s="2" t="inlineStr">
        <is>
          <t>Mac-Gray Special Committee; Moab Partners (via Mr. Rothenberg); CSC/Pamplona</t>
        </is>
      </c>
      <c r="D17" s="2" t="inlineStr">
        <is>
          <t>Material process update</t>
        </is>
      </c>
      <c r="E17" s="2" t="n">
        <v>1</v>
      </c>
      <c r="F17" s="2" t="n">
        <v>1</v>
      </c>
      <c r="G17" s="2" t="n"/>
      <c r="H17" s="2" t="inlineStr">
        <is>
          <t>Moab rollover request denied as premature: Mr. Rothenberg had asked that CSC/Pamplona be allowed to share bid and evaluation material with Moab, with Moab exclusively engaged with CSC/Pamplona; the Special Committee denied exclusivity so that Moab’s stake could remain available as capital for other bidders, and said rollover discussions would be permitted at a later stage.</t>
        </is>
      </c>
      <c r="I17" s="2" t="n"/>
      <c r="J17" s="2" t="n"/>
      <c r="K17" s="2" t="inlineStr">
        <is>
          <t>— Stated request: "Mr. Rothenberg also informed Goodwin Procter that Pamplona would be requesting that any confidentiality agreement CSC/Pamplona execute with Mac-Gray permit CSC and Pamplona to discuss their bid and evaluation material with Moab, with Moab agreeing to exclusively engage with CSC/Pamplona" (p.32).— Stated denial and rationale: "the Special Committee decided to deny the exclusivity request at this stage of the process so that the potential equity rollover of Moab's shares could be available as a source of capital for other potential bidders" (p.32-33).— Deferral: "it was premature for Mac-Gray to permit Moab to engage in equity rollover discussions with any party, including CSC/Pamplona, but that such discussions would be permitted at a later stage of the sale process" (p.32-33).</t>
        </is>
      </c>
      <c r="L17" s="3" t="inlineStr">
        <is>
          <t>P-027; P-028</t>
        </is>
      </c>
      <c r="M17" s="2" t="inlineStr">
        <is>
          <t>Q6</t>
        </is>
      </c>
      <c r="N17" s="2" t="n"/>
      <c r="O17" s="2" t="n"/>
      <c r="P17" s="2" t="inlineStr">
        <is>
          <t>R016</t>
        </is>
      </c>
      <c r="Q17" s="2" t="inlineStr">
        <is>
          <t>Yes</t>
        </is>
      </c>
      <c r="R17" s="2" t="n"/>
      <c r="S17" s="4" t="n">
        <v>41461</v>
      </c>
      <c r="T17" s="4" t="n">
        <v>41461</v>
      </c>
      <c r="U17" s="4" t="n">
        <v>41461</v>
      </c>
      <c r="V17" s="2" t="inlineStr">
        <is>
          <t>Reported day</t>
        </is>
      </c>
      <c r="W17" s="2" t="inlineStr">
        <is>
          <t>Reported</t>
        </is>
      </c>
      <c r="X17" s="2" t="n"/>
      <c r="Y17" s="2" t="n"/>
      <c r="Z17" s="2" t="n"/>
      <c r="AA17" s="2" t="n"/>
      <c r="AB17" s="2" t="n"/>
      <c r="AC17" s="2" t="n"/>
      <c r="AD17" s="2" t="n"/>
      <c r="AE17" s="2" t="n"/>
      <c r="AF17" s="2" t="n"/>
      <c r="AG17" s="2" t="n"/>
      <c r="AH17" s="2" t="n"/>
      <c r="AI17" s="2" t="n"/>
      <c r="AJ17" s="2" t="n"/>
      <c r="AK17" s="2" t="n"/>
      <c r="AL17" s="2" t="n">
        <v>32</v>
      </c>
      <c r="AM17" s="2" t="inlineStr">
        <is>
          <t>R049 (resolution); R010</t>
        </is>
      </c>
      <c r="AN17" s="2" t="inlineStr">
        <is>
          <t>Mac-Gray/CSC</t>
        </is>
      </c>
    </row>
    <row r="18">
      <c r="A18" s="2" t="n">
        <v>17</v>
      </c>
      <c r="B18" s="2" t="inlineStr">
        <is>
          <t>between 06/28/2013 and 07/23/2013 (communication date not disclosed)</t>
        </is>
      </c>
      <c r="C18" s="2" t="inlineStr">
        <is>
          <t>Mac-Gray (informational package) → NDA signers</t>
        </is>
      </c>
      <c r="D18" s="2" t="inlineStr">
        <is>
          <t>Deadline set</t>
        </is>
      </c>
      <c r="E18" s="2" t="n">
        <v>1</v>
      </c>
      <c r="F18" s="2" t="n">
        <v>1</v>
      </c>
      <c r="G18" s="2" t="n"/>
      <c r="H18" s="2" t="inlineStr">
        <is>
          <t>Informational-package letter instructed NDA signers to submit preliminary indications of interest by 07/23/2013, addressing valuation, sources and structures of financing, material conditions (including required approvals) and due-diligence focus areas. Communication date not disclosed: the package was furnished to each party as it signed; first signer 06/28/2013.</t>
        </is>
      </c>
      <c r="I18" s="2" t="n"/>
      <c r="J18" s="2" t="n"/>
      <c r="K18" s="2" t="inlineStr">
        <is>
          <t>— Stated instruction: "Parties that had entered into confidentiality and standstill agreements with Mac-Gray were furnished an informational package for the purpose of providing potential bidders with data to formulate a preliminary indication of interest, which they were instructed to submit by July 23, 2013" (p.32).— Requested proposal content: "The letter requested that the proposals address, among other things, valuation, sources and structures of financing, material conditions, including required approvals, and focus areas for due diligence" (p.32). Working date convention: communication window 06/28–07/23/2013; midpoint used as a sort key (Assigned: midpoint).</t>
        </is>
      </c>
      <c r="L18" s="3" t="inlineStr">
        <is>
          <t>P-023</t>
        </is>
      </c>
      <c r="M18" s="2" t="inlineStr">
        <is>
          <t>Q2; Q7</t>
        </is>
      </c>
      <c r="N18" s="2" t="n"/>
      <c r="O18" s="2" t="n"/>
      <c r="P18" s="2" t="inlineStr">
        <is>
          <t>R017</t>
        </is>
      </c>
      <c r="Q18" s="2" t="inlineStr">
        <is>
          <t>Yes</t>
        </is>
      </c>
      <c r="R18" s="2" t="n"/>
      <c r="S18" s="4" t="n">
        <v>41453</v>
      </c>
      <c r="T18" s="4" t="n">
        <v>41478</v>
      </c>
      <c r="U18" s="4" t="n">
        <v>41465</v>
      </c>
      <c r="V18" s="2" t="inlineStr">
        <is>
          <t>Approximate window</t>
        </is>
      </c>
      <c r="W18" s="2" t="inlineStr">
        <is>
          <t>Assigned: midpoint</t>
        </is>
      </c>
      <c r="X18" s="2" t="n"/>
      <c r="Y18" s="2" t="n"/>
      <c r="Z18" s="2" t="n"/>
      <c r="AA18" s="2" t="n"/>
      <c r="AB18" s="2" t="n"/>
      <c r="AC18" s="2" t="n"/>
      <c r="AD18" s="2" t="n"/>
      <c r="AE18" s="2" t="n"/>
      <c r="AF18" s="4" t="n">
        <v>41478</v>
      </c>
      <c r="AG18" s="2" t="n"/>
      <c r="AH18" s="2" t="n"/>
      <c r="AI18" s="2" t="n"/>
      <c r="AJ18" s="2" t="n"/>
      <c r="AK18" s="2" t="n"/>
      <c r="AL18" s="2" t="n">
        <v>32</v>
      </c>
      <c r="AM18" s="2" t="inlineStr">
        <is>
          <t>R020 (due date reached)</t>
        </is>
      </c>
      <c r="AN18" s="2" t="inlineStr">
        <is>
          <t>Mac-Gray/CSC</t>
        </is>
      </c>
    </row>
    <row r="19">
      <c r="A19" s="2" t="n">
        <v>18</v>
      </c>
      <c r="B19" s="2" t="inlineStr">
        <is>
          <t>07/11/2013</t>
        </is>
      </c>
      <c r="C19" s="2" t="inlineStr">
        <is>
          <t>CSC/Pamplona (strategic bidder)</t>
        </is>
      </c>
      <c r="D19" s="2" t="inlineStr">
        <is>
          <t>NDA signed</t>
        </is>
      </c>
      <c r="E19" s="2" t="n">
        <v>1</v>
      </c>
      <c r="F19" s="2" t="n">
        <v>1</v>
      </c>
      <c r="G19" s="2" t="inlineStr">
        <is>
          <t>Strategic</t>
        </is>
      </c>
      <c r="H19" s="2" t="inlineStr">
        <is>
          <t>CSC and Pamplona entered into a confidentiality and standstill agreement with Mac-Gray jointly (one bidder unit) and received the informational package.</t>
        </is>
      </c>
      <c r="I19" s="2" t="n"/>
      <c r="J19" s="2" t="n"/>
      <c r="K19" s="2" t="inlineStr">
        <is>
          <t>— Stated execution and package: "On July 11, 2013, CSC/Pamplona entered into a confidentiality and standstill agreement with Mac-Gray and were provided with an informational package for the purpose of providing CSC/Pamplona with data to formulate a preliminary indication of interest" (p.33).</t>
        </is>
      </c>
      <c r="L19" s="3" t="inlineStr">
        <is>
          <t>P-029</t>
        </is>
      </c>
      <c r="M19" s="2" t="n"/>
      <c r="N19" s="2" t="n"/>
      <c r="O19" s="2" t="n"/>
      <c r="P19" s="2" t="inlineStr">
        <is>
          <t>R018</t>
        </is>
      </c>
      <c r="Q19" s="2" t="inlineStr">
        <is>
          <t>Yes</t>
        </is>
      </c>
      <c r="R19" s="5" t="n">
        <v>1</v>
      </c>
      <c r="S19" s="4" t="n">
        <v>41466</v>
      </c>
      <c r="T19" s="4" t="n">
        <v>41466</v>
      </c>
      <c r="U19" s="4" t="n">
        <v>41466</v>
      </c>
      <c r="V19" s="2" t="inlineStr">
        <is>
          <t>Reported day</t>
        </is>
      </c>
      <c r="W19" s="2" t="inlineStr">
        <is>
          <t>Reported</t>
        </is>
      </c>
      <c r="X19" s="2" t="n"/>
      <c r="Y19" s="2" t="n"/>
      <c r="Z19" s="2" t="n"/>
      <c r="AA19" s="2" t="n"/>
      <c r="AB19" s="2" t="n"/>
      <c r="AC19" s="2" t="n"/>
      <c r="AD19" s="2" t="n"/>
      <c r="AE19" s="2" t="n"/>
      <c r="AF19" s="2" t="n"/>
      <c r="AG19" s="2" t="n"/>
      <c r="AH19" s="2" t="n"/>
      <c r="AI19" s="2" t="n"/>
      <c r="AJ19" s="2" t="n"/>
      <c r="AK19" s="2" t="n"/>
      <c r="AL19" s="2" t="n">
        <v>33</v>
      </c>
      <c r="AM19" s="2" t="n"/>
      <c r="AN19" s="2" t="inlineStr">
        <is>
          <t>Mac-Gray/CSC</t>
        </is>
      </c>
    </row>
    <row r="20">
      <c r="A20" s="2" t="n">
        <v>19</v>
      </c>
      <c r="B20" s="2" t="inlineStr">
        <is>
          <t>late June through late August 2013 (individual dates not disclosed)</t>
        </is>
      </c>
      <c r="C20" s="2" t="inlineStr">
        <is>
          <t>16 remaining financial bidders (residual cohort)</t>
        </is>
      </c>
      <c r="D20" s="2" t="inlineStr">
        <is>
          <t>NDA signed</t>
        </is>
      </c>
      <c r="E20" s="2" t="n">
        <v>1</v>
      </c>
      <c r="F20" s="2" t="n">
        <v>1</v>
      </c>
      <c r="G20" s="2" t="inlineStr">
        <is>
          <t>Financial</t>
        </is>
      </c>
      <c r="H20" s="2" t="inlineStr">
        <is>
          <t>Residual cohort: 20 potential bidders signed confidentiality and standstill agreements over roughly two months; four are individually recorded (Party A 08/05/2013, Party B 06/28/2013, Party C 06/30/2013, CSC/Pamplona 07/11/2013) and the remaining 16 signers are represented by this one cohort row. The cohort’s Working date is moved earlier to 07/23/2013 (inside its window) so that it precedes its inferred non-submission row (R021) — Assigned: sequence.</t>
        </is>
      </c>
      <c r="I20" s="2" t="n"/>
      <c r="J20" s="2" t="n"/>
      <c r="K20" s="2" t="inlineStr">
        <is>
          <t>— Stated total and split: "Over the next two months a total of 20 potential bidders, including two strategic bidders (Party A and CSC/Pamplona) and 18 financial bidders (including Party B and Party C), entered into confidentiality agreements with Mac-Gray" (p.32). Working date convention: the cohort’s signing window (late June to late August) straddles the 07/23/2013 solicitation; the date was moved earlier inside that window so the entry row precedes its inferred non-submission outcome (Assigned: sequence).</t>
        </is>
      </c>
      <c r="L20" s="3" t="inlineStr">
        <is>
          <t>P-023</t>
        </is>
      </c>
      <c r="M20" s="2" t="inlineStr">
        <is>
          <t>Q3; Q7</t>
        </is>
      </c>
      <c r="N20" s="2" t="n"/>
      <c r="O20" s="2" t="n"/>
      <c r="P20" s="2" t="inlineStr">
        <is>
          <t>R019</t>
        </is>
      </c>
      <c r="Q20" s="2" t="inlineStr">
        <is>
          <t>Yes</t>
        </is>
      </c>
      <c r="R20" s="5" t="n">
        <v>16</v>
      </c>
      <c r="S20" s="4" t="n">
        <v>41449</v>
      </c>
      <c r="T20" s="4" t="n">
        <v>41513</v>
      </c>
      <c r="U20" s="4" t="n">
        <v>41478</v>
      </c>
      <c r="V20" s="2" t="inlineStr">
        <is>
          <t>Approximate window</t>
        </is>
      </c>
      <c r="W20" s="2" t="inlineStr">
        <is>
          <t>Assigned: sequence</t>
        </is>
      </c>
      <c r="X20" s="2" t="n"/>
      <c r="Y20" s="2" t="n"/>
      <c r="Z20" s="2" t="n"/>
      <c r="AA20" s="2" t="n"/>
      <c r="AB20" s="2" t="n"/>
      <c r="AC20" s="2" t="n"/>
      <c r="AD20" s="2" t="n"/>
      <c r="AE20" s="2" t="n"/>
      <c r="AF20" s="2" t="n"/>
      <c r="AG20" s="2" t="n"/>
      <c r="AH20" s="2" t="n"/>
      <c r="AI20" s="2" t="n"/>
      <c r="AJ20" s="2" t="n"/>
      <c r="AK20" s="2" t="n"/>
      <c r="AL20" s="2" t="n">
        <v>32</v>
      </c>
      <c r="AM20" s="2" t="inlineStr">
        <is>
          <t>R014; R015; R018; R027; R021 (inferred non-submission)</t>
        </is>
      </c>
      <c r="AN20" s="2" t="inlineStr">
        <is>
          <t>Mac-Gray/CSC</t>
        </is>
      </c>
    </row>
    <row r="21">
      <c r="A21" s="2" t="n">
        <v>20</v>
      </c>
      <c r="B21" s="2" t="inlineStr">
        <is>
          <t>07/23/2013</t>
        </is>
      </c>
      <c r="C21" s="2" t="inlineStr">
        <is>
          <t>N/A — solicitation deadline</t>
        </is>
      </c>
      <c r="D21" s="2" t="inlineStr">
        <is>
          <t>Deadline</t>
        </is>
      </c>
      <c r="E21" s="2" t="n">
        <v>1</v>
      </c>
      <c r="F21" s="2" t="n">
        <v>1</v>
      </c>
      <c r="G21" s="2" t="n"/>
      <c r="H21" s="2" t="inlineStr">
        <is>
          <t>Preliminary-indication due date reached. CSC/Pamplona submitted on 07/23/2013; Party B submitted 07/24/2013 and Party C 07/24–07/25/2013, and the Special Committee reviewed all of them on 07/25/2013 with no revision of the due date. Treatment: Late bids accepted.</t>
        </is>
      </c>
      <c r="I21" s="2" t="n"/>
      <c r="J21" s="2" t="n"/>
      <c r="K21" s="2" t="inlineStr">
        <is>
          <t>— Due date: "instructed to submit by July 23, 2013" (p.32).— Late submissions considered: "On July 25, 2013, the Board held a regularly scheduled in-person meeting" (p.33). "representatives of BofA Merrill Lynch reviewed the preliminary indications of interest received from Party B, Party C and CSC/Pamplona as well as the Party A June 21 proposal" (p.33).</t>
        </is>
      </c>
      <c r="L21" s="3" t="inlineStr">
        <is>
          <t>P-023; P-033</t>
        </is>
      </c>
      <c r="M21" s="2" t="inlineStr">
        <is>
          <t>Q2</t>
        </is>
      </c>
      <c r="N21" s="2" t="n"/>
      <c r="O21" s="2" t="n"/>
      <c r="P21" s="2" t="inlineStr">
        <is>
          <t>R020</t>
        </is>
      </c>
      <c r="Q21" s="2" t="inlineStr">
        <is>
          <t>Yes</t>
        </is>
      </c>
      <c r="R21" s="2" t="n"/>
      <c r="S21" s="4" t="n">
        <v>41478</v>
      </c>
      <c r="T21" s="4" t="n">
        <v>41478</v>
      </c>
      <c r="U21" s="4" t="n">
        <v>41478</v>
      </c>
      <c r="V21" s="2" t="inlineStr">
        <is>
          <t>Reported day</t>
        </is>
      </c>
      <c r="W21" s="2" t="inlineStr">
        <is>
          <t>Reported</t>
        </is>
      </c>
      <c r="X21" s="2" t="n"/>
      <c r="Y21" s="2" t="n"/>
      <c r="Z21" s="2" t="n"/>
      <c r="AA21" s="2" t="n"/>
      <c r="AB21" s="2" t="n"/>
      <c r="AC21" s="2" t="n"/>
      <c r="AD21" s="2" t="n"/>
      <c r="AE21" s="2" t="n"/>
      <c r="AF21" s="4" t="n">
        <v>41478</v>
      </c>
      <c r="AG21" s="2" t="inlineStr">
        <is>
          <t>Late bids accepted</t>
        </is>
      </c>
      <c r="AH21" s="2" t="n"/>
      <c r="AI21" s="2" t="n"/>
      <c r="AJ21" s="2" t="n"/>
      <c r="AK21" s="2" t="n"/>
      <c r="AL21" s="2" t="n">
        <v>32</v>
      </c>
      <c r="AM21" s="2" t="inlineStr">
        <is>
          <t>R017</t>
        </is>
      </c>
      <c r="AN21" s="2" t="inlineStr">
        <is>
          <t>Mac-Gray/CSC</t>
        </is>
      </c>
    </row>
    <row r="22">
      <c r="A22" s="2" t="n">
        <v>21</v>
      </c>
      <c r="B22" s="2" t="inlineStr">
        <is>
          <t>by 07/23/2013 (solicitation due date passed with no submission)</t>
        </is>
      </c>
      <c r="C22" s="2" t="inlineStr">
        <is>
          <t>16 remaining financial bidders (residual cohort)</t>
        </is>
      </c>
      <c r="D22" s="2" t="inlineStr">
        <is>
          <t>Did not submit</t>
        </is>
      </c>
      <c r="E22" s="2" t="n">
        <v>1</v>
      </c>
      <c r="F22" s="2" t="n">
        <v>1</v>
      </c>
      <c r="G22" s="2" t="inlineStr">
        <is>
          <t>Financial</t>
        </is>
      </c>
      <c r="H22" s="2" t="inlineStr">
        <is>
          <t>Inferred: residual — 20 NDA signers − 4 individually recorded signers (Party A, Party B, Party C, CSC/Pamplona) = 16 remaining signers, all financial; none is reported to have submitted a July 23 indication. Base assumes each of the 20 signers was covered by the July 23 solicitation; if any signed later than that deadline, the non-submitting set is smaller (flagged in Q3). Inferred from arithmetic only — no dates, motives or identities inferred.</t>
        </is>
      </c>
      <c r="I22" s="2" t="n"/>
      <c r="J22" s="2" t="n"/>
      <c r="K22" s="2" t="inlineStr">
        <is>
          <t>— Base population: "a total of 20 potential bidders, including two strategic bidders (Party A and CSC/Pamplona) and 18 financial bidders (including Party B and Party C), entered into confidentiality agreements with Mac-Gray" (p.32).— Continuing set named at the next transition: "reach out to each of the four interested bidders and arrange management meetings" (p.33-34).— Solicitation due date: "instructed to submit by July 23, 2013" (p.32). Outcome basis: arithmetic residual only — no dates, motives, identities or voluntary withdrawal inferred. Count = stated base − accounted participants.</t>
        </is>
      </c>
      <c r="L22" s="3" t="inlineStr">
        <is>
          <t>P-023; P-034</t>
        </is>
      </c>
      <c r="M22" s="2" t="inlineStr">
        <is>
          <t>Q3</t>
        </is>
      </c>
      <c r="N22" s="2" t="n"/>
      <c r="O22" s="2" t="n"/>
      <c r="P22" s="2" t="inlineStr">
        <is>
          <t>R021</t>
        </is>
      </c>
      <c r="Q22" s="2" t="inlineStr">
        <is>
          <t>Yes</t>
        </is>
      </c>
      <c r="R22" s="5" t="n">
        <v>16</v>
      </c>
      <c r="S22" s="2" t="n"/>
      <c r="T22" s="4" t="n">
        <v>41478</v>
      </c>
      <c r="U22" s="4" t="n">
        <v>41478</v>
      </c>
      <c r="V22" s="2" t="inlineStr">
        <is>
          <t>Relative only</t>
        </is>
      </c>
      <c r="W22" s="2" t="inlineStr">
        <is>
          <t>Assigned: deadline</t>
        </is>
      </c>
      <c r="X22" s="2" t="n"/>
      <c r="Y22" s="2" t="n"/>
      <c r="Z22" s="2" t="n"/>
      <c r="AA22" s="2" t="n"/>
      <c r="AB22" s="2" t="n"/>
      <c r="AC22" s="2" t="n"/>
      <c r="AD22" s="2" t="n"/>
      <c r="AE22" s="2" t="n"/>
      <c r="AF22" s="2" t="n"/>
      <c r="AG22" s="2" t="n"/>
      <c r="AH22" s="2" t="n"/>
      <c r="AI22" s="2" t="inlineStr">
        <is>
          <t>Unknown</t>
        </is>
      </c>
      <c r="AJ22" s="2" t="inlineStr">
        <is>
          <t>Not stated</t>
        </is>
      </c>
      <c r="AK22" s="2" t="inlineStr">
        <is>
          <t>Inferred: residual</t>
        </is>
      </c>
      <c r="AL22" s="2" t="n">
        <v>32</v>
      </c>
      <c r="AM22" s="2" t="inlineStr">
        <is>
          <t>R019 (entry); R020</t>
        </is>
      </c>
      <c r="AN22" s="2" t="inlineStr">
        <is>
          <t>Mac-Gray/CSC</t>
        </is>
      </c>
    </row>
    <row r="23">
      <c r="A23" s="2" t="n">
        <v>22</v>
      </c>
      <c r="B23" s="2" t="inlineStr">
        <is>
          <t>07/23/2013</t>
        </is>
      </c>
      <c r="C23" s="2" t="inlineStr">
        <is>
          <t>CSC/Pamplona (strategic bidder)</t>
        </is>
      </c>
      <c r="D23" s="2" t="inlineStr">
        <is>
          <t>Bid</t>
        </is>
      </c>
      <c r="E23" s="2" t="n">
        <v>1</v>
      </c>
      <c r="F23" s="2" t="n">
        <v>1</v>
      </c>
      <c r="G23" s="2" t="inlineStr">
        <is>
          <t>Strategic</t>
        </is>
      </c>
      <c r="H23" s="2" t="inlineStr">
        <is>
          <t>Preliminary indication of interest: all-cash $18.50 per share, submitted on the 07/23/2013 due date after a preliminary review (07/11–07/23) but before data-room or management access; financing not described at this stage.</t>
        </is>
      </c>
      <c r="I23" s="2" t="inlineStr">
        <is>
          <t>Informal</t>
        </is>
      </c>
      <c r="J23" s="2" t="inlineStr">
        <is>
          <t>Heavy</t>
        </is>
      </c>
      <c r="K23" s="2" t="inlineStr">
        <is>
          <t>— Stated indication: "On July 23, 2013, CSC/Pamplona submitted a preliminary indication of interest at an all-cash purchase price of $18.50 per share" (p.33).— Substantive access not yet given: "Between July 11, 2013 and July 23, 2013, Party B, Party C and CSC/Pamplona engaged in a preliminary review of Mac-Gray and the potential acquisition opportunity" (p.33). Conditions: Heavy by context — preliminary indication made before data-room or management access; financing not yet described.</t>
        </is>
      </c>
      <c r="L23" s="3" t="inlineStr">
        <is>
          <t>P-031; P-030</t>
        </is>
      </c>
      <c r="M23" s="2" t="inlineStr">
        <is>
          <t>Q4</t>
        </is>
      </c>
      <c r="N23" s="2" t="n"/>
      <c r="O23" s="2" t="n"/>
      <c r="P23" s="2" t="inlineStr">
        <is>
          <t>R022</t>
        </is>
      </c>
      <c r="Q23" s="2" t="inlineStr">
        <is>
          <t>Yes</t>
        </is>
      </c>
      <c r="R23" s="5" t="n">
        <v>1</v>
      </c>
      <c r="S23" s="4" t="n">
        <v>41478</v>
      </c>
      <c r="T23" s="4" t="n">
        <v>41478</v>
      </c>
      <c r="U23" s="4" t="n">
        <v>41478</v>
      </c>
      <c r="V23" s="2" t="inlineStr">
        <is>
          <t>Reported day</t>
        </is>
      </c>
      <c r="W23" s="2" t="inlineStr">
        <is>
          <t>Reported</t>
        </is>
      </c>
      <c r="X23" s="6" t="n">
        <v>18.5</v>
      </c>
      <c r="Y23" s="6" t="n">
        <v>18.5</v>
      </c>
      <c r="Z23" s="2" t="inlineStr">
        <is>
          <t>Point</t>
        </is>
      </c>
      <c r="AA23" s="2" t="inlineStr">
        <is>
          <t>Stated</t>
        </is>
      </c>
      <c r="AB23" s="2" t="inlineStr">
        <is>
          <t>USD</t>
        </is>
      </c>
      <c r="AC23" s="2" t="inlineStr">
        <is>
          <t>Yes</t>
        </is>
      </c>
      <c r="AD23" s="6" t="n">
        <v>18.5</v>
      </c>
      <c r="AE23" s="2" t="inlineStr">
        <is>
          <t>Fin: not stated; DD required: not stated; DD open: yes; Excl: not stated</t>
        </is>
      </c>
      <c r="AF23" s="2" t="n"/>
      <c r="AG23" s="2" t="n"/>
      <c r="AH23" s="2" t="n"/>
      <c r="AI23" s="2" t="n"/>
      <c r="AJ23" s="2" t="n"/>
      <c r="AK23" s="2" t="n"/>
      <c r="AL23" s="2" t="n">
        <v>33</v>
      </c>
      <c r="AM23" s="2" t="inlineStr">
        <is>
          <t>R030 (Sept 9 revision); R037; R042</t>
        </is>
      </c>
      <c r="AN23" s="2" t="inlineStr">
        <is>
          <t>Mac-Gray/CSC</t>
        </is>
      </c>
    </row>
    <row r="24">
      <c r="A24" s="2" t="n">
        <v>23</v>
      </c>
      <c r="B24" s="2" t="inlineStr">
        <is>
          <t>07/24/2013</t>
        </is>
      </c>
      <c r="C24" s="2" t="inlineStr">
        <is>
          <t>Party B (financial bidder)</t>
        </is>
      </c>
      <c r="D24" s="2" t="inlineStr">
        <is>
          <t>Bid</t>
        </is>
      </c>
      <c r="E24" s="2" t="n">
        <v>1</v>
      </c>
      <c r="F24" s="2" t="n">
        <v>1</v>
      </c>
      <c r="G24" s="2" t="inlineStr">
        <is>
          <t>Financial</t>
        </is>
      </c>
      <c r="H24" s="2" t="inlineStr">
        <is>
          <t>Preliminary indication of interest: all-cash $17.00–$18.00 per share, submitted one day after the 07/23/2013 instruction and considered at the 07/25/2013 Special Committee meeting.</t>
        </is>
      </c>
      <c r="I24" s="2" t="inlineStr">
        <is>
          <t>Informal</t>
        </is>
      </c>
      <c r="J24" s="2" t="inlineStr">
        <is>
          <t>Heavy</t>
        </is>
      </c>
      <c r="K24" s="2" t="inlineStr">
        <is>
          <t>— Stated indication: "On July 24, 2013, Party B submitted a preliminary indication of interest at an all-cash purchase price of $17.00 to $18.00 per share" (p.33). Conditions: Heavy by context — preliminary indication before substantive diligence access, and no financing commitment reported.</t>
        </is>
      </c>
      <c r="L24" s="3" t="inlineStr">
        <is>
          <t>P-032</t>
        </is>
      </c>
      <c r="M24" s="2" t="inlineStr">
        <is>
          <t>Q4</t>
        </is>
      </c>
      <c r="N24" s="2" t="n"/>
      <c r="O24" s="2" t="n"/>
      <c r="P24" s="2" t="inlineStr">
        <is>
          <t>R023</t>
        </is>
      </c>
      <c r="Q24" s="2" t="inlineStr">
        <is>
          <t>Yes</t>
        </is>
      </c>
      <c r="R24" s="5" t="n">
        <v>1</v>
      </c>
      <c r="S24" s="4" t="n">
        <v>41479</v>
      </c>
      <c r="T24" s="4" t="n">
        <v>41479</v>
      </c>
      <c r="U24" s="4" t="n">
        <v>41479</v>
      </c>
      <c r="V24" s="2" t="inlineStr">
        <is>
          <t>Reported day</t>
        </is>
      </c>
      <c r="W24" s="2" t="inlineStr">
        <is>
          <t>Reported</t>
        </is>
      </c>
      <c r="X24" s="6" t="n">
        <v>17</v>
      </c>
      <c r="Y24" s="6" t="n">
        <v>18</v>
      </c>
      <c r="Z24" s="2" t="inlineStr">
        <is>
          <t>Bidder range</t>
        </is>
      </c>
      <c r="AA24" s="2" t="inlineStr">
        <is>
          <t>Stated</t>
        </is>
      </c>
      <c r="AB24" s="2" t="inlineStr">
        <is>
          <t>USD</t>
        </is>
      </c>
      <c r="AC24" s="2" t="inlineStr">
        <is>
          <t>Yes</t>
        </is>
      </c>
      <c r="AD24" s="2" t="n"/>
      <c r="AE24" s="2" t="inlineStr">
        <is>
          <t>Fin: not stated; DD required: not stated; DD open: yes; Excl: not stated</t>
        </is>
      </c>
      <c r="AF24" s="2" t="n"/>
      <c r="AG24" s="2" t="n"/>
      <c r="AH24" s="2" t="n"/>
      <c r="AI24" s="2" t="n"/>
      <c r="AJ24" s="2" t="n"/>
      <c r="AK24" s="2" t="n"/>
      <c r="AL24" s="2" t="n">
        <v>33</v>
      </c>
      <c r="AM24" s="2" t="inlineStr">
        <is>
          <t>R031 (Sept 9 revision)</t>
        </is>
      </c>
      <c r="AN24" s="2" t="inlineStr">
        <is>
          <t>Mac-Gray/CSC</t>
        </is>
      </c>
    </row>
    <row r="25">
      <c r="A25" s="2" t="n">
        <v>24</v>
      </c>
      <c r="B25" s="2" t="inlineStr">
        <is>
          <t>07/24/2013 (oral indication) – 07/25/2013 (written indication)</t>
        </is>
      </c>
      <c r="C25" s="2" t="inlineStr">
        <is>
          <t>Party C (financial bidder)</t>
        </is>
      </c>
      <c r="D25" s="2" t="inlineStr">
        <is>
          <t>Bid</t>
        </is>
      </c>
      <c r="E25" s="2" t="n">
        <v>1</v>
      </c>
      <c r="F25" s="2" t="n">
        <v>1</v>
      </c>
      <c r="G25" s="2" t="inlineStr">
        <is>
          <t>Financial</t>
        </is>
      </c>
      <c r="H25" s="2" t="inlineStr">
        <is>
          <t>One bid, two communications: an oral preliminary indication on 07/24/2013 at $15.00–$17.00 per share, then a written indication on 07/25/2013 at $16.00–$16.50 per share. Recorded as a single bid under the one-communication convention; the written range is recorded in the price cells and both values are stated here. All-cash; financing not described.</t>
        </is>
      </c>
      <c r="I25" s="2" t="inlineStr">
        <is>
          <t>Informal</t>
        </is>
      </c>
      <c r="J25" s="2" t="inlineStr">
        <is>
          <t>Heavy</t>
        </is>
      </c>
      <c r="K25" s="2" t="inlineStr">
        <is>
          <t>— Oral indication: "representatives from Party C called BofA Merrill Lynch and presented an oral preliminary indication of interest at an all-cash purchase price of $15.00 to $17.00 per share" (p.33).— Written indication: "Later on July 25, 2013, Party C submitted a written indication of interest at an all-cash purchase price of $16.00 to $16.50 per share" (p.34). Conditions: Heavy by context — preliminary indication before substantive diligence access. One bid, two communications (see Terms or outcome).</t>
        </is>
      </c>
      <c r="L25" s="3" t="inlineStr">
        <is>
          <t>P-032; P-035</t>
        </is>
      </c>
      <c r="M25" s="2" t="inlineStr">
        <is>
          <t>Q5; Q7</t>
        </is>
      </c>
      <c r="N25" s="2" t="n"/>
      <c r="O25" s="2" t="n"/>
      <c r="P25" s="2" t="inlineStr">
        <is>
          <t>R024</t>
        </is>
      </c>
      <c r="Q25" s="2" t="inlineStr">
        <is>
          <t>Yes</t>
        </is>
      </c>
      <c r="R25" s="5" t="n">
        <v>1</v>
      </c>
      <c r="S25" s="4" t="n">
        <v>41479</v>
      </c>
      <c r="T25" s="4" t="n">
        <v>41480</v>
      </c>
      <c r="U25" s="4" t="n">
        <v>41479</v>
      </c>
      <c r="V25" s="2" t="inlineStr">
        <is>
          <t>Reported interval</t>
        </is>
      </c>
      <c r="W25" s="2" t="inlineStr">
        <is>
          <t>Assigned: bound</t>
        </is>
      </c>
      <c r="X25" s="6" t="n">
        <v>16</v>
      </c>
      <c r="Y25" s="6" t="n">
        <v>16.5</v>
      </c>
      <c r="Z25" s="2" t="inlineStr">
        <is>
          <t>Bidder range</t>
        </is>
      </c>
      <c r="AA25" s="2" t="inlineStr">
        <is>
          <t>Stated</t>
        </is>
      </c>
      <c r="AB25" s="2" t="inlineStr">
        <is>
          <t>USD</t>
        </is>
      </c>
      <c r="AC25" s="2" t="inlineStr">
        <is>
          <t>Yes</t>
        </is>
      </c>
      <c r="AD25" s="2" t="n"/>
      <c r="AE25" s="2" t="inlineStr">
        <is>
          <t>Fin: not stated; DD required: not stated; DD open: yes; Excl: not stated</t>
        </is>
      </c>
      <c r="AF25" s="2" t="n"/>
      <c r="AG25" s="2" t="n"/>
      <c r="AH25" s="2" t="n"/>
      <c r="AI25" s="2" t="n"/>
      <c r="AJ25" s="2" t="n"/>
      <c r="AK25" s="2" t="n"/>
      <c r="AL25" s="2" t="n">
        <v>33</v>
      </c>
      <c r="AM25" s="2" t="inlineStr">
        <is>
          <t>R033 (Sept 10 revision)</t>
        </is>
      </c>
      <c r="AN25" s="2" t="inlineStr">
        <is>
          <t>Mac-Gray/CSC</t>
        </is>
      </c>
    </row>
    <row r="26">
      <c r="A26" s="2" t="n">
        <v>25</v>
      </c>
      <c r="B26" s="2" t="inlineStr">
        <is>
          <t>07/25/2013</t>
        </is>
      </c>
      <c r="C26" s="2" t="inlineStr">
        <is>
          <t>Mac-Gray Special Committee</t>
        </is>
      </c>
      <c r="D26" s="2" t="inlineStr">
        <is>
          <t>Target decision</t>
        </is>
      </c>
      <c r="E26" s="2" t="n">
        <v>1</v>
      </c>
      <c r="F26" s="2" t="n">
        <v>1</v>
      </c>
      <c r="G26" s="2" t="n"/>
      <c r="H26" s="2" t="inlineStr">
        <is>
          <t>Preliminary indications judged lower than expected; the Special Committee advanced the four interested bidders (Party A, Party B, Party C, CSC/Pamplona) to a second stage — staged information disclosure and management meetings — to drive improved offers. The Special Committee also directed that Mr. Rothenberg recuse himself from Board meetings for the duration of the sale process (Moab rollover conflict).</t>
        </is>
      </c>
      <c r="I26" s="2" t="n"/>
      <c r="J26" s="2" t="n"/>
      <c r="K26" s="2" t="inlineStr">
        <is>
          <t>— Advancement decision: "the Special Committee authorized and instructed BofA Merrill Lynch to proceed with the staged disclosure as discussed at this meeting and to reach out to each of the four interested bidders and arrange management meetings" (p.33-34).— Recusal: "The Special Committee then discussed the potential conflict of interest arising from Moab's continuing desire to consider an equity rollover and decided that Mr. Rothenberg should be asked to recuse himself from participating in Board meetings for the duration of the sale process" (p.33).</t>
        </is>
      </c>
      <c r="L26" s="3" t="inlineStr">
        <is>
          <t>P-034; P-033</t>
        </is>
      </c>
      <c r="M26" s="2" t="inlineStr">
        <is>
          <t>Q1</t>
        </is>
      </c>
      <c r="N26" s="2" t="n"/>
      <c r="O26" s="2" t="n"/>
      <c r="P26" s="2" t="inlineStr">
        <is>
          <t>R025</t>
        </is>
      </c>
      <c r="Q26" s="2" t="inlineStr">
        <is>
          <t>Yes</t>
        </is>
      </c>
      <c r="R26" s="2" t="n"/>
      <c r="S26" s="4" t="n">
        <v>41480</v>
      </c>
      <c r="T26" s="4" t="n">
        <v>41480</v>
      </c>
      <c r="U26" s="4" t="n">
        <v>41480</v>
      </c>
      <c r="V26" s="2" t="inlineStr">
        <is>
          <t>Reported day</t>
        </is>
      </c>
      <c r="W26" s="2" t="inlineStr">
        <is>
          <t>Reported</t>
        </is>
      </c>
      <c r="X26" s="2" t="n"/>
      <c r="Y26" s="2" t="n"/>
      <c r="Z26" s="2" t="n"/>
      <c r="AA26" s="2" t="n"/>
      <c r="AB26" s="2" t="n"/>
      <c r="AC26" s="2" t="n"/>
      <c r="AD26" s="2" t="n"/>
      <c r="AE26" s="2" t="n"/>
      <c r="AF26" s="2" t="n"/>
      <c r="AG26" s="2" t="n"/>
      <c r="AH26" s="2" t="n"/>
      <c r="AI26" s="2" t="n"/>
      <c r="AJ26" s="2" t="n"/>
      <c r="AK26" s="2" t="n"/>
      <c r="AL26" s="2" t="n">
        <v>34</v>
      </c>
      <c r="AM26" s="2" t="inlineStr">
        <is>
          <t>R026; R011</t>
        </is>
      </c>
      <c r="AN26" s="2" t="inlineStr">
        <is>
          <t>Mac-Gray/CSC</t>
        </is>
      </c>
    </row>
    <row r="27">
      <c r="A27" s="2" t="n">
        <v>26</v>
      </c>
      <c r="B27" s="2" t="inlineStr">
        <is>
          <t>07/25/2013 (decision); implemented 08/06/2013–08/27/2013</t>
        </is>
      </c>
      <c r="C27" s="2" t="inlineStr">
        <is>
          <t>Mac-Gray Special Committee; Party A, Party B, Party C, CSC/Pamplona</t>
        </is>
      </c>
      <c r="D27" s="2" t="inlineStr">
        <is>
          <t>Information access changed</t>
        </is>
      </c>
      <c r="E27" s="2" t="n">
        <v>1</v>
      </c>
      <c r="F27" s="2" t="n">
        <v>1</v>
      </c>
      <c r="G27" s="2" t="n"/>
      <c r="H27" s="2" t="inlineStr">
        <is>
          <t>Differentiated (tiered) access among live bidders: Party B and Party C, as financial bidders, were given broad access to the electronic data site; Party A and CSC/Pamplona, as strategic bidders, were given somewhat limited access, with customer data (including customer locations) withheld until a later stage; management presentations were held for all four bidders (08/06, 08/08, 08/12, 08/14). Stated rationale: concern over access to and potential misuse of sensitive competitive information, especially by strategic bidders; staging by demonstrated seriousness.</t>
        </is>
      </c>
      <c r="I27" s="2" t="n"/>
      <c r="J27" s="2" t="n"/>
      <c r="K27" s="2" t="inlineStr">
        <is>
          <t>— Stated access split and withholding: "Party B and Party C, in light of the fact that they were financial bidders, were given broad access to an electronic data site, and Party A and CSC/Pamplona, in light of the fact that they were strategic bidders, were given somewhat limited access to this electronic data site, with access to customer data, including customer locations, being reserved until later in the process as part of the staging discussed at the July 25 th Special Committee meeting" (p.34).— Stated rationale: "expressed concern over permitting access to and the potential misuse of sensitive and competitive information, including customer terms and locations, especially by strategic bidders" (p.33-34).— Presentations for all four: "On August 6, 2013, representatives of Party B attended a management presentation" (p.34). "On August 14, 2013, representatives of Party A attended a management presentation at the Boston office of Goodwin Procter" (p.34).</t>
        </is>
      </c>
      <c r="L27" s="3" t="inlineStr">
        <is>
          <t>P-042; P-034; P-037; P-040</t>
        </is>
      </c>
      <c r="M27" s="2" t="n"/>
      <c r="N27" s="2" t="n"/>
      <c r="O27" s="2" t="n"/>
      <c r="P27" s="2" t="inlineStr">
        <is>
          <t>R026</t>
        </is>
      </c>
      <c r="Q27" s="2" t="inlineStr">
        <is>
          <t>Yes</t>
        </is>
      </c>
      <c r="R27" s="2" t="n"/>
      <c r="S27" s="4" t="n">
        <v>41480</v>
      </c>
      <c r="T27" s="4" t="n">
        <v>41480</v>
      </c>
      <c r="U27" s="4" t="n">
        <v>41480</v>
      </c>
      <c r="V27" s="2" t="inlineStr">
        <is>
          <t>Reported day</t>
        </is>
      </c>
      <c r="W27" s="2" t="inlineStr">
        <is>
          <t>Reported</t>
        </is>
      </c>
      <c r="X27" s="2" t="n"/>
      <c r="Y27" s="2" t="n"/>
      <c r="Z27" s="2" t="n"/>
      <c r="AA27" s="2" t="n"/>
      <c r="AB27" s="2" t="n"/>
      <c r="AC27" s="2" t="n"/>
      <c r="AD27" s="2" t="n"/>
      <c r="AE27" s="2" t="n"/>
      <c r="AF27" s="2" t="n"/>
      <c r="AG27" s="2" t="n"/>
      <c r="AH27" s="2" t="n"/>
      <c r="AI27" s="2" t="n"/>
      <c r="AJ27" s="2" t="n"/>
      <c r="AK27" s="2" t="n"/>
      <c r="AL27" s="2" t="n">
        <v>34</v>
      </c>
      <c r="AM27" s="2" t="inlineStr">
        <is>
          <t>R025</t>
        </is>
      </c>
      <c r="AN27" s="2" t="inlineStr">
        <is>
          <t>Mac-Gray/CSC</t>
        </is>
      </c>
    </row>
    <row r="28">
      <c r="A28" s="2" t="n">
        <v>27</v>
      </c>
      <c r="B28" s="2" t="inlineStr">
        <is>
          <t>08/05/2013</t>
        </is>
      </c>
      <c r="C28" s="2" t="inlineStr">
        <is>
          <t>Party A (strategic bidder)</t>
        </is>
      </c>
      <c r="D28" s="2" t="inlineStr">
        <is>
          <t>NDA signed</t>
        </is>
      </c>
      <c r="E28" s="2" t="n">
        <v>1</v>
      </c>
      <c r="F28" s="2" t="n">
        <v>1</v>
      </c>
      <c r="G28" s="2" t="inlineStr">
        <is>
          <t>Strategic</t>
        </is>
      </c>
      <c r="H28" s="2" t="inlineStr">
        <is>
          <t>Executed after NDA negotiations stalled over customer and employee non-solicitation provisions; discussions resumed 07/27/2013 (the filing states "July 27, 2103" — source typo; intended 2013) and the agreement was executed 08/05/2013; informational package furnished so Party A could potentially improve its June 21 proposal.</t>
        </is>
      </c>
      <c r="I28" s="2" t="n"/>
      <c r="J28" s="2" t="n"/>
      <c r="K28" s="2" t="inlineStr">
        <is>
          <t>— Stated execution: "On August 5, 2013, Party A entered into a confidentiality and standstill agreement with Mac-Gray and was provided with an informational package for the purpose of providing Party A with data to potentially improve the terms of the Party A June 21 proposal" (p.34).— Stalled negotiation and source typo retained: "Discussions with Party A resumed on July 27, 2103 and Party A and the Transaction Committee agreed to the terms of the customer and employee non-solicitation provisions" (p.34). "did not come to agreement on the terms of the customer and employee non-solicitation provisions" (p.33).</t>
        </is>
      </c>
      <c r="L28" s="3" t="inlineStr">
        <is>
          <t>P-036; P-030</t>
        </is>
      </c>
      <c r="M28" s="2" t="n"/>
      <c r="N28" s="2" t="n"/>
      <c r="O28" s="2" t="n"/>
      <c r="P28" s="2" t="inlineStr">
        <is>
          <t>R027</t>
        </is>
      </c>
      <c r="Q28" s="2" t="inlineStr">
        <is>
          <t>Yes</t>
        </is>
      </c>
      <c r="R28" s="5" t="n">
        <v>1</v>
      </c>
      <c r="S28" s="4" t="n">
        <v>41491</v>
      </c>
      <c r="T28" s="4" t="n">
        <v>41491</v>
      </c>
      <c r="U28" s="4" t="n">
        <v>41491</v>
      </c>
      <c r="V28" s="2" t="inlineStr">
        <is>
          <t>Reported day</t>
        </is>
      </c>
      <c r="W28" s="2" t="inlineStr">
        <is>
          <t>Reported</t>
        </is>
      </c>
      <c r="X28" s="2" t="n"/>
      <c r="Y28" s="2" t="n"/>
      <c r="Z28" s="2" t="n"/>
      <c r="AA28" s="2" t="n"/>
      <c r="AB28" s="2" t="n"/>
      <c r="AC28" s="2" t="n"/>
      <c r="AD28" s="2" t="n"/>
      <c r="AE28" s="2" t="n"/>
      <c r="AF28" s="2" t="n"/>
      <c r="AG28" s="2" t="n"/>
      <c r="AH28" s="2" t="n"/>
      <c r="AI28" s="2" t="n"/>
      <c r="AJ28" s="2" t="n"/>
      <c r="AK28" s="2" t="n"/>
      <c r="AL28" s="2" t="n">
        <v>34</v>
      </c>
      <c r="AM28" s="2" t="n"/>
      <c r="AN28" s="2" t="inlineStr">
        <is>
          <t>Mac-Gray/CSC</t>
        </is>
      </c>
    </row>
    <row r="29">
      <c r="A29" s="2" t="n">
        <v>28</v>
      </c>
      <c r="B29" s="2" t="inlineStr">
        <is>
          <t>08/27/2013</t>
        </is>
      </c>
      <c r="C29" s="2" t="inlineStr">
        <is>
          <t>Mac-Gray (BofA Merrill Lynch) → Party A, Party B, Party C, CSC/Pamplona</t>
        </is>
      </c>
      <c r="D29" s="2" t="inlineStr">
        <is>
          <t>Round opened</t>
        </is>
      </c>
      <c r="E29" s="2" t="n">
        <v>1</v>
      </c>
      <c r="F29" s="2" t="n">
        <v>2</v>
      </c>
      <c r="G29" s="2" t="n"/>
      <c r="H29" s="2" t="inlineStr">
        <is>
          <t>Second-stage solicitation: letter to all four bidders once all four’s diligence was substantially complete, instructing revised written proposals no later than 09/09/2013 to continue to in-depth evaluation and confirmatory due diligence, addressing valuation, financing, regulatory approvals, post-signing covenants and diligence focus. Authorized at the 08/15/2013 Special Committee meeting; same-day follow-up diligence call with Party B. Round finality: Not final.</t>
        </is>
      </c>
      <c r="I29" s="2" t="n"/>
      <c r="J29" s="2" t="n"/>
      <c r="K29" s="2" t="inlineStr">
        <is>
          <t>— Stated authorization: "the Special Committee authorized and instructed BofA Merrill Lynch to send a letter to each of Party A, Party B, Party C and CSC/Pamplona once all four of the bidders' due diligence was substantially complete requesting that, in light of the results of the respective party's due diligence, such party submit a revised written proposal in order to continue in the process, including to engage in more in-depth and confirmatory due diligence of Mac-Gray" (p.34).— Stated letter and deadline: "On August 27, 2013, BofA Merrill Lynch, as instructed by the Special Committee, sent a letter to each of Party A, Party B, Party C and CSC/Pamplona instructing such bidders to submit revised written proposals no later than September 9, 2013 if such bidders wished to proceed further in the process to pursue an in-depth evaluation of Mac-Gray with the objective of making a revised offer" (p.35).</t>
        </is>
      </c>
      <c r="L29" s="3" t="inlineStr">
        <is>
          <t>P-041; P-043</t>
        </is>
      </c>
      <c r="M29" s="2" t="inlineStr">
        <is>
          <t>Q1</t>
        </is>
      </c>
      <c r="N29" s="2" t="n"/>
      <c r="O29" s="2" t="n"/>
      <c r="P29" s="2" t="inlineStr">
        <is>
          <t>R028</t>
        </is>
      </c>
      <c r="Q29" s="2" t="inlineStr">
        <is>
          <t>Yes</t>
        </is>
      </c>
      <c r="R29" s="2" t="n"/>
      <c r="S29" s="4" t="n">
        <v>41513</v>
      </c>
      <c r="T29" s="4" t="n">
        <v>41513</v>
      </c>
      <c r="U29" s="4" t="n">
        <v>41513</v>
      </c>
      <c r="V29" s="2" t="inlineStr">
        <is>
          <t>Reported day</t>
        </is>
      </c>
      <c r="W29" s="2" t="inlineStr">
        <is>
          <t>Reported</t>
        </is>
      </c>
      <c r="X29" s="2" t="n"/>
      <c r="Y29" s="2" t="n"/>
      <c r="Z29" s="2" t="n"/>
      <c r="AA29" s="2" t="n"/>
      <c r="AB29" s="2" t="n"/>
      <c r="AC29" s="2" t="n"/>
      <c r="AD29" s="2" t="n"/>
      <c r="AE29" s="2" t="n"/>
      <c r="AF29" s="4" t="n">
        <v>41526</v>
      </c>
      <c r="AG29" s="2" t="n"/>
      <c r="AH29" s="2" t="inlineStr">
        <is>
          <t>Not final</t>
        </is>
      </c>
      <c r="AI29" s="2" t="n"/>
      <c r="AJ29" s="2" t="n"/>
      <c r="AK29" s="2" t="n"/>
      <c r="AL29" s="2" t="n">
        <v>35</v>
      </c>
      <c r="AM29" s="2" t="inlineStr">
        <is>
          <t>R025; R029</t>
        </is>
      </c>
      <c r="AN29" s="2" t="inlineStr">
        <is>
          <t>Mac-Gray/CSC</t>
        </is>
      </c>
    </row>
    <row r="30">
      <c r="A30" s="2" t="n">
        <v>29</v>
      </c>
      <c r="B30" s="2" t="inlineStr">
        <is>
          <t>09/09/2013</t>
        </is>
      </c>
      <c r="C30" s="2" t="inlineStr">
        <is>
          <t>N/A — solicitation deadline</t>
        </is>
      </c>
      <c r="D30" s="2" t="inlineStr">
        <is>
          <t>Deadline</t>
        </is>
      </c>
      <c r="E30" s="2" t="n">
        <v>1</v>
      </c>
      <c r="F30" s="2" t="n">
        <v>2</v>
      </c>
      <c r="G30" s="2" t="n"/>
      <c r="H30" s="2" t="inlineStr">
        <is>
          <t>Revised-proposal due date reached. CSC/Pamplona and Party B submitted on 09/09/2013; Party A and Party C submitted revised indications on 09/10/2013 and were reviewed at the 09/11/2013 Special Committee meeting with no revision of the due date. Treatment: Late bids accepted.</t>
        </is>
      </c>
      <c r="I30" s="2" t="n"/>
      <c r="J30" s="2" t="n"/>
      <c r="K30" s="2" t="inlineStr">
        <is>
          <t>— Due date and on-time submissions: "instructing such bidders to submit revised written proposals no later than September 9, 2013" (p.35). "On September 9, 2013, CSC/Pamplona submitted a revised indication of interest with an all-cash purchase price of $19.50 per share" (p.35).— Late submissions reviewed: "On September 10, 2013, Party A submitted a revised indication of interest" (p.35). "the Special Committee held a telephonic meeting to review the revised indications of interest submitted by Party A, Party B, Party C and CSC/Pamplona" (p.35-36).</t>
        </is>
      </c>
      <c r="L30" s="3" t="inlineStr">
        <is>
          <t>P-043; P-047; P-048; P-050</t>
        </is>
      </c>
      <c r="M30" s="2" t="inlineStr">
        <is>
          <t>Q2</t>
        </is>
      </c>
      <c r="N30" s="2" t="n"/>
      <c r="O30" s="2" t="n"/>
      <c r="P30" s="2" t="inlineStr">
        <is>
          <t>R029</t>
        </is>
      </c>
      <c r="Q30" s="2" t="inlineStr">
        <is>
          <t>Yes</t>
        </is>
      </c>
      <c r="R30" s="2" t="n"/>
      <c r="S30" s="4" t="n">
        <v>41526</v>
      </c>
      <c r="T30" s="4" t="n">
        <v>41526</v>
      </c>
      <c r="U30" s="4" t="n">
        <v>41526</v>
      </c>
      <c r="V30" s="2" t="inlineStr">
        <is>
          <t>Reported day</t>
        </is>
      </c>
      <c r="W30" s="2" t="inlineStr">
        <is>
          <t>Reported</t>
        </is>
      </c>
      <c r="X30" s="2" t="n"/>
      <c r="Y30" s="2" t="n"/>
      <c r="Z30" s="2" t="n"/>
      <c r="AA30" s="2" t="n"/>
      <c r="AB30" s="2" t="n"/>
      <c r="AC30" s="2" t="n"/>
      <c r="AD30" s="2" t="n"/>
      <c r="AE30" s="2" t="n"/>
      <c r="AF30" s="4" t="n">
        <v>41526</v>
      </c>
      <c r="AG30" s="2" t="inlineStr">
        <is>
          <t>Late bids accepted</t>
        </is>
      </c>
      <c r="AH30" s="2" t="n"/>
      <c r="AI30" s="2" t="n"/>
      <c r="AJ30" s="2" t="n"/>
      <c r="AK30" s="2" t="n"/>
      <c r="AL30" s="2" t="n">
        <v>35</v>
      </c>
      <c r="AM30" s="2" t="inlineStr">
        <is>
          <t>R028</t>
        </is>
      </c>
      <c r="AN30" s="2" t="inlineStr">
        <is>
          <t>Mac-Gray/CSC</t>
        </is>
      </c>
    </row>
    <row r="31">
      <c r="A31" s="2" t="n">
        <v>30</v>
      </c>
      <c r="B31" s="2" t="inlineStr">
        <is>
          <t>09/09/2013</t>
        </is>
      </c>
      <c r="C31" s="2" t="inlineStr">
        <is>
          <t>CSC/Pamplona (strategic bidder)</t>
        </is>
      </c>
      <c r="D31" s="2" t="inlineStr">
        <is>
          <t>Bid</t>
        </is>
      </c>
      <c r="E31" s="2" t="n">
        <v>1</v>
      </c>
      <c r="F31" s="2" t="n">
        <v>2</v>
      </c>
      <c r="G31" s="2" t="inlineStr">
        <is>
          <t>Strategic</t>
        </is>
      </c>
      <c r="H31" s="2" t="inlineStr">
        <is>
          <t>Revised indication of interest: all-cash $19.50 per share; Pamplona indicated it was committed to provide 100% of the capital required; CSC/Pamplona requested a two-week exclusive negotiation.</t>
        </is>
      </c>
      <c r="I31" s="2" t="inlineStr">
        <is>
          <t>Informal</t>
        </is>
      </c>
      <c r="J31" s="2" t="inlineStr">
        <is>
          <t>Light</t>
        </is>
      </c>
      <c r="K31" s="2" t="inlineStr">
        <is>
          <t>— Stated indication and committed capital: "On September 9, 2013, CSC/Pamplona submitted a revised indication of interest with an all-cash purchase price of $19.50 per share, indicating that Pamplona was committed to provide 100% of the capital required to consummate the transaction and requesting that CSC/Pamplona and Mac-Gray agree to exclusive negotiations for two weeks" (p.35).— Diligence still running: "Between September 11, 2013 and September 18, 2013, Party A, Party B, Party C and CSC/Pamplona continued to conduct business and legal due diligence" (p.36). Conditions: Light — committed financing reported (Pamplona, 100% of required capital) and no diligence condition attached to the bid; diligence remained open on the narrative.</t>
        </is>
      </c>
      <c r="L31" s="3" t="inlineStr">
        <is>
          <t>P-047; P-052</t>
        </is>
      </c>
      <c r="M31" s="2" t="inlineStr">
        <is>
          <t>Q4</t>
        </is>
      </c>
      <c r="N31" s="2" t="n"/>
      <c r="O31" s="2" t="n"/>
      <c r="P31" s="2" t="inlineStr">
        <is>
          <t>R030</t>
        </is>
      </c>
      <c r="Q31" s="2" t="inlineStr">
        <is>
          <t>Yes</t>
        </is>
      </c>
      <c r="R31" s="5" t="n">
        <v>1</v>
      </c>
      <c r="S31" s="4" t="n">
        <v>41526</v>
      </c>
      <c r="T31" s="4" t="n">
        <v>41526</v>
      </c>
      <c r="U31" s="4" t="n">
        <v>41526</v>
      </c>
      <c r="V31" s="2" t="inlineStr">
        <is>
          <t>Reported day</t>
        </is>
      </c>
      <c r="W31" s="2" t="inlineStr">
        <is>
          <t>Reported</t>
        </is>
      </c>
      <c r="X31" s="6" t="n">
        <v>19.5</v>
      </c>
      <c r="Y31" s="6" t="n">
        <v>19.5</v>
      </c>
      <c r="Z31" s="2" t="inlineStr">
        <is>
          <t>Point</t>
        </is>
      </c>
      <c r="AA31" s="2" t="inlineStr">
        <is>
          <t>Stated</t>
        </is>
      </c>
      <c r="AB31" s="2" t="inlineStr">
        <is>
          <t>USD</t>
        </is>
      </c>
      <c r="AC31" s="2" t="inlineStr">
        <is>
          <t>Yes</t>
        </is>
      </c>
      <c r="AD31" s="6" t="n">
        <v>19.5</v>
      </c>
      <c r="AE31" s="2" t="inlineStr">
        <is>
          <t>Fin: committed; DD required: not stated; DD open: yes; Excl: requested (2 wks)</t>
        </is>
      </c>
      <c r="AF31" s="2" t="n"/>
      <c r="AG31" s="2" t="n"/>
      <c r="AH31" s="2" t="n"/>
      <c r="AI31" s="2" t="n"/>
      <c r="AJ31" s="2" t="n"/>
      <c r="AK31" s="2" t="n"/>
      <c r="AL31" s="2" t="n">
        <v>35</v>
      </c>
      <c r="AM31" s="2" t="inlineStr">
        <is>
          <t>R037 (Sept 18 revision)</t>
        </is>
      </c>
      <c r="AN31" s="2" t="inlineStr">
        <is>
          <t>Mac-Gray/CSC</t>
        </is>
      </c>
    </row>
    <row r="32">
      <c r="A32" s="2" t="n">
        <v>31</v>
      </c>
      <c r="B32" s="2" t="inlineStr">
        <is>
          <t>09/09/2013</t>
        </is>
      </c>
      <c r="C32" s="2" t="inlineStr">
        <is>
          <t>Party B (financial bidder)</t>
        </is>
      </c>
      <c r="D32" s="2" t="inlineStr">
        <is>
          <t>Bid</t>
        </is>
      </c>
      <c r="E32" s="2" t="n">
        <v>1</v>
      </c>
      <c r="F32" s="2" t="n">
        <v>2</v>
      </c>
      <c r="G32" s="2" t="inlineStr">
        <is>
          <t>Financial</t>
        </is>
      </c>
      <c r="H32" s="2" t="inlineStr">
        <is>
          <t>Revised indication of interest: all-cash $18.50 per share, proposed to be financed with equity from affiliated funds and third-party debt; no firm financing commitment.</t>
        </is>
      </c>
      <c r="I32" s="2" t="inlineStr">
        <is>
          <t>Informal</t>
        </is>
      </c>
      <c r="J32" s="2" t="inlineStr">
        <is>
          <t>Heavy</t>
        </is>
      </c>
      <c r="K32" s="2" t="inlineStr">
        <is>
          <t>— Stated indication and financing: "On September 9, 2013, Party B also submitted a revised indication of interest with an all-cash purchase price of $18.50 per share and proposed to finance the transaction with a combination of equity from affiliated funds and third party debt. Party B's revised indication of interest did not include a firm financing commitment" (p.35). Conditions: Heavy — no firm financing commitment reported; third-party debt contemplated.</t>
        </is>
      </c>
      <c r="L32" s="3" t="inlineStr">
        <is>
          <t>P-047</t>
        </is>
      </c>
      <c r="M32" s="2" t="inlineStr">
        <is>
          <t>Q4</t>
        </is>
      </c>
      <c r="N32" s="2" t="n"/>
      <c r="O32" s="2" t="n"/>
      <c r="P32" s="2" t="inlineStr">
        <is>
          <t>R031</t>
        </is>
      </c>
      <c r="Q32" s="2" t="inlineStr">
        <is>
          <t>Yes</t>
        </is>
      </c>
      <c r="R32" s="5" t="n">
        <v>1</v>
      </c>
      <c r="S32" s="4" t="n">
        <v>41526</v>
      </c>
      <c r="T32" s="4" t="n">
        <v>41526</v>
      </c>
      <c r="U32" s="4" t="n">
        <v>41526</v>
      </c>
      <c r="V32" s="2" t="inlineStr">
        <is>
          <t>Reported day</t>
        </is>
      </c>
      <c r="W32" s="2" t="inlineStr">
        <is>
          <t>Reported</t>
        </is>
      </c>
      <c r="X32" s="6" t="n">
        <v>18.5</v>
      </c>
      <c r="Y32" s="6" t="n">
        <v>18.5</v>
      </c>
      <c r="Z32" s="2" t="inlineStr">
        <is>
          <t>Point</t>
        </is>
      </c>
      <c r="AA32" s="2" t="inlineStr">
        <is>
          <t>Stated</t>
        </is>
      </c>
      <c r="AB32" s="2" t="inlineStr">
        <is>
          <t>USD</t>
        </is>
      </c>
      <c r="AC32" s="2" t="inlineStr">
        <is>
          <t>Yes</t>
        </is>
      </c>
      <c r="AD32" s="6" t="n">
        <v>18.5</v>
      </c>
      <c r="AE32" s="2" t="inlineStr">
        <is>
          <t>Fin: not committed; DD required: not stated; DD open: yes; Excl: not stated</t>
        </is>
      </c>
      <c r="AF32" s="2" t="n"/>
      <c r="AG32" s="2" t="n"/>
      <c r="AH32" s="2" t="n"/>
      <c r="AI32" s="2" t="n"/>
      <c r="AJ32" s="2" t="n"/>
      <c r="AK32" s="2" t="n"/>
      <c r="AL32" s="2" t="n">
        <v>35</v>
      </c>
      <c r="AM32" s="2" t="inlineStr">
        <is>
          <t>R039 (Sept 18 revision)</t>
        </is>
      </c>
      <c r="AN32" s="2" t="inlineStr">
        <is>
          <t>Mac-Gray/CSC</t>
        </is>
      </c>
    </row>
    <row r="33">
      <c r="A33" s="2" t="n">
        <v>32</v>
      </c>
      <c r="B33" s="2" t="inlineStr">
        <is>
          <t>09/10/2013</t>
        </is>
      </c>
      <c r="C33" s="2" t="inlineStr">
        <is>
          <t>Party A (strategic bidder)</t>
        </is>
      </c>
      <c r="D33" s="2" t="inlineStr">
        <is>
          <t>Bid</t>
        </is>
      </c>
      <c r="E33" s="2" t="n">
        <v>1</v>
      </c>
      <c r="F33" s="2" t="n">
        <v>2</v>
      </c>
      <c r="G33" s="2" t="inlineStr">
        <is>
          <t>Strategic</t>
        </is>
      </c>
      <c r="H33" s="2" t="inlineStr">
        <is>
          <t>Revised indication of interest: all-cash $18.00–$19.00 per share, to be financed by outstanding credit facilities or affiliated equity sources; no firm financing commitment.</t>
        </is>
      </c>
      <c r="I33" s="2" t="inlineStr">
        <is>
          <t>Informal</t>
        </is>
      </c>
      <c r="J33" s="2" t="inlineStr">
        <is>
          <t>Heavy</t>
        </is>
      </c>
      <c r="K33" s="2" t="inlineStr">
        <is>
          <t>— Stated indication: "On September 10, 2013, Party A submitted a revised indication of interest with an all-cash purchase price of $18.00 to $19.00 per share, to be financed by outstanding credit facilities or affiliated equity sources" (p.35).— No firm commitment: "Neither Party A's nor Party C's revised indication of interest included a firm financing commitment" (p.35). Conditions: Heavy — no firm financing commitment reported.</t>
        </is>
      </c>
      <c r="L33" s="3" t="inlineStr">
        <is>
          <t>P-048</t>
        </is>
      </c>
      <c r="M33" s="2" t="inlineStr">
        <is>
          <t>Q4</t>
        </is>
      </c>
      <c r="N33" s="2" t="n"/>
      <c r="O33" s="2" t="n"/>
      <c r="P33" s="2" t="inlineStr">
        <is>
          <t>R032</t>
        </is>
      </c>
      <c r="Q33" s="2" t="inlineStr">
        <is>
          <t>Yes</t>
        </is>
      </c>
      <c r="R33" s="5" t="n">
        <v>1</v>
      </c>
      <c r="S33" s="4" t="n">
        <v>41527</v>
      </c>
      <c r="T33" s="4" t="n">
        <v>41527</v>
      </c>
      <c r="U33" s="4" t="n">
        <v>41527</v>
      </c>
      <c r="V33" s="2" t="inlineStr">
        <is>
          <t>Reported day</t>
        </is>
      </c>
      <c r="W33" s="2" t="inlineStr">
        <is>
          <t>Reported</t>
        </is>
      </c>
      <c r="X33" s="6" t="n">
        <v>18</v>
      </c>
      <c r="Y33" s="6" t="n">
        <v>19</v>
      </c>
      <c r="Z33" s="2" t="inlineStr">
        <is>
          <t>Bidder range</t>
        </is>
      </c>
      <c r="AA33" s="2" t="inlineStr">
        <is>
          <t>Stated</t>
        </is>
      </c>
      <c r="AB33" s="2" t="inlineStr">
        <is>
          <t>USD</t>
        </is>
      </c>
      <c r="AC33" s="2" t="inlineStr">
        <is>
          <t>Yes</t>
        </is>
      </c>
      <c r="AD33" s="2" t="n"/>
      <c r="AE33" s="2" t="inlineStr">
        <is>
          <t>Fin: not committed; DD required: not stated; DD open: yes; Excl: not stated</t>
        </is>
      </c>
      <c r="AF33" s="2" t="n"/>
      <c r="AG33" s="2" t="n"/>
      <c r="AH33" s="2" t="n"/>
      <c r="AI33" s="2" t="n"/>
      <c r="AJ33" s="2" t="n"/>
      <c r="AK33" s="2" t="n"/>
      <c r="AL33" s="2" t="n">
        <v>35</v>
      </c>
      <c r="AM33" s="2" t="inlineStr">
        <is>
          <t>R038 (Sept 18 best-and-final reiteration)</t>
        </is>
      </c>
      <c r="AN33" s="2" t="inlineStr">
        <is>
          <t>Mac-Gray/CSC</t>
        </is>
      </c>
    </row>
    <row r="34">
      <c r="A34" s="2" t="n">
        <v>33</v>
      </c>
      <c r="B34" s="2" t="inlineStr">
        <is>
          <t>09/10/2013</t>
        </is>
      </c>
      <c r="C34" s="2" t="inlineStr">
        <is>
          <t>Party C (financial bidder)</t>
        </is>
      </c>
      <c r="D34" s="2" t="inlineStr">
        <is>
          <t>Bid</t>
        </is>
      </c>
      <c r="E34" s="2" t="n">
        <v>1</v>
      </c>
      <c r="F34" s="2" t="n">
        <v>2</v>
      </c>
      <c r="G34" s="2" t="inlineStr">
        <is>
          <t>Financial</t>
        </is>
      </c>
      <c r="H34" s="2" t="inlineStr">
        <is>
          <t>Revised oral indication of interest in a telephone call to BofA Merrill Lynch: all-cash $16.00–$17.00 per share; no firm financing commitment.</t>
        </is>
      </c>
      <c r="I34" s="2" t="inlineStr">
        <is>
          <t>Informal</t>
        </is>
      </c>
      <c r="J34" s="2" t="inlineStr">
        <is>
          <t>Heavy</t>
        </is>
      </c>
      <c r="K34" s="2" t="inlineStr">
        <is>
          <t>— Stated oral indication: "in a telephone call to a representative of BofA Merrill Lynch, a representative of Party C indicated that it was submitting a revised oral indication of interest with an all-cash purchase price of $16.00 to $17.00 per share" (p.35).— No firm commitment: "Neither Party A's nor Party C's revised indication of interest included a firm financing commitment" (p.35). Conditions: Heavy — no firm financing commitment reported.</t>
        </is>
      </c>
      <c r="L34" s="3" t="inlineStr">
        <is>
          <t>P-048</t>
        </is>
      </c>
      <c r="M34" s="2" t="inlineStr">
        <is>
          <t>Q4</t>
        </is>
      </c>
      <c r="N34" s="2" t="n"/>
      <c r="O34" s="2" t="n"/>
      <c r="P34" s="2" t="inlineStr">
        <is>
          <t>R033</t>
        </is>
      </c>
      <c r="Q34" s="2" t="inlineStr">
        <is>
          <t>Yes</t>
        </is>
      </c>
      <c r="R34" s="5" t="n">
        <v>1</v>
      </c>
      <c r="S34" s="4" t="n">
        <v>41527</v>
      </c>
      <c r="T34" s="4" t="n">
        <v>41527</v>
      </c>
      <c r="U34" s="4" t="n">
        <v>41527</v>
      </c>
      <c r="V34" s="2" t="inlineStr">
        <is>
          <t>Reported day</t>
        </is>
      </c>
      <c r="W34" s="2" t="inlineStr">
        <is>
          <t>Reported</t>
        </is>
      </c>
      <c r="X34" s="6" t="n">
        <v>16</v>
      </c>
      <c r="Y34" s="6" t="n">
        <v>17</v>
      </c>
      <c r="Z34" s="2" t="inlineStr">
        <is>
          <t>Bidder range</t>
        </is>
      </c>
      <c r="AA34" s="2" t="inlineStr">
        <is>
          <t>Stated</t>
        </is>
      </c>
      <c r="AB34" s="2" t="inlineStr">
        <is>
          <t>USD</t>
        </is>
      </c>
      <c r="AC34" s="2" t="inlineStr">
        <is>
          <t>Yes</t>
        </is>
      </c>
      <c r="AD34" s="2" t="n"/>
      <c r="AE34" s="2" t="inlineStr">
        <is>
          <t>Fin: not committed; DD required: not stated; DD open: yes; Excl: not stated</t>
        </is>
      </c>
      <c r="AF34" s="2" t="n"/>
      <c r="AG34" s="2" t="n"/>
      <c r="AH34" s="2" t="n"/>
      <c r="AI34" s="2" t="n"/>
      <c r="AJ34" s="2" t="n"/>
      <c r="AK34" s="2" t="n"/>
      <c r="AL34" s="2" t="n">
        <v>35</v>
      </c>
      <c r="AM34" s="2" t="n"/>
      <c r="AN34" s="2" t="inlineStr">
        <is>
          <t>Mac-Gray/CSC</t>
        </is>
      </c>
    </row>
    <row r="35">
      <c r="A35" s="2" t="n">
        <v>34</v>
      </c>
      <c r="B35" s="2" t="inlineStr">
        <is>
          <t>09/11/2013 (limited overview) – 09/12/2013 (detailed briefing)</t>
        </is>
      </c>
      <c r="C35" s="2" t="inlineStr">
        <is>
          <t>Mac-Gray Transaction Committee / BofA Merrill Lynch ↔ Mr. MacDonald</t>
        </is>
      </c>
      <c r="D35" s="2" t="inlineStr">
        <is>
          <t>Material process update</t>
        </is>
      </c>
      <c r="E35" s="2" t="n">
        <v>1</v>
      </c>
      <c r="F35" s="2" t="n">
        <v>2</v>
      </c>
      <c r="G35" s="2" t="n"/>
      <c r="H35" s="2" t="inlineStr">
        <is>
          <t>Mr. MacDonald’s rollover question resolved: in a limited-overview call (no bidder identities or prices) he said he was not interested in rolling over any shares; the Special Committee agreed he should be fully briefed because any potential acquiror was seen as unlikely to proceed without knowing he would support the transaction; a 09/12/2013 detailed briefing followed, after which he voiced general support while urging a higher value.</t>
        </is>
      </c>
      <c r="I35" s="2" t="n"/>
      <c r="J35" s="2" t="n"/>
      <c r="K35" s="2" t="inlineStr">
        <is>
          <t>— Stated rollover position: "During this call, Mr. MacDonald indicated that he had decided that he was not interested in rolling over any of his shares in any transaction" (p.35).— Stated support premise: "it was unlikely that any of these parties would move forward in the process without the express support of Mr. MacDonald" (p.35-36).— Stated briefing and stance: "Although Mr. MacDonald voiced his general support for continuing with the process, he expressed his view that Mac-Gray should continue to seek a higher value for stockholders" (p.36). Working date convention: reported interval 09/11–09/12/2013; first day used (Assigned: bound).</t>
        </is>
      </c>
      <c r="L35" s="3" t="inlineStr">
        <is>
          <t>P-049; P-050; P-051</t>
        </is>
      </c>
      <c r="M35" s="2" t="inlineStr">
        <is>
          <t>Q6; Q7</t>
        </is>
      </c>
      <c r="N35" s="2" t="n"/>
      <c r="O35" s="2" t="n"/>
      <c r="P35" s="2" t="inlineStr">
        <is>
          <t>R034</t>
        </is>
      </c>
      <c r="Q35" s="2" t="inlineStr">
        <is>
          <t>Yes</t>
        </is>
      </c>
      <c r="R35" s="2" t="n"/>
      <c r="S35" s="4" t="n">
        <v>41528</v>
      </c>
      <c r="T35" s="4" t="n">
        <v>41529</v>
      </c>
      <c r="U35" s="4" t="n">
        <v>41528</v>
      </c>
      <c r="V35" s="2" t="inlineStr">
        <is>
          <t>Reported interval</t>
        </is>
      </c>
      <c r="W35" s="2" t="inlineStr">
        <is>
          <t>Assigned: bound</t>
        </is>
      </c>
      <c r="X35" s="2" t="n"/>
      <c r="Y35" s="2" t="n"/>
      <c r="Z35" s="2" t="n"/>
      <c r="AA35" s="2" t="n"/>
      <c r="AB35" s="2" t="n"/>
      <c r="AC35" s="2" t="n"/>
      <c r="AD35" s="2" t="n"/>
      <c r="AE35" s="2" t="n"/>
      <c r="AF35" s="2" t="n"/>
      <c r="AG35" s="2" t="n"/>
      <c r="AH35" s="2" t="n"/>
      <c r="AI35" s="2" t="n"/>
      <c r="AJ35" s="2" t="n"/>
      <c r="AK35" s="2" t="n"/>
      <c r="AL35" s="2" t="n">
        <v>35</v>
      </c>
      <c r="AM35" s="2" t="inlineStr">
        <is>
          <t>R016; R049; R041 (his 09/19 support at $21.25)</t>
        </is>
      </c>
      <c r="AN35" s="2" t="inlineStr">
        <is>
          <t>Mac-Gray/CSC</t>
        </is>
      </c>
    </row>
    <row r="36">
      <c r="A36" s="2" t="n">
        <v>35</v>
      </c>
      <c r="B36" s="2" t="inlineStr">
        <is>
          <t>09/11/2013</t>
        </is>
      </c>
      <c r="C36" s="2" t="inlineStr">
        <is>
          <t>Mac-Gray Special Committee (via BofA Merrill Lynch) → Party A, Party B, Party C, CSC/Pamplona</t>
        </is>
      </c>
      <c r="D36" s="2" t="inlineStr">
        <is>
          <t>Round opened</t>
        </is>
      </c>
      <c r="E36" s="2" t="n">
        <v>1</v>
      </c>
      <c r="F36" s="2" t="n">
        <v>3</v>
      </c>
      <c r="G36" s="2" t="n"/>
      <c r="H36" s="2" t="inlineStr">
        <is>
          <t>First request for final indications of interest: BofA Merrill Lynch called each of the four bidders on 09/11/2013, as instructed, requesting final indications by 09/18/2013 and signaling that Mac-Gray would consider a short exclusive negotiation with one bidder depending on price and deal certainty. Invited bidders unchanged. Round finality: Announced as final — the target asked for "final indications of interest".</t>
        </is>
      </c>
      <c r="I36" s="2" t="n"/>
      <c r="J36" s="2" t="n"/>
      <c r="K36" s="2" t="inlineStr">
        <is>
          <t>— Stated instruction: "the Special Committee instructed BofA Merrill Lynch to call each of Party A, Party B, Party C and CSC/Pamplona to request final indications of interest by September 18, 2013 and to indicate that Mac-Gray would consider engaging in a short period of exclusive negotiations with one of the bidders depending upon, among other things, the proposed purchase price and the level of deal certainty indicated in the bidder's final proposal" (p.35-36).— Calls made same day: "representatives of BofA Merrill Lynch called each of Party A, Party B, Party C and CSC/Pamplona on September 11, 2013 with such instructions" (p.35-36).</t>
        </is>
      </c>
      <c r="L36" s="3" t="inlineStr">
        <is>
          <t>P-050</t>
        </is>
      </c>
      <c r="M36" s="2" t="inlineStr">
        <is>
          <t>Q1</t>
        </is>
      </c>
      <c r="N36" s="2" t="n"/>
      <c r="O36" s="2" t="n"/>
      <c r="P36" s="2" t="inlineStr">
        <is>
          <t>R035</t>
        </is>
      </c>
      <c r="Q36" s="2" t="inlineStr">
        <is>
          <t>Yes</t>
        </is>
      </c>
      <c r="R36" s="2" t="n"/>
      <c r="S36" s="4" t="n">
        <v>41528</v>
      </c>
      <c r="T36" s="4" t="n">
        <v>41528</v>
      </c>
      <c r="U36" s="4" t="n">
        <v>41528</v>
      </c>
      <c r="V36" s="2" t="inlineStr">
        <is>
          <t>Reported day</t>
        </is>
      </c>
      <c r="W36" s="2" t="inlineStr">
        <is>
          <t>Reported</t>
        </is>
      </c>
      <c r="X36" s="2" t="n"/>
      <c r="Y36" s="2" t="n"/>
      <c r="Z36" s="2" t="n"/>
      <c r="AA36" s="2" t="n"/>
      <c r="AB36" s="2" t="n"/>
      <c r="AC36" s="2" t="n"/>
      <c r="AD36" s="2" t="n"/>
      <c r="AE36" s="2" t="n"/>
      <c r="AF36" s="4" t="n">
        <v>41535</v>
      </c>
      <c r="AG36" s="2" t="n"/>
      <c r="AH36" s="2" t="inlineStr">
        <is>
          <t>Announced as final</t>
        </is>
      </c>
      <c r="AI36" s="2" t="n"/>
      <c r="AJ36" s="2" t="n"/>
      <c r="AK36" s="2" t="n"/>
      <c r="AL36" s="2" t="n">
        <v>36</v>
      </c>
      <c r="AM36" s="2" t="inlineStr">
        <is>
          <t>R036</t>
        </is>
      </c>
      <c r="AN36" s="2" t="inlineStr">
        <is>
          <t>Mac-Gray/CSC</t>
        </is>
      </c>
    </row>
    <row r="37">
      <c r="A37" s="2" t="n">
        <v>36</v>
      </c>
      <c r="B37" s="2" t="inlineStr">
        <is>
          <t>09/18/2013</t>
        </is>
      </c>
      <c r="C37" s="2" t="inlineStr">
        <is>
          <t>N/A — solicitation deadline</t>
        </is>
      </c>
      <c r="D37" s="2" t="inlineStr">
        <is>
          <t>Deadline</t>
        </is>
      </c>
      <c r="E37" s="2" t="n">
        <v>1</v>
      </c>
      <c r="F37" s="2" t="n">
        <v>3</v>
      </c>
      <c r="G37" s="2" t="n"/>
      <c r="H37" s="2" t="inlineStr">
        <is>
          <t>Final-indication due date reached. Three bidders responded on 09/18/2013 (CSC/Pamplona $20.75; Party A best-and-final reiteration; Party B $21.50 package); Party C did not submit (R040). The Special Committee took its next step on the bids in hand at its 09/19/2013 meeting — selection of CSC/Pamplona and authorization to offer exclusivity at $21.25. Treatment: Enforced.</t>
        </is>
      </c>
      <c r="I37" s="2" t="n"/>
      <c r="J37" s="2" t="n"/>
      <c r="K37" s="2" t="inlineStr">
        <is>
          <t>— Due date and responses: "to request final indications of interest by September 18, 2013" (p.35-36). "On September 18, 2013, CSC/Pamplona submitted a proposal for an all-cash purchase price of $20.75 per share" (p.36).— Next step on the bids in hand: "the Special Committee concluded that the revised indication of interest submitted by CSC/Pamplona had the potential of delivering the most value to stockholders, provided greater certainty and involved less potential risk than the other indications" (p.37).</t>
        </is>
      </c>
      <c r="L37" s="3" t="inlineStr">
        <is>
          <t>P-050; P-053; P-055</t>
        </is>
      </c>
      <c r="M37" s="2" t="inlineStr">
        <is>
          <t>Q2</t>
        </is>
      </c>
      <c r="N37" s="2" t="n"/>
      <c r="O37" s="2" t="n"/>
      <c r="P37" s="2" t="inlineStr">
        <is>
          <t>R036</t>
        </is>
      </c>
      <c r="Q37" s="2" t="inlineStr">
        <is>
          <t>Yes</t>
        </is>
      </c>
      <c r="R37" s="2" t="n"/>
      <c r="S37" s="4" t="n">
        <v>41535</v>
      </c>
      <c r="T37" s="4" t="n">
        <v>41535</v>
      </c>
      <c r="U37" s="4" t="n">
        <v>41535</v>
      </c>
      <c r="V37" s="2" t="inlineStr">
        <is>
          <t>Reported day</t>
        </is>
      </c>
      <c r="W37" s="2" t="inlineStr">
        <is>
          <t>Reported</t>
        </is>
      </c>
      <c r="X37" s="2" t="n"/>
      <c r="Y37" s="2" t="n"/>
      <c r="Z37" s="2" t="n"/>
      <c r="AA37" s="2" t="n"/>
      <c r="AB37" s="2" t="n"/>
      <c r="AC37" s="2" t="n"/>
      <c r="AD37" s="2" t="n"/>
      <c r="AE37" s="2" t="n"/>
      <c r="AF37" s="4" t="n">
        <v>41535</v>
      </c>
      <c r="AG37" s="2" t="inlineStr">
        <is>
          <t>Enforced</t>
        </is>
      </c>
      <c r="AH37" s="2" t="n"/>
      <c r="AI37" s="2" t="n"/>
      <c r="AJ37" s="2" t="n"/>
      <c r="AK37" s="2" t="n"/>
      <c r="AL37" s="2" t="n">
        <v>36</v>
      </c>
      <c r="AM37" s="2" t="inlineStr">
        <is>
          <t>R035</t>
        </is>
      </c>
      <c r="AN37" s="2" t="inlineStr">
        <is>
          <t>Mac-Gray/CSC</t>
        </is>
      </c>
    </row>
    <row r="38">
      <c r="A38" s="2" t="n">
        <v>37</v>
      </c>
      <c r="B38" s="2" t="inlineStr">
        <is>
          <t>09/18/2013</t>
        </is>
      </c>
      <c r="C38" s="2" t="inlineStr">
        <is>
          <t>CSC/Pamplona (strategic bidder)</t>
        </is>
      </c>
      <c r="D38" s="2" t="inlineStr">
        <is>
          <t>Bid</t>
        </is>
      </c>
      <c r="E38" s="2" t="n">
        <v>1</v>
      </c>
      <c r="F38" s="2" t="n">
        <v>3</v>
      </c>
      <c r="G38" s="2" t="inlineStr">
        <is>
          <t>Strategic</t>
        </is>
      </c>
      <c r="H38" s="2" t="inlineStr">
        <is>
          <t>Final-solicited proposal: all-cash $20.75 per share; Pamplona reiterated it was committed to provide 100% of the capital required; requested two-week exclusive negotiations.</t>
        </is>
      </c>
      <c r="I38" s="2" t="inlineStr">
        <is>
          <t>Formal</t>
        </is>
      </c>
      <c r="J38" s="2" t="inlineStr">
        <is>
          <t>Light</t>
        </is>
      </c>
      <c r="K38" s="2" t="inlineStr">
        <is>
          <t>— Stated proposal and commitment: "On September 18, 2013, CSC/Pamplona submitted a proposal for an all-cash purchase price of $20.75 per share, reiterating that Pamplona was committed to provide 100% of the capital required to consummate the transaction and requesting that CSC/Pamplona and Mac-Gray agree to engage in exclusive negotiations for two weeks" (p.36).— Formal signal — response on the requested basis to the final solicitation: "to request final indications of interest by September 18, 2013" (p.35-36). Formality: Formal — response on the requested basis to the target’s final-indications request (signal 2). Conditions: Light — committed financing, no diligence condition attached; diligence still open.</t>
        </is>
      </c>
      <c r="L38" s="3" t="inlineStr">
        <is>
          <t>P-053; P-050</t>
        </is>
      </c>
      <c r="M38" s="2" t="inlineStr">
        <is>
          <t>Q4</t>
        </is>
      </c>
      <c r="N38" s="2" t="n"/>
      <c r="O38" s="2" t="n"/>
      <c r="P38" s="2" t="inlineStr">
        <is>
          <t>R037</t>
        </is>
      </c>
      <c r="Q38" s="2" t="inlineStr">
        <is>
          <t>Yes</t>
        </is>
      </c>
      <c r="R38" s="5" t="n">
        <v>1</v>
      </c>
      <c r="S38" s="4" t="n">
        <v>41535</v>
      </c>
      <c r="T38" s="4" t="n">
        <v>41535</v>
      </c>
      <c r="U38" s="4" t="n">
        <v>41535</v>
      </c>
      <c r="V38" s="2" t="inlineStr">
        <is>
          <t>Reported day</t>
        </is>
      </c>
      <c r="W38" s="2" t="inlineStr">
        <is>
          <t>Reported</t>
        </is>
      </c>
      <c r="X38" s="6" t="n">
        <v>20.75</v>
      </c>
      <c r="Y38" s="6" t="n">
        <v>20.75</v>
      </c>
      <c r="Z38" s="2" t="inlineStr">
        <is>
          <t>Point</t>
        </is>
      </c>
      <c r="AA38" s="2" t="inlineStr">
        <is>
          <t>Stated</t>
        </is>
      </c>
      <c r="AB38" s="2" t="inlineStr">
        <is>
          <t>USD</t>
        </is>
      </c>
      <c r="AC38" s="2" t="inlineStr">
        <is>
          <t>Yes</t>
        </is>
      </c>
      <c r="AD38" s="6" t="n">
        <v>20.75</v>
      </c>
      <c r="AE38" s="2" t="inlineStr">
        <is>
          <t>Fin: committed; DD required: not stated; DD open: yes; Excl: requested (2 wks)</t>
        </is>
      </c>
      <c r="AF38" s="2" t="n"/>
      <c r="AG38" s="2" t="n"/>
      <c r="AH38" s="2" t="n"/>
      <c r="AI38" s="2" t="n"/>
      <c r="AJ38" s="2" t="n"/>
      <c r="AK38" s="2" t="n"/>
      <c r="AL38" s="2" t="n">
        <v>36</v>
      </c>
      <c r="AM38" s="2" t="inlineStr">
        <is>
          <t>R042 (Sept 21 increase); R035</t>
        </is>
      </c>
      <c r="AN38" s="2" t="inlineStr">
        <is>
          <t>Mac-Gray/CSC</t>
        </is>
      </c>
    </row>
    <row r="39">
      <c r="A39" s="2" t="n">
        <v>38</v>
      </c>
      <c r="B39" s="2" t="inlineStr">
        <is>
          <t>09/18/2013</t>
        </is>
      </c>
      <c r="C39" s="2" t="inlineStr">
        <is>
          <t>Party A (strategic bidder)</t>
        </is>
      </c>
      <c r="D39" s="2" t="inlineStr">
        <is>
          <t>Bid reaffirmed</t>
        </is>
      </c>
      <c r="E39" s="2" t="n">
        <v>1</v>
      </c>
      <c r="F39" s="2" t="n">
        <v>3</v>
      </c>
      <c r="G39" s="2" t="inlineStr">
        <is>
          <t>Strategic</t>
        </is>
      </c>
      <c r="H39" s="2" t="inlineStr">
        <is>
          <t>Reaffirmed by: price confirmed — telephone reiteration that its earlier all-cash $18.00–$19.00 indication was Party A’s best and final offer; price carried forward from R032, not restated. Financing basis unchanged (outstanding credit facilities or affiliated equity; no firm commitment).</t>
        </is>
      </c>
      <c r="I39" s="2" t="inlineStr">
        <is>
          <t>Formal</t>
        </is>
      </c>
      <c r="J39" s="2" t="inlineStr">
        <is>
          <t>Heavy</t>
        </is>
      </c>
      <c r="K39" s="2" t="inlineStr">
        <is>
          <t>— Stated reaffirmation: "Party A reiterated in a telephone call to a representative of BofA Merrill Lynch that its previous indication of interest with an all-cash purchase price of $18.00 to $19.00 per share was its best and final offer" (p.36).— Formal signal — best-and-final response; standing conditions unchanged: "Neither Party A's nor Party C's revised indication of interest included a firm financing commitment" (p.35). Formality: Formal — supported best-and-final response (signal 2; oral confirmation). Conditions: Heavy — carried financing basis with no firm commitment at this date (see R032).</t>
        </is>
      </c>
      <c r="L39" s="3" t="inlineStr">
        <is>
          <t>P-053; P-048</t>
        </is>
      </c>
      <c r="M39" s="2" t="inlineStr">
        <is>
          <t>Q4; Q5</t>
        </is>
      </c>
      <c r="N39" s="2" t="n"/>
      <c r="O39" s="2" t="n"/>
      <c r="P39" s="2" t="inlineStr">
        <is>
          <t>R038</t>
        </is>
      </c>
      <c r="Q39" s="2" t="inlineStr">
        <is>
          <t>Yes</t>
        </is>
      </c>
      <c r="R39" s="5" t="n">
        <v>1</v>
      </c>
      <c r="S39" s="4" t="n">
        <v>41535</v>
      </c>
      <c r="T39" s="4" t="n">
        <v>41535</v>
      </c>
      <c r="U39" s="4" t="n">
        <v>41535</v>
      </c>
      <c r="V39" s="2" t="inlineStr">
        <is>
          <t>Reported day</t>
        </is>
      </c>
      <c r="W39" s="2" t="inlineStr">
        <is>
          <t>Reported</t>
        </is>
      </c>
      <c r="X39" s="6" t="n">
        <v>18</v>
      </c>
      <c r="Y39" s="6" t="n">
        <v>19</v>
      </c>
      <c r="Z39" s="2" t="inlineStr">
        <is>
          <t>Bidder range</t>
        </is>
      </c>
      <c r="AA39" s="2" t="inlineStr">
        <is>
          <t>Carried forward</t>
        </is>
      </c>
      <c r="AB39" s="2" t="inlineStr">
        <is>
          <t>USD</t>
        </is>
      </c>
      <c r="AC39" s="2" t="inlineStr">
        <is>
          <t>Yes</t>
        </is>
      </c>
      <c r="AD39" s="2" t="n"/>
      <c r="AE39" s="2" t="inlineStr">
        <is>
          <t>Fin: not committed; DD required: not stated; DD open: yes; Excl: not stated</t>
        </is>
      </c>
      <c r="AF39" s="2" t="n"/>
      <c r="AG39" s="2" t="n"/>
      <c r="AH39" s="2" t="n"/>
      <c r="AI39" s="2" t="n"/>
      <c r="AJ39" s="2" t="n"/>
      <c r="AK39" s="2" t="n"/>
      <c r="AL39" s="2" t="n">
        <v>36</v>
      </c>
      <c r="AM39" s="2" t="inlineStr">
        <is>
          <t>R032 (carried price); R042 (later Party A dropped)</t>
        </is>
      </c>
      <c r="AN39" s="2" t="inlineStr">
        <is>
          <t>Mac-Gray/CSC</t>
        </is>
      </c>
    </row>
    <row r="40">
      <c r="A40" s="2" t="n">
        <v>39</v>
      </c>
      <c r="B40" s="2" t="inlineStr">
        <is>
          <t>09/18/2013</t>
        </is>
      </c>
      <c r="C40" s="2" t="inlineStr">
        <is>
          <t>Party B (financial bidder)</t>
        </is>
      </c>
      <c r="D40" s="2" t="inlineStr">
        <is>
          <t>Bid</t>
        </is>
      </c>
      <c r="E40" s="2" t="n">
        <v>1</v>
      </c>
      <c r="F40" s="2" t="n">
        <v>3</v>
      </c>
      <c r="G40" s="2" t="inlineStr">
        <is>
          <t>Financial</t>
        </is>
      </c>
      <c r="H40" s="2" t="inlineStr">
        <is>
          <t>Revised indication valued by Party B at $21.50 per share: $19.00 cash at closing plus options representing 10% of the new equity with a strike price equal to Party B’s initial cost basis; options to vest over five years on achievement of the base-case management projections (excluding future acquisitions); Party B valued the options at $2.50 per share. Package value, not guaranteed cash; financing remained without a firm commitment.</t>
        </is>
      </c>
      <c r="I40" s="2" t="inlineStr">
        <is>
          <t>Formal</t>
        </is>
      </c>
      <c r="J40" s="2" t="inlineStr">
        <is>
          <t>Heavy</t>
        </is>
      </c>
      <c r="K40" s="2" t="inlineStr">
        <is>
          <t>— Stated package and option terms: "Party B also submitted a revised indication of interest with a purchase price that Party B valued at $21.50 per share, including $19.00 of cash to be paid at closing and the remaining per share price to be paid in the form of options to be issued to Mac-Gray stockholders, representing 10% of the new equity with a strike price equal to Party B's initial cost basis. These options, which we refer to as the Party B options, would vest on the achievement of the base case management projections ( i.e. , over five years), excluding any future acquisitions. Party B's proposal stated that it valued the Party B options at $2.50 of incremental value per share" (p.36).— Financing not committed; formal signal — final-solicitation response: "Neither Party A's nor Party C's revised indication of interest included a firm financing commitment" (p.35). Formality: Formal — final-solicitation response (signal 2). Conditions: Heavy — no firm financing commitment; option consideration adds contingency. Price: package value, not guaranteed cash.</t>
        </is>
      </c>
      <c r="L40" s="3" t="inlineStr">
        <is>
          <t>P-053; P-048</t>
        </is>
      </c>
      <c r="M40" s="2" t="inlineStr">
        <is>
          <t>Q4; Q5</t>
        </is>
      </c>
      <c r="N40" s="2" t="n"/>
      <c r="O40" s="2" t="n"/>
      <c r="P40" s="2" t="inlineStr">
        <is>
          <t>R039</t>
        </is>
      </c>
      <c r="Q40" s="2" t="inlineStr">
        <is>
          <t>Yes</t>
        </is>
      </c>
      <c r="R40" s="5" t="n">
        <v>1</v>
      </c>
      <c r="S40" s="4" t="n">
        <v>41535</v>
      </c>
      <c r="T40" s="4" t="n">
        <v>41535</v>
      </c>
      <c r="U40" s="4" t="n">
        <v>41535</v>
      </c>
      <c r="V40" s="2" t="inlineStr">
        <is>
          <t>Reported day</t>
        </is>
      </c>
      <c r="W40" s="2" t="inlineStr">
        <is>
          <t>Reported</t>
        </is>
      </c>
      <c r="X40" s="6" t="n">
        <v>21.5</v>
      </c>
      <c r="Y40" s="6" t="n">
        <v>21.5</v>
      </c>
      <c r="Z40" s="2" t="inlineStr">
        <is>
          <t>Point</t>
        </is>
      </c>
      <c r="AA40" s="2" t="inlineStr">
        <is>
          <t>Stated</t>
        </is>
      </c>
      <c r="AB40" s="2" t="inlineStr">
        <is>
          <t>USD</t>
        </is>
      </c>
      <c r="AC40" s="2" t="inlineStr">
        <is>
          <t>No</t>
        </is>
      </c>
      <c r="AD40" s="6" t="n">
        <v>19</v>
      </c>
      <c r="AE40" s="2" t="inlineStr">
        <is>
          <t>Fin: not committed; DD required: not stated; DD open: yes; Excl: not stated</t>
        </is>
      </c>
      <c r="AF40" s="2" t="n"/>
      <c r="AG40" s="2" t="n"/>
      <c r="AH40" s="2" t="n"/>
      <c r="AI40" s="2" t="n"/>
      <c r="AJ40" s="2" t="n"/>
      <c r="AK40" s="2" t="n"/>
      <c r="AL40" s="2" t="n">
        <v>36</v>
      </c>
      <c r="AM40" s="2" t="inlineStr">
        <is>
          <t>R031 (prior priced bid)</t>
        </is>
      </c>
      <c r="AN40" s="2" t="inlineStr">
        <is>
          <t>Mac-Gray/CSC</t>
        </is>
      </c>
    </row>
    <row r="41">
      <c r="A41" s="2" t="n">
        <v>40</v>
      </c>
      <c r="B41" s="2" t="inlineStr">
        <is>
          <t>by 09/18/2013 (final-indication deadline passed with no submission)</t>
        </is>
      </c>
      <c r="C41" s="2" t="inlineStr">
        <is>
          <t>Party C (financial bidder)</t>
        </is>
      </c>
      <c r="D41" s="2" t="inlineStr">
        <is>
          <t>Did not submit</t>
        </is>
      </c>
      <c r="E41" s="2" t="n">
        <v>1</v>
      </c>
      <c r="F41" s="2" t="n">
        <v>3</v>
      </c>
      <c r="G41" s="2" t="inlineStr">
        <is>
          <t>Financial</t>
        </is>
      </c>
      <c r="H41" s="2" t="inlineStr">
        <is>
          <t>Party C did not submit a revised indication of interest or reiterate its prior $16.00–$17.00 indication in response to the 09/11/2013 final request, and the filing states it gave no reasons. Closed at this transition; no further Party C participation is reported.</t>
        </is>
      </c>
      <c r="I41" s="2" t="n"/>
      <c r="J41" s="2" t="n"/>
      <c r="K41" s="2" t="inlineStr">
        <is>
          <t>— Stated non-submission: "Party C did not submit a revised indication of interest or reiterate its prior indication of interest of an all-cash purchase price of $16.00 to $17.00 per share nor did it specify any reasons in connection therewith" (p.36). Outcome basis: Stated — the filing directly reports the non-submission and that no reasons were given.</t>
        </is>
      </c>
      <c r="L41" s="3" t="inlineStr">
        <is>
          <t>P-053</t>
        </is>
      </c>
      <c r="M41" s="2" t="inlineStr">
        <is>
          <t>Q3</t>
        </is>
      </c>
      <c r="N41" s="2" t="n"/>
      <c r="O41" s="2" t="n"/>
      <c r="P41" s="2" t="inlineStr">
        <is>
          <t>R040</t>
        </is>
      </c>
      <c r="Q41" s="2" t="inlineStr">
        <is>
          <t>Yes</t>
        </is>
      </c>
      <c r="R41" s="5" t="n">
        <v>1</v>
      </c>
      <c r="S41" s="2" t="n"/>
      <c r="T41" s="4" t="n">
        <v>41535</v>
      </c>
      <c r="U41" s="4" t="n">
        <v>41535</v>
      </c>
      <c r="V41" s="2" t="inlineStr">
        <is>
          <t>Relative only</t>
        </is>
      </c>
      <c r="W41" s="2" t="inlineStr">
        <is>
          <t>Assigned: deadline</t>
        </is>
      </c>
      <c r="X41" s="2" t="n"/>
      <c r="Y41" s="2" t="n"/>
      <c r="Z41" s="2" t="n"/>
      <c r="AA41" s="2" t="n"/>
      <c r="AB41" s="2" t="n"/>
      <c r="AC41" s="2" t="n"/>
      <c r="AD41" s="2" t="n"/>
      <c r="AE41" s="2" t="n"/>
      <c r="AF41" s="2" t="n"/>
      <c r="AG41" s="2" t="n"/>
      <c r="AH41" s="2" t="n"/>
      <c r="AI41" s="2" t="inlineStr">
        <is>
          <t>Unknown</t>
        </is>
      </c>
      <c r="AJ41" s="2" t="inlineStr">
        <is>
          <t>Not stated</t>
        </is>
      </c>
      <c r="AK41" s="2" t="inlineStr">
        <is>
          <t>Stated</t>
        </is>
      </c>
      <c r="AL41" s="2" t="n">
        <v>36</v>
      </c>
      <c r="AM41" s="2" t="n"/>
      <c r="AN41" s="2" t="inlineStr">
        <is>
          <t>Mac-Gray/CSC</t>
        </is>
      </c>
    </row>
    <row r="42">
      <c r="A42" s="2" t="n">
        <v>41</v>
      </c>
      <c r="B42" s="2" t="inlineStr">
        <is>
          <t>09/19/2013</t>
        </is>
      </c>
      <c r="C42" s="2" t="inlineStr">
        <is>
          <t>Mac-Gray Special Committee</t>
        </is>
      </c>
      <c r="D42" s="2" t="inlineStr">
        <is>
          <t>Target decision</t>
        </is>
      </c>
      <c r="E42" s="2" t="n">
        <v>1</v>
      </c>
      <c r="F42" s="2" t="n">
        <v>3</v>
      </c>
      <c r="G42" s="2" t="n"/>
      <c r="H42" s="2" t="inlineStr">
        <is>
          <t>Preferred-bidder decision: the Special Committee concluded CSC/Pamplona’s indication offered the most value, greater certainty and less risk (Party B’s options were contingent and complex and Party B would likely need third-party debt); it concluded CSC/Pamplona should be able to raise above $20.75 and authorized the Transaction Committee to offer exclusivity at $21.25; Mr. MacDonald indicated he would support $21.25.</t>
        </is>
      </c>
      <c r="I42" s="2" t="n"/>
      <c r="J42" s="2" t="n"/>
      <c r="K42" s="2" t="inlineStr">
        <is>
          <t>— Stated conclusion: "the Special Committee concluded that the revised indication of interest submitted by CSC/Pamplona had the potential of delivering the most value to stockholders, provided greater certainty and involved less potential risk than the other indications" (p.37).— Price requirement and exclusivity authorization: "the Special Committee also concluded that, primarily in view of potential synergies between Mac-Gray and CSC, CSC/Pamplona should be in a position to increase their offer price above $20.75. The Special Committee then authorized the Transaction Committee to inform CSC/Pamplona that the Special Committee would be prepared to move into exclusivity at a price of $21.25 per share" (p.37). "at this meeting Mr. MacDonald indicated that he would be supportive of a price of $21.25 per share" (p.37).</t>
        </is>
      </c>
      <c r="L42" s="3" t="inlineStr">
        <is>
          <t>P-055</t>
        </is>
      </c>
      <c r="M42" s="2" t="n"/>
      <c r="N42" s="2" t="n"/>
      <c r="O42" s="2" t="n"/>
      <c r="P42" s="2" t="inlineStr">
        <is>
          <t>R041</t>
        </is>
      </c>
      <c r="Q42" s="2" t="inlineStr">
        <is>
          <t>Yes</t>
        </is>
      </c>
      <c r="R42" s="2" t="n"/>
      <c r="S42" s="4" t="n">
        <v>41536</v>
      </c>
      <c r="T42" s="4" t="n">
        <v>41536</v>
      </c>
      <c r="U42" s="4" t="n">
        <v>41536</v>
      </c>
      <c r="V42" s="2" t="inlineStr">
        <is>
          <t>Reported day</t>
        </is>
      </c>
      <c r="W42" s="2" t="inlineStr">
        <is>
          <t>Reported</t>
        </is>
      </c>
      <c r="X42" s="2" t="n"/>
      <c r="Y42" s="2" t="n"/>
      <c r="Z42" s="2" t="n"/>
      <c r="AA42" s="2" t="n"/>
      <c r="AB42" s="2" t="n"/>
      <c r="AC42" s="2" t="n"/>
      <c r="AD42" s="2" t="n"/>
      <c r="AE42" s="2" t="n"/>
      <c r="AF42" s="2" t="n"/>
      <c r="AG42" s="2" t="n"/>
      <c r="AH42" s="2" t="n"/>
      <c r="AI42" s="2" t="n"/>
      <c r="AJ42" s="2" t="n"/>
      <c r="AK42" s="2" t="n"/>
      <c r="AL42" s="2" t="n">
        <v>37</v>
      </c>
      <c r="AM42" s="2" t="inlineStr">
        <is>
          <t>R042; R043</t>
        </is>
      </c>
      <c r="AN42" s="2" t="inlineStr">
        <is>
          <t>Mac-Gray/CSC</t>
        </is>
      </c>
    </row>
    <row r="43">
      <c r="A43" s="2" t="n">
        <v>42</v>
      </c>
      <c r="B43" s="2" t="inlineStr">
        <is>
          <t>09/21/2013</t>
        </is>
      </c>
      <c r="C43" s="2" t="inlineStr">
        <is>
          <t>CSC/Pamplona (strategic bidder)</t>
        </is>
      </c>
      <c r="D43" s="2" t="inlineStr">
        <is>
          <t>Bid</t>
        </is>
      </c>
      <c r="E43" s="2" t="n">
        <v>1</v>
      </c>
      <c r="F43" s="2" t="n">
        <v>3</v>
      </c>
      <c r="G43" s="2" t="inlineStr">
        <is>
          <t>Strategic</t>
        </is>
      </c>
      <c r="H43" s="2" t="inlineStr">
        <is>
          <t>Price increase to $21.25 per share all-cash as a last and best offer, provided Mac-Gray agreed to a two-week exclusive negotiation; CSC/Pamplona also requested a customary voting agreement over Mr. MacDonald’s and his immediate family’s shares. This is the price component of the CSC/Pamplona final proposal (no financing contingency; Pamplona committing 100% of the capital needed for closing).</t>
        </is>
      </c>
      <c r="I43" s="2" t="inlineStr">
        <is>
          <t>Formal</t>
        </is>
      </c>
      <c r="J43" s="2" t="inlineStr">
        <is>
          <t>Light</t>
        </is>
      </c>
      <c r="K43" s="2" t="inlineStr">
        <is>
          <t>— Stated confirmation: "the representative of CSC/Pamplona called the members of the Transaction Committee to confirm that CSC/Pamplona were willing to increase their all-cash purchase price to $21.25 per share as a last and best offer, provided that Mac-Gray agree to a two week period of exclusive negotiations" (p.37).— Voting agreement request: "The representative of CSC/Pamplona also requested that shares of Mac-Gray common stock owned beneficially and of record by Mr. MacDonald and his immediate family be subject to a customary voting agreement, which we refer to as the MacDonald voting agreements" (p.37).— Final proposal terms: "the inclusion of a $15 million "reverse" termination fee payable by CSC/Pamplona to Mac-Gray in the event regulatory clearance is not obtained, which we refer to as the CSC reverse termination fee, agreements regarding certain post-signing covenants, the fact that there would be no financing contingency and that Pamplona was committing to fund 100% of the capital needed for closing" (p.37-38). Formality: carries forward from R037 (continuing proposal; no return to a preliminary basis). Conditions: Light — Pamplona committed 100% of closing capital; no financing contingency.</t>
        </is>
      </c>
      <c r="L43" s="3" t="inlineStr">
        <is>
          <t>P-056; P-057</t>
        </is>
      </c>
      <c r="M43" s="2" t="inlineStr">
        <is>
          <t>Q4</t>
        </is>
      </c>
      <c r="N43" s="2" t="n"/>
      <c r="O43" s="2" t="n"/>
      <c r="P43" s="2" t="inlineStr">
        <is>
          <t>R042</t>
        </is>
      </c>
      <c r="Q43" s="2" t="inlineStr">
        <is>
          <t>Yes</t>
        </is>
      </c>
      <c r="R43" s="5" t="n">
        <v>0</v>
      </c>
      <c r="S43" s="4" t="n">
        <v>41538</v>
      </c>
      <c r="T43" s="4" t="n">
        <v>41538</v>
      </c>
      <c r="U43" s="4" t="n">
        <v>41538</v>
      </c>
      <c r="V43" s="2" t="inlineStr">
        <is>
          <t>Reported day</t>
        </is>
      </c>
      <c r="W43" s="2" t="inlineStr">
        <is>
          <t>Reported</t>
        </is>
      </c>
      <c r="X43" s="6" t="n">
        <v>21.25</v>
      </c>
      <c r="Y43" s="6" t="n">
        <v>21.25</v>
      </c>
      <c r="Z43" s="2" t="inlineStr">
        <is>
          <t>Point</t>
        </is>
      </c>
      <c r="AA43" s="2" t="inlineStr">
        <is>
          <t>Stated</t>
        </is>
      </c>
      <c r="AB43" s="2" t="inlineStr">
        <is>
          <t>USD</t>
        </is>
      </c>
      <c r="AC43" s="2" t="inlineStr">
        <is>
          <t>Yes</t>
        </is>
      </c>
      <c r="AD43" s="6" t="n">
        <v>21.25</v>
      </c>
      <c r="AE43" s="2" t="inlineStr">
        <is>
          <t>Fin: committed; DD required: not stated; DD open: yes; Excl: requested (2 wks)</t>
        </is>
      </c>
      <c r="AF43" s="2" t="n"/>
      <c r="AG43" s="2" t="n"/>
      <c r="AH43" s="2" t="n"/>
      <c r="AI43" s="2" t="n"/>
      <c r="AJ43" s="2" t="n"/>
      <c r="AK43" s="2" t="n"/>
      <c r="AL43" s="2" t="n">
        <v>37</v>
      </c>
      <c r="AM43" s="2" t="inlineStr">
        <is>
          <t>R037 (revises it); R043</t>
        </is>
      </c>
      <c r="AN43" s="2" t="inlineStr">
        <is>
          <t>Mac-Gray/CSC</t>
        </is>
      </c>
    </row>
    <row r="44">
      <c r="A44" s="2" t="n">
        <v>43</v>
      </c>
      <c r="B44" s="2" t="inlineStr">
        <is>
          <t>09/23/2013</t>
        </is>
      </c>
      <c r="C44" s="2" t="inlineStr">
        <is>
          <t>Mac-Gray Special Committee; CSC/Pamplona</t>
        </is>
      </c>
      <c r="D44" s="2" t="inlineStr">
        <is>
          <t>Exclusivity changed</t>
        </is>
      </c>
      <c r="E44" s="2" t="n">
        <v>1</v>
      </c>
      <c r="F44" s="2" t="n">
        <v>3</v>
      </c>
      <c r="G44" s="2" t="n"/>
      <c r="H44" s="2" t="inlineStr">
        <is>
          <t>Authorized: the Special Committee authorized Mac-Gray to enter an exclusivity agreement providing exclusive negotiations until 5 p.m. ET on 10/12/2013 on the CSC/Pamplona final proposal terms ($21.25 per share cash; $15 million CSC reverse termination fee if regulatory clearance is not obtained; no financing contingency; Pamplona to fund 100% of closing capital); the agreement would automatically terminate if CSC or Pamplona adversely changed the final proposal terms.</t>
        </is>
      </c>
      <c r="I44" s="2" t="n"/>
      <c r="J44" s="2" t="n"/>
      <c r="K44" s="2" t="inlineStr">
        <is>
          <t>— Stated authorization: "After discussion, the Special Committee authorized Mac-Gray to enter into an exclusivity agreement providing for exclusive negotiations until 5 p.m. ET on October 12, 2013 on the terms included in the CSC/Pamplona final proposal" (p.38).— Stated terms and condition: "The parties also agreed that the exclusivity agreement would automatically terminate if CSC or Pamplona adversely changed any of the terms of the CSC/Pamplona final proposal" (p.37-38).</t>
        </is>
      </c>
      <c r="L44" s="3" t="inlineStr">
        <is>
          <t>P-059; P-057</t>
        </is>
      </c>
      <c r="M44" s="2" t="inlineStr">
        <is>
          <t>Q8</t>
        </is>
      </c>
      <c r="N44" s="2" t="n"/>
      <c r="O44" s="2" t="n"/>
      <c r="P44" s="2" t="inlineStr">
        <is>
          <t>R043</t>
        </is>
      </c>
      <c r="Q44" s="2" t="inlineStr">
        <is>
          <t>Yes</t>
        </is>
      </c>
      <c r="R44" s="2" t="n"/>
      <c r="S44" s="4" t="n">
        <v>41540</v>
      </c>
      <c r="T44" s="4" t="n">
        <v>41540</v>
      </c>
      <c r="U44" s="4" t="n">
        <v>41540</v>
      </c>
      <c r="V44" s="2" t="inlineStr">
        <is>
          <t>Reported day</t>
        </is>
      </c>
      <c r="W44" s="2" t="inlineStr">
        <is>
          <t>Reported</t>
        </is>
      </c>
      <c r="X44" s="2" t="n"/>
      <c r="Y44" s="2" t="n"/>
      <c r="Z44" s="2" t="n"/>
      <c r="AA44" s="2" t="n"/>
      <c r="AB44" s="2" t="n"/>
      <c r="AC44" s="2" t="n"/>
      <c r="AD44" s="2" t="n"/>
      <c r="AE44" s="2" t="n"/>
      <c r="AF44" s="2" t="n"/>
      <c r="AG44" s="2" t="n"/>
      <c r="AH44" s="2" t="n"/>
      <c r="AI44" s="2" t="n"/>
      <c r="AJ44" s="2" t="n"/>
      <c r="AK44" s="2" t="n"/>
      <c r="AL44" s="2" t="n">
        <v>38</v>
      </c>
      <c r="AM44" s="2" t="inlineStr">
        <is>
          <t>R044; R042</t>
        </is>
      </c>
      <c r="AN44" s="2" t="inlineStr">
        <is>
          <t>Mac-Gray/CSC</t>
        </is>
      </c>
    </row>
    <row r="45">
      <c r="A45" s="2" t="n">
        <v>44</v>
      </c>
      <c r="B45" s="2" t="inlineStr">
        <is>
          <t>09/24/2013</t>
        </is>
      </c>
      <c r="C45" s="2" t="inlineStr">
        <is>
          <t>CSC, Pamplona and Mac-Gray</t>
        </is>
      </c>
      <c r="D45" s="2" t="inlineStr">
        <is>
          <t>Exclusivity changed</t>
        </is>
      </c>
      <c r="E45" s="2" t="n">
        <v>1</v>
      </c>
      <c r="F45" s="2" t="n">
        <v>3</v>
      </c>
      <c r="G45" s="2" t="n"/>
      <c r="H45" s="2" t="inlineStr">
        <is>
          <t>Executed: CSC, Pamplona and Mac-Gray executed the exclusivity agreement — exclusive negotiations until 5 p.m. ET on 10/12/2013, subject to certain conditions including that CSC and Pamplona not adversely change or modify the final proposal terms. This execution is the transition into the definitive-negotiation stage (R047).</t>
        </is>
      </c>
      <c r="I45" s="2" t="n"/>
      <c r="J45" s="2" t="n"/>
      <c r="K45" s="2" t="inlineStr">
        <is>
          <t>— Stated execution: "On September 24, 2013, CSC, Pamplona and Mac-Gray executed the exclusivity agreement providing for exclusive negotiations until 5 p.m. ET on October 12, 2013, subject to certain conditions, including that CSC and Pamplona not adversely change or modify the terms of the CSC/Pamplona final proposal" (p.38).</t>
        </is>
      </c>
      <c r="L45" s="3" t="inlineStr">
        <is>
          <t>P-060</t>
        </is>
      </c>
      <c r="M45" s="2" t="inlineStr">
        <is>
          <t>Q8</t>
        </is>
      </c>
      <c r="N45" s="2" t="n"/>
      <c r="O45" s="2" t="n"/>
      <c r="P45" s="2" t="inlineStr">
        <is>
          <t>R044</t>
        </is>
      </c>
      <c r="Q45" s="2" t="inlineStr">
        <is>
          <t>Yes</t>
        </is>
      </c>
      <c r="R45" s="2" t="n"/>
      <c r="S45" s="4" t="n">
        <v>41541</v>
      </c>
      <c r="T45" s="4" t="n">
        <v>41541</v>
      </c>
      <c r="U45" s="4" t="n">
        <v>41541</v>
      </c>
      <c r="V45" s="2" t="inlineStr">
        <is>
          <t>Reported day</t>
        </is>
      </c>
      <c r="W45" s="2" t="inlineStr">
        <is>
          <t>Reported</t>
        </is>
      </c>
      <c r="X45" s="2" t="n"/>
      <c r="Y45" s="2" t="n"/>
      <c r="Z45" s="2" t="n"/>
      <c r="AA45" s="2" t="n"/>
      <c r="AB45" s="2" t="n"/>
      <c r="AC45" s="2" t="n"/>
      <c r="AD45" s="2" t="n"/>
      <c r="AE45" s="2" t="n"/>
      <c r="AF45" s="2" t="n"/>
      <c r="AG45" s="2" t="n"/>
      <c r="AH45" s="2" t="n"/>
      <c r="AI45" s="2" t="n"/>
      <c r="AJ45" s="2" t="n"/>
      <c r="AK45" s="2" t="n"/>
      <c r="AL45" s="2" t="n">
        <v>38</v>
      </c>
      <c r="AM45" s="2" t="inlineStr">
        <is>
          <t>R043; R047; R045; R046</t>
        </is>
      </c>
      <c r="AN45" s="2" t="inlineStr">
        <is>
          <t>Mac-Gray/CSC</t>
        </is>
      </c>
    </row>
    <row r="46">
      <c r="A46" s="2" t="n">
        <v>45</v>
      </c>
      <c r="B46" s="2" t="inlineStr">
        <is>
          <t>by 09/24/2013 (exclusivity execution)</t>
        </is>
      </c>
      <c r="C46" s="2" t="inlineStr">
        <is>
          <t>Party A (strategic bidder)</t>
        </is>
      </c>
      <c r="D46" s="2" t="inlineStr">
        <is>
          <t>Dropped by target</t>
        </is>
      </c>
      <c r="E46" s="2" t="n">
        <v>1</v>
      </c>
      <c r="F46" s="2" t="n">
        <v>3</v>
      </c>
      <c r="G46" s="2" t="inlineStr">
        <is>
          <t>Strategic</t>
        </is>
      </c>
      <c r="H46" s="2" t="inlineStr">
        <is>
          <t>Inferred: exclusivity — Party A was still live after the final round (its best-and-final reiteration of 09/18/2013) when Mac-Gray executed exclusivity with CSC/Pamplona on 09/24/2013; the filing reports no notice to Party A and states no reason. Closed at this transition.</t>
        </is>
      </c>
      <c r="I46" s="2" t="n"/>
      <c r="J46" s="2" t="n"/>
      <c r="K46" s="2" t="inlineStr">
        <is>
          <t>— Exclusivity execution: "On September 24, 2013, CSC, Pamplona and Mac-Gray executed the exclusivity agreement providing for exclusive negotiations until 5 p.m. ET on October 12, 2013" (p.38).— Last participation: "Party A reiterated in a telephone call to a representative of BofA Merrill Lynch that its previous indication of interest with an all-cash purchase price of $18.00 to $19.00 per share was its best and final offer" (p.36). Outcome basis and agency: Inferred solely from the exclusivity execution; Decided by Target for the transition; the filing states no reason or notice.</t>
        </is>
      </c>
      <c r="L46" s="3" t="inlineStr">
        <is>
          <t>P-060; P-053</t>
        </is>
      </c>
      <c r="M46" s="2" t="inlineStr">
        <is>
          <t>Q3</t>
        </is>
      </c>
      <c r="N46" s="2" t="n"/>
      <c r="O46" s="2" t="n"/>
      <c r="P46" s="2" t="inlineStr">
        <is>
          <t>R045</t>
        </is>
      </c>
      <c r="Q46" s="2" t="inlineStr">
        <is>
          <t>Yes</t>
        </is>
      </c>
      <c r="R46" s="5" t="n">
        <v>1</v>
      </c>
      <c r="S46" s="2" t="n"/>
      <c r="T46" s="4" t="n">
        <v>41541</v>
      </c>
      <c r="U46" s="4" t="n">
        <v>41541</v>
      </c>
      <c r="V46" s="2" t="inlineStr">
        <is>
          <t>Relative only</t>
        </is>
      </c>
      <c r="W46" s="2" t="inlineStr">
        <is>
          <t>Assigned: decision day</t>
        </is>
      </c>
      <c r="X46" s="2" t="n"/>
      <c r="Y46" s="2" t="n"/>
      <c r="Z46" s="2" t="n"/>
      <c r="AA46" s="2" t="n"/>
      <c r="AB46" s="2" t="n"/>
      <c r="AC46" s="2" t="n"/>
      <c r="AD46" s="2" t="n"/>
      <c r="AE46" s="2" t="n"/>
      <c r="AF46" s="2" t="n"/>
      <c r="AG46" s="2" t="n"/>
      <c r="AH46" s="2" t="n"/>
      <c r="AI46" s="2" t="inlineStr">
        <is>
          <t>Target</t>
        </is>
      </c>
      <c r="AJ46" s="2" t="inlineStr">
        <is>
          <t>Not stated</t>
        </is>
      </c>
      <c r="AK46" s="2" t="inlineStr">
        <is>
          <t>Inferred: exclusivity</t>
        </is>
      </c>
      <c r="AL46" s="2" t="n">
        <v>38</v>
      </c>
      <c r="AM46" s="2" t="inlineStr">
        <is>
          <t>R038; R044</t>
        </is>
      </c>
      <c r="AN46" s="2" t="inlineStr">
        <is>
          <t>Mac-Gray/CSC</t>
        </is>
      </c>
    </row>
    <row r="47">
      <c r="A47" s="2" t="n">
        <v>46</v>
      </c>
      <c r="B47" s="2" t="inlineStr">
        <is>
          <t>by 09/24/2013 (exclusivity execution)</t>
        </is>
      </c>
      <c r="C47" s="2" t="inlineStr">
        <is>
          <t>Party B (financial bidder)</t>
        </is>
      </c>
      <c r="D47" s="2" t="inlineStr">
        <is>
          <t>Dropped by target</t>
        </is>
      </c>
      <c r="E47" s="2" t="n">
        <v>1</v>
      </c>
      <c r="F47" s="2" t="n">
        <v>3</v>
      </c>
      <c r="G47" s="2" t="inlineStr">
        <is>
          <t>Financial</t>
        </is>
      </c>
      <c r="H47" s="2" t="inlineStr">
        <is>
          <t>Inferred: exclusivity — Party B was still live after the final round (its 09/18/2013 $21.50 package) when Mac-Gray executed exclusivity with CSC/Pamplona on 09/24/2013; the filing reports no notice to Party B and states no reason. Closed at this transition.</t>
        </is>
      </c>
      <c r="I47" s="2" t="n"/>
      <c r="J47" s="2" t="n"/>
      <c r="K47" s="2" t="inlineStr">
        <is>
          <t>— Exclusivity execution: "On September 24, 2013, CSC, Pamplona and Mac-Gray executed the exclusivity agreement providing for exclusive negotiations until 5 p.m. ET on October 12, 2013" (p.38).— Last participation: "Party B also submitted a revised indication of interest with a purchase price that Party B valued at $21.50 per share" (p.36). Outcome basis and agency: Inferred solely from the exclusivity execution; Decided by Target for the transition; the filing states no reason or notice.</t>
        </is>
      </c>
      <c r="L47" s="3" t="inlineStr">
        <is>
          <t>P-060; P-053</t>
        </is>
      </c>
      <c r="M47" s="2" t="inlineStr">
        <is>
          <t>Q3</t>
        </is>
      </c>
      <c r="N47" s="2" t="n"/>
      <c r="O47" s="2" t="n"/>
      <c r="P47" s="2" t="inlineStr">
        <is>
          <t>R046</t>
        </is>
      </c>
      <c r="Q47" s="2" t="inlineStr">
        <is>
          <t>Yes</t>
        </is>
      </c>
      <c r="R47" s="5" t="n">
        <v>1</v>
      </c>
      <c r="S47" s="2" t="n"/>
      <c r="T47" s="4" t="n">
        <v>41541</v>
      </c>
      <c r="U47" s="4" t="n">
        <v>41541</v>
      </c>
      <c r="V47" s="2" t="inlineStr">
        <is>
          <t>Relative only</t>
        </is>
      </c>
      <c r="W47" s="2" t="inlineStr">
        <is>
          <t>Assigned: decision day</t>
        </is>
      </c>
      <c r="X47" s="2" t="n"/>
      <c r="Y47" s="2" t="n"/>
      <c r="Z47" s="2" t="n"/>
      <c r="AA47" s="2" t="n"/>
      <c r="AB47" s="2" t="n"/>
      <c r="AC47" s="2" t="n"/>
      <c r="AD47" s="2" t="n"/>
      <c r="AE47" s="2" t="n"/>
      <c r="AF47" s="2" t="n"/>
      <c r="AG47" s="2" t="n"/>
      <c r="AH47" s="2" t="n"/>
      <c r="AI47" s="2" t="inlineStr">
        <is>
          <t>Target</t>
        </is>
      </c>
      <c r="AJ47" s="2" t="inlineStr">
        <is>
          <t>Not stated</t>
        </is>
      </c>
      <c r="AK47" s="2" t="inlineStr">
        <is>
          <t>Inferred: exclusivity</t>
        </is>
      </c>
      <c r="AL47" s="2" t="n">
        <v>38</v>
      </c>
      <c r="AM47" s="2" t="inlineStr">
        <is>
          <t>R039; R044</t>
        </is>
      </c>
      <c r="AN47" s="2" t="inlineStr">
        <is>
          <t>Mac-Gray/CSC</t>
        </is>
      </c>
    </row>
    <row r="48">
      <c r="A48" s="2" t="n">
        <v>47</v>
      </c>
      <c r="B48" s="2" t="inlineStr">
        <is>
          <t>09/24/2013</t>
        </is>
      </c>
      <c r="C48" s="2" t="inlineStr">
        <is>
          <t>Mac-Gray ↔ CSC/Pamplona</t>
        </is>
      </c>
      <c r="D48" s="2" t="inlineStr">
        <is>
          <t>Round opened</t>
        </is>
      </c>
      <c r="E48" s="2" t="n">
        <v>1</v>
      </c>
      <c r="F48" s="2" t="n">
        <v>4</v>
      </c>
      <c r="G48" s="2" t="n"/>
      <c r="H48" s="2" t="inlineStr">
        <is>
          <t>Definitive-negotiation stage opens with the 09/24/2013 exclusivity execution (R044); Goodwin Procter delivered the initial merger-agreement draft to Kirkland &amp; Ellis on 09/25/2013 (R048) and CSC/Pamplona were granted full data-site and management access for confirmatory diligence. Selected bidder CSC/Pamplona remains live; all other bidders are already closed. Round finality: Inferred final — no announcement, but the target moved to definitive negotiation with the selected bidder.</t>
        </is>
      </c>
      <c r="I48" s="2" t="n"/>
      <c r="J48" s="2" t="n"/>
      <c r="K48" s="2" t="inlineStr">
        <is>
          <t>— Draft delivered and confirmatory diligence: "On September 25, 2013, Goodwin Procter delivered to Kirkland &amp; Ellis LLP, outside legal counsel to CSC/Pamplona, whom we refer to as Kirkland, the initial draft of the merger agreement" (p.38). "CSC and Pamplona were granted full access to the electronic data site and access to certain members of management and conducted confirmatory business and legal due diligence on Mac-Gray" (p.38).</t>
        </is>
      </c>
      <c r="L48" s="3" t="inlineStr">
        <is>
          <t>P-061</t>
        </is>
      </c>
      <c r="M48" s="2" t="inlineStr">
        <is>
          <t>Q1</t>
        </is>
      </c>
      <c r="N48" s="2" t="n"/>
      <c r="O48" s="2" t="n"/>
      <c r="P48" s="2" t="inlineStr">
        <is>
          <t>R047</t>
        </is>
      </c>
      <c r="Q48" s="2" t="inlineStr">
        <is>
          <t>Yes</t>
        </is>
      </c>
      <c r="R48" s="2" t="n"/>
      <c r="S48" s="4" t="n">
        <v>41541</v>
      </c>
      <c r="T48" s="4" t="n">
        <v>41541</v>
      </c>
      <c r="U48" s="4" t="n">
        <v>41541</v>
      </c>
      <c r="V48" s="2" t="inlineStr">
        <is>
          <t>Reported day</t>
        </is>
      </c>
      <c r="W48" s="2" t="inlineStr">
        <is>
          <t>Reported</t>
        </is>
      </c>
      <c r="X48" s="2" t="n"/>
      <c r="Y48" s="2" t="n"/>
      <c r="Z48" s="2" t="n"/>
      <c r="AA48" s="2" t="n"/>
      <c r="AB48" s="2" t="n"/>
      <c r="AC48" s="2" t="n"/>
      <c r="AD48" s="2" t="n"/>
      <c r="AE48" s="2" t="n"/>
      <c r="AF48" s="2" t="n"/>
      <c r="AG48" s="2" t="n"/>
      <c r="AH48" s="2" t="inlineStr">
        <is>
          <t>Inferred final</t>
        </is>
      </c>
      <c r="AI48" s="2" t="n"/>
      <c r="AJ48" s="2" t="n"/>
      <c r="AK48" s="2" t="n"/>
      <c r="AL48" s="2" t="n">
        <v>38</v>
      </c>
      <c r="AM48" s="2" t="inlineStr">
        <is>
          <t>R044; R048; R043; R035</t>
        </is>
      </c>
      <c r="AN48" s="2" t="inlineStr">
        <is>
          <t>Mac-Gray/CSC</t>
        </is>
      </c>
    </row>
    <row r="49">
      <c r="A49" s="2" t="n">
        <v>48</v>
      </c>
      <c r="B49" s="2" t="inlineStr">
        <is>
          <t>09/25/2013</t>
        </is>
      </c>
      <c r="C49" s="2" t="inlineStr">
        <is>
          <t>Kirkland &amp; Ellis LLP (outside legal counsel, CSC/Pamplona)</t>
        </is>
      </c>
      <c r="D49" s="2" t="inlineStr">
        <is>
          <t>Adviser service observed</t>
        </is>
      </c>
      <c r="E49" s="2" t="n">
        <v>1</v>
      </c>
      <c r="F49" s="2" t="n">
        <v>4</v>
      </c>
      <c r="G49" s="2" t="n"/>
      <c r="H49" s="2" t="inlineStr">
        <is>
          <t>First shown acting on the CSC/Pamplona mandate when Goodwin Procter delivered the initial merger-agreement draft to Kirkland; engagement date not disclosed. Kirkland negotiated the merger agreement and the Pamplona commitment letter for CSC/Pamplona.</t>
        </is>
      </c>
      <c r="I49" s="2" t="n"/>
      <c r="J49" s="2" t="n"/>
      <c r="K49" s="2" t="inlineStr">
        <is>
          <t>— Earliest observed service: "On September 25, 2013, Goodwin Procter delivered to Kirkland &amp; Ellis LLP, outside legal counsel to CSC/Pamplona, whom we refer to as Kirkland, the initial draft of the merger agreement" (p.38).</t>
        </is>
      </c>
      <c r="L49" s="3" t="inlineStr">
        <is>
          <t>P-061</t>
        </is>
      </c>
      <c r="M49" s="2" t="n"/>
      <c r="N49" s="2" t="n"/>
      <c r="O49" s="2" t="n"/>
      <c r="P49" s="2" t="inlineStr">
        <is>
          <t>R048</t>
        </is>
      </c>
      <c r="Q49" s="2" t="inlineStr">
        <is>
          <t>Yes</t>
        </is>
      </c>
      <c r="R49" s="2" t="n"/>
      <c r="S49" s="4" t="n">
        <v>41542</v>
      </c>
      <c r="T49" s="4" t="n">
        <v>41542</v>
      </c>
      <c r="U49" s="4" t="n">
        <v>41542</v>
      </c>
      <c r="V49" s="2" t="inlineStr">
        <is>
          <t>Reported day</t>
        </is>
      </c>
      <c r="W49" s="2" t="inlineStr">
        <is>
          <t>Reported</t>
        </is>
      </c>
      <c r="X49" s="2" t="n"/>
      <c r="Y49" s="2" t="n"/>
      <c r="Z49" s="2" t="n"/>
      <c r="AA49" s="2" t="n"/>
      <c r="AB49" s="2" t="n"/>
      <c r="AC49" s="2" t="n"/>
      <c r="AD49" s="2" t="n"/>
      <c r="AE49" s="2" t="n"/>
      <c r="AF49" s="2" t="n"/>
      <c r="AG49" s="2" t="n"/>
      <c r="AH49" s="2" t="n"/>
      <c r="AI49" s="2" t="n"/>
      <c r="AJ49" s="2" t="n"/>
      <c r="AK49" s="2" t="n"/>
      <c r="AL49" s="2" t="n">
        <v>38</v>
      </c>
      <c r="AM49" s="2" t="n"/>
      <c r="AN49" s="2" t="inlineStr">
        <is>
          <t>Mac-Gray/CSC</t>
        </is>
      </c>
    </row>
    <row r="50">
      <c r="A50" s="2" t="n">
        <v>49</v>
      </c>
      <c r="B50" s="2" t="inlineStr">
        <is>
          <t>after 09/23/2013; reported 10/07/2013</t>
        </is>
      </c>
      <c r="C50" s="2" t="inlineStr">
        <is>
          <t>Moab Partners; CSC/Pamplona; Mac-Gray Special Committee</t>
        </is>
      </c>
      <c r="D50" s="2" t="inlineStr">
        <is>
          <t>Material process update</t>
        </is>
      </c>
      <c r="E50" s="2" t="n">
        <v>1</v>
      </c>
      <c r="F50" s="2" t="n">
        <v>4</v>
      </c>
      <c r="G50" s="2" t="n"/>
      <c r="H50" s="2" t="inlineStr">
        <is>
          <t>Moab rollover resolved without a rollover: the Special Committee had allowed Mr. Rothenberg on 09/23/2013 to resume discussions with CSC/Pamplona about a possible rollover of Moab’s shares; after those discussions it was determined that Moab would not roll over any shares in the transaction, as reported to the Special Committee on 10/07/2013.</t>
        </is>
      </c>
      <c r="I50" s="2" t="n"/>
      <c r="J50" s="2" t="n"/>
      <c r="K50" s="2" t="inlineStr">
        <is>
          <t>— Stated permission: "to provide Moab with the opportunity to resume discussions with CSC/Pamplona regarding a possible equity rollover of Moab's shares in the transaction if Moab still had an interest in such a rollover" (p.38).— Stated discussion period: "Mr. Rothenberg engaged in various discussions with representatives of Pamplona during this time to discuss a possible rollover of Moab shares" (p.38).— Stated determination reported 10/07/2013: "Mr. Daoust reported to the Special Committee that, after discussions between Moab and representatives of Pamplona, it was determined that Moab would not rollover any Moab shares in the transaction" (p.39). Working date convention: the determination date is not disclosed; it is reported at the 10/07/2013 Special Committee meeting (Assigned: bound to the report).</t>
        </is>
      </c>
      <c r="L50" s="3" t="inlineStr">
        <is>
          <t>P-058; P-061; P-065</t>
        </is>
      </c>
      <c r="M50" s="2" t="inlineStr">
        <is>
          <t>Q6; Q7</t>
        </is>
      </c>
      <c r="N50" s="2" t="n"/>
      <c r="O50" s="2" t="n"/>
      <c r="P50" s="2" t="inlineStr">
        <is>
          <t>R049</t>
        </is>
      </c>
      <c r="Q50" s="2" t="inlineStr">
        <is>
          <t>Yes</t>
        </is>
      </c>
      <c r="R50" s="2" t="n"/>
      <c r="S50" s="4" t="n">
        <v>41540</v>
      </c>
      <c r="T50" s="4" t="n">
        <v>41554</v>
      </c>
      <c r="U50" s="4" t="n">
        <v>41554</v>
      </c>
      <c r="V50" s="2" t="inlineStr">
        <is>
          <t>Approximate window</t>
        </is>
      </c>
      <c r="W50" s="2" t="inlineStr">
        <is>
          <t>Assigned: bound</t>
        </is>
      </c>
      <c r="X50" s="2" t="n"/>
      <c r="Y50" s="2" t="n"/>
      <c r="Z50" s="2" t="n"/>
      <c r="AA50" s="2" t="n"/>
      <c r="AB50" s="2" t="n"/>
      <c r="AC50" s="2" t="n"/>
      <c r="AD50" s="2" t="n"/>
      <c r="AE50" s="2" t="n"/>
      <c r="AF50" s="2" t="n"/>
      <c r="AG50" s="2" t="n"/>
      <c r="AH50" s="2" t="n"/>
      <c r="AI50" s="2" t="n"/>
      <c r="AJ50" s="2" t="n"/>
      <c r="AK50" s="2" t="n"/>
      <c r="AL50" s="2" t="n">
        <v>39</v>
      </c>
      <c r="AM50" s="2" t="inlineStr">
        <is>
          <t>R016 (denial); R010</t>
        </is>
      </c>
      <c r="AN50" s="2" t="inlineStr">
        <is>
          <t>Mac-Gray/CSC</t>
        </is>
      </c>
    </row>
    <row r="51">
      <c r="A51" s="2" t="n">
        <v>50</v>
      </c>
      <c r="B51" s="2" t="inlineStr">
        <is>
          <t>10/09/2013</t>
        </is>
      </c>
      <c r="C51" s="2" t="inlineStr">
        <is>
          <t>Mac-Gray Special Committee; CSC/Pamplona</t>
        </is>
      </c>
      <c r="D51" s="2" t="inlineStr">
        <is>
          <t>Exclusivity changed</t>
        </is>
      </c>
      <c r="E51" s="2" t="n">
        <v>1</v>
      </c>
      <c r="F51" s="2" t="n">
        <v>4</v>
      </c>
      <c r="G51" s="2" t="n"/>
      <c r="H51" s="2" t="inlineStr">
        <is>
          <t>Extension authorized: the Special Committee authorized the Transaction Committee to negotiate the open issues within parameters and to extend exclusivity to 10/15/2013; CSC/Pamplona had requested extension of the 5 p.m. ET 10/12 expiry to allow continued negotiations.</t>
        </is>
      </c>
      <c r="I51" s="2" t="n"/>
      <c r="J51" s="2" t="n"/>
      <c r="K51" s="2" t="inlineStr">
        <is>
          <t>— Stated request and authorization: "Kirkland had requested on behalf of CSC/Pamplona that the exclusivity agreement, due to expire at 5 p.m. ET on October 12, 2013, be extended to allow for continued negotiations of these open issues. After discussion, the Special Committee authorized the Transaction Committee to negotiate the open issues within certain parameters and in connection therewith to extend exclusivity to October 15, 2013" (p.40).</t>
        </is>
      </c>
      <c r="L51" s="3" t="inlineStr">
        <is>
          <t>P-069</t>
        </is>
      </c>
      <c r="M51" s="2" t="inlineStr">
        <is>
          <t>Q8</t>
        </is>
      </c>
      <c r="N51" s="2" t="n"/>
      <c r="O51" s="2" t="n"/>
      <c r="P51" s="2" t="inlineStr">
        <is>
          <t>R050</t>
        </is>
      </c>
      <c r="Q51" s="2" t="inlineStr">
        <is>
          <t>Yes</t>
        </is>
      </c>
      <c r="R51" s="2" t="n"/>
      <c r="S51" s="4" t="n">
        <v>41556</v>
      </c>
      <c r="T51" s="4" t="n">
        <v>41556</v>
      </c>
      <c r="U51" s="4" t="n">
        <v>41556</v>
      </c>
      <c r="V51" s="2" t="inlineStr">
        <is>
          <t>Reported day</t>
        </is>
      </c>
      <c r="W51" s="2" t="inlineStr">
        <is>
          <t>Reported</t>
        </is>
      </c>
      <c r="X51" s="2" t="n"/>
      <c r="Y51" s="2" t="n"/>
      <c r="Z51" s="2" t="n"/>
      <c r="AA51" s="2" t="n"/>
      <c r="AB51" s="2" t="n"/>
      <c r="AC51" s="2" t="n"/>
      <c r="AD51" s="2" t="n"/>
      <c r="AE51" s="2" t="n"/>
      <c r="AF51" s="2" t="n"/>
      <c r="AG51" s="2" t="n"/>
      <c r="AH51" s="2" t="n"/>
      <c r="AI51" s="2" t="n"/>
      <c r="AJ51" s="2" t="n"/>
      <c r="AK51" s="2" t="n"/>
      <c r="AL51" s="2" t="n">
        <v>40</v>
      </c>
      <c r="AM51" s="2" t="inlineStr">
        <is>
          <t>R051</t>
        </is>
      </c>
      <c r="AN51" s="2" t="inlineStr">
        <is>
          <t>Mac-Gray/CSC</t>
        </is>
      </c>
    </row>
    <row r="52">
      <c r="A52" s="2" t="n">
        <v>51</v>
      </c>
      <c r="B52" s="2" t="inlineStr">
        <is>
          <t>10/12/2013</t>
        </is>
      </c>
      <c r="C52" s="2" t="inlineStr">
        <is>
          <t>CSC, Pamplona and Mac-Gray</t>
        </is>
      </c>
      <c r="D52" s="2" t="inlineStr">
        <is>
          <t>Exclusivity changed</t>
        </is>
      </c>
      <c r="E52" s="2" t="n">
        <v>1</v>
      </c>
      <c r="F52" s="2" t="n">
        <v>4</v>
      </c>
      <c r="G52" s="2" t="n"/>
      <c r="H52" s="2" t="inlineStr">
        <is>
          <t>Extended: letter agreement executed extending exclusivity to 11:59 p.m. ET on 10/15/2013. The extension was authorized subject to CSC/Pamplona agreeing to a Mac-Gray termination fee of not more than $11 million; CSC/Pamplona agreed on 10/11/2013.</t>
        </is>
      </c>
      <c r="I52" s="2" t="n"/>
      <c r="J52" s="2" t="n"/>
      <c r="K52" s="2" t="inlineStr">
        <is>
          <t>— Stated execution: "On October 12, 2013, CSC, Pamplona and Mac-Gray executed a letter agreement extending exclusivity until 11:59 p.m. ET on October 15, 2013" (p.41).— Stated condition and agreement: "The Special Committee confirmed that the Transaction Committee and representatives of Mac-Gray were authorized to extend the exclusivity agreement until 11:59 p.m. on ET on October 15, 2013 if CSC/Pamplona would agree to a Mac-Gray termination fee of not more than $11 million" (p.40). "the representative of CSC/Pamplona telephoned Mr. Daoust and agreed to the $11 million Mac-Gray termination fee" (p.40-41).</t>
        </is>
      </c>
      <c r="L52" s="3" t="inlineStr">
        <is>
          <t>P-072; P-070; P-071</t>
        </is>
      </c>
      <c r="M52" s="2" t="inlineStr">
        <is>
          <t>Q8</t>
        </is>
      </c>
      <c r="N52" s="2" t="n"/>
      <c r="O52" s="2" t="n"/>
      <c r="P52" s="2" t="inlineStr">
        <is>
          <t>R051</t>
        </is>
      </c>
      <c r="Q52" s="2" t="inlineStr">
        <is>
          <t>Yes</t>
        </is>
      </c>
      <c r="R52" s="2" t="n"/>
      <c r="S52" s="4" t="n">
        <v>41559</v>
      </c>
      <c r="T52" s="4" t="n">
        <v>41559</v>
      </c>
      <c r="U52" s="4" t="n">
        <v>41559</v>
      </c>
      <c r="V52" s="2" t="inlineStr">
        <is>
          <t>Reported day</t>
        </is>
      </c>
      <c r="W52" s="2" t="inlineStr">
        <is>
          <t>Reported</t>
        </is>
      </c>
      <c r="X52" s="2" t="n"/>
      <c r="Y52" s="2" t="n"/>
      <c r="Z52" s="2" t="n"/>
      <c r="AA52" s="2" t="n"/>
      <c r="AB52" s="2" t="n"/>
      <c r="AC52" s="2" t="n"/>
      <c r="AD52" s="2" t="n"/>
      <c r="AE52" s="2" t="n"/>
      <c r="AF52" s="2" t="n"/>
      <c r="AG52" s="2" t="n"/>
      <c r="AH52" s="2" t="n"/>
      <c r="AI52" s="2" t="n"/>
      <c r="AJ52" s="2" t="n"/>
      <c r="AK52" s="2" t="n"/>
      <c r="AL52" s="2" t="n">
        <v>41</v>
      </c>
      <c r="AM52" s="2" t="inlineStr">
        <is>
          <t>R050</t>
        </is>
      </c>
      <c r="AN52" s="2" t="inlineStr">
        <is>
          <t>Mac-Gray/CSC</t>
        </is>
      </c>
    </row>
    <row r="53">
      <c r="A53" s="2" t="n">
        <v>52</v>
      </c>
      <c r="B53" s="2" t="inlineStr">
        <is>
          <t>10/14/2013</t>
        </is>
      </c>
      <c r="C53" s="2" t="inlineStr">
        <is>
          <t>Mac-Gray Special Committee; Mac-Gray Board of Directors</t>
        </is>
      </c>
      <c r="D53" s="2" t="inlineStr">
        <is>
          <t>Target decision</t>
        </is>
      </c>
      <c r="E53" s="2" t="n">
        <v>1</v>
      </c>
      <c r="F53" s="2" t="n">
        <v>4</v>
      </c>
      <c r="G53" s="2" t="n"/>
      <c r="H53" s="2" t="inlineStr">
        <is>
          <t>BofA Merrill Lynch delivered its oral fairness opinion (confirmed in writing, dated 10/14/2013); the Special Committee unanimously determined to recommend the merger agreement; the Board, on that recommendation, unanimously approved and adopted the merger agreement and recommends stockholder adoption.</t>
        </is>
      </c>
      <c r="I53" s="2" t="n"/>
      <c r="J53" s="2" t="n"/>
      <c r="K53" s="2" t="inlineStr">
        <is>
          <t>— Stated opinion: "BofA Merrill Lynch reviewed with the Special Committee its financial analysis of the consideration and delivered to the Special Committee an oral opinion, which was confirmed by delivery of a written opinion dated, October 14, 2013" (p.41).— Stated recommendations: "the Board (upon the recommendation of the Special Committee) unanimously determined that the merger agreement and the merger were advisable and in the best interests of Mac-Gray's stockholders, approved the merger on the terms and subject to the conditions set forth in the merger agreement, adopted the merger agreement and recommended that the Mac-Gray stockholders adopt and approve the merger agreement" (p.41).</t>
        </is>
      </c>
      <c r="L53" s="3" t="inlineStr">
        <is>
          <t>P-075; P-076</t>
        </is>
      </c>
      <c r="M53" s="2" t="inlineStr">
        <is>
          <t>Q5</t>
        </is>
      </c>
      <c r="N53" s="2" t="n"/>
      <c r="O53" s="2" t="n"/>
      <c r="P53" s="2" t="inlineStr">
        <is>
          <t>R052</t>
        </is>
      </c>
      <c r="Q53" s="2" t="inlineStr">
        <is>
          <t>Yes</t>
        </is>
      </c>
      <c r="R53" s="2" t="n"/>
      <c r="S53" s="4" t="n">
        <v>41561</v>
      </c>
      <c r="T53" s="4" t="n">
        <v>41561</v>
      </c>
      <c r="U53" s="4" t="n">
        <v>41561</v>
      </c>
      <c r="V53" s="2" t="inlineStr">
        <is>
          <t>Reported day</t>
        </is>
      </c>
      <c r="W53" s="2" t="inlineStr">
        <is>
          <t>Reported</t>
        </is>
      </c>
      <c r="X53" s="2" t="n"/>
      <c r="Y53" s="2" t="n"/>
      <c r="Z53" s="2" t="n"/>
      <c r="AA53" s="2" t="n"/>
      <c r="AB53" s="2" t="n"/>
      <c r="AC53" s="2" t="n"/>
      <c r="AD53" s="2" t="n"/>
      <c r="AE53" s="2" t="n"/>
      <c r="AF53" s="2" t="n"/>
      <c r="AG53" s="2" t="n"/>
      <c r="AH53" s="2" t="n"/>
      <c r="AI53" s="2" t="n"/>
      <c r="AJ53" s="2" t="n"/>
      <c r="AK53" s="2" t="n"/>
      <c r="AL53" s="2" t="n">
        <v>41</v>
      </c>
      <c r="AM53" s="2" t="inlineStr">
        <is>
          <t>R053</t>
        </is>
      </c>
      <c r="AN53" s="2" t="inlineStr">
        <is>
          <t>Mac-Gray/CSC</t>
        </is>
      </c>
    </row>
    <row r="54">
      <c r="A54" s="2" t="n">
        <v>53</v>
      </c>
      <c r="B54" s="2" t="inlineStr">
        <is>
          <t>10/14/2013</t>
        </is>
      </c>
      <c r="C54" s="2" t="inlineStr">
        <is>
          <t>Mac-Gray; CSC ServiceWorks Holdings, Inc.; CSC ServiceWorks, Inc.; Spin Holdco Inc.; CSC Fenway, Inc.</t>
        </is>
      </c>
      <c r="D54" s="2" t="inlineStr">
        <is>
          <t>Merger agreement signed</t>
        </is>
      </c>
      <c r="E54" s="2" t="n">
        <v>1</v>
      </c>
      <c r="F54" s="2" t="n">
        <v>4</v>
      </c>
      <c r="G54" s="2" t="n"/>
      <c r="H54" s="2" t="inlineStr">
        <is>
          <t>Executed: Agreement and Plan of Merger dated as of 10/14/2013 (Mac-Gray; Holdings; CSC; Spin Holdco/Parent; CSC Fenway/Merger Subsidiary). Agreed consideration: $21.25 per share in cash, without interest, less applicable withholding. Pamplona commitment letter ($594 million) delivered; no financing condition to the Buyer Entities’ obligations; Mac-Gray termination fee $11 million; CSC reverse termination fee $15 million; Pamplona damages liability capped at $50 million (Buyer Entities unlimited). Moab voting agreement executed and the MacDonald voting agreements became effective (≈15% of shares subject to voting agreements). No go-shop is reported; the Board retained a fiduciary out to accept a superior proposal on payment of the $11 million fee.</t>
        </is>
      </c>
      <c r="I54" s="2" t="n"/>
      <c r="J54" s="2" t="n"/>
      <c r="K54" s="2" t="inlineStr">
        <is>
          <t>— Stated execution and related documents: "Later in the day, on October 14, 2013, the merger agreement was executed, the Pamplona commitment letter was delivered, Moab and Parent executed the Moab voting agreement and the Mac-Donald voting agreements became effective" (p.41).— Consideration: "will be automatically converted into the right to receive $21.25 in cash, without interest and less applicable withholding taxes" (p.5).— Termination fees: "Mac-Gray has agreed to pay Parent $11 million upon the termination of the merger agreement under certain circumstances" (p.10). "then Parent will pay Mac-Gray the $15 million Parent termination fee" (p.81).— Financing: "The merger agreement does not contain any condition to the obligations of the Buyer Entities or Merger Subsidiary relating to the receipt of financing by the Buyer Entities" (p.58). "an aggregate of $594 million of capital (the Pamplona commitment amount)" (p.59).— Voting agreements: "Approximately 15% of the outstanding Mac-Gray shares on the record date for the special meeting are subject to the voting agreements" (p.82).</t>
        </is>
      </c>
      <c r="L54" s="3" t="inlineStr">
        <is>
          <t>P-077; X-001; X-005; X-025; X-019; X-020; X-026</t>
        </is>
      </c>
      <c r="M54" s="2" t="inlineStr">
        <is>
          <t>Q5</t>
        </is>
      </c>
      <c r="N54" s="2" t="n"/>
      <c r="O54" s="2" t="n"/>
      <c r="P54" s="2" t="inlineStr">
        <is>
          <t>R053</t>
        </is>
      </c>
      <c r="Q54" s="2" t="inlineStr">
        <is>
          <t>Yes</t>
        </is>
      </c>
      <c r="R54" s="2" t="n"/>
      <c r="S54" s="4" t="n">
        <v>41561</v>
      </c>
      <c r="T54" s="4" t="n">
        <v>41561</v>
      </c>
      <c r="U54" s="4" t="n">
        <v>41561</v>
      </c>
      <c r="V54" s="2" t="inlineStr">
        <is>
          <t>Reported day</t>
        </is>
      </c>
      <c r="W54" s="2" t="inlineStr">
        <is>
          <t>Reported</t>
        </is>
      </c>
      <c r="X54" s="2" t="n"/>
      <c r="Y54" s="2" t="n"/>
      <c r="Z54" s="2" t="n"/>
      <c r="AA54" s="2" t="n"/>
      <c r="AB54" s="2" t="n"/>
      <c r="AC54" s="2" t="n"/>
      <c r="AD54" s="2" t="n"/>
      <c r="AE54" s="2" t="n"/>
      <c r="AF54" s="2" t="n"/>
      <c r="AG54" s="2" t="n"/>
      <c r="AH54" s="2" t="n"/>
      <c r="AI54" s="2" t="n"/>
      <c r="AJ54" s="2" t="n"/>
      <c r="AK54" s="2" t="n"/>
      <c r="AL54" s="2" t="n">
        <v>41</v>
      </c>
      <c r="AM54" s="2" t="inlineStr">
        <is>
          <t>R052; R054; R044</t>
        </is>
      </c>
      <c r="AN54" s="2" t="inlineStr">
        <is>
          <t>Mac-Gray/CSC</t>
        </is>
      </c>
    </row>
    <row r="55">
      <c r="A55" s="2" t="n">
        <v>54</v>
      </c>
      <c r="B55" s="2" t="inlineStr">
        <is>
          <t>10/15/2013</t>
        </is>
      </c>
      <c r="C55" s="2" t="inlineStr">
        <is>
          <t>Mac-Gray and CSC ServiceWorks, Inc.</t>
        </is>
      </c>
      <c r="D55" s="2" t="inlineStr">
        <is>
          <t>Merger announced</t>
        </is>
      </c>
      <c r="E55" s="2" t="n">
        <v>1</v>
      </c>
      <c r="F55" s="2" t="inlineStr">
        <is>
          <t>post</t>
        </is>
      </c>
      <c r="G55" s="2" t="n"/>
      <c r="H55" s="2" t="inlineStr">
        <is>
          <t>Joint announcement of the execution of the merger agreement, before U.S. stock markets opened. The merger was announced as expected to close in January 2014 (first half of 2014 per the merger-agreement section); no completion is observed in this filing.</t>
        </is>
      </c>
      <c r="I55" s="2" t="n"/>
      <c r="J55" s="2" t="n"/>
      <c r="K55" s="2" t="inlineStr">
        <is>
          <t>— Stated announcement: "On October 15, 2013, before the U.S. stock markets opened, Mac-Gray and CSC jointly announced the execution of the merger agreement" (p.41).— Expected timing: "We currently expect the merger to be completed in January 2014" (p.14).</t>
        </is>
      </c>
      <c r="L55" s="3" t="inlineStr">
        <is>
          <t>P-078; X-008</t>
        </is>
      </c>
      <c r="M55" s="2" t="n"/>
      <c r="N55" s="2" t="n"/>
      <c r="O55" s="2" t="n"/>
      <c r="P55" s="2" t="inlineStr">
        <is>
          <t>R054</t>
        </is>
      </c>
      <c r="Q55" s="2" t="inlineStr">
        <is>
          <t>Yes</t>
        </is>
      </c>
      <c r="R55" s="2" t="n"/>
      <c r="S55" s="4" t="n">
        <v>41562</v>
      </c>
      <c r="T55" s="4" t="n">
        <v>41562</v>
      </c>
      <c r="U55" s="4" t="n">
        <v>41562</v>
      </c>
      <c r="V55" s="2" t="inlineStr">
        <is>
          <t>Reported day</t>
        </is>
      </c>
      <c r="W55" s="2" t="inlineStr">
        <is>
          <t>Reported</t>
        </is>
      </c>
      <c r="X55" s="2" t="n"/>
      <c r="Y55" s="2" t="n"/>
      <c r="Z55" s="2" t="n"/>
      <c r="AA55" s="2" t="n"/>
      <c r="AB55" s="2" t="n"/>
      <c r="AC55" s="2" t="n"/>
      <c r="AD55" s="2" t="n"/>
      <c r="AE55" s="2" t="n"/>
      <c r="AF55" s="2" t="n"/>
      <c r="AG55" s="2" t="n"/>
      <c r="AH55" s="2" t="n"/>
      <c r="AI55" s="2" t="n"/>
      <c r="AJ55" s="2" t="n"/>
      <c r="AK55" s="2" t="n"/>
      <c r="AL55" s="2" t="n">
        <v>41</v>
      </c>
      <c r="AM55" s="2" t="inlineStr">
        <is>
          <t>R053</t>
        </is>
      </c>
      <c r="AN55" s="2" t="inlineStr">
        <is>
          <t>Mac-Gray/CSC</t>
        </is>
      </c>
    </row>
    <row r="56">
      <c r="A56" s="2" t="n">
        <v>55</v>
      </c>
      <c r="B56" s="2" t="inlineStr">
        <is>
          <t>12/04/2013</t>
        </is>
      </c>
      <c r="C56" s="2" t="inlineStr">
        <is>
          <t>MacKenzie Partners, Inc. (proxy solicitor, Mac-Gray)</t>
        </is>
      </c>
      <c r="D56" s="2" t="inlineStr">
        <is>
          <t>Adviser service observed</t>
        </is>
      </c>
      <c r="E56" s="2" t="n">
        <v>1</v>
      </c>
      <c r="F56" s="2" t="inlineStr">
        <is>
          <t>post</t>
        </is>
      </c>
      <c r="G56" s="2" t="n"/>
      <c r="H56" s="2" t="inlineStr">
        <is>
          <t>Proxy solicitor for the special meeting; the proxy statement states Mac-Gray expects to retain MacKenzie Partners for the solicitation for a fee of approximately $15,000 plus out-of-pocket expenses and indemnification (expected retention, not a stated executed engagement).</t>
        </is>
      </c>
      <c r="I56" s="2" t="n"/>
      <c r="J56" s="2" t="n"/>
      <c r="K56" s="2" t="inlineStr">
        <is>
          <t>— Stated expected retention: "we expect to retain MacKenzie Partners, Inc. to assist in the solicitation for a fee of approximately $15,000" (p.23).</t>
        </is>
      </c>
      <c r="L56" s="3" t="inlineStr">
        <is>
          <t>X-010</t>
        </is>
      </c>
      <c r="M56" s="2" t="n"/>
      <c r="N56" s="2" t="n"/>
      <c r="O56" s="2" t="n"/>
      <c r="P56" s="2" t="inlineStr">
        <is>
          <t>R055</t>
        </is>
      </c>
      <c r="Q56" s="2" t="inlineStr">
        <is>
          <t>Yes</t>
        </is>
      </c>
      <c r="R56" s="2" t="n"/>
      <c r="S56" s="4" t="n">
        <v>41612</v>
      </c>
      <c r="T56" s="4" t="n">
        <v>41612</v>
      </c>
      <c r="U56" s="4" t="n">
        <v>41612</v>
      </c>
      <c r="V56" s="2" t="inlineStr">
        <is>
          <t>Reported day</t>
        </is>
      </c>
      <c r="W56" s="2" t="inlineStr">
        <is>
          <t>Reported</t>
        </is>
      </c>
      <c r="X56" s="2" t="n"/>
      <c r="Y56" s="2" t="n"/>
      <c r="Z56" s="2" t="n"/>
      <c r="AA56" s="2" t="n"/>
      <c r="AB56" s="2" t="n"/>
      <c r="AC56" s="2" t="n"/>
      <c r="AD56" s="2" t="n"/>
      <c r="AE56" s="2" t="n"/>
      <c r="AF56" s="2" t="n"/>
      <c r="AG56" s="2" t="n"/>
      <c r="AH56" s="2" t="n"/>
      <c r="AI56" s="2" t="n"/>
      <c r="AJ56" s="2" t="n"/>
      <c r="AK56" s="2" t="n"/>
      <c r="AL56" s="2" t="n">
        <v>23</v>
      </c>
      <c r="AM56" s="2" t="n"/>
      <c r="AN56" s="2" t="inlineStr">
        <is>
          <t>Mac-Gray/CSC</t>
        </is>
      </c>
    </row>
  </sheetData>
  <autoFilter ref="A1:AN56"/>
  <dataValidations count="15">
    <dataValidation sqref="D2:D500" showDropDown="0" showInputMessage="0" showErrorMessage="0" allowBlank="1" type="list">
      <formula1>=Lists!$A$2:$A$41</formula1>
    </dataValidation>
    <dataValidation sqref="G2:G500" showDropDown="0" showInputMessage="0" showErrorMessage="0" allowBlank="1" type="list">
      <formula1>=Lists!$B$2:$B$5</formula1>
    </dataValidation>
    <dataValidation sqref="I2:I500" showDropDown="0" showInputMessage="0" showErrorMessage="0" allowBlank="1" type="list">
      <formula1>=Lists!$C$2:$C$5</formula1>
    </dataValidation>
    <dataValidation sqref="J2:J500" showDropDown="0" showInputMessage="0" showErrorMessage="0" allowBlank="1" type="list">
      <formula1>=Lists!$D$2:$D$6</formula1>
    </dataValidation>
    <dataValidation sqref="Q2:Q500" showDropDown="0" showInputMessage="0" showErrorMessage="0" allowBlank="1" type="list">
      <formula1>=Lists!$E$2:$E$3</formula1>
    </dataValidation>
    <dataValidation sqref="V2:V500" showDropDown="0" showInputMessage="0" showErrorMessage="0" allowBlank="1" type="list">
      <formula1>=Lists!$F$2:$F$7</formula1>
    </dataValidation>
    <dataValidation sqref="W2:W500" showDropDown="0" showInputMessage="0" showErrorMessage="0" allowBlank="1" type="list">
      <formula1>=Lists!$G$2:$G$8</formula1>
    </dataValidation>
    <dataValidation sqref="Z2:Z500" showDropDown="0" showInputMessage="0" showErrorMessage="0" allowBlank="1" type="list">
      <formula1>=Lists!$H$2:$H$6</formula1>
    </dataValidation>
    <dataValidation sqref="AA2:AA500" showDropDown="0" showInputMessage="0" showErrorMessage="0" allowBlank="1" type="list">
      <formula1>=Lists!$I$2:$I$4</formula1>
    </dataValidation>
    <dataValidation sqref="AC2:AC500" showDropDown="0" showInputMessage="0" showErrorMessage="0" allowBlank="1" type="list">
      <formula1>=Lists!$J$2:$J$4</formula1>
    </dataValidation>
    <dataValidation sqref="AG2:AG500" showDropDown="0" showInputMessage="0" showErrorMessage="0" allowBlank="1" type="list">
      <formula1>=Lists!$K$2:$K$8</formula1>
    </dataValidation>
    <dataValidation sqref="AH2:AH500" showDropDown="0" showInputMessage="0" showErrorMessage="0" allowBlank="1" type="list">
      <formula1>=Lists!$L$2:$L$4</formula1>
    </dataValidation>
    <dataValidation sqref="AI2:AI500" showDropDown="0" showInputMessage="0" showErrorMessage="0" allowBlank="1" type="list">
      <formula1>=Lists!$M$2:$M$5</formula1>
    </dataValidation>
    <dataValidation sqref="AJ2:AJ500" showDropDown="0" showInputMessage="0" showErrorMessage="0" allowBlank="1" type="list">
      <formula1>=Lists!$N$2:$N$10</formula1>
    </dataValidation>
    <dataValidation sqref="AK2:AK500" showDropDown="0" showInputMessage="0" showErrorMessage="0" allowBlank="1" type="list">
      <formula1>=Lists!$O$2:$O$6</formula1>
    </dataValidation>
  </dataValidations>
  <hyperlinks>
    <hyperlink ref="L2" location="'Source text'!A3"/>
    <hyperlink ref="L3" location="'Source text'!A4"/>
    <hyperlink ref="L4" location="'Source text'!A5"/>
    <hyperlink ref="L5" location="'Source text'!A7"/>
    <hyperlink ref="L6" location="'Source text'!A6"/>
    <hyperlink ref="L7" location="'Source text'!A10"/>
    <hyperlink ref="L8" location="'Source text'!A9"/>
    <hyperlink ref="L9" location="'Source text'!A16"/>
    <hyperlink ref="L10" location="'Source text'!A19"/>
    <hyperlink ref="L11" location="'Source text'!A20"/>
    <hyperlink ref="L12" location="'Source text'!A22"/>
    <hyperlink ref="L13" location="'Source text'!A24"/>
    <hyperlink ref="L14" location="'Source text'!A24"/>
    <hyperlink ref="L15" location="'Source text'!A26"/>
    <hyperlink ref="L16" location="'Source text'!A27"/>
    <hyperlink ref="L17" location="'Source text'!A28"/>
    <hyperlink ref="L18" location="'Source text'!A24"/>
    <hyperlink ref="L19" location="'Source text'!A30"/>
    <hyperlink ref="L20" location="'Source text'!A24"/>
    <hyperlink ref="L21" location="'Source text'!A24"/>
    <hyperlink ref="L22" location="'Source text'!A24"/>
    <hyperlink ref="L23" location="'Source text'!A32"/>
    <hyperlink ref="L24" location="'Source text'!A33"/>
    <hyperlink ref="L25" location="'Source text'!A33"/>
    <hyperlink ref="L26" location="'Source text'!A35"/>
    <hyperlink ref="L27" location="'Source text'!A43"/>
    <hyperlink ref="L28" location="'Source text'!A37"/>
    <hyperlink ref="L29" location="'Source text'!A42"/>
    <hyperlink ref="L30" location="'Source text'!A44"/>
    <hyperlink ref="L31" location="'Source text'!A48"/>
    <hyperlink ref="L32" location="'Source text'!A48"/>
    <hyperlink ref="L33" location="'Source text'!A49"/>
    <hyperlink ref="L34" location="'Source text'!A49"/>
    <hyperlink ref="L35" location="'Source text'!A50"/>
    <hyperlink ref="L36" location="'Source text'!A51"/>
    <hyperlink ref="L37" location="'Source text'!A51"/>
    <hyperlink ref="L38" location="'Source text'!A54"/>
    <hyperlink ref="L39" location="'Source text'!A54"/>
    <hyperlink ref="L40" location="'Source text'!A54"/>
    <hyperlink ref="L41" location="'Source text'!A54"/>
    <hyperlink ref="L42" location="'Source text'!A56"/>
    <hyperlink ref="L43" location="'Source text'!A57"/>
    <hyperlink ref="L44" location="'Source text'!A60"/>
    <hyperlink ref="L45" location="'Source text'!A61"/>
    <hyperlink ref="L46" location="'Source text'!A61"/>
    <hyperlink ref="L47" location="'Source text'!A61"/>
    <hyperlink ref="L48" location="'Source text'!A62"/>
    <hyperlink ref="L49" location="'Source text'!A62"/>
    <hyperlink ref="L50" location="'Source text'!A59"/>
    <hyperlink ref="L51" location="'Source text'!A70"/>
    <hyperlink ref="L52" location="'Source text'!A73"/>
    <hyperlink ref="L53" location="'Source text'!A76"/>
    <hyperlink ref="L54" location="'Source text'!A78"/>
    <hyperlink ref="L55" location="'Source text'!A79"/>
    <hyperlink ref="L56" location="'Source text'!A8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0"/>
  <sheetViews>
    <sheetView workbookViewId="0">
      <pane ySplit="1" topLeftCell="A2" activePane="bottomLeft" state="frozen"/>
      <selection pane="bottomLeft" activeCell="A1" sqref="A1"/>
    </sheetView>
  </sheetViews>
  <sheetFormatPr baseColWidth="8" defaultRowHeight="15"/>
  <cols>
    <col width="34" customWidth="1" min="1" max="1"/>
    <col width="150" customWidth="1" min="2" max="2"/>
  </cols>
  <sheetData>
    <row r="1">
      <c r="A1" s="7" t="inlineStr">
        <is>
          <t>1. STATUS AND COMMERCIAL ACCOUNT</t>
        </is>
      </c>
    </row>
    <row r="2">
      <c r="A2" s="8" t="inlineStr">
        <is>
          <t>Status</t>
        </is>
      </c>
      <c r="B2" s="9" t="inlineStr">
        <is>
          <t>AI first pass; not human-approved. Prepared under the supplied instruction “Reading a merger filing into a deal ledger: extraction instruction”, revision of 19 September 2026.</t>
        </is>
      </c>
    </row>
    <row r="3">
      <c r="A3" s="8" t="inlineStr">
        <is>
          <t>Source coverage</t>
        </is>
      </c>
      <c r="B3" s="9" t="inlineStr">
        <is>
          <t>Single supplied filing: mac-gray_2013-12-04_DEFM14A.htm — Mac-Gray Corporation DEFM14A filed 12/04/2013 (177 component pages incl. Annexes A–D). Complete Background of the Merger (printed pp.27–41) transcribed in Source text; every additional passage used is X-001–X-030. No outside sources, market data or third-party knowledge used.</t>
        </is>
      </c>
    </row>
    <row r="4">
      <c r="A4" s="8" t="inlineStr">
        <is>
          <t>Account</t>
        </is>
      </c>
      <c r="B4" s="9" t="inlineStr">
        <is>
          <t>Mac-Gray, a NYSE-listed laundry-facilities manager (NYSE: TUC), faced activist pressure from Moab Partners (a ~9% holder that elected two directors at the 05/30/2013 annual meeting) and began a target-led sale review in mid-2013 under a Special Committee of six independent directors formed to manage insider-conflict issues. BofA Merrill Lynch approached 50 potential buyers (15 strategic, 35 financial); 20 signed confidentiality agreements, and four bid: strategic Party A (an industry party), strategic CSC/Pamplona (CSC ServiceWorks, a Pamplona portfolio company), and financial bidders Party B and Party C. Party A’s early $17.00–$19.00 proposal (06/21/2013) was overtaken as CSC/Pamplona raised through $18.50 (07/23), $19.50 (09/09) and $20.75 (09/18); Party B’s final package (valued by Party B at $21.50 = $19.00 cash plus options) and Party A’s best-and-final $18.00–$19.00 were judged less certain, and Party C stopped bidding without explanation. On 09/21/2013 CSC/Pamplona confirmed $21.25 all-cash as its last and best offer in exchange for a two-week exclusivity, and on 10/14/2013 — after negotiating the Mac-Gray termination fee down from $15 million to $11 million — the parties signed a $21.25 all-cash merger agreement, announced 10/15/2013.</t>
        </is>
      </c>
    </row>
    <row r="5">
      <c r="A5" s="8" t="inlineStr">
        <is>
          <t>Observed outcome</t>
        </is>
      </c>
      <c r="B5" s="9" t="inlineStr">
        <is>
          <t>Signing, not closing. No post-signing competing proposal or go-shop activity is reported; HSR clearance was awaited (waiting period expired 11/27/2013), the special meeting was set for 01/08/2014 and closing was expected in January 2014 (first half of 2014 per the merger-agreement section).</t>
        </is>
      </c>
    </row>
    <row r="6">
      <c r="A6" s="8" t="inlineStr">
        <is>
          <t>Last recheck status</t>
        </is>
      </c>
      <c r="B6" s="9" t="inlineStr">
        <is>
          <t>First delivery; no reviewer edits yet. AI original is an exact values-only copy of this ledger at delivery. Changed-cell highlighting (red bold by Row id and column vs AI original) is not implemented — an explicit Correction column is provided next to Reviewer note (see Questions, check 8).</t>
        </is>
      </c>
    </row>
    <row r="7">
      <c r="A7" s="7" t="inlineStr">
        <is>
          <t>2. DEAL FACTS</t>
        </is>
      </c>
    </row>
    <row r="8">
      <c r="A8" s="8" t="inlineStr">
        <is>
          <t>Target</t>
        </is>
      </c>
      <c r="B8" s="9" t="inlineStr">
        <is>
          <t>Mac-Gray Corporation, 404 Wyman Street, Suite 400, Waltham, Massachusetts 02451 (Delaware corporation; NYSE symbol TUC). Second-largest US laundry facilities management contractor; sells/services commercial laundry equipment through its product sales division.</t>
        </is>
      </c>
    </row>
    <row r="9">
      <c r="A9" s="8" t="inlineStr">
        <is>
          <t>Focal acquirer and type</t>
        </is>
      </c>
      <c r="B9" s="9" t="inlineStr">
        <is>
          <t>CSC ServiceWorks, Inc. (CSC), a Delaware corporation and Pamplona Capital Partners III, L.P. portfolio company — Strategic. Acquires through Spin Holdco Inc. (Parent, wholly owned by CSC), CSC Fenway, Inc. (Merger Subsidiary), with CSC ServiceWorks Holdings, Inc. (sole stockholder of CSC). Pamplona is the owner/financier of the acquirer, not a separate bidder; parent and acquisition shells are one bidder unit.</t>
        </is>
      </c>
    </row>
    <row r="10">
      <c r="A10" s="8" t="inlineStr">
        <is>
          <t>Agreed consideration</t>
        </is>
      </c>
      <c r="B10" s="9" t="inlineStr">
        <is>
          <t>$21.25 per share in cash, without interest, less applicable withholding — all cash; fixed cash payable at closing $21.25 (R053). Labelled calculation (not a filing-stated aggregate): 14,758,306 shares × $21.25 = $313,614,002.50.</t>
        </is>
      </c>
    </row>
    <row r="11">
      <c r="A11" s="8" t="inlineStr">
        <is>
          <t>Signing / announcement / completion</t>
        </is>
      </c>
      <c r="B11" s="9" t="inlineStr">
        <is>
          <t>Agreement and Plan of Merger dated as of 10/14/2013 (R053); joint announcement 10/15/2013 before market open (R054); completion not observed in this filing — expected January 2014 (merger-agreement section: first half of 2014). Expected closing kept separate from the observed record.</t>
        </is>
      </c>
    </row>
    <row r="12">
      <c r="A12" s="8" t="inlineStr">
        <is>
          <t>Filing identity</t>
        </is>
      </c>
      <c r="B12" s="9" t="inlineStr">
        <is>
          <t>Mac-Gray Corporation DEFM14A, filed 12/04/2013; source file mac-gray_2013-12-04_DEFM14A.htm; Background of the Merger at printed pp.27–41; merger agreement Annex A; BofA fairness opinion Annex B; DGCL §262 Annex C; form of voting agreement Annex D.</t>
        </is>
      </c>
    </row>
    <row r="13">
      <c r="A13" s="8" t="inlineStr">
        <is>
          <t>Vote and process protections</t>
        </is>
      </c>
      <c r="B13" s="9" t="inlineStr">
        <is>
          <t>Merger agreement adoption requires a majority of outstanding shares; voting agreements covered ≈15% of shares (Moab, Mr. MacDonald and family entities). Mac-Gray termination fee $11 million (≈3.2% of equity value per the filing); Parent termination fee $15 million (regulatory reverse fee); Pamplona damages liability capped at $50 million (Buyer Entities unlimited); no financing condition; no go-shop is reported, but the Board kept a fiduciary out for a superior proposal.</t>
        </is>
      </c>
    </row>
    <row r="14">
      <c r="A14" s="8" t="inlineStr">
        <is>
          <t>Special meeting items</t>
        </is>
      </c>
      <c r="B14" s="9" t="inlineStr">
        <is>
          <t>01/08/2014 special meeting: (1) adopt the merger agreement; (2) advisory (non-binding) "golden parachute" compensation vote; (3) adjournment proposal.</t>
        </is>
      </c>
    </row>
    <row r="15">
      <c r="A15" s="7" t="inlineStr">
        <is>
          <t>3. PROCESS AND ROUND MAP</t>
        </is>
      </c>
    </row>
    <row r="16">
      <c r="A16" s="8" t="inlineStr">
        <is>
          <t>Process 1 outcome</t>
        </is>
      </c>
      <c r="B16" s="9" t="inlineStr">
        <is>
          <t>One continuing Mac-Gray sale process (June 2013 → signing 10/14/2013). The 2011-2012 Discussions were Mac-Gray’s own attempt to acquire CSC (R001, R006) — retained only as mandate/initiation context, not a Mac-Gray sale process; no second sale attempt is observed.</t>
        </is>
      </c>
    </row>
    <row r="17">
      <c r="A17" s="8" t="inlineStr">
        <is>
          <t>Round 0 (pre-opening)</t>
        </is>
      </c>
      <c r="B17" s="9" t="inlineStr">
        <is>
          <t>Context only, no Round-opened row: 2011-2012 Discussions; 04/05/2013 Board authorization (R002); 04/08/2013 Party A contact (R003); 06/21/2013 Party A $17.00–$19.00 proposal (R009, still standing into round 1 — Party A is a round-1 participant).</t>
        </is>
      </c>
    </row>
    <row r="18">
      <c r="A18" s="8" t="inlineStr">
        <is>
          <t>Round 1 (06/24/2013 – 07/23/2013)</t>
        </is>
      </c>
      <c r="B18" s="9" t="inlineStr">
        <is>
          <t>Opened on the Special Committee’s 06/24/2013 decision to consider a sale and approach 50 parties — no outreach was reported before that directive, and execution began within days (first NDA 06/28/2013). Rejected boundary candidates preserved as rows: R002, R003, R007, R012–R013, R014. Purpose: preliminary indications of interest; deadline 07/23/2013 (set with the informational packages, R017) — Late bids accepted (Party B 07/24; Party C 07/24–07/25, considered 07/25). Round-1 bidders: 4 (three IOIs plus Party A’s standing proposal); 16 residual signers inferred non-submitters (R019, R021). Finality: Not final.</t>
        </is>
      </c>
    </row>
    <row r="19">
      <c r="A19" s="8" t="inlineStr">
        <is>
          <t>Round 2 (08/27/2013 – 09/09/2013)</t>
        </is>
      </c>
      <c r="B19" s="9" t="inlineStr">
        <is>
          <t>Opened on the 08/27/2013 letter requesting revised written proposals once all four bidders’ diligence was substantially complete (authorized 08/15/2013). Deadline 09/09/2013 — Late bids accepted (Party A and Party C 09/10, reviewed 09/11). Round-2 bidders: 4. Finality: Not final.</t>
        </is>
      </c>
    </row>
    <row r="20">
      <c r="A20" s="8" t="inlineStr">
        <is>
          <t>Round 3 (09/11/2013 – 09/24/2013)</t>
        </is>
      </c>
      <c r="B20" s="9" t="inlineStr">
        <is>
          <t>Opened on the first request for final indications of interest (calls made 09/11/2013). Deadline 09/18/2013 — Enforced (three responses; selection step 09/19). Round-3 bidders: 3 (CSC/Pamplona $20.75; Party A best-and-final reiteration; Party B $21.50 package); Party C did not submit (R040). CSC/Pamplona confirmed $21.25 last-and-best 09/21 (R042); exclusivity authorized 09/23 (R043). Finality: Announced as final.</t>
        </is>
      </c>
    </row>
    <row r="21">
      <c r="A21" s="8" t="inlineStr">
        <is>
          <t>Round 4 (09/24/2013 – 10/14/2013)</t>
        </is>
      </c>
      <c r="B21" s="9" t="inlineStr">
        <is>
          <t>Opened on the move to exclusive definitive negotiation with the selected bidder (exclusivity executed 09/24, R044; initial merger-agreement draft 09/25, R048). Round-4 bidders: 1 (CSC/Pamplona). Finality: Inferred final. Ends with signing 10/14/2013 (R053).</t>
        </is>
      </c>
    </row>
    <row r="22">
      <c r="A22" s="8" t="inlineStr">
        <is>
          <t>Post-signing</t>
        </is>
      </c>
      <c r="B22" s="9" t="inlineStr">
        <is>
          <t>No competing proposals or go-shop activity observed. Announcement 10/15/2013 (R054); proxy statement 12/04/2013 and special-meeting scheduling (R055). Signing is not treated as Process terminated.</t>
        </is>
      </c>
    </row>
    <row r="23">
      <c r="A23" s="8" t="inlineStr">
        <is>
          <t>Exclusivity history</t>
        </is>
      </c>
      <c r="B23" s="9" t="inlineStr">
        <is>
          <t>Requested with the 09/09 and 09/18 bids; authorized 09/23 (R043); executed 09/24 until 5 p.m. ET 10/12 (R044); extension authorized 10/09 (R050); letter agreement 10/12 extended to 11:59 p.m. ET 10/15 (R051).</t>
        </is>
      </c>
    </row>
    <row r="24">
      <c r="A24" s="8" t="inlineStr">
        <is>
          <t>Deadline history</t>
        </is>
      </c>
      <c r="B24" s="9" t="inlineStr">
        <is>
          <t>07/23/2013 IOI deadline (set with the packages; R017/R020) — Late bids accepted; 09/09/2013 revised-proposal deadline (R028/R029) — Late bids accepted; 09/18/2013 final-indication deadline (R035/R036) — Enforced. No bid deadline was revised or extended; the two exclusivity expiries are not bid deadlines.</t>
        </is>
      </c>
    </row>
    <row r="25">
      <c r="A25" s="7" t="inlineStr">
        <is>
          <t>4. PARTICIPANTS AND ADVISERS</t>
        </is>
      </c>
    </row>
    <row r="26">
      <c r="A26" s="8" t="inlineStr">
        <is>
          <t>Party A — Strategic</t>
        </is>
      </c>
      <c r="B26" s="9" t="inlineStr">
        <is>
          <t>Anonymized strategic party in the laundry facilities management industry. First contacted 04/08/2013 (R003); unsolicited all-cash $17.00–$19.00 proposal 06/21/2013 (R009, round 0; still standing into round 1); NDA 08/05/2013 after stalled non-solicitation terms (R027); revised IOI 09/10/2013 $18.00–$19.00 (R032); best-and-final reiteration 09/18/2013 (R038, Formal, Heavy). Closed: Dropped by target at the 09/24/2013 exclusivity execution (R045; Inferred: exclusivity; Decided by Target; reason not stated).</t>
        </is>
      </c>
    </row>
    <row r="27">
      <c r="A27" s="8" t="inlineStr">
        <is>
          <t>Party B — Financial</t>
        </is>
      </c>
      <c r="B27" s="9" t="inlineStr">
        <is>
          <t>Anonymized financial bidder. NDA 06/28/2013 (R014); IOI 07/24/2013 $17.00–$18.00 (R023); revised IOI 09/09/2013 $18.50 with no firm financing commitment (R031); final package 09/18/2013 valued by Party B at $21.50 ($19.00 cash at closing plus options worth $2.50) (R039; Formal, Heavy). Closed: Dropped by target at the 09/24/2013 exclusivity execution (R046; Inferred: exclusivity; Decided by Target; reason not stated).</t>
        </is>
      </c>
    </row>
    <row r="28">
      <c r="A28" s="8" t="inlineStr">
        <is>
          <t>Party C — Financial</t>
        </is>
      </c>
      <c r="B28" s="9" t="inlineStr">
        <is>
          <t>Anonymized financial bidder. NDA 06/30/2013 (R015); oral IOI 07/24/2013 $15.00–$17.00 and written indication 07/25/2013 $16.00–$16.50 (R024); revised oral IOI 09/10/2013 $16.00–$17.00 (R033); did not submit or reiterate in the final round and gave no reasons. Closed: Did not submit at the 09/18/2013 deadline (R040, stated).</t>
        </is>
      </c>
    </row>
    <row r="29">
      <c r="A29" s="8" t="inlineStr">
        <is>
          <t>CSC/Pamplona — Strategic (winner)</t>
        </is>
      </c>
      <c r="B29" s="9" t="inlineStr">
        <is>
          <t>CSC ServiceWorks, Inc. with Pamplona Capital Partners III, L.P. (one bidder unit; filing treats them as a strategic bidder pair). NDA 07/11/2013 (R018); IOIs $18.50 07/23 (R022), $19.50 09/09 with 100% capital commitment (R030), $20.75 09/18 (R037), $21.25 last-and-best 09/21 conditional on two-week exclusivity (R042); exclusivity 09/24 (R044); signed 10/14/2013 (R053). No exit row — the winner.</t>
        </is>
      </c>
    </row>
    <row r="30">
      <c r="A30" s="8" t="inlineStr">
        <is>
          <t>Residual cohort</t>
        </is>
      </c>
      <c r="B30" s="9" t="inlineStr">
        <is>
          <t>16 remaining financial bidders (20 signers less the four individually recorded: 2 strategic + 18 financial per the filing; Party B and Party C are individually recorded). Entry at the NDA wave (R019, Count 16); inferred non-submitters at the 07/23/2013 solicitation (R021, Count 16).</t>
        </is>
      </c>
    </row>
    <row r="31">
      <c r="A31" s="8" t="inlineStr">
        <is>
          <t>Non-entrants</t>
        </is>
      </c>
      <c r="B31" s="9" t="inlineStr">
        <is>
          <t>30 of the 50 approached parties did not sign confidentiality agreements or bid; no individual outcomes are disclosed and none are invented.</t>
        </is>
      </c>
    </row>
    <row r="32">
      <c r="A32" s="8" t="inlineStr">
        <is>
          <t>Ownership / country attributes (disclosed)</t>
        </is>
      </c>
      <c r="B32" s="9" t="inlineStr">
        <is>
          <t>Moab Capital Partners, LLC / Michael M. Rothenberg ≈9.07% (1,338,127 shares); Stewart G. MacDonald, Jr. ≈16.65% (2,456,568 shares, incl. trusts); Cynthia V. Doggett 16.65%; directors and executive officers as a group (14 persons) 35.04%; all entities Delaware/US unless stated. Mr. Rothenberg is Moab’s co-founder and General Partner; the board also included a Moab-nominated director (Mr. Hyman).</t>
        </is>
      </c>
    </row>
    <row r="33">
      <c r="A33" s="8" t="inlineStr">
        <is>
          <t>Group / funding relationships</t>
        </is>
      </c>
      <c r="B33" s="9" t="inlineStr">
        <is>
          <t>No bidding-group change occurred: no independent bidder joined (or left for) another’s bidding unit (no "Bidding group changed"/"Joined group" rows). Moab’s possible equity rollover with CSC/Pamplona was denied (07/06/2013), later permitted to be discussed and resolved without a rollover (10/07/2013) — R016, R049. Pamplona’s $594 million commitment supports the CSC bid — recorded on the bid/signing rows, not as a group change.</t>
        </is>
      </c>
    </row>
    <row r="34">
      <c r="A34" s="8" t="inlineStr">
        <is>
          <t>Advisers</t>
        </is>
      </c>
      <c r="B34" s="9" t="inlineStr">
        <is>
          <t>BofA Merrill Lynch — financial adviser to Mac-Gray: engaged 10/23/2012 for the 2011-2012 Discussions (R001), terminated 05/15/2013 (R006), re-engaged for the strategic-alternatives review 05/30–05/31/2013 (R007); fairness opinion 10/14/2013 (R052). Goodwin Procter LLP — outside legal counsel to Mac-Gray; service observed from 05/09/2013; no engagement date disclosed (R005). Kirkland &amp; Ellis LLP — outside legal counsel to CSC/Pamplona; service observed from 09/25/2013 (R048). MacKenzie Partners, Inc. — proxy solicitor; expected retention at ≈$15,000 reported 12/04/2013 (R055). No unclear client affiliations remain.</t>
        </is>
      </c>
    </row>
    <row r="35">
      <c r="A35" s="7" t="inlineStr">
        <is>
          <t>5. COUNTS AND AUCTION SCREEN</t>
        </is>
      </c>
    </row>
    <row r="36">
      <c r="A36" s="8" t="inlineStr">
        <is>
          <t>Contacts (filing assertion)</t>
        </is>
      </c>
      <c r="B36" s="9" t="inlineStr">
        <is>
          <t xml:space="preserve">50 parties contacted: 15 potential strategic buyers and 35 potential financial buyers (R012, R013). Ledger-derived contact tally (SUMIFS, Include = Yes): </t>
        </is>
      </c>
    </row>
    <row r="37">
      <c r="A37" s="8" t="inlineStr">
        <is>
          <t>Contact total formula</t>
        </is>
      </c>
      <c r="B37" s="9">
        <f>SUMIFS('Deal ledger'!$R:$R,'Deal ledger'!$D:$D,"Contact",'Deal ledger'!$E:$E,1,'Deal ledger'!$Q:$Q,"Yes")</f>
        <v/>
      </c>
    </row>
    <row r="38">
      <c r="A38" s="8" t="inlineStr">
        <is>
          <t>Contacts — reconciliation</t>
        </is>
      </c>
      <c r="B38" s="9" t="inlineStr">
        <is>
          <t>The SUMIFS = 50 (15 + 35). Row R003 (Party A first contact, 04/08/2013) carries Count 0 because Party A is already inside the 15-party strategic cohort — it is a first-contact record, not an additive unit; do not sum to 51.</t>
        </is>
      </c>
    </row>
    <row r="39">
      <c r="A39" s="8" t="inlineStr">
        <is>
          <t>NDAs (filing assertion)</t>
        </is>
      </c>
      <c r="B39" s="9" t="inlineStr">
        <is>
          <t>20 potential bidders signed confidentiality and standstill agreements: 2 strategic (Party A, CSC/Pamplona) and 18 financial (including Party B and Party C).</t>
        </is>
      </c>
    </row>
    <row r="40">
      <c r="A40" s="8" t="inlineStr">
        <is>
          <t>NDA total formula</t>
        </is>
      </c>
      <c r="B40" s="9">
        <f>SUMIFS('Deal ledger'!$R:$R,'Deal ledger'!$D:$D,"NDA signed",'Deal ledger'!$E:$E,1,'Deal ledger'!$Q:$Q,"Yes")</f>
        <v/>
      </c>
    </row>
    <row r="41">
      <c r="A41" s="8" t="inlineStr">
        <is>
          <t>NDAs — reconciliation</t>
        </is>
      </c>
      <c r="B41" s="9" t="inlineStr">
        <is>
          <t>The SUMIFS = 20: individually recorded R014 (Party B), R015 (Party C), R018 (CSC/Pamplona), R027 (Party A) + residual cohort R019 (16 financial signers) = 20. No double counting of named members.</t>
        </is>
      </c>
    </row>
    <row r="42">
      <c r="A42" s="8" t="inlineStr">
        <is>
          <t>Round-bidder tallies (ledger)</t>
        </is>
      </c>
      <c r="B42" s="9" t="inlineStr">
        <is>
          <t>Round 1: 3 Count units for round-1 submissions (R022–R024) + Party A’s standing round-0 proposal shown as a round-1 participant (R009/R011) = 4 bidders. Round 2: 4 (R030–R033). Round 3: 3 (R037, R038, R039; R042 is a Count-0 same-round increase). Round 4: 1 (selected definitive negotiator; no Bid rows).</t>
        </is>
      </c>
    </row>
    <row r="43">
      <c r="A43" s="8" t="inlineStr">
        <is>
          <t>Round 2 formula</t>
        </is>
      </c>
      <c r="B43" s="9">
        <f>SUMIFS('Deal ledger'!$R:$R,'Deal ledger'!$D:$D,"Bid",'Deal ledger'!$E:$E,1,'Deal ledger'!$F:$F,2,'Deal ledger'!$Q:$Q,"Yes")</f>
        <v/>
      </c>
    </row>
    <row r="44">
      <c r="A44" s="8" t="inlineStr">
        <is>
          <t>Round 3 formula</t>
        </is>
      </c>
      <c r="B44" s="9">
        <f>SUMIFS('Deal ledger'!$R:$R,'Deal ledger'!$D:$D,"Bid",'Deal ledger'!$F:$F,3,'Deal ledger'!$Q:$Q,"Yes")+SUMIFS('Deal ledger'!$R:$R,'Deal ledger'!$D:$D,"Bid reaffirmed",'Deal ledger'!$F:$F,3,'Deal ledger'!$Q:$Q,"Yes")</f>
        <v/>
      </c>
    </row>
    <row r="45">
      <c r="A45" s="8" t="inlineStr">
        <is>
          <t>Outcome tallies (affected units)</t>
        </is>
      </c>
      <c r="B45" s="9" t="inlineStr">
        <is>
          <t xml:space="preserve">Dropped by target: </t>
        </is>
      </c>
    </row>
    <row r="46">
      <c r="A46" s="8" t="inlineStr">
        <is>
          <t>Dropped formula</t>
        </is>
      </c>
      <c r="B46" s="9">
        <f>SUMIFS('Deal ledger'!$R:$R,'Deal ledger'!$D:$D,"Dropped by target",'Deal ledger'!$Q:$Q,"Yes")</f>
        <v/>
      </c>
    </row>
    <row r="47">
      <c r="A47" s="8" t="inlineStr">
        <is>
          <t>Did not submit</t>
        </is>
      </c>
      <c r="B47" s="9">
        <f>SUMIFS('Deal ledger'!$R:$R,'Deal ledger'!$D:$D,"Did not submit",'Deal ledger'!$Q:$Q,"Yes")</f>
        <v/>
      </c>
    </row>
    <row r="48">
      <c r="A48" s="8" t="inlineStr">
        <is>
          <t>Per-stage balance (process 1)</t>
        </is>
      </c>
      <c r="B48" s="9" t="inlineStr">
        <is>
          <t>Entered 20 (R014/R015/R018/R027 individually + R019 residual cohort = 20 signers, each counted once) − stated exits 1 (Party C, Did not submit) − inferred exits 18 (16 residual non-submitters + Party A and Party B dropped by exclusivity) = continuing 1 (CSC/Pamplona, the winner). Inferred share of exits: 18 of 19. No participant is left unclosed; the balance is exact because the filing states the signer population (20).</t>
        </is>
      </c>
    </row>
    <row r="49">
      <c r="A49" s="8" t="inlineStr">
        <is>
          <t>Auction screen</t>
        </is>
      </c>
      <c r="B49" s="9" t="inlineStr">
        <is>
          <t>Met. More than one independent prospective acquiring bidder unit executed bidder-target confidentiality agreements for the process: 20 signers including at least four independently evidenced units (Party A, CSC/Pamplona, Party B, Party C). Lender-only, adviser and rollover-holder agreements excluded (none exist here). Sample eligibility remains a research decision.</t>
        </is>
      </c>
    </row>
    <row r="50">
      <c r="A50" s="8" t="inlineStr">
        <is>
          <t>Do not add steps</t>
        </is>
      </c>
      <c r="B50" s="9" t="inlineStr">
        <is>
          <t>Contacts (50 parties reached) ≠ submissions (round-1: 3; round-2: 4; round-3: 3) ≠ unique firms (20 entrants) ≠ outcomes (19 affected units) ≠ NDA signers (20). Different steps must not be summed.</t>
        </is>
      </c>
    </row>
    <row r="51">
      <c r="A51" s="7" t="inlineStr">
        <is>
          <t>6. COMPARABILITY AND INPUTS</t>
        </is>
      </c>
    </row>
    <row r="52">
      <c r="A52" s="8" t="inlineStr">
        <is>
          <t>Shares and ownership</t>
        </is>
      </c>
      <c r="B52" s="9" t="inlineStr">
        <is>
          <t>14,758,306 shares issued and outstanding (11/27/2013); ≈104 record holders; ≈15% subject to voting agreements; Moab ≈9.07%; Mr. S. MacDonald ≈16.65%; directors and officers as a group 35.04%.</t>
        </is>
      </c>
    </row>
    <row r="53">
      <c r="A53" s="8" t="inlineStr">
        <is>
          <t>Market prices and premiums</t>
        </is>
      </c>
      <c r="B53" s="9" t="inlineStr">
        <is>
          <t>Closing prices: $14.72 on 10/11/2013 (last trading day before Board approval); $14.93 on 10/14/2013 (last full trading day before announcement); $21.30 on 11/27/2013. 52-week high for the period ending 10/11/2013: $15.61. Stated premiums vs $21.25: ≈36% over the 52-week high and ≈44% over the $14.72 close.</t>
        </is>
      </c>
    </row>
    <row r="54">
      <c r="A54" s="8" t="inlineStr">
        <is>
          <t>Adviser analyses (not offers)</t>
        </is>
      </c>
      <c r="B54" s="9" t="inlineStr">
        <is>
          <t>BofA implied per-share reference ranges from selected public companies: $13.50–$18.75 (2013E without acquisitions), $13.75–$19.00 (2013E with acquisitions), $13.75–$19.25 (2014E without), $12.75–$19.25 (2014E with) versus the $21.25 consideration; 20 selected precedent transactions included the May 1, 2013 Coinmach/Pamplona transaction. Analysis only — not recorded as bids.</t>
        </is>
      </c>
    </row>
    <row r="55">
      <c r="A55" s="8" t="inlineStr">
        <is>
          <t>Contingent / non-cash consideration</t>
        </is>
      </c>
      <c r="B55" s="9" t="inlineStr">
        <is>
          <t>Party B’s 09/18/2013 package: $19.00 cash at closing plus options = 10% of new equity, strike equal to Party B’s initial cost basis, vesting over five years on achievement of base-case management projections (excluding future acquisitions); Party B valued the options at $2.50/share, for a stated package value of $21.50. All cash = No; Cash at closing = $19.00; the $2.50 option value is not guaranteed cash.</t>
        </is>
      </c>
    </row>
    <row r="56">
      <c r="A56" s="8" t="inlineStr">
        <is>
          <t>Financing inputs</t>
        </is>
      </c>
      <c r="B56" s="9" t="inlineStr">
        <is>
          <t>Pamplona commitment letter dated 10/14/2013: $594 million of capital; no financing condition to the Buyer Entities’ obligations; Pamplona and the Buyer Entities jointly and severally liable for damages, with Pamplona capped at $50 million (Buyer Entities unlimited); CSC reverse termination fee $15 million; Mac-Gray termination fee negotiated from $15 million (Kirkland’s 10/07 proposal, ≈4.4% of equity value) to $11 million (≈3.2%).</t>
        </is>
      </c>
    </row>
    <row r="57">
      <c r="A57" s="8" t="inlineStr">
        <is>
          <t>Projections</t>
        </is>
      </c>
      <c r="B57" s="9" t="inlineStr">
        <is>
          <t>Management Projections prepared June 2013 (without-acquisitions and with-acquisitions cases; 2013–2018), provided to the Special Committee and BofA; not updated for the merger. Used in the fairness opinion.</t>
        </is>
      </c>
    </row>
    <row r="58">
      <c r="A58" s="8" t="inlineStr">
        <is>
          <t>Other-scope proposals</t>
        </is>
      </c>
      <c r="B58" s="9" t="inlineStr">
        <is>
          <t>None disclosed. All four bids were for the whole company; no segment, asset, minority-stake or other-scope proposals appear. The 2011-2012 Discussions concerned Mac-Gray’s possible acquisition of CSC and are not an other-scope bid for Mac-Gray.</t>
        </is>
      </c>
    </row>
    <row r="59">
      <c r="A59" s="8" t="inlineStr">
        <is>
          <t>Other inputs and normalization</t>
        </is>
      </c>
      <c r="B59" s="9" t="inlineStr">
        <is>
          <t>Net debt, dilution and rollover treatment are not disclosed; no currency conversion or net-debt bridge has been performed (all amounts USD). The equity-value calculation above is the only labelled conversion, using the stated 14,758,306 shares.</t>
        </is>
      </c>
    </row>
    <row r="60">
      <c r="A60" s="8" t="inlineStr">
        <is>
          <t>Glossary</t>
        </is>
      </c>
      <c r="B60" s="9" t="inlineStr">
        <is>
          <t>NDA = confidentiality/non-disclosure agreement; IOI = indication of interest; LOI = letter of intent (not used here); Party A/B/C = filing’s anonymized bidders; CSC/Pamplona = one bidder unit (CSC ServiceWorks with Pamplona as owner/financier); Round 0 = pre-opening approaches and standing proposals; Round finality = whether the round was announced/inferred final; Inferred closing = a participant closed by arithmetic/transition without a stated exit; Working date = assigned sort key with a stated method, not an observed date; Auction screen = whether &gt;1 independent bidder unit signed bidder-target confidentiality agreements.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6" customWidth="1" min="1" max="1"/>
    <col width="26" customWidth="1" min="2" max="2"/>
    <col width="70" customWidth="1" min="3" max="3"/>
    <col width="70" customWidth="1" min="4" max="4"/>
    <col width="26" customWidth="1" min="5" max="5"/>
    <col width="40" customWidth="1" min="6" max="6"/>
    <col width="10" customWidth="1" min="7" max="7"/>
    <col width="20" customWidth="1" min="8" max="8"/>
  </cols>
  <sheetData>
    <row r="1">
      <c r="A1" s="10" t="inlineStr">
        <is>
          <t>Q</t>
        </is>
      </c>
      <c r="B1" s="10" t="inlineStr">
        <is>
          <t>Review topic</t>
        </is>
      </c>
      <c r="C1" s="10" t="inlineStr">
        <is>
          <t>Recommended answer</t>
        </is>
      </c>
      <c r="D1" s="10" t="inlineStr">
        <is>
          <t>Why and source</t>
        </is>
      </c>
      <c r="E1" s="10" t="inlineStr">
        <is>
          <t>Affected rows/fields</t>
        </is>
      </c>
      <c r="F1" s="10" t="inlineStr">
        <is>
          <t>Consequence of changing it</t>
        </is>
      </c>
      <c r="G1" s="10" t="inlineStr">
        <is>
          <t>Status</t>
        </is>
      </c>
      <c r="H1" s="10" t="inlineStr">
        <is>
          <t>Reviewer note</t>
        </is>
      </c>
    </row>
    <row r="2">
      <c r="A2" s="2" t="inlineStr">
        <is>
          <t>Q1</t>
        </is>
      </c>
      <c r="B2" s="2" t="inlineStr">
        <is>
          <t>Process and round map; Round-1 anchor and rejected boundaries</t>
        </is>
      </c>
      <c r="C2" s="2" t="inlineStr">
        <is>
          <t>Adopt one process and four analytical rounds as recorded: R1 opens 06/24/2013 on the Special Committee’s decision to consider a sale and approach 50 parties (executed by BofA outreach within days; first NDA 06/28/2013); R2 opens 08/27/2013 on the revised-proposal letter; R3 opens 09/11/2013 on the first request for final indications of interest (Announced as final); R4 opens 09/24/2013 on the move to exclusive definitive negotiation with the selected bidder (Inferred final). Round 0 holds the 2011-2012 Discussions, the 04/05/2013 authorization, the 04/08/2013 Party A contact and the 06/21/2013 Party A proposal, with Party A shown as a round-1 participant because its proposal was standing when round 1 was evaluated. Alternative: the smallest map is three rounds, folding the definitive-negotiation phase into R3; if so, delete/Include=No R047 and move R044–R053 to R3.</t>
        </is>
      </c>
      <c r="D2" s="2" t="inlineStr">
        <is>
          <t>Boundaries: the filing reports no target outreach before the 06/24/2013 directive, and BofA’s contacts began within days (background pp.31–32); R3 is the first “final” request (p.36) and the exclusivity stage follows the final stage (pp.37–38). Rejected R1 boundary candidates are preserved as their own rows: R002 (authorization), R003 (Party A call), R007 (engagement letter), R012–R013 (outreach wave), R014 (first NDA). R4 rests on the instruction’s trigger “moves to definitive negotiation with selected bidders” and its “Inferred final” definition; the counter-reading is that the exclusivity is “inside an established final negotiation stage”.</t>
        </is>
      </c>
      <c r="E2" s="2" t="inlineStr">
        <is>
          <t>R010, R011 (R1); R028 (R2); R035 (R3); R043, R044, R047 (R4); boundary rows R002, R003, R007, R012–R014; Round fields and Round finality on all Round-opened rows</t>
        </is>
      </c>
      <c r="F2" s="2" t="inlineStr">
        <is>
          <t>If R4 is folded into R3: round count 4 → 3; R3 gains the definitive-negotiation phase; the R4 round-bidder tally (1) disappears; no participant outcome changes. If the R1 anchor moves to 06/28–07/23, Round 1’s opening date and some count context shift.</t>
        </is>
      </c>
      <c r="G2" s="2" t="inlineStr">
        <is>
          <t>Pending</t>
        </is>
      </c>
      <c r="H2" s="2" t="n"/>
    </row>
    <row r="3">
      <c r="A3" s="2" t="inlineStr">
        <is>
          <t>Q2</t>
        </is>
      </c>
      <c r="B3" s="2" t="inlineStr">
        <is>
          <t>Deadline history and treatments</t>
        </is>
      </c>
      <c r="C3" s="2" t="inlineStr">
        <is>
          <t>Keep as recorded: IOI deadline 07/23/2013 (set with the informational packages between 06/28 and 07/23; estimated Working date 07/10) — Late bids accepted (Party B 07/24; Party C 07/24–07/25, both considered 07/25); revised-proposal deadline 09/09/2013 — Late bids accepted (Party A and Party C 09/10, reviewed 09/11); final-indication deadline 09/18/2013 — Enforced (three responses; selection step 09/19). The exclusivity expiries (10/12, 10/15) are not bid deadlines.</t>
        </is>
      </c>
      <c r="D3" s="2" t="inlineStr">
        <is>
          <t>Deadline instructions at background pp.32 and p.35; late submissions and the meetings that considered them at pp.33–36; the 09/19 selection step at pp.36–37. No deadline revision is reported, so no Deadline revised row exists; the July 23 due date and its late acceptance are preserved in R017/R020.</t>
        </is>
      </c>
      <c r="E3" s="2" t="inlineStr">
        <is>
          <t>R017, R020 (07/23); R028, R029 (09/09); R035, R036 (09/18); Deadline treatment fields and the Summary deadline map</t>
        </is>
      </c>
      <c r="F3" s="2" t="inlineStr">
        <is>
          <t>Reclassifying 07/23 or 09/09 from Late bids accepted to Unclear/Enforced would change the deadline map and could move late bids out of their round’s submission count; the 09/18 treatment is robust unless the reviewer reads the 09/21 $21.25 confirmation as a new solicitation.</t>
        </is>
      </c>
      <c r="G3" s="2" t="inlineStr">
        <is>
          <t>Pending</t>
        </is>
      </c>
      <c r="H3" s="2" t="n"/>
    </row>
    <row r="4">
      <c r="A4" s="2" t="inlineStr">
        <is>
          <t>Q3</t>
        </is>
      </c>
      <c r="B4" s="2" t="inlineStr">
        <is>
          <t>Participants, NDA/contact counts, residual base and inferred closings</t>
        </is>
      </c>
      <c r="C4" s="2" t="inlineStr">
        <is>
          <t>Accept the population: 50 parties contacted (15 + 35), 20 NDA signers (2 strategic + 18 financial), 4 individually recorded, residual cohort of 16 financial signers. Close-outs: 16 residual non-submitters at 07/23/2013 (Count 16; Inferred: residual — 20 − 4 = 16); Party C Did not submit at 09/18/2013 (stated, Count 1); Party A and Party B Dropped by target at the 09/24/2013 exclusivity execution (Inferred: exclusivity, Count 1 each). The 30 contacted non-signers never entered and get no outcome rows.</t>
        </is>
      </c>
      <c r="D4" s="2" t="inlineStr">
        <is>
          <t>Base and continuing sets: p.32 (20 signers; 2 + 18 split) and p.34 (the four advanced at the 07/25/2013 meeting); Party C’s non-submission is expressly reported (p.36); exclusivity execution p.38 closes live rivals. Uncertainty: the base assumes all 20 signers were covered by the 07/23/2013 solicitation, but signings are described “over the next two months” (to late August) and Party A signed only on 08/05/2013 — if some residual signers post-date 07/23, the non-submitting set is smaller (or some should be closed at a later transition). Party A’s 04/08/2013 contact carries Count 0 because it sits inside the 15-party strategic cohort (R012).</t>
        </is>
      </c>
      <c r="E4" s="2" t="inlineStr">
        <is>
          <t>R003, R012–R013, R019, R021, R040, R045, R046; Count fields; Summary balance</t>
        </is>
      </c>
      <c r="F4" s="2" t="inlineStr">
        <is>
          <t>Splitting or resizing the residual cohort changes the inferred-exit count and the per-stage balance; if any of the 16 later submitted an IOI not reported in the narrative, the residual overstates non-submission — the filing’s exhaustive-sounding list (Party B, Party C, CSC/Pamplona and Party A’s standing proposal) argues against that.</t>
        </is>
      </c>
      <c r="G4" s="2" t="inlineStr">
        <is>
          <t>Pending</t>
        </is>
      </c>
      <c r="H4" s="2" t="n"/>
    </row>
    <row r="5">
      <c r="A5" s="2" t="inlineStr">
        <is>
          <t>Q4</t>
        </is>
      </c>
      <c r="B5" s="2" t="inlineStr">
        <is>
          <t>Formality and conditions borderlines</t>
        </is>
      </c>
      <c r="C5" s="2" t="inlineStr">
        <is>
          <t>As recorded: July IOIs are Informal and Heavy by context (made before data-room/management access); September revised IOIs remain Informal except the three final-round responses, which are Formal (R037, R038, R039 — responses on the requested basis to the 09/11/2013 final-indications request), with Party A Formal on an oral best-and-final price confirmation; conditions are Heavy for Party A and Party B (no firm financing commitment), Light for CSC/Pamplona (Pamplona committed 100% of capital; no diligence condition attached) and Light for the 09/21/2013 $21.25 confirmation (carried forward). No Conditions level turns on a stated diligence period, no row is None, and there is no late reconfirmation row (the winner’s latest priced bid is Formal and sits in an Announced-as-final round, so the section 9.1 late-reconfirmation test fails).</t>
        </is>
      </c>
      <c r="D5" s="2" t="inlineStr">
        <is>
          <t>Formality signals: final-indications request p.36; responses p.36. Conditions: no firm commitment for Party B (p.35) and Party A/Party C (p.35); Pamplona commitment (pp.35–36); pre-access IOIs (pp.33–34 data-room staging). The winner reached signing with a Formal row (R037) — no gap.</t>
        </is>
      </c>
      <c r="E5" s="2" t="inlineStr">
        <is>
          <t>R009, R022–R024, R030–R033, R037–R039, R042; Formality, Conditions level and Conditions detail fields</t>
        </is>
      </c>
      <c r="F5" s="2" t="inlineStr">
        <is>
          <t>Reclassifying any September IOI as Informal, or the final responses as Formal, changes the formality tallies and the Conditions detail strings; prices, outcomes and the round map are unaffected.</t>
        </is>
      </c>
      <c r="G5" s="2" t="inlineStr">
        <is>
          <t>Pending</t>
        </is>
      </c>
      <c r="H5" s="2" t="n"/>
    </row>
    <row r="6">
      <c r="A6" s="2" t="inlineStr">
        <is>
          <t>Q5</t>
        </is>
      </c>
      <c r="B6" s="2" t="inlineStr">
        <is>
          <t>Price and consideration conventions; scope</t>
        </is>
      </c>
      <c r="C6" s="2" t="inlineStr">
        <is>
          <t>Keep as recorded: per-share cells in USD only; Party A’s ranges as Bidder range with Carried forward on the 09/18/2013 reaffirmation; Party B’s 09/18/2013 package entered as a Point at $21.50 (Party B’s stated value) with All cash = No and Cash at closing $19.00; Party C’s oral-to-written July indications treated as one bid with the written range recorded; no Bound only rows; no other-scope bids; signing row carries the agreed $21.25 in text only (no price cells).</t>
        </is>
      </c>
      <c r="D6" s="2" t="inlineStr">
        <is>
          <t>Package value: p.36 (“Party B valued at $21.50 … $19.00 of cash … options … valued the Party B options at $2.50”); carried price p.36 (reiteration of the previous $18.00–$19.00 indication); one-communication convention applied to Party C (pp.33–34); no other-scope proposals appear anywhere in the filing.</t>
        </is>
      </c>
      <c r="E6" s="2" t="inlineStr">
        <is>
          <t>R024, R032, R038, R039, R053; Price low/high/kind/origin, All cash, Cash at closing, Terms or outcome</t>
        </is>
      </c>
      <c r="F6" s="2" t="inlineStr">
        <is>
          <t>If the reviewer prefers not to enter bidder-assigned package values in price cells, blank R039’s price cells and keep $21.50/$19.00/$2.50 in text; carried-forward vs restated on R038 changes Price origin only. No totals depend on these cells.</t>
        </is>
      </c>
      <c r="G6" s="2" t="inlineStr">
        <is>
          <t>Pending</t>
        </is>
      </c>
      <c r="H6" s="2" t="n"/>
    </row>
    <row r="7">
      <c r="A7" s="2" t="inlineStr">
        <is>
          <t>Q6</t>
        </is>
      </c>
      <c r="B7" s="2" t="inlineStr">
        <is>
          <t>Moab/MacDonald rollover rows and the two-row convention</t>
        </is>
      </c>
      <c r="C7" s="2" t="inlineStr">
        <is>
          <t>Keep three rows: R016 (rollover denied as premature, 07/06/2013), R034 (Mr. MacDonald’s rollover question resolved and his support position, 09/11–09/12/2013) and R049 (Moab discussions permitted 09/23/2013 and resolved without a rollover, reported 10/07/2013). No separate row for the 09/23/2013 permission, per the instruction’s “at most one row when permitted, denied or formed and one when resolved” convention for rollover relationships.</t>
        </is>
      </c>
      <c r="D7" s="2" t="inlineStr">
        <is>
          <t>Denial and rationale p.32–33; permission p.38; discussions and determination pp.38–39; MacDonald’s position pp.35–36. The filing never shows a formed rollover or any financing-support relationship between Moab and CSC/Pamplona, and no voting/group change results.</t>
        </is>
      </c>
      <c r="E7" s="2" t="inlineStr">
        <is>
          <t>R016, R034, R049; Material process update rows; Summary group/funding note</t>
        </is>
      </c>
      <c r="F7" s="2" t="inlineStr">
        <is>
          <t>Adding a fourth row for the 09/23/2013 permission changes row counts only; reclassifying these as Bidding group changed would be wrong (a rollover holder is not a bidding-unit member) and would distort the unit counts.</t>
        </is>
      </c>
      <c r="G7" s="2" t="inlineStr">
        <is>
          <t>Pending</t>
        </is>
      </c>
      <c r="H7" s="2" t="n"/>
    </row>
    <row r="8">
      <c r="A8" s="2" t="inlineStr">
        <is>
          <t>Q7</t>
        </is>
      </c>
      <c r="B8" s="2" t="inlineStr">
        <is>
          <t>Assigned Working dates and display order within rounds</t>
        </is>
      </c>
      <c r="C8" s="2" t="inlineStr">
        <is>
          <t>Accept the disclosed conventions: R012/R013 (wave) use the first day of the reported window (06/24/2013); R017 uses the midpoint of 06/28–07/23 (07/10/2013); R019 is moved earlier inside its window to 07/23/2013 (Assigned: sequence) so the residual cohort’s entry precedes its inferred non-submission; R024 and R034 use the first day of a reported interval; R045/R046 use the transition date (Assigned: decision day); R049 uses the 10/07/2013 report bound. Sorting by Working date with # as tiebreak reproduces the reading order; no Working date falls outside its own window. Source quirks retained: the filing’s “July 27, 2103” typo (R027; intended 2013) and a duplicated sentence in the informational-package paragraph (Source text P-023).</t>
        </is>
      </c>
      <c r="D8" s="2" t="inlineStr">
        <is>
          <t>Rules applied from the instruction, section 8.1; the order constraint drove R019’s sequence assignment (entry must precede R021’s inferred closing); each affected row’s reason states its convention.</t>
        </is>
      </c>
      <c r="E8" s="2" t="inlineStr">
        <is>
          <t>R012, R013, R017, R019, R024, R034, R045, R046, R049; Date from/to, Working date, Date basis/method fields</t>
        </is>
      </c>
      <c r="F8" s="2" t="inlineStr">
        <is>
          <t>Changing any convention moves only display order (and possibly the entry-before-outcome check for R019/R021); facts, counts and outcomes are unaffected.</t>
        </is>
      </c>
      <c r="G8" s="2" t="inlineStr">
        <is>
          <t>Pending</t>
        </is>
      </c>
      <c r="H8" s="2" t="n"/>
    </row>
    <row r="9">
      <c r="A9" s="2" t="inlineStr">
        <is>
          <t>Q8</t>
        </is>
      </c>
      <c r="B9" s="2" t="inlineStr">
        <is>
          <t>Exclusivity row granularity</t>
        </is>
      </c>
      <c r="C9" s="2" t="inlineStr">
        <is>
          <t>Keep four Exclusivity changed rows: authorized 09/23/2013 (R043), executed 09/24/2013 (R044), extension authorized 10/09/2013 (R050), extended by letter agreement 10/12/2013 (R051), each stating the actual vs scheduled state. Alternative: merge authorized+executed and authorized+extended into two rows (granted; extended).</t>
        </is>
      </c>
      <c r="D9" s="2" t="inlineStr">
        <is>
          <t>Authorization p.38 and execution p.38; extension request and authorization pp.40–41; letter agreement p.41. The instruction asks the row to state which state (requested/authorized/granted/extended/ended) it records.</t>
        </is>
      </c>
      <c r="E9" s="2" t="inlineStr">
        <is>
          <t>R043, R044, R050, R051; Exclusivity changed rows and Summary exclusivity history</t>
        </is>
      </c>
      <c r="F9" s="2" t="inlineStr">
        <is>
          <t>Merging to two rows changes row count and the exact timing record for the 09/23 authorization and 10/09 authorization; no bid, count or outcome changes.</t>
        </is>
      </c>
      <c r="G9" s="2" t="inlineStr">
        <is>
          <t>Pending</t>
        </is>
      </c>
      <c r="H9" s="2" t="n"/>
    </row>
    <row r="11">
      <c r="A11" s="7" t="inlineStr">
        <is>
          <t>CHECK RESULTS (instruction section 13) — run on this delivered version</t>
        </is>
      </c>
    </row>
    <row r="12">
      <c r="B12" s="11" t="inlineStr">
        <is>
          <t>Check</t>
        </is>
      </c>
      <c r="C12" s="11" t="inlineStr">
        <is>
          <t>Scope and method</t>
        </is>
      </c>
      <c r="D12" s="11" t="inlineStr">
        <is>
          <t>Result</t>
        </is>
      </c>
      <c r="E12" s="11" t="inlineStr">
        <is>
          <t>Notes / affected rows; consequences</t>
        </is>
      </c>
    </row>
    <row r="13">
      <c r="B13" s="2" t="inlineStr">
        <is>
          <t>1. Coverage and materiality</t>
        </is>
      </c>
      <c r="C13" s="2" t="inlineStr">
        <is>
          <t>Reading the full filing against the ledger</t>
        </is>
      </c>
      <c r="D13" s="2" t="inlineStr">
        <is>
          <t>Passed</t>
        </is>
      </c>
      <c r="E13" s="2" t="inlineStr">
        <is>
          <t>All disclosed core proposals (11 priced Bid rows + R038 reaffirmation + R042 increase), contacts and NDAs (50 approached; 20 signed), the differentiated-access decision (R026), selection/exclusivity (R041–R047), signing (R053) and announcement (R054) are accounted for; regulatory/litigation facts are confined to Summary. Supplied-source limits (single filing; no post-DEC-2013 events) stated in Summary; inferred closings explicit.</t>
        </is>
      </c>
    </row>
    <row r="14">
      <c r="B14" s="2" t="inlineStr">
        <is>
          <t>2. Counts and population</t>
        </is>
      </c>
      <c r="C14" s="2" t="inlineStr">
        <is>
          <t>Formula/logic check and Summary reconciliation</t>
        </is>
      </c>
      <c r="D14" s="2" t="inlineStr">
        <is>
          <t>Qualified</t>
        </is>
      </c>
      <c r="E14" s="2" t="inlineStr">
        <is>
          <t>Sums reconcile: contacts 50 (15+35; R003 Count 0), NDAs 20 (4 named + 16 residual), round bidders 4/4/3/1, outcomes 2 dropped + 17 did-not-submit + 1 winner = 20 entrants. Qualification: the residual base assumes all 20 signers were eligible for the 07/23/2013 solicitation (some signings may be later — Q3); Party A contact overlap documented rather than silently zeroed.</t>
        </is>
      </c>
    </row>
    <row r="15">
      <c r="B15" s="2" t="inlineStr">
        <is>
          <t>3. Participation continuity</t>
        </is>
      </c>
      <c r="C15" s="2" t="inlineStr">
        <is>
          <t>Per-bidder history and per-stage stock</t>
        </is>
      </c>
      <c r="D15" s="2" t="inlineStr">
        <is>
          <t>Passed</t>
        </is>
      </c>
      <c r="E15" s="2" t="inlineStr">
        <is>
          <t>Each of the 20 entrants closes exactly once: Party C stated; 16 residual + Party A + Party B inferred; CSC/Pamplona signs. Stock never negative and only the winner remains after 09/24/2013. No bid, reaffirmation or resumed diligence follows a recorded outcome, so no Re-entered row is required.</t>
        </is>
      </c>
    </row>
    <row r="16">
      <c r="B16" s="2" t="inlineStr">
        <is>
          <t>4. Dates and order</t>
        </is>
      </c>
      <c r="C16" s="2" t="inlineStr">
        <is>
          <t>Programmatic check of ordering and windows; reading check of intervals</t>
        </is>
      </c>
      <c r="D16" s="2" t="inlineStr">
        <is>
          <t>Qualified</t>
        </is>
      </c>
      <c r="E16" s="2" t="inlineStr">
        <is>
          <t>All Working dates are filled and non-decreasing in # order; each lies inside its row’s Date from/to; Reported/Inferred methods pair exactly with their bases; assigned methods used elsewhere. Qualification: the conventions in Q7 (bounds, midpoints, sequence) are analytical; not recalculated in Excel (written formulas verified programmatically).</t>
        </is>
      </c>
    </row>
    <row r="17">
      <c r="B17" s="2" t="inlineStr">
        <is>
          <t>5. Offers and classifications</t>
        </is>
      </c>
      <c r="C17" s="2" t="inlineStr">
        <is>
          <t>Field-level review of all Bid/Bid reaffirmed rows</t>
        </is>
      </c>
      <c r="D17" s="2" t="inlineStr">
        <is>
          <t>Qualified</t>
        </is>
      </c>
      <c r="E17" s="2" t="inlineStr">
        <is>
          <t>Every Bid/Bid reaffirmed row has Formality, Conditions level and a fixed-format Conditions detail string; price kinds/origins/cash flags agree with the text; signing has no price/formality/conditions cells; Party B’s package is All cash = No with $19.00 closing cash. Qualification: the formality and Heavy-by-context calls are judgment (Q4); Party B’s bidder-assigned option value is recorded per the package convention (Q5).</t>
        </is>
      </c>
    </row>
    <row r="18">
      <c r="B18" s="2" t="inlineStr">
        <is>
          <t>6. Structure and consistency</t>
        </is>
      </c>
      <c r="C18" s="2" t="inlineStr">
        <is>
          <t>Structural audit across ledger and Summary</t>
        </is>
      </c>
      <c r="D18" s="2" t="inlineStr">
        <is>
          <t>Passed</t>
        </is>
      </c>
      <c r="E18" s="2" t="inlineStr">
        <is>
          <t>One Round opened row per round (R011, R028, R035, R047), each with Round finality; R011 carries the R1 anchor tag with candidate Row ids; each Deadline row’s treatment matches the Summary map; every inferred row opens with its Outcome basis; Related rows point to prior (not self/future) records; Page filled wherever Source is.</t>
        </is>
      </c>
    </row>
    <row r="19">
      <c r="B19" s="2" t="inlineStr">
        <is>
          <t>7. Evidence</t>
        </is>
      </c>
      <c r="C19" s="2" t="inlineStr">
        <is>
          <t>Programmatic quotation matching plus interpretation read</t>
        </is>
      </c>
      <c r="D19" s="2" t="inlineStr">
        <is>
          <t>Passed</t>
        </is>
      </c>
      <c r="E19" s="2" t="inlineStr">
        <is>
          <t>Every quotation used was matched to the cited passage in the source text (whitespace-normalized; filing typography preserved, including the “July 27, 2103” typo and the duplicated sentence in P-023); page citations verified against the printed-page map; cross-paragraph premises cited (e.g., formality signals and the residual base). Text matching alone does not validate interpretation — judgment items are in Q1–Q8.</t>
        </is>
      </c>
    </row>
    <row r="20">
      <c r="B20" s="2" t="inlineStr">
        <is>
          <t>8. Review and workbook operation</t>
        </is>
      </c>
      <c r="C20" s="2" t="inlineStr">
        <is>
          <t>Workbook open/re-save text and structural inspection</t>
        </is>
      </c>
      <c r="D20" s="2" t="inlineStr">
        <is>
          <t>Qualified</t>
        </is>
      </c>
      <c r="E20" s="2" t="inlineStr">
        <is>
          <t>Question links and Affected-row references resolve to existing Row ids; drop-down lists written for all controlled columns; Source hyperlinks written and verified present after save (internal “location” links, no external targets); Summary formulas written and their arithmetic verified programmatically, but NOT recalculated or tested in a spreadsheet application — LibreOffice is unavailable in this environment (it crashes on load) and Excel was not runnable here. Changed-cell highlighting is NOT implemented: AI original is retained as the values baseline and a Correction column is provided beside Reviewer note; no automatic baseline comparison or dependent-update mechanism is claimed.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09"/>
  <sheetViews>
    <sheetView workbookViewId="0">
      <pane ySplit="1" topLeftCell="A2" activePane="bottomLeft" state="frozen"/>
      <selection pane="bottomLeft" activeCell="A1" sqref="A1"/>
    </sheetView>
  </sheetViews>
  <sheetFormatPr baseColWidth="8" defaultRowHeight="15"/>
  <cols>
    <col width="11" customWidth="1" min="1" max="1"/>
    <col width="46" customWidth="1" min="2" max="2"/>
    <col width="8" customWidth="1" min="3" max="3"/>
    <col width="150" customWidth="1" min="4" max="4"/>
  </cols>
  <sheetData>
    <row r="1">
      <c r="A1" s="12" t="inlineStr">
        <is>
          <t>Paragraph</t>
        </is>
      </c>
      <c r="B1" s="12" t="inlineStr">
        <is>
          <t>Section</t>
        </is>
      </c>
      <c r="C1" s="12" t="inlineStr">
        <is>
          <t>Page</t>
        </is>
      </c>
      <c r="D1" s="12" t="inlineStr">
        <is>
          <t>Text</t>
        </is>
      </c>
    </row>
    <row r="2">
      <c r="A2" t="inlineStr">
        <is>
          <t>P-001</t>
        </is>
      </c>
      <c r="B2" t="inlineStr">
        <is>
          <t>THE MERGER — Background of the Merger</t>
        </is>
      </c>
      <c r="C2" t="inlineStr">
        <is>
          <t>27</t>
        </is>
      </c>
      <c r="D2" s="9" t="inlineStr">
        <is>
          <t>The Mac-Gray Board of Directors, whom we sometimes to refer to as the Board, and Mac-Gray's management have continually engaged in a review of Mac-Gray's business plans and other strategic alternatives as part of their ongoing activities. This process has included evaluating prospects and options pertaining to Mac-Gray's business, the markets in which it competes, organic initiatives, and possible strategic transactions, such as mergers, acquisitions and dispositions, in each case with a view towards enhancing value for Mac-Gray's stockholders.</t>
        </is>
      </c>
    </row>
    <row r="3">
      <c r="A3" t="inlineStr">
        <is>
          <t>P-002</t>
        </is>
      </c>
      <c r="B3" t="inlineStr">
        <is>
          <t>THE MERGER — Background of the Merger</t>
        </is>
      </c>
      <c r="C3" t="inlineStr">
        <is>
          <t>27</t>
        </is>
      </c>
      <c r="D3" s="9" t="inlineStr">
        <is>
          <t>Certain potential strategic transactions have been discussed from time to time between Mac-Gray and CSC and other participants in the laundry facilities management industry, including discussions between Mac-Gray and CSC in the winter of 2011 and into 2012 regarding the possible acquisition of CSC by Mac-Gray. In connection with Mac-Gray's consideration of a possible acquisition of CSC, which we refer to as the 2011-2012 Discussions, Mac-Gray engaged BofA Merrill Lynch on October 23, 2012. During the fall and winter of 2012, CSC engaged in a sale process and, ultimately, CSC was purchased by Pamplona in May 2013.</t>
        </is>
      </c>
    </row>
    <row r="4">
      <c r="A4" t="inlineStr">
        <is>
          <t>P-003</t>
        </is>
      </c>
      <c r="B4" t="inlineStr">
        <is>
          <t>THE MERGER — Background of the Merger</t>
        </is>
      </c>
      <c r="C4" t="inlineStr">
        <is>
          <t>27</t>
        </is>
      </c>
      <c r="D4" s="9" t="inlineStr">
        <is>
          <t>As part of its ongoing review of strategic alternatives, at an in-person meeting of the Board on April 5, 2013, the Board discussed the sale of CSC to Pamplona as well as industry-wide merger and acquisition activity and dynamics, and authorized Mac-Gray management to work with BofA Merrill Lynch to explore transactional opportunities that might be available to Mac-Gray, including opportunities with another strategic party, whom we refer to as Party A, in the laundry facilities management industry. The Board also determined to further consider Mac-Gray's strategic alternatives at its meeting scheduled for May 9, 2013.</t>
        </is>
      </c>
    </row>
    <row r="5">
      <c r="A5" t="inlineStr">
        <is>
          <t>P-004</t>
        </is>
      </c>
      <c r="B5" t="inlineStr">
        <is>
          <t>THE MERGER — Background of the Merger</t>
        </is>
      </c>
      <c r="C5" t="inlineStr">
        <is>
          <t>27</t>
        </is>
      </c>
      <c r="D5" s="9" t="inlineStr">
        <is>
          <t>On April 8, 2013, representatives of BofA Merrill Lynch, as instructed by the Board, telephoned a representative of Party A to discuss generally a possible business combination between Party A and Mac-Gray. During this call, the representative of Party A indicated that Party A might consider a business combination with Mac-Gray.</t>
        </is>
      </c>
    </row>
    <row r="6">
      <c r="A6" t="inlineStr">
        <is>
          <t>P-005</t>
        </is>
      </c>
      <c r="B6" t="inlineStr">
        <is>
          <t>THE MERGER — Background of the Merger</t>
        </is>
      </c>
      <c r="C6" t="inlineStr">
        <is>
          <t>27-28</t>
        </is>
      </c>
      <c r="D6" s="9" t="inlineStr">
        <is>
          <t>On May 9, 2013, the Mac-Gray Board of Directors held a regularly scheduled in-person meeting. By invitation of the Board, Stewart G. MacDonald, Jr., our chief executive officer, Michael J. Shea, our executive vice president and chief financial officer, Neil MacLellan and Phil Emma, executive vice presidents at Mac-Gray, Linda Serafini, our vice president, general counsel and secretary, and representatives from BofA Merrill Lynch and Goodwin Procter LLP, outside legal counsel to Mac-Gray, were also in attendance for all or portions of the meeting. At this meeting, BofA Merrill Lynch discussed CSC's sale process and the acquisition environment generally and provided an overview of strategic alternatives for Mac-Gray, including the continued pursuit of Mac-Gray's existing business plan, a significant stock repurchase program, acquisition opportunities and the possibility of a sale process. With respect to a potential sale process, BofA Merrill Lynch discussed the then-current merger and acquisition environment and Mac-Gray's potential attractiveness as an acquisition target, including a general overview of potential valuation parameters. BofA Merrill Lynch also reported on its conversation with the representative of Party A, who had expressed interest in pursuing a possible business combination with Mac-Gray. Management and BofA Merrill Lynch also reviewed with the Board potential opportunities if Mac-Gray were to remain independent, including the ability to improve profitability and EBITDA margins by increasing scale and density through organic growth and/or strategic acquisitions as well as the ability to increase revenue through vend increases and the conversion from coin-operated technology to card-based technology. In considering these alternatives, the Board considered the risks associated with executing and achieving Mac-Gray's short and long-term business and financial objectives, including Mac-Gray's ability to identify, acquire and successfully integrate laundry facilities management businesses, establish new and/or renew existing laundry facility management leases and penetrate markets historically dominated by smaller local and regional operators, the impact of general economic and market trends on Mac-Gray's sales and the general risks of market conditions that could reduce Mac-Gray's stock price.</t>
        </is>
      </c>
    </row>
    <row r="7">
      <c r="A7" t="inlineStr">
        <is>
          <t>P-006</t>
        </is>
      </c>
      <c r="B7" t="inlineStr">
        <is>
          <t>THE MERGER — Background of the Merger</t>
        </is>
      </c>
      <c r="C7" t="inlineStr">
        <is>
          <t>28</t>
        </is>
      </c>
      <c r="D7" s="9" t="inlineStr">
        <is>
          <t>After a review of these opportunities and risks, the Board engaged in a general discussion concerning whether it might be advisable to approach and discuss a potential sale transaction with third parties at this time as a means by which to deliver value to the stockholders of Mac-Gray. The Board discussed the potential risks and benefits of commencing a process in which parties would be invited to review confidential information and submit indications of interest with respect to a potential business combination involving Mac-Gray. In particular, the Board discussed the potential disruptions to Mac-Gray's business, the risk of leaks that might arise from approaching potential acquirors within the industry and the impact on Mac-Gray's business that could result from any such leaks, including the potential loss of customers, suppliers and employees resulting from uncertainty over the future of Mac-Gray. The Board also discussed the potential need to disclose during such process sensitive, proprietary and confidential information to competitors and potential competitors.</t>
        </is>
      </c>
    </row>
    <row r="8">
      <c r="A8" t="inlineStr">
        <is>
          <t>P-007</t>
        </is>
      </c>
      <c r="B8" t="inlineStr">
        <is>
          <t>THE MERGER — Background of the Merger</t>
        </is>
      </c>
      <c r="C8" t="inlineStr">
        <is>
          <t>28</t>
        </is>
      </c>
      <c r="D8" s="9" t="inlineStr">
        <is>
          <t>After BofA Merrill Lynch and management left the meeting, a representative of Goodwin Procter provided an overview of the Board's fiduciary duties and the Board discussed engaging a financial advisor to assist the Board in considering strategic alternatives, including a sale process. To assist in the administration of the strategic alternatives review, the Board formed a transaction committee at this meeting, which we refer to as the Transaction Committee, and appointed Thomas Bullock and Paul Daoust, both independent directors, to serve as its members. Mr. Daoust was appointed because of his knowledge of and experience with mergers and acquisitions, including as president, chief executive officer and board member of Salary.com when it was sold in 2010. Mr. Bullock was appointed because of his knowledge of Mac-Gray and our business, given his tenure on the Board (since November 2000) and his chairmanship role. Further, both Mr. Daoust and Mr. Bullock indicated that they would be able to commit sufficient time to undertake the responsibilities associated with membership on the Transaction Committee. The Transaction Committee was charged with recommending to the Board the selection and engagement of a financial advisor to assist the Board in seeking and considering strategic alternatives, including but not limited to a merger, consolidation, business combination, recapitalization, restructuring, going-private or other strategic transaction or alternative that might be available to Mac-Gray in lieu of pursuing any of the foregoing. The Board also delegated to the Transaction Committee authority to take any administrative actions in connection with the Board's exploration of strategic alternatives. The Board concluded that it would discuss the review of strategic alternatives, including engaging in a potential sale process, at its next meeting so that the Board would have additional time to consider the risks and benefits of the various alternatives discussed.</t>
        </is>
      </c>
    </row>
    <row r="9">
      <c r="A9" t="inlineStr">
        <is>
          <t>P-008</t>
        </is>
      </c>
      <c r="B9" t="inlineStr">
        <is>
          <t>THE MERGER — Background of the Merger</t>
        </is>
      </c>
      <c r="C9" t="inlineStr">
        <is>
          <t>28</t>
        </is>
      </c>
      <c r="D9" s="9" t="inlineStr">
        <is>
          <t>On May 10, 2013, the Transaction Committee and representatives of Goodwin Procter held a meeting by telephone conference call. The Transaction Committee discussed the process for hiring a financial advisor for a review of strategic alternatives and determined to invite three nationally recognized investment banks to submit proposals. The members of the Transaction Committee also discussed what role, if any, members of Mac-Gray management should have in connection with the Board's consideration of strategic alternatives. In this regard, the Transaction Committee considered the fact that, in view of the significant stock ownership of Mr. MacDonald and his family, coupled with the possibility that the strategic alternatives process might result in third parties who would be interested in partnering with Mr. MacDonald (either through continued employment and/or contribution of some or all of his existing equity, a so-called equity "rollover"), Mr. MacDonald could have interests that would not be aligned with other Mac-Gray stockholders. As such, the Transaction Committee determined to recommend to the Board at an upcoming meeting that, as a general matter, Mr. MacDonald should not be permitted to participate in the Board's evaluation of strategic alternatives or any negotiations with any interested parties in a sale process. The Transaction Committee noted, however, that Mr. MacDonald would be invited to provide perspectives to the Board on Mac-Gray's operations and business on an as-requested basis.</t>
        </is>
      </c>
    </row>
    <row r="10">
      <c r="A10" t="inlineStr">
        <is>
          <t>P-009</t>
        </is>
      </c>
      <c r="B10" t="inlineStr">
        <is>
          <t>THE MERGER — Background of the Merger</t>
        </is>
      </c>
      <c r="C10" t="inlineStr">
        <is>
          <t>29</t>
        </is>
      </c>
      <c r="D10" s="9" t="inlineStr">
        <is>
          <t>On May 14, 2013, the Transaction Committee and representatives of Goodwin Procter held a meeting by telephone conference call. The Transaction Committee discussed further the process for hiring a financial advisor for a review of strategic alternatives. Given that BofA Merrill Lynch was one of the investment banks to be invited to submit a proposal and that the CSC sale process had ended, the Transaction Committee determined to terminate BofA Merrill Lynch's engagement letter entered into for purposes of the 2011-2012 Discussions.</t>
        </is>
      </c>
    </row>
    <row r="11">
      <c r="A11" t="inlineStr">
        <is>
          <t>P-010</t>
        </is>
      </c>
      <c r="B11" t="inlineStr">
        <is>
          <t>THE MERGER — Background of the Merger</t>
        </is>
      </c>
      <c r="C11" t="inlineStr">
        <is>
          <t>29</t>
        </is>
      </c>
      <c r="D11" s="9" t="inlineStr">
        <is>
          <t>On May 15, 2013, Mac-Gray sent a letter to BofA Merrill Lynch terminating their engagement in connection with the 2011-2012 Discussions.</t>
        </is>
      </c>
    </row>
    <row r="12">
      <c r="A12" t="inlineStr">
        <is>
          <t>P-011</t>
        </is>
      </c>
      <c r="B12" t="inlineStr">
        <is>
          <t>THE MERGER — Background of the Merger</t>
        </is>
      </c>
      <c r="C12" t="inlineStr">
        <is>
          <t>29</t>
        </is>
      </c>
      <c r="D12" s="9" t="inlineStr">
        <is>
          <t>On May 22, 2013, the Mac-Gray Board of Directors held a regularly scheduled in-person meeting. By invitation of the Board, Mr. MacDonald, Mr. Shea, Mr. MacLellan, Mr. Emma, Ms. Serafini and representatives of Goodwin Procter were also present for all or portions of the meeting. At the request of the Board, at this meeting Mr. MacDonald provided an overview of Mac-Gray's acquisition strategy and recent acquisitions within the industry, and Mr. MacLellan reviewed Mac-Gray's recently completed acquisitions with the Board. Also at this meeting, in addition to routine and administrative matters and the approval of Mac-Gray's quarterly common stock dividend, the Board appointed Mr. Daoust as chairman of the Transaction Committee during an executive session that excluded all members of management.</t>
        </is>
      </c>
    </row>
    <row r="13">
      <c r="A13" t="inlineStr">
        <is>
          <t>P-012</t>
        </is>
      </c>
      <c r="B13" t="inlineStr">
        <is>
          <t>THE MERGER — Background of the Merger</t>
        </is>
      </c>
      <c r="C13" t="inlineStr">
        <is>
          <t>29</t>
        </is>
      </c>
      <c r="D13" s="9" t="inlineStr">
        <is>
          <t>Later on May 22, 2013, representatives from BofA Merrill Lynch presented to the members of the Transaction Committee for purposes of a potential engagement in connection with the Board's current review of strategic alternatives and the possibility of undertaking a sale process.</t>
        </is>
      </c>
    </row>
    <row r="14">
      <c r="A14" t="inlineStr">
        <is>
          <t>P-013</t>
        </is>
      </c>
      <c r="B14" t="inlineStr">
        <is>
          <t>THE MERGER — Background of the Merger</t>
        </is>
      </c>
      <c r="C14" t="inlineStr">
        <is>
          <t>29</t>
        </is>
      </c>
      <c r="D14" s="9" t="inlineStr">
        <is>
          <t>On May 29, 2013, each of the other two financial advisor candidates presented to the members of the Transaction Committee for purposes of a potential engagement in connection with the Board's current review of strategic alternatives and the possibility of undertaking a sale process.</t>
        </is>
      </c>
    </row>
    <row r="15">
      <c r="A15" t="inlineStr">
        <is>
          <t>P-014</t>
        </is>
      </c>
      <c r="B15" t="inlineStr">
        <is>
          <t>THE MERGER — Background of the Merger</t>
        </is>
      </c>
      <c r="C15" t="inlineStr">
        <is>
          <t>29</t>
        </is>
      </c>
      <c r="D15" s="9" t="inlineStr">
        <is>
          <t>On May 30, 2013, the Board held an in-person meeting. By invitation of the Board, Mr. MacDonald, Mr. Shea, Ms. Serafini and representatives of Goodwin Procter were also present for all or portions of the meeting. During the meeting, the members of the Transaction Committee presented their assessment of the relative capabilities, strengths, and possible weaknesses of the three financial advisor candidates. Mr. Shea also provided his perspective of each financial advisor candidate's capabilities, strengths, and possible weaknesses. The Transaction Committee recommended to the Board that Mac-Gray engage BofA Merrill Lynch as Mac-Gray's financial advisor for the Board's exploration of strategic alternatives, including a potential sale process. The Transaction Committee's endorsement of BofA Merrill Lynch was based on, among other things, BofA Merrill Lynch's knowledge of Mac-Gray, the industry generally, the current environment for mergers and acquisitions and potential strategic acquirors, as well as BofA Merrill Lynch's proposed process and strategy for maximizing value to Mac-Gray's stockholders should the Board determine that a sale of the company would be in the best interests of stockholders. Representatives of Goodwin Procter reviewed with the Board the terms of proposed BofA Merrill Lynch engagement. Based on the recommendation of the Transaction Committee, the Board unanimously approved the engagement of BofA Merrill Lynch on the terms discussed at this meeting.</t>
        </is>
      </c>
    </row>
    <row r="16">
      <c r="A16" t="inlineStr">
        <is>
          <t>P-015</t>
        </is>
      </c>
      <c r="B16" t="inlineStr">
        <is>
          <t>THE MERGER — Background of the Merger</t>
        </is>
      </c>
      <c r="C16" t="inlineStr">
        <is>
          <t>29</t>
        </is>
      </c>
      <c r="D16" s="9" t="inlineStr">
        <is>
          <t>Later on May 30, 2013, Mac-Gray held its annual stockholder meeting at which, among other actions, the Mac-Gray stockholders elected as directors Michael M. Rothenberg and James E. Hyman, candidates nominated by Mac-Gray's stockholder, Moab Partners, L.P. and certain of its affiliates, which we refer collectively to as Moab. Mac-Gray and Moab engaged in a proxy contest leading up to the annual meeting and Mr. Rothenberg and Mr. Hyman were elected in place of Mac-Gray's incumbent nominees, David W. Bryan and Mary Ann Tocio. Edward McCauley's term expired at the annual meeting, at which time the size of the Board was reduced to seven. Mr. Rothenberg is a co-founder and the General Partner of Moab and Mr. Hyman is president and chief executive officer of TestAmerica, Inc., the nation's largest provider of environmental testing services, a role he has held since 2011.</t>
        </is>
      </c>
    </row>
    <row r="17">
      <c r="A17" t="inlineStr">
        <is>
          <t>P-016</t>
        </is>
      </c>
      <c r="B17" t="inlineStr">
        <is>
          <t>THE MERGER — Background of the Merger</t>
        </is>
      </c>
      <c r="C17" t="inlineStr">
        <is>
          <t>30</t>
        </is>
      </c>
      <c r="D17" s="9" t="inlineStr">
        <is>
          <t>On May 31, 2013, Mac-Gray entered into an engagement letter with BofA Merrill Lynch with respect to the Board's undertaking a review of strategic alternatives, including a potential sale process, and in which BofA Merrill Lynch agreed not to engage as a possible source of new acquisition financing for any potential buyers in connection with any such sale process without Mac-Gray's prior written consent.</t>
        </is>
      </c>
    </row>
    <row r="18">
      <c r="A18" t="inlineStr">
        <is>
          <t>P-017</t>
        </is>
      </c>
      <c r="B18" t="inlineStr">
        <is>
          <t>THE MERGER — Background of the Merger</t>
        </is>
      </c>
      <c r="C18" t="inlineStr">
        <is>
          <t>30</t>
        </is>
      </c>
      <c r="D18" s="9" t="inlineStr">
        <is>
          <t>On June 12, 2013, Mr. Rothenberg and Mr. Hyman met individually with Mr. Bullock, Mr. Daoust, Ms. Serafini and representatives from Goodwin Procter as part of their orientation as new members of the Board. Each was provided with an overview of the status of the Board's review of strategic alternatives and a potential sale process. At the meeting with Mr. Rothenberg, the participants discussed that, to the extent Moab might have an interest in an equity rollover of all or a portion of Moab's shares of Mac-Gray common stock in connection with any sale transaction that might result from the Board's strategic alternatives process, Mr. Rothenberg would need to be excluded from the process from the outset. At the time of this meeting, Moab beneficially owned approximately 9% of Mac-Gray's outstanding common stock.</t>
        </is>
      </c>
    </row>
    <row r="19">
      <c r="A19" t="inlineStr">
        <is>
          <t>P-018</t>
        </is>
      </c>
      <c r="B19" t="inlineStr">
        <is>
          <t>THE MERGER — Background of the Merger</t>
        </is>
      </c>
      <c r="C19" t="inlineStr">
        <is>
          <t>30</t>
        </is>
      </c>
      <c r="D19" s="9" t="inlineStr">
        <is>
          <t>On June 21, 2013, Party A submitted an unsolicited proposal to the Mac-Gray Board of Directors offering to purchase Mac-Gray for an all-cash purchase price of $17.00 to $19.00 per share, which we refer to as the Party A June 21 proposal.</t>
        </is>
      </c>
    </row>
    <row r="20">
      <c r="A20" t="inlineStr">
        <is>
          <t>P-019</t>
        </is>
      </c>
      <c r="B20" t="inlineStr">
        <is>
          <t>THE MERGER — Background of the Merger</t>
        </is>
      </c>
      <c r="C20" t="inlineStr">
        <is>
          <t>30</t>
        </is>
      </c>
      <c r="D20" s="9" t="inlineStr">
        <is>
          <t>On June 24, 2013, the Mac-Gray Board of Directors held a regularly scheduled meeting. By invitation of the Board, certain members of management, including Mr. MacDonald, Mr. Shea, Mr. MacLellan, Mr. Emma, Ms. Serafini and Sheff Halsey, our chief marketing officer and an executive vice president, and representatives from Goodwin Procter were also present for some or all of the meeting. During this meeting, representatives of Goodwin Procter reviewed for the Board its fiduciary duties in the context of considering strategic alternatives that might be available to Mac-Gray, including a potential sale of the company. The Board also discussed, with input from the members of the Transaction Committee, whether it would be appropriate for each of Mr. MacDonald and Mr. Rothenberg to be excluded from the Board's consideration of strategic alternatives in view of the possibility that Mr. MacDonald and/or Moab could be asked to partner with a potential acquiror given their respective equity stakes in Mac-Gray. Following this discussion, the Board decided, and Mr. MacDonald and Mr. Rothenberg agreed, that it would be appropriate to exclude Mr. MacDonald and Mr. Rothenberg from the Board's evaluation of strategic alternatives and any negotiations with third parties that might take place. Mr. MacDonald excused himself after such discussion. In furtherance of the conclusion to exclude Mr. MacDonald and Mr. Rothenberg from the Board's evaluation of strategic alternatives, the Board then established the Special Committee, comprised of the six independent and disinterested members of the Board (namely, Mr. Bullock, Mr. Daoust, Mr. Hyman, William F. Meagher, Bruce A. Percelay and Alastair G. Robinson), to, among other things, explore strategic alternatives to enhance value to Mac-Gray's stockholders and to recommend to the Board the advisability of any such strategic alternative. In connection with this delegation of authority, the Special Committee was further authorized to (a) consider and evaluate all proposals that might be received by Mac-Gray in connection with a possible sale or other significant business transaction, through any form of transaction, including, without limitation, merger, stock purchase, asset purchase, recapitalization, reorganization, going-private transaction, consolidation, amalgamation or other transaction, (b) participate in and direct the negotiation of the material terms and conditions of any such transaction, (c) consider any alternatives to any such transaction, including without limitation, Mac-Gray's continuing to operate as an independent company and (d) recommend to the Board the advisability of entering into a definitive agreement with respect to any such transaction. Mr. Bullock was appointed chairman of the Special Committee. It was also determined that the Transaction Committee would function as a sub-committee of the Special Committee for the purpose of taking any administrative actions to discharge the duties and responsibilities of the Special Committee.</t>
        </is>
      </c>
    </row>
    <row r="21">
      <c r="A21" t="inlineStr">
        <is>
          <t>P-020</t>
        </is>
      </c>
      <c r="B21" t="inlineStr">
        <is>
          <t>THE MERGER — Background of the Merger</t>
        </is>
      </c>
      <c r="C21" t="inlineStr">
        <is>
          <t>31</t>
        </is>
      </c>
      <c r="D21" s="9" t="inlineStr">
        <is>
          <t>Mr. Rothenberg was then excused and the Board meeting proceeded as a meeting of the Special Committee. By invitation of the Special Committee, Mr. Shea and Mr. Emma and representatives of BofA Merrill Lynch and Goodwin Procter were present for all or portions of the meeting. Mr. Shea and Mr. Emma presented Mac-Gray's five-year strategic business plan and projections, including the with acquisitions case and the without acquisitions case (see "—Projected Financial Information" below), which we refer to as the Projections. Following the management presentation, representatives of BofA Merrill Lynch discussed potential strategic alternatives and the structure and timing of a potential sale process. The Special Committee reviewed Mac-Gray's short and long-term business strategies and discussed the five-year strategic business plan, including Mac-Gray's ability to identify, acquire and successfully integrate laundry facilities management businesses, establish new and/or renew existing laundry facility management leases and penetrate markets historically dominated by smaller local and regional operators, the impact of general economic and market trends on Mac-Gray's sales and the general risks of market conditions that could reduce Mac-Gray's stock price. The Special Committee also discussed the risks involved if Mac-Gray did not execute on its strategic business plan, including the difficulties with increasing the Company's stock price without a significant or transformative transaction, such as a major acquisition or restructuring.</t>
        </is>
      </c>
    </row>
    <row r="22">
      <c r="A22" t="inlineStr">
        <is>
          <t>P-021</t>
        </is>
      </c>
      <c r="B22" t="inlineStr">
        <is>
          <t>THE MERGER — Background of the Merger</t>
        </is>
      </c>
      <c r="C22" t="inlineStr">
        <is>
          <t>31</t>
        </is>
      </c>
      <c r="D22" s="9" t="inlineStr">
        <is>
          <t>The Special Committee, in follow up to the considerations introduced at the May 9 th Board meeting, then further considered whether it might be advisable to approach and discuss a potential sale transaction with third parties, including Party A, at this time. The Special Committee discussed the potential risks and benefits of commencing a process in which parties would be invited to review confidential information and submit indications of interest with respect to a potential business combination involving Mac-Gray, focusing again on the potential disruptions to Mac-Gray's business, the risk of leaks that might arise from approaching potential acquirors within the industry and the resulting impact on Mac-Gray's business and the need to disclose during such process sensitive, proprietary and confidential information to competitors and potential competitors. The members of the Special Committee also discussed with BofA Merrill Lynch the likelihood that strategic parties, including CSC and Party A, should be able to pay a higher price for Mac-Gray because of the benefit of synergies, and noted their collective belief that Party A would likely increase the Party A June 21 proposal in light of such synergies if Party A were given the opportunity to conduct business and legal due diligence on a potential acquisition of Mac-Gray. The Special Committee then discussed the other strategic alternatives, including a significant share repurchase program and an extraordinary dividend, and determined that these options were not likely to maximize value for Mac-Gray's stockholders as compared to execution of Mac-Gray's strategic business plan or undertaking a sale of the company. In light of the factors discussed at this meeting, the Special Committee concluded that it would be in the best interests of stockholders to consider a potential sale of Mac-Gray and to review this alternative as compared to Mac-Gray's continuing as a stand-alone company and the risks and opportunities associated with execution of Mac-Gray's strategic business plan.</t>
        </is>
      </c>
    </row>
    <row r="23">
      <c r="A23" t="inlineStr">
        <is>
          <t>P-022</t>
        </is>
      </c>
      <c r="B23" t="inlineStr">
        <is>
          <t>THE MERGER — Background of the Merger</t>
        </is>
      </c>
      <c r="C23" t="inlineStr">
        <is>
          <t>31-32</t>
        </is>
      </c>
      <c r="D23" s="9" t="inlineStr">
        <is>
          <t>The Special Committee, with the assistance of BofA Merrill Lynch and management, also discussed the general and specific universe of potential acquirors who might be contacted, including those parties the Special Committee believed had the strongest potential to have an interest in engaging in a strategic transaction with Mac-Gray. In its evaluation of potential likely acquirors, the Special Committee considered such parties' financial strength, their experience in acquiring companies in Mac-Gray's industry, such parties' perceived potential interest in Mac-Gray and potential synergies based on such parties' businesses and legal considerations. The Special Committee and BofA Merrill Lynch also discussed that although potential strategic buyers should be able to pay a higher purchase price because of synergies, it was important to solicit interest from financial buyers, including private equity firms, to maximize the competitive dynamics in the sale process. This perspective was based on the fact that many financial buyers had engaged in transactions with companies in industries similar to Mac-Gray and could be in a position to recognize value competitive with potential strategic buyers. Guided by the foregoing principles, the Special Committee determined to approach a total of 50 parties, including CSC and Pamplona, who together we refer to as CSC/Pamplona, and Party A, to solicit potential interest in a transaction with Mac-Gray, 15 of which were potential strategic buyers and 35 of which were potential financial buyers, including private equity firms.</t>
        </is>
      </c>
    </row>
    <row r="24">
      <c r="A24" t="inlineStr">
        <is>
          <t>P-023</t>
        </is>
      </c>
      <c r="B24" t="inlineStr">
        <is>
          <t>THE MERGER — Background of the Merger</t>
        </is>
      </c>
      <c r="C24" t="inlineStr">
        <is>
          <t>32</t>
        </is>
      </c>
      <c r="D24" s="9" t="inlineStr">
        <is>
          <t>During the next several weeks, in accordance with the directives of the Special Committee, BofA Merrill Lynch contacted the strategic and financial parties identified at the June 24th Special Committee meeting. Over the next two months a total of 20 potential bidders, including two strategic bidders (Party A and CSC/Pamplona) and 18 financial bidders (including Party B and Party C), entered into confidentiality agreements with Mac-Gray on a form provided by Mac-Gray, the terms of which were individually negotiated with potential bidders, but did not vary materially from the form provided. The confidentiality agreements contained customary non-disclosure provisions and a customary standstill provision that either expired or permitted the potential bidder to make confidential proposals to Mac-Gray (a so-called "sunset" provision) upon announcement of a business combination between Mac-Gray and a third party, and, in some instances upon announcement of a change in control. Parties that had entered into confidentiality and standstill agreements with Mac-Gray were furnished an informational package for the purpose of providing potential bidders with data to formulate a preliminary indication of interest, which they were instructed to submit by July 23, 2013. Parties that had entered into confidentiality and standstill agreements with Mac-Gray were furnished an informational package for the purpose of providing potential bidders with data to formulate a preliminary indication of interest, which they were instructed to submit by July 23, 2013. The letter requested that the proposals address, among other things, valuation, sources and structures of financing, material conditions, including required approvals, and focus areas for due diligence.</t>
        </is>
      </c>
    </row>
    <row r="25">
      <c r="A25" t="inlineStr">
        <is>
          <t>P-024</t>
        </is>
      </c>
      <c r="B25" t="inlineStr">
        <is>
          <t>THE MERGER — Background of the Merger</t>
        </is>
      </c>
      <c r="C25" t="inlineStr">
        <is>
          <t>32</t>
        </is>
      </c>
      <c r="D25" s="9" t="inlineStr">
        <is>
          <t>On June 28, 2013, the members of the Transaction Committee participated in a telephone conference call with representatives of BofA Merrill Lynch and Goodwin Procter. BofA Merrill Lynch summarized the contacts they had had with certain of the potential bidders. In particular, BofA Merrill Lynch reported that they had spoken with representatives of Party A, as instructed by the Special Committee, who had expressed the view that there would be considerable synergies if Party A were to acquire Mac-Gray and that Party A would be speaking with certain financing sources with respect to funding such a transaction. BofA Merrill Lynch also reported that they had spoken with representatives of Pamplona, as instructed by the Special Committee, who expressed interest in a transaction, including an acquisition of Mac-Gray by its portfolio company, CSC. Pamplona emphasized that business and legal due diligence would be minimal given its familiarity with Mac-Gray and the industry generally.</t>
        </is>
      </c>
    </row>
    <row r="26">
      <c r="A26" t="inlineStr">
        <is>
          <t>P-025</t>
        </is>
      </c>
      <c r="B26" t="inlineStr">
        <is>
          <t>THE MERGER — Background of the Merger</t>
        </is>
      </c>
      <c r="C26" t="inlineStr">
        <is>
          <t>32</t>
        </is>
      </c>
      <c r="D26" s="9" t="inlineStr">
        <is>
          <t>Later on June 28, 2013, Party B, entered into a confidentiality and standstill agreement with Mac-Gray and was provided with an informational package for the purpose of providing Party B with data to formulate a preliminary indication of interest.</t>
        </is>
      </c>
    </row>
    <row r="27">
      <c r="A27" t="inlineStr">
        <is>
          <t>P-026</t>
        </is>
      </c>
      <c r="B27" t="inlineStr">
        <is>
          <t>THE MERGER — Background of the Merger</t>
        </is>
      </c>
      <c r="C27" t="inlineStr">
        <is>
          <t>32</t>
        </is>
      </c>
      <c r="D27" s="9" t="inlineStr">
        <is>
          <t>On June 30, 2013, Party C entered into a confidentiality and standstill agreement with Mac-Gray and was provided with an informational package for the purpose of providing Party C with data to formulate a preliminary indication of interest.</t>
        </is>
      </c>
    </row>
    <row r="28">
      <c r="A28" t="inlineStr">
        <is>
          <t>P-027</t>
        </is>
      </c>
      <c r="B28" t="inlineStr">
        <is>
          <t>THE MERGER — Background of the Merger</t>
        </is>
      </c>
      <c r="C28" t="inlineStr">
        <is>
          <t>32</t>
        </is>
      </c>
      <c r="D28" s="9" t="inlineStr">
        <is>
          <t>On July 3, 2013, Mr. Rothenberg called a representative of Goodwin Procter to indicate that he had spoken with representatives of Pamplona about Moab's desire to maintain the flexibility to consider a possible equity rollover if Pamplona were to participate in a business combination with Mac-Gray. Mr. Rothenberg also informed Goodwin Procter that Pamplona would be requesting that any confidentiality agreement CSC/Pamplona execute with Mac-Gray permit CSC and Pamplona to discuss their bid and evaluation material with Moab, with Moab agreeing to exclusively engage with CSC/Pamplona.</t>
        </is>
      </c>
    </row>
    <row r="29">
      <c r="A29" t="inlineStr">
        <is>
          <t>P-028</t>
        </is>
      </c>
      <c r="B29" t="inlineStr">
        <is>
          <t>THE MERGER — Background of the Merger</t>
        </is>
      </c>
      <c r="C29" t="inlineStr">
        <is>
          <t>32-33</t>
        </is>
      </c>
      <c r="D29" s="9" t="inlineStr">
        <is>
          <t>On July 6, 2013, the Special Committee held a telephonic meeting for the purpose of receiving an update on the ongoing sale process. By invitation of the Special Committee, representatives from BofA Merrill Lynch and Goodwin Procter were also present throughout the meeting. The Special Committee discussed whether Moab should be permitted to partner exclusively with CSC/Pamplona. Because the objective of the sale process was to maximize value for Mac-Gray's stockholders, the Special Committee decided to deny the exclusivity request at this stage of the process so that the potential equity rollover of Moab's shares could be available as a source of capital for other potential bidders. The Special Committee instructed BofA Merrill Lynch and Goodwin Procter to communicate to CSC/Pamplona and Mr. Rothenberg, respectively, that it was premature for Mac-Gray to permit Moab to engage in equity rollover discussions with any party, including CSC/Pamplona, but that such discussions would be permitted at a later stage of the sale process.</t>
        </is>
      </c>
    </row>
    <row r="30">
      <c r="A30" t="inlineStr">
        <is>
          <t>P-029</t>
        </is>
      </c>
      <c r="B30" t="inlineStr">
        <is>
          <t>THE MERGER — Background of the Merger</t>
        </is>
      </c>
      <c r="C30" t="inlineStr">
        <is>
          <t>33</t>
        </is>
      </c>
      <c r="D30" s="9" t="inlineStr">
        <is>
          <t>On July 11, 2013, CSC/Pamplona entered into a confidentiality and standstill agreement with Mac-Gray and were provided with an informational package for the purpose of providing CSC/Pamplona with data to formulate a preliminary indication of interest.</t>
        </is>
      </c>
    </row>
    <row r="31">
      <c r="A31" t="inlineStr">
        <is>
          <t>P-030</t>
        </is>
      </c>
      <c r="B31" t="inlineStr">
        <is>
          <t>THE MERGER — Background of the Merger</t>
        </is>
      </c>
      <c r="C31" t="inlineStr">
        <is>
          <t>33</t>
        </is>
      </c>
      <c r="D31" s="9" t="inlineStr">
        <is>
          <t>Between July 11, 2013 and July 23, 2013, Party B, Party C and CSC/Pamplona engaged in a preliminary review of Mac-Gray and the potential acquisition opportunity. Also during this time, outside counsel to Party A and representatives of Goodwin Procter negotiated the terms of a confidentiality and standstill agreement, but did not come to agreement on the terms of the customer and employee non-solicitation provisions.</t>
        </is>
      </c>
    </row>
    <row r="32">
      <c r="A32" t="inlineStr">
        <is>
          <t>P-031</t>
        </is>
      </c>
      <c r="B32" t="inlineStr">
        <is>
          <t>THE MERGER — Background of the Merger</t>
        </is>
      </c>
      <c r="C32" t="inlineStr">
        <is>
          <t>33</t>
        </is>
      </c>
      <c r="D32" s="9" t="inlineStr">
        <is>
          <t>On July 23, 2013, CSC/Pamplona submitted a preliminary indication of interest at an all-cash purchase price of $18.50 per share.</t>
        </is>
      </c>
    </row>
    <row r="33">
      <c r="A33" t="inlineStr">
        <is>
          <t>P-032</t>
        </is>
      </c>
      <c r="B33" t="inlineStr">
        <is>
          <t>THE MERGER — Background of the Merger</t>
        </is>
      </c>
      <c r="C33" t="inlineStr">
        <is>
          <t>33</t>
        </is>
      </c>
      <c r="D33" s="9" t="inlineStr">
        <is>
          <t>On July 24, 2013, Party B submitted a preliminary indication of interest at an all-cash purchase price of $17.00 to $18.00 per share. Also on July 24, 2013, representatives from Party C called BofA Merrill Lynch and presented an oral preliminary indication of interest at an all-cash purchase price of $15.00 to $17.00 per share.</t>
        </is>
      </c>
    </row>
    <row r="34">
      <c r="A34" t="inlineStr">
        <is>
          <t>P-033</t>
        </is>
      </c>
      <c r="B34" t="inlineStr">
        <is>
          <t>THE MERGER — Background of the Merger</t>
        </is>
      </c>
      <c r="C34" t="inlineStr">
        <is>
          <t>33</t>
        </is>
      </c>
      <c r="D34" s="9" t="inlineStr">
        <is>
          <t>On July 25, 2013, the Board held a regularly scheduled in-person meeting. By invitation of the Board, Mr. Shea and representatives from BofA Merrill Lynch and Goodwin Procter were also present for all or portions of this meeting. Prior to the start of the meeting, because the Board expected to discuss matters related to the sale process, and in light of Moab's continuing interest in a potential equity rollover in any sale transaction, Mr. Rothenberg recused himself from the meeting and the meeting proceeded as a meeting of the Special Committee. At this meeting, representatives of BofA Merrill Lynch reviewed the preliminary indications of interest received from Party B, Party C and CSC/Pamplona as well as the Party A June 21 proposal, in each case from a financial point of view. The Board reviewed management's five-year strategic business plan and Projections. During this meeting, representatives of Goodwin Procter reviewed for the Special Committee its fiduciary duties in the context of considering a potential sale. The Special Committee then discussed the potential conflict of interest arising from Moab's continuing desire to consider an equity rollover and decided that Mr. Rothenberg should be asked to recuse himself from participating in Board meetings for the duration of the sale process so he would not be privy to confidential information about Mac-Gray and our business.</t>
        </is>
      </c>
    </row>
    <row r="35">
      <c r="A35" t="inlineStr">
        <is>
          <t>P-034</t>
        </is>
      </c>
      <c r="B35" t="inlineStr">
        <is>
          <t>THE MERGER — Background of the Merger</t>
        </is>
      </c>
      <c r="C35" t="inlineStr">
        <is>
          <t>33-34</t>
        </is>
      </c>
      <c r="D35" s="9" t="inlineStr">
        <is>
          <t>The Special Committee discussed that the preliminary indications of interest were lower than expected and suggested that additional due diligence, including with regard to the potential synergies, should result in improved offers by the strategic parties. The Special Committee then discussed the highly competitive nature of Mac-Gray's industry and expressed concern over permitting access to and the potential misuse of sensitive and competitive information, including customer terms and locations, especially by strategic bidders. Accordingly, the Special Committee concluded that it would be advisable to stage the disclosure of such information to each of the bidders to the extent that a bidder's indication of interest and other actions demonstrated its seriousness in acquiring Mac-Gray on terms viewed favorably by the Special Committee. Based on this discussion, BofA Merrill Lynch discussed with the Special Committee a proposed process for the second stage of the on-going sale process. As part of this review, BofA Merrill Lynch recommended that management meetings be arranged between members of Mac-Gray management (other than Mr. MacDonald) and each of Party A (if Party A agreed to enter into a confidentiality agreement), Party B, Party C and CSC/Pamplona to provide these parties with access to high level information concerning Mac-Gray's technology, pipeline, management team, regional operations, contracts, operations and growth initiatives, and in the case of CSC/Pamplona and Party A, synergies, and to then request that each of these parties submit a revised indication of interest. After discussion and in an effort to drive offers with increased value, the Special Committee authorized and instructed BofA Merrill Lynch to proceed with the staged disclosure as discussed at this meeting and to reach out to each of the four interested bidders and arrange management meetings.</t>
        </is>
      </c>
    </row>
    <row r="36">
      <c r="A36" t="inlineStr">
        <is>
          <t>P-035</t>
        </is>
      </c>
      <c r="B36" t="inlineStr">
        <is>
          <t>THE MERGER — Background of the Merger</t>
        </is>
      </c>
      <c r="C36" t="inlineStr">
        <is>
          <t>34</t>
        </is>
      </c>
      <c r="D36" s="9" t="inlineStr">
        <is>
          <t>Later on July 25, 2013, Party C submitted a written indication of interest at an all-cash purchase price of $16.00 to $16.50 per share.</t>
        </is>
      </c>
    </row>
    <row r="37">
      <c r="A37" t="inlineStr">
        <is>
          <t>P-036</t>
        </is>
      </c>
      <c r="B37" t="inlineStr">
        <is>
          <t>THE MERGER — Background of the Merger</t>
        </is>
      </c>
      <c r="C37" t="inlineStr">
        <is>
          <t>34</t>
        </is>
      </c>
      <c r="D37" s="9" t="inlineStr">
        <is>
          <t>Discussions with Party A resumed on July 27, 2103 and Party A and the Transaction Committee agreed to the terms of the customer and employee non-solicitation provisions. On August 5, 2013, Party A entered into a confidentiality and standstill agreement with Mac-Gray and was provided with an informational package for the purpose of providing Party A with data to potentially improve the terms of the Party A June 21 proposal.</t>
        </is>
      </c>
    </row>
    <row r="38">
      <c r="A38" t="inlineStr">
        <is>
          <t>P-037</t>
        </is>
      </c>
      <c r="B38" t="inlineStr">
        <is>
          <t>THE MERGER — Background of the Merger</t>
        </is>
      </c>
      <c r="C38" t="inlineStr">
        <is>
          <t>34</t>
        </is>
      </c>
      <c r="D38" s="9" t="inlineStr">
        <is>
          <t>On August 6, 2013, representatives of Party B attended a management presentation at the Boston office of Goodwin Procter with members of Mac-Gray management, representatives of BofA Merrill Lynch and a member of the Transaction Committee.</t>
        </is>
      </c>
    </row>
    <row r="39">
      <c r="A39" t="inlineStr">
        <is>
          <t>P-038</t>
        </is>
      </c>
      <c r="B39" t="inlineStr">
        <is>
          <t>THE MERGER — Background of the Merger</t>
        </is>
      </c>
      <c r="C39" t="inlineStr">
        <is>
          <t>34</t>
        </is>
      </c>
      <c r="D39" s="9" t="inlineStr">
        <is>
          <t>On August 8, 2013, representatives of Party C attended a management presentation at the Boston office of Goodwin Procter with members of Mac-Gray management, representatives of BofA Merrill Lynch and a member of the Transaction Committee.</t>
        </is>
      </c>
    </row>
    <row r="40">
      <c r="A40" t="inlineStr">
        <is>
          <t>P-039</t>
        </is>
      </c>
      <c r="B40" t="inlineStr">
        <is>
          <t>THE MERGER — Background of the Merger</t>
        </is>
      </c>
      <c r="C40" t="inlineStr">
        <is>
          <t>34</t>
        </is>
      </c>
      <c r="D40" s="9" t="inlineStr">
        <is>
          <t>On August 12, 2013, representatives of CSC and Pamplona attended a management presentation at the Boston office of Goodwin Procter with members of Mac-Gray management, representatives of BofA Merrill Lynch and the two members of the Transaction Committee.</t>
        </is>
      </c>
    </row>
    <row r="41">
      <c r="A41" t="inlineStr">
        <is>
          <t>P-040</t>
        </is>
      </c>
      <c r="B41" t="inlineStr">
        <is>
          <t>THE MERGER — Background of the Merger</t>
        </is>
      </c>
      <c r="C41" t="inlineStr">
        <is>
          <t>34</t>
        </is>
      </c>
      <c r="D41" s="9" t="inlineStr">
        <is>
          <t>On August 14, 2013, representatives of Party A attended a management presentation at the Boston office of Goodwin Procter with members of Mac-Gray management, representatives of BofA Merrill Lynch and the two members of the Transaction Committee.</t>
        </is>
      </c>
    </row>
    <row r="42">
      <c r="A42" t="inlineStr">
        <is>
          <t>P-041</t>
        </is>
      </c>
      <c r="B42" t="inlineStr">
        <is>
          <t>THE MERGER — Background of the Merger</t>
        </is>
      </c>
      <c r="C42" t="inlineStr">
        <is>
          <t>34</t>
        </is>
      </c>
      <c r="D42" s="9" t="inlineStr">
        <is>
          <t>On August 15, 2013, the Special Committee held a telephonic meeting for the purpose of reviewing the on-going strategic alternatives process. By invitation of the Special Committee, representatives from BofA Merrill Lynch and Goodwin Procter were also in attendance. BofA Merrill Lynch updated the Special Committee as to the current status of the strategic alternatives process, including the due diligence process and the management presentations with Party A, Party B, Party C and CSC/Pamplona. After discussion and as discussed at the July 25 th Special Committee meeting, the Special Committee authorized and instructed BofA Merrill Lynch to send a letter to each of Party A, Party B, Party C and CSC/Pamplona once all four of the bidders' due diligence was substantially complete requesting that, in light of the results of the respective party's due diligence, such party submit a revised written proposal in order to continue in the process, including to engage in more in-depth and confirmatory due diligence of Mac-Gray.</t>
        </is>
      </c>
    </row>
    <row r="43">
      <c r="A43" t="inlineStr">
        <is>
          <t>P-042</t>
        </is>
      </c>
      <c r="B43" t="inlineStr">
        <is>
          <t>THE MERGER — Background of the Merger</t>
        </is>
      </c>
      <c r="C43" t="inlineStr">
        <is>
          <t>34</t>
        </is>
      </c>
      <c r="D43" s="9" t="inlineStr">
        <is>
          <t>Between August 6, 2013 and August 27, 2013, the four bidders conducted business and legal due diligence. During this time, Party B and Party C, in light of the fact that they were financial bidders, were given broad access to an electronic data site, and Party A and CSC/Pamplona, in light of the fact that they were strategic bidders, were given somewhat limited access to this electronic data site, with access to customer data, including customer locations, being reserved until later in the process as part of the staging discussed at the July 25 th Special Committee meeting. During this time, both Party A and CSC/Pamplona participated in discussions with members of Mac-Gray management around synergies.</t>
        </is>
      </c>
    </row>
    <row r="44">
      <c r="A44" t="inlineStr">
        <is>
          <t>P-043</t>
        </is>
      </c>
      <c r="B44" t="inlineStr">
        <is>
          <t>THE MERGER — Background of the Merger</t>
        </is>
      </c>
      <c r="C44" t="inlineStr">
        <is>
          <t>35</t>
        </is>
      </c>
      <c r="D44" s="9" t="inlineStr">
        <is>
          <t>On August 27, 2013, BofA Merrill Lynch, as instructed by the Special Committee, sent a letter to each of Party A, Party B, Party C and CSC/Pamplona instructing such bidders to submit revised written proposals no later than September 9, 2013 if such bidders wished to proceed further in the process to pursue an in-depth evaluation of Mac-Gray with the objective of making a revised offer. The letter requested that the revised proposals address, among other things, valuation, sources and structures of financing, regulatory approvals and other post-signing covenants and focus areas for due diligence.</t>
        </is>
      </c>
    </row>
    <row r="45">
      <c r="A45" t="inlineStr">
        <is>
          <t>P-044</t>
        </is>
      </c>
      <c r="B45" t="inlineStr">
        <is>
          <t>THE MERGER — Background of the Merger</t>
        </is>
      </c>
      <c r="C45" t="inlineStr">
        <is>
          <t>35</t>
        </is>
      </c>
      <c r="D45" s="9" t="inlineStr">
        <is>
          <t>Also on August 27, 2013, members of Mac-Gray management, representatives from BofA Merrill Lynch and representatives of Party B participated in a telephone conference call for Party B to conduct follow-up and confirmatory due diligence.</t>
        </is>
      </c>
    </row>
    <row r="46">
      <c r="A46" t="inlineStr">
        <is>
          <t>P-045</t>
        </is>
      </c>
      <c r="B46" t="inlineStr">
        <is>
          <t>THE MERGER — Background of the Merger</t>
        </is>
      </c>
      <c r="C46" t="inlineStr">
        <is>
          <t>35</t>
        </is>
      </c>
      <c r="D46" s="9" t="inlineStr">
        <is>
          <t>On August 29, 2013, members of Mac-Gray management, representatives from BofA Merrill Lynch and representatives of Party C participated in an in-person session for Party C to conduct follow-up and confirmatory due diligence.</t>
        </is>
      </c>
    </row>
    <row r="47">
      <c r="A47" t="inlineStr">
        <is>
          <t>P-046</t>
        </is>
      </c>
      <c r="B47" t="inlineStr">
        <is>
          <t>THE MERGER — Background of the Merger</t>
        </is>
      </c>
      <c r="C47" t="inlineStr">
        <is>
          <t>35</t>
        </is>
      </c>
      <c r="D47" s="9" t="inlineStr">
        <is>
          <t>On September 3, 2013, members of Mac-Gray management, representatives from BofA Merrill Lynch and representatives of Party A participated in a telephone conference call for Party A to conduct follow-up and confirmatory due diligence.</t>
        </is>
      </c>
    </row>
    <row r="48">
      <c r="A48" t="inlineStr">
        <is>
          <t>P-047</t>
        </is>
      </c>
      <c r="B48" t="inlineStr">
        <is>
          <t>THE MERGER — Background of the Merger</t>
        </is>
      </c>
      <c r="C48" t="inlineStr">
        <is>
          <t>35</t>
        </is>
      </c>
      <c r="D48" s="9" t="inlineStr">
        <is>
          <t>On September 9, 2013, CSC/Pamplona submitted a revised indication of interest with an all-cash purchase price of $19.50 per share, indicating that Pamplona was committed to provide 100% of the capital required to consummate the transaction and requesting that CSC/Pamplona and Mac-Gray agree to exclusive negotiations for two weeks. On September 9, 2013, Party B also submitted a revised indication of interest with an all-cash purchase price of $18.50 per share and proposed to finance the transaction with a combination of equity from affiliated funds and third party debt. Party B's revised indication of interest did not include a firm financing commitment.</t>
        </is>
      </c>
    </row>
    <row r="49">
      <c r="A49" t="inlineStr">
        <is>
          <t>P-048</t>
        </is>
      </c>
      <c r="B49" t="inlineStr">
        <is>
          <t>THE MERGER — Background of the Merger</t>
        </is>
      </c>
      <c r="C49" t="inlineStr">
        <is>
          <t>35</t>
        </is>
      </c>
      <c r="D49" s="9" t="inlineStr">
        <is>
          <t>On September 10, 2013, Party A submitted a revised indication of interest with an all-cash purchase price of $18.00 to $19.00 per share, to be financed by outstanding credit facilities or affiliated equity sources. Also on September 10, 2013, in a telephone call to a representative of BofA Merrill Lynch, a representative of Party C indicated that it was submitting a revised oral indication of interest with an all-cash purchase price of $16.00 to $17.00 per share. Neither Party A's nor Party C's revised indication of interest included a firm financing commitment.</t>
        </is>
      </c>
    </row>
    <row r="50">
      <c r="A50" t="inlineStr">
        <is>
          <t>P-049</t>
        </is>
      </c>
      <c r="B50" t="inlineStr">
        <is>
          <t>THE MERGER — Background of the Merger</t>
        </is>
      </c>
      <c r="C50" t="inlineStr">
        <is>
          <t>35</t>
        </is>
      </c>
      <c r="D50" s="9" t="inlineStr">
        <is>
          <t>On September 11, 2013, members of the Transaction Committee, in a telephone call, without identifying Party A, Party B, Party C or CSC/Pamplona and without indicating any proposed purchase prices, provided Mr. MacDonald with a limited overview of the status of the Special Committee's review of strategic alternatives, including the decision to engage in strategic alternatives process, and the negotiations between Mac-Gray and CSC/Pamplona so that Mr. MacDonald could consider whether he continued to have an interest in potentially rolling over any of his Mac-Gray shares in a transaction. During this call, Mr. MacDonald indicated that he had decided that he was not interested in rolling over any of his shares in any transaction.</t>
        </is>
      </c>
    </row>
    <row r="51">
      <c r="A51" t="inlineStr">
        <is>
          <t>P-050</t>
        </is>
      </c>
      <c r="B51" t="inlineStr">
        <is>
          <t>THE MERGER — Background of the Merger</t>
        </is>
      </c>
      <c r="C51" t="inlineStr">
        <is>
          <t>35-36</t>
        </is>
      </c>
      <c r="D51" s="9" t="inlineStr">
        <is>
          <t>Later on September 11, 2013, the Special Committee held a telephonic meeting to review the revised indications of interest submitted by Party A, Party B, Party C and CSC/Pamplona. By invitation of the Special Committee, Mr. Shea and Mr. Emma, as well as representatives from BofA Merrill Lynch and Goodwin Procter, were present for all or portions of the meeting. BofA Merrill Lynch reviewed with the Special Committee the current status of the revised indications of interest. The Special Committee also reviewed and discussed the Projections, including the risks and opportunities relating to Mac-Gray's ability to execute its strategic plan as an independent, stand-alone company. The Special Committee also considered the Projections in light of the revised indications of interest. BofA Merrill Lynch then indicated that, based on conversations with Party A, Party B, Party C and CSC/Pamplona, it was unlikely that any of these parties would move forward in the process without the express support of Mr. MacDonald. The Transaction Committee reported that Mr. MacDonald had decided that he was not interested in rolling over any of his shares in a transaction and recommended that Mr. MacDonald be fully briefed of the process to date. The Special Committee agreed, noting that Mr. MacDonald's perspective on the purchase price of a sale transaction was critical to the Special Committee's evaluation, as any potential acquiror would be unlikely to proceed without knowing that Mr. MacDonald would support the transaction. Based on the amount of due diligence conducted by Party A, Party B, Party C and CSC/Pamplona, and discussions with such parties to date, and in an effort to maximize value for Mac-Gray's stockholders, the Special Committee instructed BofA Merrill Lynch to call each of Party A, Party B, Party C and CSC/Pamplona to request final indications of interest by September 18, 2013 and to indicate that Mac-Gray would consider engaging in a short period of exclusive negotiations with one of the bidders depending upon, among other things, the proposed purchase price and the level of deal certainty indicated in the bidder's final proposal. As authorized and instructed by the Special Committee, representatives of BofA Merrill Lynch called each of Party A, Party B, Party C and CSC/Pamplona on September 11, 2013 with such instructions.</t>
        </is>
      </c>
    </row>
    <row r="52">
      <c r="A52" t="inlineStr">
        <is>
          <t>P-051</t>
        </is>
      </c>
      <c r="B52" t="inlineStr">
        <is>
          <t>THE MERGER — Background of the Merger</t>
        </is>
      </c>
      <c r="C52" t="inlineStr">
        <is>
          <t>36</t>
        </is>
      </c>
      <c r="D52" s="9" t="inlineStr">
        <is>
          <t>On September 12, 2013, at the instruction of the Transaction Committee, representatives of BofA Merrill Lynch participated in a telephone conference call with Mr. MacDonald and provided him with a detailed overview of the strategic alternatives process, including the status of negotiations with and the identity of Party A, Party B, Party C and CSC/Pamplona. Although Mr. MacDonald voiced his general support for continuing with the process, he expressed his view that Mac-Gray should continue to seek a higher value for stockholders.</t>
        </is>
      </c>
    </row>
    <row r="53">
      <c r="A53" t="inlineStr">
        <is>
          <t>P-052</t>
        </is>
      </c>
      <c r="B53" t="inlineStr">
        <is>
          <t>THE MERGER — Background of the Merger</t>
        </is>
      </c>
      <c r="C53" t="inlineStr">
        <is>
          <t>36</t>
        </is>
      </c>
      <c r="D53" s="9" t="inlineStr">
        <is>
          <t>Between September 11, 2013 and September 18, 2013, Party A, Party B, Party C and CSC/Pamplona continued to conduct business and legal due diligence.</t>
        </is>
      </c>
    </row>
    <row r="54">
      <c r="A54" t="inlineStr">
        <is>
          <t>P-053</t>
        </is>
      </c>
      <c r="B54" t="inlineStr">
        <is>
          <t>THE MERGER — Background of the Merger</t>
        </is>
      </c>
      <c r="C54" t="inlineStr">
        <is>
          <t>36</t>
        </is>
      </c>
      <c r="D54" s="9" t="inlineStr">
        <is>
          <t>On September 18, 2013, CSC/Pamplona submitted a proposal for an all-cash purchase price of $20.75 per share, reiterating that Pamplona was committed to provide 100% of the capital required to consummate the transaction and requesting that CSC/Pamplona and Mac-Gray agree to engage in exclusive negotiations for two weeks. Also on September 18, 2013, Party A reiterated in a telephone call to a representative of BofA Merrill Lynch that its previous indication of interest with an all-cash purchase price of $18.00 to $19.00 per share was its best and final offer. On September 18, 2013, Party B also submitted a revised indication of interest with a purchase price that Party B valued at $21.50 per share, including $19.00 of cash to be paid at closing and the remaining per share price to be paid in the form of options to be issued to Mac-Gray stockholders, representing 10% of the new equity with a strike price equal to Party B's initial cost basis. These options, which we refer to as the Party B options, would vest on the achievement of the base case management projections ( i.e. , over five years), excluding any future acquisitions. Party B's proposal stated that it valued the Party B options at $2.50 of incremental value per share. Party C did not submit a revised indication of interest or reiterate its prior indication of interest of an all-cash purchase price of $16.00 to $17.00 per share nor did it specify any reasons in connection therewith.</t>
        </is>
      </c>
    </row>
    <row r="55">
      <c r="A55" t="inlineStr">
        <is>
          <t>P-054</t>
        </is>
      </c>
      <c r="B55" t="inlineStr">
        <is>
          <t>THE MERGER — Background of the Merger</t>
        </is>
      </c>
      <c r="C55" t="inlineStr">
        <is>
          <t>36-37</t>
        </is>
      </c>
      <c r="D55" s="9" t="inlineStr">
        <is>
          <t>On September 19, 2013, the Special Committee held an in-person meeting. By invitation of the Special Committee, Mr. MacDonald and Mr. Shea, as well as representatives from BofA Merrill Lynch and Goodwin Procter, were also present for all or portions of the meeting. At this meeting, BofA Merrill Lynch updated the Special Committee as to the current status of the revised indications of interest submitted by Party A, Party B and CSC/Pamplona and reported that Party C did not submit a revised indication of interest or reiterate its prior indication of interest. BofA Merrill Lynch also reported to the Special Committee on Mr. MacDonald's general support for continuing with the process and his view that Mac-Gray should continue to seek a higher value for stockholders. Mr. Shea again reviewed the Projections with the Special Committee and BofA Merrill Lynch. The Special Committee again discussed the Projections, including the risks relating to Mac-Gray's ability to execute its strategic plan as an independent, stand-alone company (including Mac-Gray's ability to identify, acquire and successfully integrate laundry facilities management businesses, establish new and/or renew existing laundry facility management leases and penetrate markets historically dominated by smaller local and regional operators, the impact of general economic and market trends on Mac-Gray's sales and the general risks of market conditions that could reduce Mac-Gray's stock price). The Special Committee also again discussed the potential opportunities if Mac-Gray were able to execute its strategic plan as an independent, stand-alone company (including the ability to improve profitability and EBITDA margins by increasing scale and density through organic growth and/or strategic acquisitions as well as the ability to increase revenue through vend increases and the conversion from coin-operated technology to card-based technology). The Special Committee also discussed the risks involved if Mac-Gray did not execute on its strategic business plan, including the difficulties with increasing the Company's stock price without a significant or transformative transaction, such as a major acquisition or restructuring. The Special Committee then considered the Projections in light of the revised indications of interest. Representatives from Goodwin Procter again reviewed the Special Committee's fiduciary duties in the context of a sale of the company. The Special Committee then discussed each of the three revised proposals, including their advantages and disadvantages. The Special Committee discussed the risks and complexities of the Party B options, including their contingent and deferred nature and the uncertainties associated with how Mac-Gray's performance would be measured, especially in light of the fact that current Mac-Gray management would not be in control of the surviving corporation to monitor or drive the growth necessary to trigger payment under the Party B options.</t>
        </is>
      </c>
    </row>
    <row r="56">
      <c r="A56" t="inlineStr">
        <is>
          <t>P-055</t>
        </is>
      </c>
      <c r="B56" t="inlineStr">
        <is>
          <t>THE MERGER — Background of the Merger</t>
        </is>
      </c>
      <c r="C56" t="inlineStr">
        <is>
          <t>37</t>
        </is>
      </c>
      <c r="D56" s="9" t="inlineStr">
        <is>
          <t>The representatives from BofA Merrill Lynch were then excused from the meeting and the Special Committee continued its discussion. The Special Committee noted that the indication of interest submitted by Party B, including the Party B options, was on its face higher than the CSC/Pamplona proposal but further discussed the risks and complexities involved with measuring and achieving the performance required to vest the Party B options. The Special Committee also noted that Party B would likely be financing the transaction with a combination of equity from affiliated funds and third party debt capital, which would involve more risk than the Pamplona-funded CSC/Pamplona proposal, which did not require any third party financing. Following a discussion, the Special Committee concluded that the revised indication of interest submitted by CSC/Pamplona had the potential of delivering the most value to stockholders, provided greater certainty and involved less potential risk than the other indications. However, the Special Committee also concluded that, primarily in view of potential synergies between Mac-Gray and CSC, CSC/Pamplona should be in a position to increase their offer price above $20.75. The Special Committee then authorized the Transaction Committee to inform CSC/Pamplona that the Special Committee would be prepared to move into exclusivity at a price of $21.25 per share and authorized the Transaction Committee and Goodwin Procter to negotiate the terms of such exclusivity based on guidance provided by the Special Committee. In addition, at this meeting Mr. MacDonald indicated that he would be supportive of a price of $21.25 per share.</t>
        </is>
      </c>
    </row>
    <row r="57">
      <c r="A57" t="inlineStr">
        <is>
          <t>P-056</t>
        </is>
      </c>
      <c r="B57" t="inlineStr">
        <is>
          <t>THE MERGER — Background of the Merger</t>
        </is>
      </c>
      <c r="C57" t="inlineStr">
        <is>
          <t>37</t>
        </is>
      </c>
      <c r="D57" s="9" t="inlineStr">
        <is>
          <t>On September 21, 2013, the members of the Transaction Committee called the representative of CSC/Pamplona to propose that Mac-Gray was prepared to move forward with CSC/Pamplona on an exclusive basis for two weeks subject to CSC/Pamplona increasing their all-cash purchase price to $21.25 per share. Later that same day, the representative of CSC/Pamplona called the members of the Transaction Committee to confirm that CSC/Pamplona were willing to increase their all-cash purchase price to $21.25 per share as a last and best offer, provided that Mac-Gray agree to a two week period of exclusive negotiations. The representative of CSC/Pamplona also requested that shares of Mac-Gray common stock owned beneficially and of record by Mr. MacDonald and his immediate family be subject to a customary voting agreement, which we refer to as the MacDonald voting agreements.</t>
        </is>
      </c>
    </row>
    <row r="58">
      <c r="A58" t="inlineStr">
        <is>
          <t>P-057</t>
        </is>
      </c>
      <c r="B58" t="inlineStr">
        <is>
          <t>THE MERGER — Background of the Merger</t>
        </is>
      </c>
      <c r="C58" t="inlineStr">
        <is>
          <t>37-38</t>
        </is>
      </c>
      <c r="D58" s="9" t="inlineStr">
        <is>
          <t>Between September 21, 2013 and September 23, 2013, the parties negotiated the terms of the exclusivity agreement, including an expiration date of October 12, 2013, the inclusion of a $15 million "reverse" termination fee payable by CSC/Pamplona to Mac-Gray in the event regulatory clearance is not obtained, which we refer to as the CSC reverse termination fee, agreements regarding certain post-signing covenants, the fact that there would be no financing contingency and that Pamplona was committing to fund 100% of the capital needed for closing, which, together with the all-cash per share purchase price of $21.25, we refer to as the CSC/Pamplona final proposal. The parties also agreed that the exclusivity agreement would automatically terminate if CSC or Pamplona adversely changed any of the terms of the CSC/Pamplona final proposal.</t>
        </is>
      </c>
    </row>
    <row r="59">
      <c r="A59" t="inlineStr">
        <is>
          <t>P-058</t>
        </is>
      </c>
      <c r="B59" t="inlineStr">
        <is>
          <t>THE MERGER — Background of the Merger</t>
        </is>
      </c>
      <c r="C59" t="inlineStr">
        <is>
          <t>38</t>
        </is>
      </c>
      <c r="D59" s="9" t="inlineStr">
        <is>
          <t>On September 23, 2013, representatives from Goodwin Procter participated in a telephone conference call with Mr. Rothenberg and his counsel to inform Mr. Rothenberg, on a limited basis, of the status of the Special Committee's review of strategic alternatives and the negotiations between Mac-Gray and CSC and Pamplona to provide Moab with the opportunity to resume discussions with CSC/Pamplona regarding a possible equity rollover of Moab's shares in the transaction if Moab still had an interest in such a rollover. Mr. Rothenberg indicated he would like to discuss the possibility of an equity rollover with CSC/Pamplona and it was agreed that representatives of BofA Merrill Lynch would arrange and facilitate such a discussion.</t>
        </is>
      </c>
    </row>
    <row r="60">
      <c r="A60" t="inlineStr">
        <is>
          <t>P-059</t>
        </is>
      </c>
      <c r="B60" t="inlineStr">
        <is>
          <t>THE MERGER — Background of the Merger</t>
        </is>
      </c>
      <c r="C60" t="inlineStr">
        <is>
          <t>38</t>
        </is>
      </c>
      <c r="D60" s="9" t="inlineStr">
        <is>
          <t>Later on September 23, 2013, the Special Committee held a telephonic meeting, the purpose of which was to receive an update on the negotiations from the Transaction Committee and Goodwin Procter regarding the CSC/Pamplona final proposal and request for exclusivity. Representatives from Goodwin Procter reviewed the terms of the CSC/Pamplona final proposal with the Special Committee, including the $21.25 per share cash consideration, the $15 million CSC reverse termination fee, certain post-signing covenants, the fact that there would be no financing contingency and that Pamplona was committing to fund 100% of the capital needed for closing. After discussion, the Special Committee authorized Mac-Gray to enter into an exclusivity agreement providing for exclusive negotiations until 5 p.m. ET on October 12, 2013 on the terms included in the CSC/Pamplona final proposal and authorized the Transaction Committee and Goodwin Procter to continue negotiations with CSC/Pamplona based on guidance provided by the Special Committee at this meeting.</t>
        </is>
      </c>
    </row>
    <row r="61">
      <c r="A61" t="inlineStr">
        <is>
          <t>P-060</t>
        </is>
      </c>
      <c r="B61" t="inlineStr">
        <is>
          <t>THE MERGER — Background of the Merger</t>
        </is>
      </c>
      <c r="C61" t="inlineStr">
        <is>
          <t>38</t>
        </is>
      </c>
      <c r="D61" s="9" t="inlineStr">
        <is>
          <t>On September 24, 2013, CSC, Pamplona and Mac-Gray executed the exclusivity agreement providing for exclusive negotiations until 5 p.m. ET on October 12, 2013, subject to certain conditions, including that CSC and Pamplona not adversely change or modify the terms of the CSC/Pamplona final proposal.</t>
        </is>
      </c>
    </row>
    <row r="62">
      <c r="A62" t="inlineStr">
        <is>
          <t>P-061</t>
        </is>
      </c>
      <c r="B62" t="inlineStr">
        <is>
          <t>THE MERGER — Background of the Merger</t>
        </is>
      </c>
      <c r="C62" t="inlineStr">
        <is>
          <t>38</t>
        </is>
      </c>
      <c r="D62" s="9" t="inlineStr">
        <is>
          <t>On September 25, 2013, Goodwin Procter delivered to Kirkland &amp; Ellis LLP, outside legal counsel to CSC/Pamplona, whom we refer to as Kirkland, the initial draft of the merger agreement. Between September 25, 2013 and October 7, 2013, the Transaction Committee and representatives from CSC/Pamplona, Goodwin Procter and Kirkland negotiated the terms of the merger agreement (including our ability to respond to unsolicited inquiries following the announcement of the transaction and our right to terminate the merger agreement to accept a superior proposal) and the Pamplona commitment letter. The parties discussed various open points in the merger agreement and the Pamplona commitment letter, including the proposal by Mac-Gray that both Pamplona and CSC be responsible in the event CSC failed to consummate the merger, including liability for any and all damages resulting from a breach of the merger agreement, certain post-signing covenants and the parties' termination rights, including the amount of the termination fee payable by Mac-Gray to CSC under certain circumstances (which we refer to as the Mac-Gray termination fee), which Mac-Gray proposed should approximate 2.5% of the total equity value of the transaction. Also during this time, CSC and Pamplona were granted full access to the electronic data site and access to certain members of management and conducted confirmatory business and legal due diligence on Mac-Gray. Mr. Rothenberg engaged in various discussions with representatives of Pamplona during this time to discuss a possible rollover of Moab shares. As a result of such discussions, it was determined that Moab would not rollover any Moab shares in the transaction. Following such determination, BofA Merrill Lynch and the Transaction Committee provided Mr. Rothenberg with the details regarding the Special Committee's review of strategic alternatives and the negotiations between Mac-Gray and CSC/Pamplona.</t>
        </is>
      </c>
    </row>
    <row r="63">
      <c r="A63" t="inlineStr">
        <is>
          <t>P-062</t>
        </is>
      </c>
      <c r="B63" t="inlineStr">
        <is>
          <t>THE MERGER — Background of the Merger</t>
        </is>
      </c>
      <c r="C63" t="inlineStr">
        <is>
          <t>39</t>
        </is>
      </c>
      <c r="D63" s="9" t="inlineStr">
        <is>
          <t>Between September 24, 2013 and September 27, 2013, Kirkland and outside counsel to Mr. MacDonald negotiated the terms of the MacDonald voting agreements, which were entered into by Mr. MacDonald, his wife and one of his trusts on September 27, 2013, and which became effective upon entry into the merger agreement.</t>
        </is>
      </c>
    </row>
    <row r="64">
      <c r="A64" t="inlineStr">
        <is>
          <t>P-063</t>
        </is>
      </c>
      <c r="B64" t="inlineStr">
        <is>
          <t>THE MERGER — Background of the Merger</t>
        </is>
      </c>
      <c r="C64" t="inlineStr">
        <is>
          <t>39</t>
        </is>
      </c>
      <c r="D64" s="9" t="inlineStr">
        <is>
          <t>On October 1, 2013, representatives of Mac-Gray management, along with representatives from BofA Merrill Lynch and representatives from CSC/Pamplona attended a meeting at the Boston offices of Goodwin Procter for purposes of conducting confirmatory business due diligence. Representatives of Mac-Gray, Goodwin Procter, BofA Merrill Lynch and representatives of CSC/Pamplona and Kirkland participated in various telephone conference calls over the subsequent days to finalize business and legal due diligence.</t>
        </is>
      </c>
    </row>
    <row r="65">
      <c r="A65" t="inlineStr">
        <is>
          <t>P-064</t>
        </is>
      </c>
      <c r="B65" t="inlineStr">
        <is>
          <t>THE MERGER — Background of the Merger</t>
        </is>
      </c>
      <c r="C65" t="inlineStr">
        <is>
          <t>39</t>
        </is>
      </c>
      <c r="D65" s="9" t="inlineStr">
        <is>
          <t>On October 5, 2013, Kirkland delivered to Goodwin Procter a revised draft of the Pamplona commitment letter which, among other things, proposed that, in addition to CSC, Pamplona would be responsible in the event CSC failed to consummate the merger, but that Pamplona's liability for damages resulting from a breach of the merger agreement would be limited to an unspecified dollar amount.</t>
        </is>
      </c>
    </row>
    <row r="66">
      <c r="A66" t="inlineStr">
        <is>
          <t>P-065</t>
        </is>
      </c>
      <c r="B66" t="inlineStr">
        <is>
          <t>THE MERGER — Background of the Merger</t>
        </is>
      </c>
      <c r="C66" t="inlineStr">
        <is>
          <t>39</t>
        </is>
      </c>
      <c r="D66" s="9" t="inlineStr">
        <is>
          <t>On October 7, 2013, the Special Committee held a telephonic meeting, the purpose of which was to receive an update on the transaction negotiations from the Transaction Committee and Goodwin Procter. By invitation of the Special Committee, Mr. MacDonald was also present for a portion of the meeting. Mr. Daoust reported to the Special Committee that, after discussions between Moab and representatives of Pamplona, it was determined that Moab would not rollover any Moab shares in the transaction. Mr. Daoust also provided the Special Committee with an overview of the open business points and the progress the parties had made since the September 23 rd Special Committee meeting. Representatives from Goodwin Procter then reported on the progress that had been made in diligence and summarized the open issues in the merger agreement and the Pamplona commitment letter, including to what extent Pamplona would be responsible in the event CSC failed to consummate the merger, including CSC's and Pamplona's liability for damages resulting from a breach of the merger agreement, certain post-signing covenants and the parties' termination rights, including the amounts of the Mac-Gray termination fee and the CSC reverse termination fee. The Special Committee authorized the Transaction Committee and Goodwin Procter to continue negotiations with CSC/Pamplona, and, among other things, provided guidance with respect to the open transaction issues discussed at the meeting.</t>
        </is>
      </c>
    </row>
    <row r="67">
      <c r="A67" t="inlineStr">
        <is>
          <t>P-066</t>
        </is>
      </c>
      <c r="B67" t="inlineStr">
        <is>
          <t>THE MERGER — Background of the Merger</t>
        </is>
      </c>
      <c r="C67" t="inlineStr">
        <is>
          <t>39</t>
        </is>
      </c>
      <c r="D67" s="9" t="inlineStr">
        <is>
          <t>Also on October 7, 2013, Kirkland delivered to Goodwin Procter a revised draft of the merger agreement which, among other things, proposed a $15 million Mac-Gray termination fee, which represented approximately 4.4% of the total equity value of the transaction, and certain positions on the scope of various post-signing covenants.</t>
        </is>
      </c>
    </row>
    <row r="68">
      <c r="A68" t="inlineStr">
        <is>
          <t>P-067</t>
        </is>
      </c>
      <c r="B68" t="inlineStr">
        <is>
          <t>THE MERGER — Background of the Merger</t>
        </is>
      </c>
      <c r="C68" t="inlineStr">
        <is>
          <t>39-40</t>
        </is>
      </c>
      <c r="D68" s="9" t="inlineStr">
        <is>
          <t>On October 8, 2013, representatives from Goodwin Procter and Kirkland participated in a telephone conference call to discuss the open points in the merger agreement and the Pamplona commitment letter, including to what extent Pamplona would also have liability in the event CSC failed to consummate the merger, which Kirkland proposed, at the direction of CSC/Pamplona, be capped at $50 million. Kirkland and Goodwin Procter also discussed CSC's and Pamplona's liability for damages resulting from a breach of the merger agreement, certain post-signing covenants and the parties' termination rights, including the amounts of the Mac-Gray termination fee and the CSC reverse termination fee. The parties also discussed potential compromises on the post-signing covenants. Goodwin Procter and Kirkland agreed to communicate these positions to their respective clients. Later that day, after various discussions among representatives from CSC/Pamplona, Kirkland, Goodwin Procter and the members of the Transaction Committee, and on behalf of the Special Committee, Goodwin Procter sent an e-mail to the representatives of Kirkland that proposed to accept the $50 million liability cap proposed by Pamplona and proposed a $10.5 million Mac-Gray termination fee, which represented approximately 3.0% of the total equity value of the transaction.</t>
        </is>
      </c>
    </row>
    <row r="69">
      <c r="A69" t="inlineStr">
        <is>
          <t>P-068</t>
        </is>
      </c>
      <c r="B69" t="inlineStr">
        <is>
          <t>THE MERGER — Background of the Merger</t>
        </is>
      </c>
      <c r="C69" t="inlineStr">
        <is>
          <t>40</t>
        </is>
      </c>
      <c r="D69" s="9" t="inlineStr">
        <is>
          <t>On October 9, 2013, in follow up to the October 8, 2013 negotiations and proposals made by Goodwin Procter, the members of the Transaction Committee participated in a telephone conference call with a representative from CSC/Pamplona to discuss the open issues in the merger agreement, including certain post-signing covenants and the parties' termination rights, including the amounts of the Mac-Gray termination fee and the CSC reverse termination fee, but did not reach agreement on these issues.</t>
        </is>
      </c>
    </row>
    <row r="70">
      <c r="A70" t="inlineStr">
        <is>
          <t>P-069</t>
        </is>
      </c>
      <c r="B70" t="inlineStr">
        <is>
          <t>THE MERGER — Background of the Merger</t>
        </is>
      </c>
      <c r="C70" t="inlineStr">
        <is>
          <t>40</t>
        </is>
      </c>
      <c r="D70" s="9" t="inlineStr">
        <is>
          <t>Later on October 9, 2013, the Special Committee held a telephonic meeting, the purpose of which was to receive an update on the transaction negotiations from the Transaction Committee and Goodwin Procter. By invitation of the Special Committee, Mr. MacDonald was also present at this meeting. The Transaction Committee reported to the Special Committee on the negotiations that had taken place since the meeting of the Special Committee held on October 7, 2013. The Transaction Committee reported that the parties had come to an agreement that Pamplona's liability for certain damages would be limited to $50 million, but that certain post-signing covenants and the amounts of the termination fees remained open issues. The Special Committee discussed various alternatives that could be proposed to CSC/Pamplona on the open issues. Goodwin Procter then reported that Kirkland had requested on behalf of CSC/Pamplona that the exclusivity agreement, due to expire at 5 p.m. ET on October 12, 2013, be extended to allow for continued negotiations of these open issues. After discussion, the Special Committee authorized the Transaction Committee to negotiate the open issues within certain parameters and in connection therewith to extend exclusivity to October 15, 2013. The Special Committee also determined to reconvene for an update telephone conference call on October 11, 2013.</t>
        </is>
      </c>
    </row>
    <row r="71">
      <c r="A71" t="inlineStr">
        <is>
          <t>P-070</t>
        </is>
      </c>
      <c r="B71" t="inlineStr">
        <is>
          <t>THE MERGER — Background of the Merger</t>
        </is>
      </c>
      <c r="C71" t="inlineStr">
        <is>
          <t>40</t>
        </is>
      </c>
      <c r="D71" s="9" t="inlineStr">
        <is>
          <t>On October 10, 2013, the members of the Transaction Committee and the representative of CSC/Pamplona engaged in various discussions regarding the open issues, including certain post-signing covenants and the amounts of the termination fees. While the parties reached a compromise on the post-signing covenants, no agreement was reached on the amount of the Mac-Gray termination fee. On October 11, 2013, the Special Committee held a telephonic meeting to discuss the proposed terms of the transaction and the status of discussions with CSC/Pamplona. By invitation of the Special Committee, Mr. Rothenberg and representatives of Goodwin Procter were also present. The members of the Transaction Committee reviewed with the Special Committee the negotiations that had taken place with representatives from CSC/Pamplona since the October 9 th Special Committee meeting. The Transaction Committee reported that CSC/Pamplona, on the one hand, and the Transaction Committee (as authorized by the Special Committee at the October 9 th meeting), on the other hand, had come to an agreement on certain post-signing covenants but that the parties had not reached agreement on the amount of the Mac-Gray termination fee. The Special Committee also discussed the fact that the exclusivity agreement would be expiring at 5 p.m. ET on October 12, 2013 and that CSC/Pamplona had requested an extension of exclusivity until the end of the day on October 15, 2013. After discussions, the Special Committee determined that the members of the Transaction Committee and representatives of Goodwin Procter should communicate to the representative of CSC/Pamplona and representatives at Kirkland, respectively, that the Special Committee continued to object to the $15 million Mac-Gray termination fee proposed by CSC/Pamplona and would not be willing to extend exclusivity unless a lower amount were agreed to. The Special Committee confirmed that the Transaction Committee and representatives of Mac-Gray were authorized to extend the exclusivity agreement until 11:59 p.m. on ET on October 15, 2013 if CSC/Pamplona would agree to a Mac-Gray termination fee of not more than $11 million, which represented approximately 3.2% of the total equity value of the transaction.</t>
        </is>
      </c>
    </row>
    <row r="72">
      <c r="A72" t="inlineStr">
        <is>
          <t>P-071</t>
        </is>
      </c>
      <c r="B72" t="inlineStr">
        <is>
          <t>THE MERGER — Background of the Merger</t>
        </is>
      </c>
      <c r="C72" t="inlineStr">
        <is>
          <t>40-41</t>
        </is>
      </c>
      <c r="D72" s="9" t="inlineStr">
        <is>
          <t>Later on October 11, 2013, the two members of the Transaction Committee telephoned CSC/Pamplona and communicated the Special Committee's position. Shortly following that conversation, the representative of CSC/Pamplona telephoned Mr. Daoust and agreed to the $11 million Mac-Gray termination fee. Following such agreement, Goodwin Procter delivered Kirkland revised drafts of the merger agreement and the Pamplona commitment letter.</t>
        </is>
      </c>
    </row>
    <row r="73">
      <c r="A73" t="inlineStr">
        <is>
          <t>P-072</t>
        </is>
      </c>
      <c r="B73" t="inlineStr">
        <is>
          <t>THE MERGER — Background of the Merger</t>
        </is>
      </c>
      <c r="C73" t="inlineStr">
        <is>
          <t>41</t>
        </is>
      </c>
      <c r="D73" s="9" t="inlineStr">
        <is>
          <t>On October 12, 2013, CSC, Pamplona and Mac-Gray executed a letter agreement extending exclusivity until 11:59 p.m. ET on October 15, 2013.</t>
        </is>
      </c>
    </row>
    <row r="74">
      <c r="A74" t="inlineStr">
        <is>
          <t>P-073</t>
        </is>
      </c>
      <c r="B74" t="inlineStr">
        <is>
          <t>THE MERGER — Background of the Merger</t>
        </is>
      </c>
      <c r="C74" t="inlineStr">
        <is>
          <t>41</t>
        </is>
      </c>
      <c r="D74" s="9" t="inlineStr">
        <is>
          <t>Between October 12, 2013 and October 14, 2013, Kirkland and Goodwin Procter finalized the remaining unresolved issues in the merger agreement and the Pamplona commitment letter.</t>
        </is>
      </c>
    </row>
    <row r="75">
      <c r="A75" t="inlineStr">
        <is>
          <t>P-074</t>
        </is>
      </c>
      <c r="B75" t="inlineStr">
        <is>
          <t>THE MERGER — Background of the Merger</t>
        </is>
      </c>
      <c r="C75" t="inlineStr">
        <is>
          <t>41</t>
        </is>
      </c>
      <c r="D75" s="9" t="inlineStr">
        <is>
          <t>Between October 8, 2013 and October 14, 2013, Kirkland and counsel for Moab negotiated the terms of a voting agreement for Moab.</t>
        </is>
      </c>
    </row>
    <row r="76">
      <c r="A76" t="inlineStr">
        <is>
          <t>P-075</t>
        </is>
      </c>
      <c r="B76" t="inlineStr">
        <is>
          <t>THE MERGER — Background of the Merger</t>
        </is>
      </c>
      <c r="C76" t="inlineStr">
        <is>
          <t>41</t>
        </is>
      </c>
      <c r="D76" s="9" t="inlineStr">
        <is>
          <t>On October 14, 2013, the Special Committee held a meeting via teleconference to discuss the final terms of the transaction and the proposed definitive merger agreement and related documents. By invitation of the Special Committee, Mr. Rothenberg and representatives of BofA Merrill Lynch and Goodwin Procter were also present for all or portions of the meeting. The members of the Transaction Committee reported to the Special Committee on the negotiations that had taken place since the meeting of the Special Committee held on October 11, 2013, and in particular that the Transaction Committee and CSC had come to an agreement on the remaining open business points, including the post-signing covenants and the termination fees. Goodwin Procter again reviewed with the Special Committee its fiduciary duties and provided a summary of the terms of the proposed merger agreement and the Pamplona capital commitment letter, copies of which were provided to the directors prior to the meeting. Also at this meeting, BofA Merrill Lynch reviewed with the Special Committee its financial analysis of the consideration and delivered to the Special Committee an oral opinion, which was confirmed by delivery of a written opinion dated, October 14, 2013, to the effect that, as of that date and based on and subject to the assumptions and limitations described in its opinion, the consideration to be received by holders of Mac-Gray common stock was fair, from a financial point of view, to such holders. Following these presentations, the Special Committee went into an executive session that excluded BofA Merrill Lynch and, after discussion, the Special Committee unanimously determined to recommend to the Board that the merger agreement and the merger were advisable and in the best interests of Mac-Gray's stockholders and that the Board approve the merger on the terms and subject to the conditions set forth in the merger agreement, adopt the merger agreement and recommend that the Mac-Gray stockholders adopt and approve the merger agreement. The Special Committee meeting then adjourned.</t>
        </is>
      </c>
    </row>
    <row r="77">
      <c r="A77" t="inlineStr">
        <is>
          <t>P-076</t>
        </is>
      </c>
      <c r="B77" t="inlineStr">
        <is>
          <t>THE MERGER — Background of the Merger</t>
        </is>
      </c>
      <c r="C77" t="inlineStr">
        <is>
          <t>41</t>
        </is>
      </c>
      <c r="D77" s="9" t="inlineStr">
        <is>
          <t>Following the adjournment of the Special Committee meeting, a meeting of the Mac-Gray Board of Directors convened. All members of the Board participated. Representatives from Goodwin Procter led a discussion on the terms of the merger agreement and advised the Board regarding the likely timing for execution of a definitive agreement and public announcement of the transaction and a projected closing timetable should the Board approve the merger. After discussion, the Board (upon the recommendation of the Special Committee) unanimously determined that the merger agreement and the merger were advisable and in the best interests of Mac-Gray's stockholders, approved the merger on the terms and subject to the conditions set forth in the merger agreement, adopted the merger agreement and recommended that the Mac-Gray stockholders adopt and approve the merger agreement.</t>
        </is>
      </c>
    </row>
    <row r="78">
      <c r="A78" t="inlineStr">
        <is>
          <t>P-077</t>
        </is>
      </c>
      <c r="B78" t="inlineStr">
        <is>
          <t>THE MERGER — Background of the Merger</t>
        </is>
      </c>
      <c r="C78" t="inlineStr">
        <is>
          <t>41</t>
        </is>
      </c>
      <c r="D78" s="9" t="inlineStr">
        <is>
          <t>Later in the day, on October 14, 2013, the merger agreement was executed, the Pamplona commitment letter was delivered, Moab and Parent executed the Moab voting agreement and the Mac-Donald voting agreements became effective.</t>
        </is>
      </c>
    </row>
    <row r="79">
      <c r="A79" t="inlineStr">
        <is>
          <t>P-078</t>
        </is>
      </c>
      <c r="B79" t="inlineStr">
        <is>
          <t>THE MERGER — Background of the Merger</t>
        </is>
      </c>
      <c r="C79" t="inlineStr">
        <is>
          <t>41</t>
        </is>
      </c>
      <c r="D79" s="9" t="inlineStr">
        <is>
          <t>On October 15, 2013, before the U.S. stock markets opened, Mac-Gray and CSC jointly announced the execution of the merger agreement.</t>
        </is>
      </c>
    </row>
    <row r="80">
      <c r="A80" t="inlineStr">
        <is>
          <t>X-001</t>
        </is>
      </c>
      <c r="B80" t="inlineStr">
        <is>
          <t>Summary Term Sheet</t>
        </is>
      </c>
      <c r="C80" t="n">
        <v>5</v>
      </c>
      <c r="D80" s="9" t="inlineStr">
        <is>
          <t>If the merger is completed, at the effective time of the merger, each outstanding share of Mac-Gray common stock (other than shares held in treasury or held by the Buyer Entities or Merger Subsidiary (or their subsidiaries) or shares as to which dissenters' rights have been perfected and not withdrawn or lost) will be automatically converted into the right to receive $21.25 in cash, without interest and less applicable withholding taxes. We refer to this amount in this proxy statement as the merger consideration.</t>
        </is>
      </c>
    </row>
    <row r="81">
      <c r="A81" t="inlineStr">
        <is>
          <t>X-002</t>
        </is>
      </c>
      <c r="B81" t="inlineStr">
        <is>
          <t>Questions and Answers</t>
        </is>
      </c>
      <c r="C81" t="n">
        <v>13</v>
      </c>
      <c r="D81" s="9" t="inlineStr">
        <is>
          <t>The merger consideration of $21.25 per share to be received by Mac-Gray stockholders represents: • an approximately 36% premium over the high of $15.61 per share for the 52-week period ending October 11, 2013; and • an approximately 44% premium to the $14.72 closing price of our common stock on October 11, 2013</t>
        </is>
      </c>
    </row>
    <row r="82">
      <c r="A82" t="inlineStr">
        <is>
          <t>X-003</t>
        </is>
      </c>
      <c r="B82" t="inlineStr">
        <is>
          <t>Summary Term Sheet</t>
        </is>
      </c>
      <c r="C82" t="n">
        <v>5</v>
      </c>
      <c r="D82" s="9" t="inlineStr">
        <is>
          <t>The Mac-Gray Board of Directors formed a special committee of six disinterested and independent directors, which we refer to in this proxy statement as the Special Committee, to, among other things, review and evaluate the merger agreement proposal, consider and evaluate alternatives available to Mac-Gray and alleviate any potential conflicts of interest. The Mac-Gray Board of Directors, upon the unanimous recommendation of the Special Committee, unanimously (1) determined that the merger and the merger agreement are advisable and in the best interests of Mac-Gray and its stockholders, (2) approved the merger agreement and (3) recommends that Mac-Gray stockholders adopt the merger agreement.</t>
        </is>
      </c>
    </row>
    <row r="83">
      <c r="A83" t="inlineStr">
        <is>
          <t>X-004</t>
        </is>
      </c>
      <c r="B83" t="inlineStr">
        <is>
          <t>Summary Term Sheet</t>
        </is>
      </c>
      <c r="C83" t="n">
        <v>6</v>
      </c>
      <c r="D83" s="9" t="inlineStr">
        <is>
          <t>The merger agreement does not contain any condition to the obligations of the Buyer Entities or Merger Subsidiary relating to the receipt of financing by the Buyer Entities. Parent will fund the merger consideration from an aggregate of $594 million of capital, which we refer to as the Pamplona commitment amount and which is committed pursuant to a commitment letter delivered to the Buyer Entities by Pamplona Capital Partners III, L.P. dated as of October 14, 2013, which we refer to as the Pamplona commitment letter.</t>
        </is>
      </c>
    </row>
    <row r="84">
      <c r="A84" t="inlineStr">
        <is>
          <t>X-005</t>
        </is>
      </c>
      <c r="B84" t="inlineStr">
        <is>
          <t>Summary Term Sheet</t>
        </is>
      </c>
      <c r="C84" t="n">
        <v>10</v>
      </c>
      <c r="D84" s="9" t="inlineStr">
        <is>
          <t>Mac-Gray has agreed to pay Parent $11 million upon the termination of the merger agreement under certain circumstances, which we refer to as the Mac-Gray termination fee. Parent has agreed to pay Mac-Gray $15 million upon the termination of the merger agreement under certain circumstances, which we refer to as the Parent termination fee.</t>
        </is>
      </c>
    </row>
    <row r="85">
      <c r="A85" t="inlineStr">
        <is>
          <t>X-006</t>
        </is>
      </c>
      <c r="B85" t="inlineStr">
        <is>
          <t>Summary Term Sheet</t>
        </is>
      </c>
      <c r="C85" t="n">
        <v>11</v>
      </c>
      <c r="D85" s="9" t="inlineStr">
        <is>
          <t>As of November 27, 2013, the record date for the special meeting, the stockholders of Mac-Gray that entered into the voting agreements collectively owned approximately 15% of the Mac-Gray common stock entitled to vote at the special meeting.</t>
        </is>
      </c>
    </row>
    <row r="86">
      <c r="A86" t="inlineStr">
        <is>
          <t>X-007</t>
        </is>
      </c>
      <c r="B86" t="inlineStr">
        <is>
          <t>Questions and Answers</t>
        </is>
      </c>
      <c r="C86" t="n">
        <v>13</v>
      </c>
      <c r="D86" s="9" t="inlineStr">
        <is>
          <t>The closing sale price of a share of Mac-Gray common stock on the New York Stock Exchange on November 27, 2013 was $21.30.</t>
        </is>
      </c>
    </row>
    <row r="87">
      <c r="A87" t="inlineStr">
        <is>
          <t>X-008</t>
        </is>
      </c>
      <c r="B87" t="inlineStr">
        <is>
          <t>Questions and Answers</t>
        </is>
      </c>
      <c r="C87" t="n">
        <v>14</v>
      </c>
      <c r="D87" s="9" t="inlineStr">
        <is>
          <t>We currently expect the merger to be completed in January 2014. However, the merger is subject to various closing conditions, including Mac-Gray stockholder and regulatory approvals, and it is possible that the failure to timely meet these closing conditions or other factors outside of our control could delay the completion of the merger. We cannot assure you that we will complete the merger on this schedule or at all.</t>
        </is>
      </c>
    </row>
    <row r="88">
      <c r="A88" t="inlineStr">
        <is>
          <t>X-009</t>
        </is>
      </c>
      <c r="B88" t="inlineStr">
        <is>
          <t>Questions and Answers</t>
        </is>
      </c>
      <c r="C88" t="n">
        <v>15</v>
      </c>
      <c r="D88" s="9" t="inlineStr">
        <is>
          <t>As of the record date, there were approximately 14,758,306 shares of Mac-Gray common stock issued and outstanding held collectively by approximately 104 stockholders of record.</t>
        </is>
      </c>
    </row>
    <row r="89">
      <c r="A89" t="inlineStr">
        <is>
          <t>X-010</t>
        </is>
      </c>
      <c r="B89" t="inlineStr">
        <is>
          <t>The Special Meeting — Solicitation of Proxies</t>
        </is>
      </c>
      <c r="C89" t="n">
        <v>23</v>
      </c>
      <c r="D89" s="9" t="inlineStr">
        <is>
          <t>we expect to retain MacKenzie Partners, Inc. to assist in the solicitation for a fee of approximately $15,000, plus reimbursement of reasonable out-of-pocket expenses and indemnification against certain losses, costs and expenses.</t>
        </is>
      </c>
    </row>
    <row r="90">
      <c r="A90" t="inlineStr">
        <is>
          <t>X-011</t>
        </is>
      </c>
      <c r="B90" t="inlineStr">
        <is>
          <t>Proposals Submitted to Mac-Gray Stockholders</t>
        </is>
      </c>
      <c r="C90" t="n">
        <v>24</v>
      </c>
      <c r="D90" s="9" t="inlineStr">
        <is>
          <t>Under applicable law, we cannot complete the merger without the vote of a majority of the outstanding shares of Mac-Gray common stock entitled to vote at the special meeting voting in favor of the proposal to adopt the merger agreement. If you abstain from voting, fail to cast your vote, in person or by proxy, or fail to give voting instructions to your brokerage firm, bank, trust or other nominee, it will have the same effect as a vote against the proposal to adopt the merger agreement.</t>
        </is>
      </c>
    </row>
    <row r="91">
      <c r="A91" t="inlineStr">
        <is>
          <t>X-012</t>
        </is>
      </c>
      <c r="B91" t="inlineStr">
        <is>
          <t>Proposals Submitted to Mac-Gray Stockholders</t>
        </is>
      </c>
      <c r="C91" t="n">
        <v>24</v>
      </c>
      <c r="D91" s="9" t="inlineStr">
        <is>
          <t>Section 951 of the Dodd-Frank Act and Rule 14a-21(c) under the Exchange Act require that Mac-Gray seek a non-binding advisory vote from its stockholders to approve certain "golden parachute" compensation that is payable or could become payable to its "named executive officers" in connection with the merger.</t>
        </is>
      </c>
    </row>
    <row r="92">
      <c r="A92" t="inlineStr">
        <is>
          <t>X-013</t>
        </is>
      </c>
      <c r="B92" t="inlineStr">
        <is>
          <t>The Companies</t>
        </is>
      </c>
      <c r="C92" t="n">
        <v>26</v>
      </c>
      <c r="D92" s="9" t="inlineStr">
        <is>
          <t>Mac-Gray Corporation is the second largest laundry facilities management contractor in the United States. Through our portfolio of card- and coin-operated laundry equipment located in laundry facilities across the country, we provide laundry convenience to residents of multi-unit housing such as apartment buildings, condominiums, colleges and university residence halls, public housing complexes, and hotels and motels. Based on our ongoing survey of colleges and universities, we believe that we are the largest provider of such services to the college and university market in the United States.</t>
        </is>
      </c>
    </row>
    <row r="93">
      <c r="A93" t="inlineStr">
        <is>
          <t>X-014</t>
        </is>
      </c>
      <c r="B93" t="inlineStr">
        <is>
          <t>The Merger — Reasons for the Merger</t>
        </is>
      </c>
      <c r="C93" t="n">
        <v>43</v>
      </c>
      <c r="D93" s="9" t="inlineStr">
        <is>
          <t>the fact that the $21.25 per share to be paid as the consideration in the merger represents a premium of approximately 36% over the high of $15.61 per share for the 52-week period ending October 11, 2013 and a premium of approximately 44% over the $14.72 closing trading price for the shares of our common stock on the NYSE on October 11, 2013, the last trading day prior to the date our Board of Directors approved the merger agreement;</t>
        </is>
      </c>
    </row>
    <row r="94">
      <c r="A94" t="inlineStr">
        <is>
          <t>X-015</t>
        </is>
      </c>
      <c r="B94" t="inlineStr">
        <is>
          <t>The Merger — Reasons for the Merger</t>
        </is>
      </c>
      <c r="C94" t="n">
        <v>43</v>
      </c>
      <c r="D94" s="9" t="inlineStr">
        <is>
          <t>the Pamplona commitment letter, pursuant to which Pamplona has committed to fund up to $594 million to the Buyer Entities to fund the payment of the merger consideration and other amounts payable pursuant to the merger agreement or to satisfy any damages (up to $50 million) awarded to Mac-Gray in certain circumstances involving litigation brought pursuant to the merger agreement;</t>
        </is>
      </c>
    </row>
    <row r="95">
      <c r="A95" t="inlineStr">
        <is>
          <t>X-016</t>
        </is>
      </c>
      <c r="B95" t="inlineStr">
        <is>
          <t>The Merger — Opinion of Mac-Gray’s Financial Advisor</t>
        </is>
      </c>
      <c r="C95" t="n">
        <v>45</v>
      </c>
      <c r="D95" s="9" t="inlineStr">
        <is>
          <t>On October 14, 2013, at a meeting of the Special Committee held to evaluate the merger, BofA Merrill Lynch delivered to the Special Committee an oral opinion, which was confirmed by delivery of a written opinion dated October 14, 2013, to the effect that, as of the date of the opinion and based on and subject to various assumptions and limitations described in its opinion, the merger consideration to be received by holders of Mac-Gray common stock was fair, from a financial point of view, to such holders.</t>
        </is>
      </c>
    </row>
    <row r="96">
      <c r="A96" t="inlineStr">
        <is>
          <t>X-017</t>
        </is>
      </c>
      <c r="B96" t="inlineStr">
        <is>
          <t>The Merger — Opinion of Mac-Gray’s Financial Advisor</t>
        </is>
      </c>
      <c r="C96" t="n">
        <v>48</v>
      </c>
      <c r="D96" s="9" t="inlineStr">
        <is>
          <t>This analysis indicated the following approximate implied per share equity value reference ranges for Mac-Gray (rounded to the nearest $0.25 per share), as compared to the merger consideration: Implied Per Share Equity Value Reference Ranges for Mac-Gray 2013E EBITDA (Without Acquisitions Case) 2013E EBITDA (With Acquisitions Case) 2014E EBITDA (Without Acquisitions Case) 2014E EBITDA (With Acquisitions Case) Consideration $13.50 - $18.75 $13.75 - $19.00 $13.75 - $19.25 $12.75 - $19.25 $ 21.25</t>
        </is>
      </c>
    </row>
    <row r="97">
      <c r="A97" t="inlineStr">
        <is>
          <t>X-018</t>
        </is>
      </c>
      <c r="B97" t="inlineStr">
        <is>
          <t>Projected Financial Information</t>
        </is>
      </c>
      <c r="C97" t="n">
        <v>53</v>
      </c>
      <c r="D97" s="9" t="inlineStr">
        <is>
          <t>The Projections were prepared in June 2013 in the context of the business, economic, regulatory, market and financial conditions that existed at that time, and have not been updated to reflect revised prospects for our business, changes in general business, economic, regulatory, market and financial conditions, or any other transaction or event that has occurred or that may occur and that was not anticipated at the time the projections were prepared.</t>
        </is>
      </c>
    </row>
    <row r="98">
      <c r="A98" t="inlineStr">
        <is>
          <t>X-019</t>
        </is>
      </c>
      <c r="B98" t="inlineStr">
        <is>
          <t>Financing of the Merger</t>
        </is>
      </c>
      <c r="C98" t="n">
        <v>58</v>
      </c>
      <c r="D98" s="9" t="inlineStr">
        <is>
          <t>The merger agreement does not contain any condition to the obligations of the Buyer Entities or Merger Subsidiary relating to the receipt of financing by the Buyer Entities. Parent has made available</t>
        </is>
      </c>
    </row>
    <row r="99">
      <c r="A99" t="inlineStr">
        <is>
          <t>X-020</t>
        </is>
      </c>
      <c r="B99" t="inlineStr">
        <is>
          <t>Financing of the Merger</t>
        </is>
      </c>
      <c r="C99" t="n">
        <v>59</v>
      </c>
      <c r="D99" s="9" t="inlineStr">
        <is>
          <t>for purposes of funding the merger consideration an aggregate of $594 million of capital (the Pamplona commitment amount), which is committed pursuant to the Pamplona commitment letter delivered to the Buyer Entities by Pamplona Capital Partners III, L.P. dated as of October 14, 2013. The commitment amount will be used by the Buyer Entities to fund the merger consideration at closing (including as a result of a judgment of specific performance) and any other payments to be made by the Buyer Entities or Mac-Gray at closing, and all associated costs and expenses of the merger for which the Buyer Entities are responsible, which we refer to as the closing funding obligations. In addition, Pamplona and the Buyer Entities will be jointly and severally liable for any amounts that may be owed by the Buyer Entities with respect to any breach of the merger agreement, including the Parent Termination Fee or any payment of monetary damages awarded to Mac-Gray, provided that Pamplona's liability for such damages will not exceed $50 million, which we refer to as the damages amount (provided further that the liability of Buyer Entities shall be unlimited).</t>
        </is>
      </c>
    </row>
    <row r="100">
      <c r="A100" t="inlineStr">
        <is>
          <t>X-021</t>
        </is>
      </c>
      <c r="B100" t="inlineStr">
        <is>
          <t>The Merger Agreement — The Merger Consideration</t>
        </is>
      </c>
      <c r="C100" t="n">
        <v>60</v>
      </c>
      <c r="D100" s="9" t="inlineStr">
        <is>
          <t>each share of Mac-Gray common stock outstanding immediately prior to the effective time of the merger will be canceled and converted into the right to receive $21.25 in cash, without interest, other than:</t>
        </is>
      </c>
    </row>
    <row r="101">
      <c r="A101" t="inlineStr">
        <is>
          <t>X-022</t>
        </is>
      </c>
      <c r="B101" t="inlineStr">
        <is>
          <t>The Merger Agreement — Non-Solicitation; Competing Acquisition Proposals</t>
        </is>
      </c>
      <c r="C101" t="n">
        <v>69</v>
      </c>
      <c r="D101" s="9" t="inlineStr">
        <is>
          <t>Mac-Gray has agreed that neither Mac-Gray nor any of its subsidiaries will, nor will Mac-Gray authorize or knowingly permit any of its or its subsidiaries' directors, officers, employees, financial advisors, attorneys, accountants, consultants, agents and other authorized representatives (whom we refer to collectively as representatives) to, directly or indirectly, (1) solicit, initiate, knowingly facilitate or knowingly encourage any inquiries, proposals or offers that constitute or that would reasonably be expected to lead to, an acquisition proposal (as defined below), (2) engage in, continue or otherwise participate in any discussions or negotiations with any third parties regarding, or furnish to any third party information or data or provide any third party with access to the business, properties, assets, or personnel of Mac-Gray or any of its subsidiaries in connection with, for the purpose of encouraging or facilitating, or that could reasonably be expected to, lead to an acquisition proposal, (3) enter into any agreement, arrangement or understanding, including any letter of intent, memorandum of understanding, merger agreement, acquisition agreement, option agreement, joint venture agreement, partnership agreement or similar agreement with respect to an acquisition proposal or requiring Mac-Gray to abandon, terminate, breach or fail to consummate the transactions contemplated by the merger agreement or (4) resolve, propose or agree to do any of the foregoing. Mac-Gray also agreed to, and agreed to cause its subsidiaries and its or their respective representatives to, immediately cease and terminate any existing solicitation, encouragement, discussion or negotiation with any third party conducted prior to the date of the merger agreement with respect to any acquisition proposal and to request that all non-public information previously provided by or on behalf of Mac-Gray or any of its subsidiaries to any such third party be returned or destroyed.</t>
        </is>
      </c>
    </row>
    <row r="102">
      <c r="A102" t="inlineStr">
        <is>
          <t>X-023</t>
        </is>
      </c>
      <c r="B102" t="inlineStr">
        <is>
          <t>The Merger Agreement — Non-Solicitation; Competing Acquisition Proposals</t>
        </is>
      </c>
      <c r="C102" t="n">
        <v>69</v>
      </c>
      <c r="D102" s="9" t="inlineStr">
        <is>
          <t>Notwithstanding the restrictions described above, if, prior to the adoption of the merger agreement by Mac-Gray stockholders, Mac-Gray receives an unsolicited bona fide acquisition proposal in writing from a third party that did not result from or arise out of a breach of the non-solicitation provisions of the merger agreement, that the Mac-Gray Board of Directors (acting upon the recommendation of the Special Committee) determines in good faith, after consultation with its outside legal counsel and financial advisor, constitutes, or would be reasonably likely to lead to a superior proposal (as defined in "Mac-Gray Board Recommendation") and the Mac-Gray Board of Directors determines in good faith, after consultation with its outside legal counsel and financial advisor that the failure to take such action would be reasonably likely to be inconsistent with the directors' fiduciary duties under applicable laws</t>
        </is>
      </c>
    </row>
    <row r="103">
      <c r="A103" t="inlineStr">
        <is>
          <t>X-024</t>
        </is>
      </c>
      <c r="B103" t="inlineStr">
        <is>
          <t>The Merger Agreement — Termination Fees and Expenses</t>
        </is>
      </c>
      <c r="C103" t="n">
        <v>80</v>
      </c>
      <c r="D103" s="9" t="inlineStr">
        <is>
          <t>then Mac-Gray will pay to Parent the $11 million Mac-Gray termination fee, (1) within two business days after termination of the merger agreement if the merger agreement was terminated by Parent following the Mac-Gray Board of Directors effecting an adverse recommendation change, (2) concurrently with, and as a condition to, the termination of the merger agreement if the merger agreement was terminated by Mac-Gray following the Mac-Gray Board of Directors effecting an adverse recommendation change or (3) on the date that is the first to occur of Mac-Gray</t>
        </is>
      </c>
    </row>
    <row r="104">
      <c r="A104" t="inlineStr">
        <is>
          <t>X-025</t>
        </is>
      </c>
      <c r="B104" t="inlineStr">
        <is>
          <t>The Merger Agreement — Termination Fees and Expenses</t>
        </is>
      </c>
      <c r="C104" t="n">
        <v>81</v>
      </c>
      <c r="D104" s="9" t="inlineStr">
        <is>
          <t>then Parent will pay Mac-Gray the $15 million Parent termination fee, by wire transfer of same-day funds on the first business day following such termination.</t>
        </is>
      </c>
    </row>
    <row r="105">
      <c r="A105" t="inlineStr">
        <is>
          <t>X-026</t>
        </is>
      </c>
      <c r="B105" t="inlineStr">
        <is>
          <t>The Voting Agreements</t>
        </is>
      </c>
      <c r="C105" t="n">
        <v>82</v>
      </c>
      <c r="D105" s="9" t="inlineStr">
        <is>
          <t>In connection with the execution of the merger agreement, certain stockholders entered into voting agreements with Parent. Approximately 15% of the outstanding Mac-Gray shares on the record date for the special meeting are subject to the voting agreements.</t>
        </is>
      </c>
    </row>
    <row r="106">
      <c r="A106" t="inlineStr">
        <is>
          <t>X-027</t>
        </is>
      </c>
      <c r="B106" t="inlineStr">
        <is>
          <t>Regulatory Matters</t>
        </is>
      </c>
      <c r="C106" t="n">
        <v>85</v>
      </c>
      <c r="D106" s="9" t="inlineStr">
        <is>
          <t>Parent and Mac-Gray each filed pre-merger notifications with the U.S. antitrust authorities pursuant to the HSR Act on October 29, 2013, and, in accordance with the merger agreement, each requested "early termination" of the waiting period. While early termination was not granted, the waiting period expired on November 27, 2013.</t>
        </is>
      </c>
    </row>
    <row r="107">
      <c r="A107" t="inlineStr">
        <is>
          <t>X-028</t>
        </is>
      </c>
      <c r="B107" t="inlineStr">
        <is>
          <t>Litigation Related to the Merger</t>
        </is>
      </c>
      <c r="C107" t="n">
        <v>85</v>
      </c>
      <c r="D107" s="9" t="inlineStr">
        <is>
          <t>On November 21, 2013, a putative class action lawsuit was filed in the Superior Court of the Commonwealth of Massachusetts, County of Middlesex, captioned Star Partners Fund v. Bullock, et al. , Civ. 13-5067. The complaint names as defendants Mac-Gray, the members of our Board of Directors, Holdings, CSC and Pamplona Capital Management LLC. The complaint alleges that the individual defendants breached their fiduciary duties by causing Mac-Gray to enter into the transaction and, together with Mac-Gray, by failing to disclose all material facts required to be disclosed. The complaint also alleges that Holdings, CSC and Pamplona Capital Management LLC aided and abetted the breaches of fiduciary duties. The complaint seeks, among other things, equitable relief that would enjoin the consummation of the proposed merger, rescission of the merger agreement (to the extent it has already been implemented), compensatory damages, and attorneys' and expert fees and costs.</t>
        </is>
      </c>
    </row>
    <row r="108">
      <c r="A108" t="inlineStr">
        <is>
          <t>X-029</t>
        </is>
      </c>
      <c r="B108" t="inlineStr">
        <is>
          <t>Current Market Price of Common Stock</t>
        </is>
      </c>
      <c r="C108" t="n">
        <v>89</v>
      </c>
      <c r="D108" s="9" t="inlineStr">
        <is>
          <t>The following table sets forth the closing sale prices per share of Mac-Gray common stock, as reported on the New York Stock Exchange on October 14, 2013, the last full trading day before the public announcement of the proposed merger, and on November 27, 2013, the latest practicable date before the printing of this proxy statement: October 14, 2013 $ 14.93 November 27, 2013 $ 21.30</t>
        </is>
      </c>
    </row>
    <row r="109">
      <c r="A109" t="inlineStr">
        <is>
          <t>X-030</t>
        </is>
      </c>
      <c r="B109" t="inlineStr">
        <is>
          <t>Security Ownership of Management and Certain Beneficial Owners</t>
        </is>
      </c>
      <c r="C109" t="n">
        <v>91</v>
      </c>
      <c r="D109" s="9" t="inlineStr">
        <is>
          <t>Stewart G. MacDonald, Jr.(3)(4)(5) 2,456,568 16.65 % Cynthia V. Doggett(3)(6) 2,456,568 16.65 % Michael M. Rothenberg(7)(15) 1,339,175 9.07 % Moab Capital Partners, LLC(7) 1,338,127 9.07 % GAMCO Asset Management Inc.(8) 1,214,451 8.23 % Dimensional Fund Advisors LP(9) 1,184,484 8.03 % Daniel W. MacDonald(3)(4)(10) 1,147,700 7.78 % Peter C. Bennett, R. Robert Woodburn, Jr.(3)(4)(11) 1,133,334 7.68 % Polaris Capital Management, Inc.(12) 918,488 6.22 %</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N56"/>
  <sheetViews>
    <sheetView workbookViewId="0">
      <selection activeCell="A1" sqref="A1"/>
    </sheetView>
  </sheetViews>
  <sheetFormatPr baseColWidth="8" defaultRowHeight="15"/>
  <sheetData>
    <row r="1">
      <c r="A1" s="13" t="inlineStr">
        <is>
          <t>#</t>
        </is>
      </c>
      <c r="B1" s="13" t="inlineStr">
        <is>
          <t>When</t>
        </is>
      </c>
      <c r="C1" s="13" t="inlineStr">
        <is>
          <t>Who</t>
        </is>
      </c>
      <c r="D1" s="13" t="inlineStr">
        <is>
          <t>What happened</t>
        </is>
      </c>
      <c r="E1" s="13" t="inlineStr">
        <is>
          <t>Process</t>
        </is>
      </c>
      <c r="F1" s="13" t="inlineStr">
        <is>
          <t>Round</t>
        </is>
      </c>
      <c r="G1" s="13" t="inlineStr">
        <is>
          <t>Type</t>
        </is>
      </c>
      <c r="H1" s="13" t="inlineStr">
        <is>
          <t>Terms or outcome</t>
        </is>
      </c>
      <c r="I1" s="13" t="inlineStr">
        <is>
          <t>Formality</t>
        </is>
      </c>
      <c r="J1" s="13" t="inlineStr">
        <is>
          <t>Conditions level</t>
        </is>
      </c>
      <c r="K1" s="13" t="inlineStr">
        <is>
          <t>Why and evidence</t>
        </is>
      </c>
      <c r="L1" s="13" t="inlineStr">
        <is>
          <t>Source</t>
        </is>
      </c>
      <c r="M1" s="13" t="inlineStr">
        <is>
          <t>Review</t>
        </is>
      </c>
      <c r="N1" s="13" t="inlineStr">
        <is>
          <t>Reviewer note</t>
        </is>
      </c>
      <c r="O1" s="13" t="inlineStr">
        <is>
          <t>Correction</t>
        </is>
      </c>
      <c r="P1" s="13" t="inlineStr">
        <is>
          <t>Row id</t>
        </is>
      </c>
      <c r="Q1" s="13" t="inlineStr">
        <is>
          <t>Include</t>
        </is>
      </c>
      <c r="R1" s="13" t="inlineStr">
        <is>
          <t>Count</t>
        </is>
      </c>
      <c r="S1" s="13" t="inlineStr">
        <is>
          <t>Date from</t>
        </is>
      </c>
      <c r="T1" s="13" t="inlineStr">
        <is>
          <t>Date to</t>
        </is>
      </c>
      <c r="U1" s="13" t="inlineStr">
        <is>
          <t>Working date</t>
        </is>
      </c>
      <c r="V1" s="13" t="inlineStr">
        <is>
          <t>Date basis</t>
        </is>
      </c>
      <c r="W1" s="13" t="inlineStr">
        <is>
          <t>Date method</t>
        </is>
      </c>
      <c r="X1" s="13" t="inlineStr">
        <is>
          <t>Price low</t>
        </is>
      </c>
      <c r="Y1" s="13" t="inlineStr">
        <is>
          <t>Price high</t>
        </is>
      </c>
      <c r="Z1" s="13" t="inlineStr">
        <is>
          <t>Price kind</t>
        </is>
      </c>
      <c r="AA1" s="13" t="inlineStr">
        <is>
          <t>Price origin</t>
        </is>
      </c>
      <c r="AB1" s="13" t="inlineStr">
        <is>
          <t>Currency</t>
        </is>
      </c>
      <c r="AC1" s="13" t="inlineStr">
        <is>
          <t>All cash</t>
        </is>
      </c>
      <c r="AD1" s="13" t="inlineStr">
        <is>
          <t>Cash at closing</t>
        </is>
      </c>
      <c r="AE1" s="13" t="inlineStr">
        <is>
          <t>Conditions detail</t>
        </is>
      </c>
      <c r="AF1" s="13" t="inlineStr">
        <is>
          <t>Due date</t>
        </is>
      </c>
      <c r="AG1" s="13" t="inlineStr">
        <is>
          <t>Deadline treatment</t>
        </is>
      </c>
      <c r="AH1" s="13" t="inlineStr">
        <is>
          <t>Round finality</t>
        </is>
      </c>
      <c r="AI1" s="13" t="inlineStr">
        <is>
          <t>Decided by</t>
        </is>
      </c>
      <c r="AJ1" s="13" t="inlineStr">
        <is>
          <t>Exit reason</t>
        </is>
      </c>
      <c r="AK1" s="13" t="inlineStr">
        <is>
          <t>Outcome basis</t>
        </is>
      </c>
      <c r="AL1" s="13" t="inlineStr">
        <is>
          <t>Page</t>
        </is>
      </c>
      <c r="AM1" s="13" t="inlineStr">
        <is>
          <t>Related rows</t>
        </is>
      </c>
      <c r="AN1" s="13" t="inlineStr">
        <is>
          <t>Deal</t>
        </is>
      </c>
    </row>
    <row r="2">
      <c r="A2" t="n">
        <v>1</v>
      </c>
      <c r="B2" t="inlineStr">
        <is>
          <t>10/23/2012</t>
        </is>
      </c>
      <c r="C2" t="inlineStr">
        <is>
          <t>BofA Merrill Lynch (financial adviser, Mac-Gray)</t>
        </is>
      </c>
      <c r="D2" t="inlineStr">
        <is>
          <t>Adviser engaged</t>
        </is>
      </c>
      <c r="F2" t="n">
        <v>0</v>
      </c>
      <c r="H2" t="inlineStr">
        <is>
          <t>Engaged by Mac-Gray for the 2011-2012 Discussions — the possible acquisition of CSC by Mac-Gray (target-as-acquirer mandate); pre-process context, not a sale of Mac-Gray.</t>
        </is>
      </c>
      <c r="K2" t="inlineStr">
        <is>
          <t>— Stated engagement: "Mac-Gray engaged BofA Merrill Lynch on October 23, 2012" (p.27).</t>
        </is>
      </c>
      <c r="L2" t="inlineStr">
        <is>
          <t>P-002</t>
        </is>
      </c>
      <c r="P2" t="inlineStr">
        <is>
          <t>R001</t>
        </is>
      </c>
      <c r="Q2" t="inlineStr">
        <is>
          <t>Yes</t>
        </is>
      </c>
      <c r="S2" s="14" t="n">
        <v>41205</v>
      </c>
      <c r="T2" s="14" t="n">
        <v>41205</v>
      </c>
      <c r="U2" s="14" t="n">
        <v>41205</v>
      </c>
      <c r="V2" t="inlineStr">
        <is>
          <t>Reported day</t>
        </is>
      </c>
      <c r="W2" t="inlineStr">
        <is>
          <t>Reported</t>
        </is>
      </c>
      <c r="AL2" t="n">
        <v>27</v>
      </c>
      <c r="AM2" t="inlineStr">
        <is>
          <t>R006; R007 (later mandates)</t>
        </is>
      </c>
      <c r="AN2" t="inlineStr">
        <is>
          <t>Mac-Gray/CSC</t>
        </is>
      </c>
    </row>
    <row r="3">
      <c r="A3" t="n">
        <v>2</v>
      </c>
      <c r="B3" t="inlineStr">
        <is>
          <t>04/05/2013</t>
        </is>
      </c>
      <c r="C3" t="inlineStr">
        <is>
          <t>Mac-Gray Board of Directors</t>
        </is>
      </c>
      <c r="D3" t="inlineStr">
        <is>
          <t>Target sale decision</t>
        </is>
      </c>
      <c r="E3" t="n">
        <v>1</v>
      </c>
      <c r="F3" t="n">
        <v>0</v>
      </c>
      <c r="H3" t="inlineStr">
        <is>
          <t>Board reviewed the completed CSC sale to Pamplona and industry M&amp;A activity; authorized management to work with BofA Merrill Lynch on transactional opportunities, including with strategic party "Party A"; deferred further consideration to the 05/09/2013 meeting.</t>
        </is>
      </c>
      <c r="K3" t="inlineStr">
        <is>
          <t>— Stated decision: "authorized Mac-Gray management to work with BofA Merrill Lynch to explore transactional opportunities that might be available to Mac-Gray, including opportunities with another strategic party, whom we refer to as Party A" (p.27).— Deferral: "The Board also determined to further consider Mac-Gray's strategic alternatives at its meeting scheduled for May 9, 2013" (p.27).</t>
        </is>
      </c>
      <c r="L3" t="inlineStr">
        <is>
          <t>P-003</t>
        </is>
      </c>
      <c r="M3" t="inlineStr">
        <is>
          <t>Q1</t>
        </is>
      </c>
      <c r="P3" t="inlineStr">
        <is>
          <t>R002</t>
        </is>
      </c>
      <c r="Q3" t="inlineStr">
        <is>
          <t>Yes</t>
        </is>
      </c>
      <c r="S3" s="14" t="n">
        <v>41369</v>
      </c>
      <c r="T3" s="14" t="n">
        <v>41369</v>
      </c>
      <c r="U3" s="14" t="n">
        <v>41369</v>
      </c>
      <c r="V3" t="inlineStr">
        <is>
          <t>Reported day</t>
        </is>
      </c>
      <c r="W3" t="inlineStr">
        <is>
          <t>Reported</t>
        </is>
      </c>
      <c r="AL3" t="n">
        <v>27</v>
      </c>
      <c r="AM3" t="inlineStr">
        <is>
          <t>R011 (rejected R1 boundary candidate)</t>
        </is>
      </c>
      <c r="AN3" t="inlineStr">
        <is>
          <t>Mac-Gray/CSC</t>
        </is>
      </c>
    </row>
    <row r="4">
      <c r="A4" t="n">
        <v>3</v>
      </c>
      <c r="B4" t="inlineStr">
        <is>
          <t>04/08/2013</t>
        </is>
      </c>
      <c r="C4" t="inlineStr">
        <is>
          <t>Party A (potential strategic acquirer)</t>
        </is>
      </c>
      <c r="D4" t="inlineStr">
        <is>
          <t>Target interest</t>
        </is>
      </c>
      <c r="E4" t="n">
        <v>1</v>
      </c>
      <c r="F4" t="n">
        <v>0</v>
      </c>
      <c r="G4" t="inlineStr">
        <is>
          <t>Strategic</t>
        </is>
      </c>
      <c r="H4" t="inlineStr">
        <is>
          <t>BofA Merrill Lynch, on the Board’s instruction, telephoned Party A about a possible business combination; Party A indicated it might consider one. First sale-related contact with Party A. Party A is inside the 15 potential strategic buyers contacted in the June 24 wave (R012, Count 15), which already counts it; Count 0 avoids double counting.</t>
        </is>
      </c>
      <c r="K4" t="inlineStr">
        <is>
          <t>— Stated contact and receptiveness: "representatives of BofA Merrill Lynch, as instructed by the Board, telephoned a representative of Party A to discuss generally a possible business combination between Party A and Mac-Gray. During this call, the representative of Party A indicated that Party A might consider a business combination with Mac-Gray" (p.27).— Party A is one of the 15 strategic parties in the June 24 wave: "50 parties, including CSC and Pamplona, who together we refer to as CSC/Pamplona, and Party A, to solicit potential interest in a transaction with Mac-Gray, 15 of which were potential strategic buyers" (p.31-32).</t>
        </is>
      </c>
      <c r="L4" t="inlineStr">
        <is>
          <t>P-004; P-022</t>
        </is>
      </c>
      <c r="M4" t="inlineStr">
        <is>
          <t>Q3</t>
        </is>
      </c>
      <c r="P4" t="inlineStr">
        <is>
          <t>R003</t>
        </is>
      </c>
      <c r="Q4" t="inlineStr">
        <is>
          <t>Yes</t>
        </is>
      </c>
      <c r="R4" t="n">
        <v>0</v>
      </c>
      <c r="S4" s="14" t="n">
        <v>41372</v>
      </c>
      <c r="T4" s="14" t="n">
        <v>41372</v>
      </c>
      <c r="U4" s="14" t="n">
        <v>41372</v>
      </c>
      <c r="V4" t="inlineStr">
        <is>
          <t>Reported day</t>
        </is>
      </c>
      <c r="W4" t="inlineStr">
        <is>
          <t>Reported</t>
        </is>
      </c>
      <c r="AL4" t="n">
        <v>27</v>
      </c>
      <c r="AM4" t="inlineStr">
        <is>
          <t>R012 (cohort contains Party A); R009 (Party A June 21 proposal)</t>
        </is>
      </c>
      <c r="AN4" t="inlineStr">
        <is>
          <t>Mac-Gray/CSC</t>
        </is>
      </c>
    </row>
    <row r="5">
      <c r="A5" t="n">
        <v>4</v>
      </c>
      <c r="B5" t="inlineStr">
        <is>
          <t>05/09/2013</t>
        </is>
      </c>
      <c r="C5" t="inlineStr">
        <is>
          <t>Mac-Gray Board of Directors</t>
        </is>
      </c>
      <c r="D5" t="inlineStr">
        <is>
          <t>Target decision</t>
        </is>
      </c>
      <c r="E5" t="n">
        <v>1</v>
      </c>
      <c r="F5" t="n">
        <v>0</v>
      </c>
      <c r="H5" t="inlineStr">
        <is>
          <t>Board discussed whether to approach third parties about a potential sale; formed the Transaction Committee (Thomas Bullock and Paul Daoust) to recommend and engage a financial adviser; concluded to revisit the review at its next meeting.</t>
        </is>
      </c>
      <c r="K5" t="inlineStr">
        <is>
          <t>— Stated discussion: "the Board engaged in a general discussion concerning whether it might be advisable to approach and discuss a potential sale transaction with third parties at this time as a means by which to deliver value to the stockholders of Mac-Gray" (p.28).— Transaction Committee formed: "the Board formed a transaction committee at this meeting, which we refer to as the Transaction Committee, and appointed Thomas Bullock and Paul Daoust, both independent directors, to serve as its members" (p.28).— Deferral: "The Board concluded that it would discuss the review of strategic alternatives, including engaging in a potential sale process, at its next meeting" (p.28).</t>
        </is>
      </c>
      <c r="L5" t="inlineStr">
        <is>
          <t>P-006; P-007</t>
        </is>
      </c>
      <c r="M5" t="inlineStr">
        <is>
          <t>Q1</t>
        </is>
      </c>
      <c r="P5" t="inlineStr">
        <is>
          <t>R004</t>
        </is>
      </c>
      <c r="Q5" t="inlineStr">
        <is>
          <t>Yes</t>
        </is>
      </c>
      <c r="S5" s="14" t="n">
        <v>41403</v>
      </c>
      <c r="T5" s="14" t="n">
        <v>41403</v>
      </c>
      <c r="U5" s="14" t="n">
        <v>41403</v>
      </c>
      <c r="V5" t="inlineStr">
        <is>
          <t>Reported day</t>
        </is>
      </c>
      <c r="W5" t="inlineStr">
        <is>
          <t>Reported</t>
        </is>
      </c>
      <c r="AL5" t="n">
        <v>28</v>
      </c>
      <c r="AM5" t="inlineStr">
        <is>
          <t>R007</t>
        </is>
      </c>
      <c r="AN5" t="inlineStr">
        <is>
          <t>Mac-Gray/CSC</t>
        </is>
      </c>
    </row>
    <row r="6">
      <c r="A6" t="n">
        <v>5</v>
      </c>
      <c r="B6" t="inlineStr">
        <is>
          <t>05/09/2013</t>
        </is>
      </c>
      <c r="C6" t="inlineStr">
        <is>
          <t>Goodwin Procter LLP (outside legal counsel, Mac-Gray)</t>
        </is>
      </c>
      <c r="D6" t="inlineStr">
        <is>
          <t>Adviser service observed</t>
        </is>
      </c>
      <c r="E6" t="n">
        <v>1</v>
      </c>
      <c r="F6" t="n">
        <v>0</v>
      </c>
      <c r="H6" t="inlineStr">
        <is>
          <t>Goodwin Procter LLP, outside legal counsel to Mac-Gray, first shown acting on the strategic-alternatives mandate at the May 9, 2013 Board meeting (fiduciary-duty overview); engagement date and engagement letter not disclosed.</t>
        </is>
      </c>
      <c r="K6" t="inlineStr">
        <is>
          <t>— Earliest observed service: "representatives from BofA Merrill Lynch and Goodwin Procter LLP, outside legal counsel to Mac-Gray, were also in attendance for all or portions of the meeting" (p.27-28).— Fiduciary overview and further service: "a representative of Goodwin Procter provided an overview of the Board's fiduciary duties" (p.28).</t>
        </is>
      </c>
      <c r="L6" t="inlineStr">
        <is>
          <t>P-005; P-007</t>
        </is>
      </c>
      <c r="P6" t="inlineStr">
        <is>
          <t>R005</t>
        </is>
      </c>
      <c r="Q6" t="inlineStr">
        <is>
          <t>Yes</t>
        </is>
      </c>
      <c r="S6" s="14" t="n">
        <v>41403</v>
      </c>
      <c r="T6" s="14" t="n">
        <v>41403</v>
      </c>
      <c r="U6" s="14" t="n">
        <v>41403</v>
      </c>
      <c r="V6" t="inlineStr">
        <is>
          <t>Reported day</t>
        </is>
      </c>
      <c r="W6" t="inlineStr">
        <is>
          <t>Reported</t>
        </is>
      </c>
      <c r="AL6" t="n">
        <v>27</v>
      </c>
      <c r="AM6" t="inlineStr">
        <is>
          <t>R004</t>
        </is>
      </c>
      <c r="AN6" t="inlineStr">
        <is>
          <t>Mac-Gray/CSC</t>
        </is>
      </c>
    </row>
    <row r="7">
      <c r="A7" t="n">
        <v>6</v>
      </c>
      <c r="B7" t="inlineStr">
        <is>
          <t>05/15/2013</t>
        </is>
      </c>
      <c r="C7" t="inlineStr">
        <is>
          <t>BofA Merrill Lynch (financial adviser, Mac-Gray)</t>
        </is>
      </c>
      <c r="D7" t="inlineStr">
        <is>
          <t>Adviser ended</t>
        </is>
      </c>
      <c r="F7" t="n">
        <v>0</v>
      </c>
      <c r="H7" t="inlineStr">
        <is>
          <t>Termination of the 10/23/2012 engagement for the 2011-2012 Discussions: Transaction Committee determined to terminate on 05/14/2013; letter sent 05/15/2013. BofA Merrill Lynch was simultaneously a candidate for the new strategic-alternatives mandate.</t>
        </is>
      </c>
      <c r="K7" t="inlineStr">
        <is>
          <t>— Stated determination and letter: "the Transaction Committee determined to terminate BofA Merrill Lynch's engagement letter entered into for purposes of the 2011-2012 Discussions" (p.29). "On May 15, 2013, Mac-Gray sent a letter to BofA Merrill Lynch terminating their engagement in connection with the 2011-2012 Discussions" (p.29).</t>
        </is>
      </c>
      <c r="L7" t="inlineStr">
        <is>
          <t>P-009; P-010</t>
        </is>
      </c>
      <c r="P7" t="inlineStr">
        <is>
          <t>R006</t>
        </is>
      </c>
      <c r="Q7" t="inlineStr">
        <is>
          <t>Yes</t>
        </is>
      </c>
      <c r="S7" s="14" t="n">
        <v>41409</v>
      </c>
      <c r="T7" s="14" t="n">
        <v>41409</v>
      </c>
      <c r="U7" s="14" t="n">
        <v>41409</v>
      </c>
      <c r="V7" t="inlineStr">
        <is>
          <t>Reported day</t>
        </is>
      </c>
      <c r="W7" t="inlineStr">
        <is>
          <t>Reported</t>
        </is>
      </c>
      <c r="AL7" t="n">
        <v>29</v>
      </c>
      <c r="AM7" t="inlineStr">
        <is>
          <t>R001; R007</t>
        </is>
      </c>
      <c r="AN7" t="inlineStr">
        <is>
          <t>Mac-Gray/CSC</t>
        </is>
      </c>
    </row>
    <row r="8">
      <c r="A8" t="n">
        <v>7</v>
      </c>
      <c r="B8" t="inlineStr">
        <is>
          <t>05/30/2013 (Board approval) – 05/31/2013 (engagement letter)</t>
        </is>
      </c>
      <c r="C8" t="inlineStr">
        <is>
          <t>BofA Merrill Lynch (financial adviser, Mac-Gray)</t>
        </is>
      </c>
      <c r="D8" t="inlineStr">
        <is>
          <t>Adviser engaged</t>
        </is>
      </c>
      <c r="E8" t="n">
        <v>1</v>
      </c>
      <c r="F8" t="n">
        <v>0</v>
      </c>
      <c r="H8" t="inlineStr">
        <is>
          <t>Board unanimously approved engaging BofA Merrill Lynch as financial adviser for the strategic-alternatives review (three banks invited 05/10/2013; presentations 05/22 and 05/29/2013); engagement letter entered 05/31/2013, including a restriction on BofA Merrill Lynch sourcing buyer acquisition financing without Mac-Gray’s prior written consent.</t>
        </is>
      </c>
      <c r="K8" t="inlineStr">
        <is>
          <t>— Selection process: "determined to invite three nationally recognized investment banks to submit proposals" (p.28).— Board approval: "Based on the recommendation of the Transaction Committee, the Board unanimously approved the engagement of BofA Merrill Lynch on the terms discussed at this meeting" (p.29).— Engagement letter and restriction: "On May 31, 2013, Mac-Gray entered into an engagement letter with BofA Merrill Lynch with respect to the Board's undertaking a review of strategic alternatives, including a potential sale process, and in which BofA Merrill Lynch agreed not to engage as a possible source of new acquisition financing for any potential buyers in connection with any such sale process without Mac-Gray's prior written consent" (p.30). Engagement timing: Board approval 05/30/2013; engagement letter 05/31/2013 (Working date assigned to the first day; Assigned: bound).</t>
        </is>
      </c>
      <c r="L8" t="inlineStr">
        <is>
          <t>P-008; P-014; P-016</t>
        </is>
      </c>
      <c r="M8" t="inlineStr">
        <is>
          <t>Q1</t>
        </is>
      </c>
      <c r="P8" t="inlineStr">
        <is>
          <t>R007</t>
        </is>
      </c>
      <c r="Q8" t="inlineStr">
        <is>
          <t>Yes</t>
        </is>
      </c>
      <c r="S8" s="14" t="n">
        <v>41424</v>
      </c>
      <c r="T8" s="14" t="n">
        <v>41425</v>
      </c>
      <c r="U8" s="14" t="n">
        <v>41424</v>
      </c>
      <c r="V8" t="inlineStr">
        <is>
          <t>Reported interval</t>
        </is>
      </c>
      <c r="W8" t="inlineStr">
        <is>
          <t>Assigned: bound</t>
        </is>
      </c>
      <c r="AL8" t="n">
        <v>29</v>
      </c>
      <c r="AM8" t="inlineStr">
        <is>
          <t>R004; R006</t>
        </is>
      </c>
      <c r="AN8" t="inlineStr">
        <is>
          <t>Mac-Gray/CSC</t>
        </is>
      </c>
    </row>
    <row r="9">
      <c r="A9" t="n">
        <v>8</v>
      </c>
      <c r="B9" t="inlineStr">
        <is>
          <t>05/30/2013</t>
        </is>
      </c>
      <c r="C9" t="inlineStr">
        <is>
          <t>Moab Partners, L.P. and affiliates (activist stockholder); Mac-Gray</t>
        </is>
      </c>
      <c r="D9" t="inlineStr">
        <is>
          <t>Activist involvement</t>
        </is>
      </c>
      <c r="E9" t="n">
        <v>1</v>
      </c>
      <c r="F9" t="n">
        <v>0</v>
      </c>
      <c r="H9" t="inlineStr">
        <is>
          <t>Moab’s proxy contest: Moab-nominated Michael M. Rothenberg (Moab co-founder and General Partner) and James E. Hyman elected as directors in place of incumbent nominees; Board size reduced to seven; Moab held approximately 9% of shares. Rothenberg was later excluded from the sale-process evaluation because Moab sought a possible equity rollover (R010, R016).</t>
        </is>
      </c>
      <c r="K9" t="inlineStr">
        <is>
          <t>— Stated election and proxy contest: "the Mac-Gray stockholders elected as directors Michael M. Rothenberg and James E. Hyman, candidates nominated by Mac-Gray's stockholder, Moab Partners, L.P. and certain of its affiliates, which we refer collectively to as Moab. Mac-Gray and Moab engaged in a proxy contest leading up to the annual meeting" (p.29).— Moab stake at the June 12 orientation: "At the time of this meeting, Moab beneficially owned approximately 9% of Mac-Gray's outstanding common stock" (p.30).</t>
        </is>
      </c>
      <c r="L9" t="inlineStr">
        <is>
          <t>P-015; P-017</t>
        </is>
      </c>
      <c r="P9" t="inlineStr">
        <is>
          <t>R008</t>
        </is>
      </c>
      <c r="Q9" t="inlineStr">
        <is>
          <t>Yes</t>
        </is>
      </c>
      <c r="S9" s="14" t="n">
        <v>41424</v>
      </c>
      <c r="T9" s="14" t="n">
        <v>41424</v>
      </c>
      <c r="U9" s="14" t="n">
        <v>41424</v>
      </c>
      <c r="V9" t="inlineStr">
        <is>
          <t>Reported day</t>
        </is>
      </c>
      <c r="W9" t="inlineStr">
        <is>
          <t>Reported</t>
        </is>
      </c>
      <c r="AL9" t="n">
        <v>29</v>
      </c>
      <c r="AM9" t="inlineStr">
        <is>
          <t>R010; R016</t>
        </is>
      </c>
      <c r="AN9" t="inlineStr">
        <is>
          <t>Mac-Gray/CSC</t>
        </is>
      </c>
    </row>
    <row r="10">
      <c r="A10" t="n">
        <v>9</v>
      </c>
      <c r="B10" t="inlineStr">
        <is>
          <t>06/21/2013</t>
        </is>
      </c>
      <c r="C10" t="inlineStr">
        <is>
          <t>Party A (potential strategic acquirer)</t>
        </is>
      </c>
      <c r="D10" t="inlineStr">
        <is>
          <t>Bid</t>
        </is>
      </c>
      <c r="E10" t="n">
        <v>1</v>
      </c>
      <c r="F10" t="n">
        <v>0</v>
      </c>
      <c r="G10" t="inlineStr">
        <is>
          <t>Strategic</t>
        </is>
      </c>
      <c r="H10" t="inlineStr">
        <is>
          <t>Unsolicited all-cash proposal to purchase Mac-Gray at $17.00–$19.00 per share. Made before any NDA or substantive diligence access (NDA signed 08/05/2013, R027); first contact was the 04/08/2013 call (R003). Still standing when round 1 was evaluated, so Party A counts as a round-1 participant although this bid row sits in round 0.</t>
        </is>
      </c>
      <c r="I10" t="inlineStr">
        <is>
          <t>Informal</t>
        </is>
      </c>
      <c r="J10" t="inlineStr">
        <is>
          <t>Heavy</t>
        </is>
      </c>
      <c r="K10" t="inlineStr">
        <is>
          <t>— Stated proposal: "On June 21, 2013, Party A submitted an unsolicited proposal to the Mac-Gray Board of Directors offering to purchase Mac-Gray for an all-cash purchase price of $17.00 to $19.00 per share, which we refer to as the Party A June 21 proposal" (p.30).— No formal signal and no substantive access yet: "outside counsel to Party A and representatives of Goodwin Procter negotiated the terms of a confidentiality and standstill agreement, but did not come to agreement on the terms of the customer and employee non-solicitation provisions" (p.33). Formality: preliminary exploratory proposal, no supported formal signal — Informal. Conditions: Heavy by context — made before any NDA or substantive diligence access.</t>
        </is>
      </c>
      <c r="L10" t="inlineStr">
        <is>
          <t>P-018; P-030</t>
        </is>
      </c>
      <c r="M10" t="inlineStr">
        <is>
          <t>Q4</t>
        </is>
      </c>
      <c r="P10" t="inlineStr">
        <is>
          <t>R009</t>
        </is>
      </c>
      <c r="Q10" t="inlineStr">
        <is>
          <t>Yes</t>
        </is>
      </c>
      <c r="R10" t="n">
        <v>1</v>
      </c>
      <c r="S10" s="14" t="n">
        <v>41446</v>
      </c>
      <c r="T10" s="14" t="n">
        <v>41446</v>
      </c>
      <c r="U10" s="14" t="n">
        <v>41446</v>
      </c>
      <c r="V10" t="inlineStr">
        <is>
          <t>Reported day</t>
        </is>
      </c>
      <c r="W10" t="inlineStr">
        <is>
          <t>Reported</t>
        </is>
      </c>
      <c r="X10" t="n">
        <v>17</v>
      </c>
      <c r="Y10" t="n">
        <v>19</v>
      </c>
      <c r="Z10" t="inlineStr">
        <is>
          <t>Bidder range</t>
        </is>
      </c>
      <c r="AA10" t="inlineStr">
        <is>
          <t>Stated</t>
        </is>
      </c>
      <c r="AB10" t="inlineStr">
        <is>
          <t>USD</t>
        </is>
      </c>
      <c r="AC10" t="inlineStr">
        <is>
          <t>Yes</t>
        </is>
      </c>
      <c r="AE10" t="inlineStr">
        <is>
          <t>Fin: not stated; DD required: not stated; DD open: no; Excl: not stated</t>
        </is>
      </c>
      <c r="AL10" t="n">
        <v>30</v>
      </c>
      <c r="AM10" t="inlineStr">
        <is>
          <t>R003 (first contact); R012/R011 (round-1 participation); R027 (NDA)</t>
        </is>
      </c>
      <c r="AN10" t="inlineStr">
        <is>
          <t>Mac-Gray/CSC</t>
        </is>
      </c>
    </row>
    <row r="11">
      <c r="A11" t="n">
        <v>10</v>
      </c>
      <c r="B11" t="inlineStr">
        <is>
          <t>06/24/2013</t>
        </is>
      </c>
      <c r="C11" t="inlineStr">
        <is>
          <t>Mac-Gray Board of Directors</t>
        </is>
      </c>
      <c r="D11" t="inlineStr">
        <is>
          <t>Target decision</t>
        </is>
      </c>
      <c r="E11" t="n">
        <v>1</v>
      </c>
      <c r="F11" t="n">
        <v>0</v>
      </c>
      <c r="H11" t="inlineStr">
        <is>
          <t>Board established the Special Committee of six independent and disinterested directors (Bullock, Daoust, Hyman, Meagher, Percelay, Robinson; Bullock chairman) and excluded Mr. MacDonald and Mr. Rothenberg from the Board’s evaluation of strategic alternatives because they could be asked to partner with a potential acquirer; Transaction Committee became a sub-committee.</t>
        </is>
      </c>
      <c r="K11" t="inlineStr">
        <is>
          <t>— Stated establishment: "the Board then established the Special Committee, comprised of the six independent and disinterested members of the Board (namely, Mr. Bullock, Mr. Daoust, Mr. Hyman, William F. Meagher, Bruce A. Percelay and Alastair G. Robinson)" (p.30).— Exclusions: "the Board decided, and Mr. MacDonald and Mr. Rothenberg agreed, that it would be appropriate to exclude Mr. MacDonald and Mr. Rothenberg from the Board's evaluation of strategic alternatives and any negotiations with third parties that might take place" (p.30).</t>
        </is>
      </c>
      <c r="L11" t="inlineStr">
        <is>
          <t>P-019</t>
        </is>
      </c>
      <c r="M11" t="inlineStr">
        <is>
          <t>Q1</t>
        </is>
      </c>
      <c r="P11" t="inlineStr">
        <is>
          <t>R010</t>
        </is>
      </c>
      <c r="Q11" t="inlineStr">
        <is>
          <t>Yes</t>
        </is>
      </c>
      <c r="S11" s="14" t="n">
        <v>41449</v>
      </c>
      <c r="T11" s="14" t="n">
        <v>41449</v>
      </c>
      <c r="U11" s="14" t="n">
        <v>41449</v>
      </c>
      <c r="V11" t="inlineStr">
        <is>
          <t>Reported day</t>
        </is>
      </c>
      <c r="W11" t="inlineStr">
        <is>
          <t>Reported</t>
        </is>
      </c>
      <c r="AL11" t="n">
        <v>30</v>
      </c>
      <c r="AM11" t="inlineStr">
        <is>
          <t>R011</t>
        </is>
      </c>
      <c r="AN11" t="inlineStr">
        <is>
          <t>Mac-Gray/CSC</t>
        </is>
      </c>
    </row>
    <row r="12">
      <c r="A12" t="n">
        <v>11</v>
      </c>
      <c r="B12" t="inlineStr">
        <is>
          <t>06/24/2013</t>
        </is>
      </c>
      <c r="C12" t="inlineStr">
        <is>
          <t>Mac-Gray Special Committee</t>
        </is>
      </c>
      <c r="D12" t="inlineStr">
        <is>
          <t>Round opened</t>
        </is>
      </c>
      <c r="E12" t="n">
        <v>1</v>
      </c>
      <c r="F12" t="n">
        <v>1</v>
      </c>
      <c r="H12" t="inlineStr">
        <is>
          <t>R1 anchor: Special Committee’s 06/24/2013 determination to consider a potential sale and to approach 50 parties (15 potential strategic buyers; 35 potential financial buyers), executed by BofA Merrill Lynch outreach beginning within days (first NDA 06/28/2013). Other candidate anchors: R002 (04/05/2013 authorization), R003 (04/08/2013 Party A call), R007 (05/31/2013 engagement letter), R012–R013 (first outreach wave), R014 (06/28/2013 first NDA). Purpose: solicit preliminary indications of interest, with packages furnished to NDA signers and IOIs instructed by 07/23/2013 (R017). Round-1 participant set: Party A (round-0 proposal standing, R009), Party B, Party C, CSC/Pamplona.</t>
        </is>
      </c>
      <c r="K12" t="inlineStr">
        <is>
          <t>— Stated determination and approach scope: "the Special Committee concluded that it would be in the best interests of stockholders to consider a potential sale of Mac-Gray" (p.31). "the Special Committee determined to approach a total of 50 parties, including CSC and Pamplona, who together we refer to as CSC/Pamplona, and Party A, to solicit potential interest in a transaction with Mac-Gray, 15 of which were potential strategic buyers and 35 of which were potential financial buyers, including private equity firms" (p.31-32).</t>
        </is>
      </c>
      <c r="L12" t="inlineStr">
        <is>
          <t>P-021; P-022</t>
        </is>
      </c>
      <c r="M12" t="inlineStr">
        <is>
          <t>Q1</t>
        </is>
      </c>
      <c r="P12" t="inlineStr">
        <is>
          <t>R011</t>
        </is>
      </c>
      <c r="Q12" t="inlineStr">
        <is>
          <t>Yes</t>
        </is>
      </c>
      <c r="S12" s="14" t="n">
        <v>41449</v>
      </c>
      <c r="T12" s="14" t="n">
        <v>41449</v>
      </c>
      <c r="U12" s="14" t="n">
        <v>41449</v>
      </c>
      <c r="V12" t="inlineStr">
        <is>
          <t>Reported day</t>
        </is>
      </c>
      <c r="W12" t="inlineStr">
        <is>
          <t>Reported</t>
        </is>
      </c>
      <c r="AH12" t="inlineStr">
        <is>
          <t>Not final</t>
        </is>
      </c>
      <c r="AL12" t="n">
        <v>31</v>
      </c>
      <c r="AM12" t="inlineStr">
        <is>
          <t>R009; R010; R002; R003; R007; R012–R014</t>
        </is>
      </c>
      <c r="AN12" t="inlineStr">
        <is>
          <t>Mac-Gray/CSC</t>
        </is>
      </c>
    </row>
    <row r="13">
      <c r="A13" t="n">
        <v>12</v>
      </c>
      <c r="B13" t="inlineStr">
        <is>
          <t>after 06/24/2013; late June through August 2013 (individual contact dates not disclosed)</t>
        </is>
      </c>
      <c r="C13" t="inlineStr">
        <is>
          <t>Mac-Gray (via BofA Merrill Lynch) → 15 potential strategic buyers</t>
        </is>
      </c>
      <c r="D13" t="inlineStr">
        <is>
          <t>Contact</t>
        </is>
      </c>
      <c r="E13" t="n">
        <v>1</v>
      </c>
      <c r="F13" t="n">
        <v>1</v>
      </c>
      <c r="G13" t="inlineStr">
        <is>
          <t>Strategic</t>
        </is>
      </c>
      <c r="H13" t="inlineStr">
        <is>
          <t>Outreach to the 15 potential strategic buyers identified at the June 24 Special Committee meeting, in accordance with its directives. Parties contacted include Party A (first contacted 04/08/2013, R003 — Count 0 there) and CSC/Pamplona. Count 15 = the cohort as described; treated as a single contact wave.</t>
        </is>
      </c>
      <c r="K13" t="inlineStr">
        <is>
          <t>— Stated outreach: "During the next several weeks, in accordance with the directives of the Special Committee, BofA Merrill Lynch contacted the strategic and financial parties identified at the June 24th Special Committee meeting" (p.32).— Cohort size and composition: "15 of which were potential strategic buyers" (p.31-32). Working date convention: the wave began after the 06/24/2013 directive; individual contact dates are not disclosed (Assigned: bound to the first day of the reported window).</t>
        </is>
      </c>
      <c r="L13" t="inlineStr">
        <is>
          <t>P-023; P-022</t>
        </is>
      </c>
      <c r="M13" t="inlineStr">
        <is>
          <t>Q3; Q7</t>
        </is>
      </c>
      <c r="P13" t="inlineStr">
        <is>
          <t>R012</t>
        </is>
      </c>
      <c r="Q13" t="inlineStr">
        <is>
          <t>Yes</t>
        </is>
      </c>
      <c r="R13" t="n">
        <v>15</v>
      </c>
      <c r="S13" s="14" t="n">
        <v>41449</v>
      </c>
      <c r="T13" s="14" t="n">
        <v>41513</v>
      </c>
      <c r="U13" s="14" t="n">
        <v>41449</v>
      </c>
      <c r="V13" t="inlineStr">
        <is>
          <t>Approximate window</t>
        </is>
      </c>
      <c r="W13" t="inlineStr">
        <is>
          <t>Assigned: bound</t>
        </is>
      </c>
      <c r="AL13" t="n">
        <v>32</v>
      </c>
      <c r="AM13" t="inlineStr">
        <is>
          <t>R003 (Party A, Count 0 there); R011; R013</t>
        </is>
      </c>
      <c r="AN13" t="inlineStr">
        <is>
          <t>Mac-Gray/CSC</t>
        </is>
      </c>
    </row>
    <row r="14">
      <c r="A14" t="n">
        <v>13</v>
      </c>
      <c r="B14" t="inlineStr">
        <is>
          <t>after 06/24/2013; late June through August 2013 (individual contact dates not disclosed)</t>
        </is>
      </c>
      <c r="C14" t="inlineStr">
        <is>
          <t>Mac-Gray (via BofA Merrill Lynch) → 35 potential financial buyers</t>
        </is>
      </c>
      <c r="D14" t="inlineStr">
        <is>
          <t>Contact</t>
        </is>
      </c>
      <c r="E14" t="n">
        <v>1</v>
      </c>
      <c r="F14" t="n">
        <v>1</v>
      </c>
      <c r="G14" t="inlineStr">
        <is>
          <t>Financial</t>
        </is>
      </c>
      <c r="H14" t="inlineStr">
        <is>
          <t>Outreach to the 35 potential financial buyers including private equity firms, in accordance with the Special Committee’s directives. Includes Party B and Party C, later recorded individually at the NDA stage. Count 35 = the cohort as described.</t>
        </is>
      </c>
      <c r="K14" t="inlineStr">
        <is>
          <t>— Stated outreach: "BofA Merrill Lynch contacted the strategic and financial parties identified at the June 24th Special Committee meeting" (p.32).— Cohort size and composition: "35 of which were potential financial buyers, including private equity firms" (p.31-32). Working date convention: the wave began after the 06/24/2013 directive; individual contact dates are not disclosed (Assigned: bound to the first day of the reported window).</t>
        </is>
      </c>
      <c r="L14" t="inlineStr">
        <is>
          <t>P-023; P-022</t>
        </is>
      </c>
      <c r="M14" t="inlineStr">
        <is>
          <t>Q3; Q7</t>
        </is>
      </c>
      <c r="P14" t="inlineStr">
        <is>
          <t>R013</t>
        </is>
      </c>
      <c r="Q14" t="inlineStr">
        <is>
          <t>Yes</t>
        </is>
      </c>
      <c r="R14" t="n">
        <v>35</v>
      </c>
      <c r="S14" s="14" t="n">
        <v>41449</v>
      </c>
      <c r="T14" s="14" t="n">
        <v>41513</v>
      </c>
      <c r="U14" s="14" t="n">
        <v>41449</v>
      </c>
      <c r="V14" t="inlineStr">
        <is>
          <t>Approximate window</t>
        </is>
      </c>
      <c r="W14" t="inlineStr">
        <is>
          <t>Assigned: bound</t>
        </is>
      </c>
      <c r="AL14" t="n">
        <v>32</v>
      </c>
      <c r="AM14" t="inlineStr">
        <is>
          <t>R011; R012</t>
        </is>
      </c>
      <c r="AN14" t="inlineStr">
        <is>
          <t>Mac-Gray/CSC</t>
        </is>
      </c>
    </row>
    <row r="15">
      <c r="A15" t="n">
        <v>14</v>
      </c>
      <c r="B15" t="inlineStr">
        <is>
          <t>06/28/2013</t>
        </is>
      </c>
      <c r="C15" t="inlineStr">
        <is>
          <t>Party B (financial bidder)</t>
        </is>
      </c>
      <c r="D15" t="inlineStr">
        <is>
          <t>NDA signed</t>
        </is>
      </c>
      <c r="E15" t="n">
        <v>1</v>
      </c>
      <c r="F15" t="n">
        <v>1</v>
      </c>
      <c r="G15" t="inlineStr">
        <is>
          <t>Financial</t>
        </is>
      </c>
      <c r="H15" t="inlineStr">
        <is>
          <t>Executed a confidentiality and standstill agreement with Mac-Gray on Mac-Gray’s form (individually negotiated; no material variances) and received the informational package; standstill carried a sunset allowing confidential proposals on announcement of a business combination or change of control.</t>
        </is>
      </c>
      <c r="K15" t="inlineStr">
        <is>
          <t>— Stated execution and package: "Later on June 28, 2013, Party B, entered into a confidentiality and standstill agreement with Mac-Gray and was provided with an informational package for the purpose of providing Party B with data to formulate a preliminary indication of interest" (p.32).— Form and standstill terms: "entered into confidentiality agreements with Mac-Gray on a form provided by Mac-Gray, the terms of which were individually negotiated with potential bidders, but did not vary materially from the form provided" (p.32).</t>
        </is>
      </c>
      <c r="L15" t="inlineStr">
        <is>
          <t>P-025; P-023</t>
        </is>
      </c>
      <c r="P15" t="inlineStr">
        <is>
          <t>R014</t>
        </is>
      </c>
      <c r="Q15" t="inlineStr">
        <is>
          <t>Yes</t>
        </is>
      </c>
      <c r="R15" t="n">
        <v>1</v>
      </c>
      <c r="S15" s="14" t="n">
        <v>41453</v>
      </c>
      <c r="T15" s="14" t="n">
        <v>41453</v>
      </c>
      <c r="U15" s="14" t="n">
        <v>41453</v>
      </c>
      <c r="V15" t="inlineStr">
        <is>
          <t>Reported day</t>
        </is>
      </c>
      <c r="W15" t="inlineStr">
        <is>
          <t>Reported</t>
        </is>
      </c>
      <c r="AL15" t="n">
        <v>32</v>
      </c>
      <c r="AN15" t="inlineStr">
        <is>
          <t>Mac-Gray/CSC</t>
        </is>
      </c>
    </row>
    <row r="16">
      <c r="A16" t="n">
        <v>15</v>
      </c>
      <c r="B16" t="inlineStr">
        <is>
          <t>06/30/2013</t>
        </is>
      </c>
      <c r="C16" t="inlineStr">
        <is>
          <t>Party C (financial bidder)</t>
        </is>
      </c>
      <c r="D16" t="inlineStr">
        <is>
          <t>NDA signed</t>
        </is>
      </c>
      <c r="E16" t="n">
        <v>1</v>
      </c>
      <c r="F16" t="n">
        <v>1</v>
      </c>
      <c r="G16" t="inlineStr">
        <is>
          <t>Financial</t>
        </is>
      </c>
      <c r="H16" t="inlineStr">
        <is>
          <t>Executed a confidentiality and standstill agreement with Mac-Gray and received the informational package on the same basis as the other signers.</t>
        </is>
      </c>
      <c r="K16" t="inlineStr">
        <is>
          <t>— Stated execution and package: "On June 30, 2013, Party C entered into a confidentiality and standstill agreement with Mac-Gray and was provided with an informational package for the purpose of providing Party C with data to formulate a preliminary indication of interest" (p.32).</t>
        </is>
      </c>
      <c r="L16" t="inlineStr">
        <is>
          <t>P-026</t>
        </is>
      </c>
      <c r="P16" t="inlineStr">
        <is>
          <t>R015</t>
        </is>
      </c>
      <c r="Q16" t="inlineStr">
        <is>
          <t>Yes</t>
        </is>
      </c>
      <c r="R16" t="n">
        <v>1</v>
      </c>
      <c r="S16" s="14" t="n">
        <v>41455</v>
      </c>
      <c r="T16" s="14" t="n">
        <v>41455</v>
      </c>
      <c r="U16" s="14" t="n">
        <v>41455</v>
      </c>
      <c r="V16" t="inlineStr">
        <is>
          <t>Reported day</t>
        </is>
      </c>
      <c r="W16" t="inlineStr">
        <is>
          <t>Reported</t>
        </is>
      </c>
      <c r="AL16" t="n">
        <v>32</v>
      </c>
      <c r="AN16" t="inlineStr">
        <is>
          <t>Mac-Gray/CSC</t>
        </is>
      </c>
    </row>
    <row r="17">
      <c r="A17" t="n">
        <v>16</v>
      </c>
      <c r="B17" t="inlineStr">
        <is>
          <t>07/06/2013</t>
        </is>
      </c>
      <c r="C17" t="inlineStr">
        <is>
          <t>Mac-Gray Special Committee; Moab Partners (via Mr. Rothenberg); CSC/Pamplona</t>
        </is>
      </c>
      <c r="D17" t="inlineStr">
        <is>
          <t>Material process update</t>
        </is>
      </c>
      <c r="E17" t="n">
        <v>1</v>
      </c>
      <c r="F17" t="n">
        <v>1</v>
      </c>
      <c r="H17" t="inlineStr">
        <is>
          <t>Moab rollover request denied as premature: Mr. Rothenberg had asked that CSC/Pamplona be allowed to share bid and evaluation material with Moab, with Moab exclusively engaged with CSC/Pamplona; the Special Committee denied exclusivity so that Moab’s stake could remain available as capital for other bidders, and said rollover discussions would be permitted at a later stage.</t>
        </is>
      </c>
      <c r="K17" t="inlineStr">
        <is>
          <t>— Stated request: "Mr. Rothenberg also informed Goodwin Procter that Pamplona would be requesting that any confidentiality agreement CSC/Pamplona execute with Mac-Gray permit CSC and Pamplona to discuss their bid and evaluation material with Moab, with Moab agreeing to exclusively engage with CSC/Pamplona" (p.32).— Stated denial and rationale: "the Special Committee decided to deny the exclusivity request at this stage of the process so that the potential equity rollover of Moab's shares could be available as a source of capital for other potential bidders" (p.32-33).— Deferral: "it was premature for Mac-Gray to permit Moab to engage in equity rollover discussions with any party, including CSC/Pamplona, but that such discussions would be permitted at a later stage of the sale process" (p.32-33).</t>
        </is>
      </c>
      <c r="L17" t="inlineStr">
        <is>
          <t>P-027; P-028</t>
        </is>
      </c>
      <c r="M17" t="inlineStr">
        <is>
          <t>Q6</t>
        </is>
      </c>
      <c r="P17" t="inlineStr">
        <is>
          <t>R016</t>
        </is>
      </c>
      <c r="Q17" t="inlineStr">
        <is>
          <t>Yes</t>
        </is>
      </c>
      <c r="S17" s="14" t="n">
        <v>41461</v>
      </c>
      <c r="T17" s="14" t="n">
        <v>41461</v>
      </c>
      <c r="U17" s="14" t="n">
        <v>41461</v>
      </c>
      <c r="V17" t="inlineStr">
        <is>
          <t>Reported day</t>
        </is>
      </c>
      <c r="W17" t="inlineStr">
        <is>
          <t>Reported</t>
        </is>
      </c>
      <c r="AL17" t="n">
        <v>32</v>
      </c>
      <c r="AM17" t="inlineStr">
        <is>
          <t>R049 (resolution); R010</t>
        </is>
      </c>
      <c r="AN17" t="inlineStr">
        <is>
          <t>Mac-Gray/CSC</t>
        </is>
      </c>
    </row>
    <row r="18">
      <c r="A18" t="n">
        <v>17</v>
      </c>
      <c r="B18" t="inlineStr">
        <is>
          <t>between 06/28/2013 and 07/23/2013 (communication date not disclosed)</t>
        </is>
      </c>
      <c r="C18" t="inlineStr">
        <is>
          <t>Mac-Gray (informational package) → NDA signers</t>
        </is>
      </c>
      <c r="D18" t="inlineStr">
        <is>
          <t>Deadline set</t>
        </is>
      </c>
      <c r="E18" t="n">
        <v>1</v>
      </c>
      <c r="F18" t="n">
        <v>1</v>
      </c>
      <c r="H18" t="inlineStr">
        <is>
          <t>Informational-package letter instructed NDA signers to submit preliminary indications of interest by 07/23/2013, addressing valuation, sources and structures of financing, material conditions (including required approvals) and due-diligence focus areas. Communication date not disclosed: the package was furnished to each party as it signed; first signer 06/28/2013.</t>
        </is>
      </c>
      <c r="K18" t="inlineStr">
        <is>
          <t>— Stated instruction: "Parties that had entered into confidentiality and standstill agreements with Mac-Gray were furnished an informational package for the purpose of providing potential bidders with data to formulate a preliminary indication of interest, which they were instructed to submit by July 23, 2013" (p.32).— Requested proposal content: "The letter requested that the proposals address, among other things, valuation, sources and structures of financing, material conditions, including required approvals, and focus areas for due diligence" (p.32). Working date convention: communication window 06/28–07/23/2013; midpoint used as a sort key (Assigned: midpoint).</t>
        </is>
      </c>
      <c r="L18" t="inlineStr">
        <is>
          <t>P-023</t>
        </is>
      </c>
      <c r="M18" t="inlineStr">
        <is>
          <t>Q2; Q7</t>
        </is>
      </c>
      <c r="P18" t="inlineStr">
        <is>
          <t>R017</t>
        </is>
      </c>
      <c r="Q18" t="inlineStr">
        <is>
          <t>Yes</t>
        </is>
      </c>
      <c r="S18" s="14" t="n">
        <v>41453</v>
      </c>
      <c r="T18" s="14" t="n">
        <v>41478</v>
      </c>
      <c r="U18" s="14" t="n">
        <v>41465</v>
      </c>
      <c r="V18" t="inlineStr">
        <is>
          <t>Approximate window</t>
        </is>
      </c>
      <c r="W18" t="inlineStr">
        <is>
          <t>Assigned: midpoint</t>
        </is>
      </c>
      <c r="AF18" s="14" t="n">
        <v>41478</v>
      </c>
      <c r="AL18" t="n">
        <v>32</v>
      </c>
      <c r="AM18" t="inlineStr">
        <is>
          <t>R020 (due date reached)</t>
        </is>
      </c>
      <c r="AN18" t="inlineStr">
        <is>
          <t>Mac-Gray/CSC</t>
        </is>
      </c>
    </row>
    <row r="19">
      <c r="A19" t="n">
        <v>18</v>
      </c>
      <c r="B19" t="inlineStr">
        <is>
          <t>07/11/2013</t>
        </is>
      </c>
      <c r="C19" t="inlineStr">
        <is>
          <t>CSC/Pamplona (strategic bidder)</t>
        </is>
      </c>
      <c r="D19" t="inlineStr">
        <is>
          <t>NDA signed</t>
        </is>
      </c>
      <c r="E19" t="n">
        <v>1</v>
      </c>
      <c r="F19" t="n">
        <v>1</v>
      </c>
      <c r="G19" t="inlineStr">
        <is>
          <t>Strategic</t>
        </is>
      </c>
      <c r="H19" t="inlineStr">
        <is>
          <t>CSC and Pamplona entered into a confidentiality and standstill agreement with Mac-Gray jointly (one bidder unit) and received the informational package.</t>
        </is>
      </c>
      <c r="K19" t="inlineStr">
        <is>
          <t>— Stated execution and package: "On July 11, 2013, CSC/Pamplona entered into a confidentiality and standstill agreement with Mac-Gray and were provided with an informational package for the purpose of providing CSC/Pamplona with data to formulate a preliminary indication of interest" (p.33).</t>
        </is>
      </c>
      <c r="L19" t="inlineStr">
        <is>
          <t>P-029</t>
        </is>
      </c>
      <c r="P19" t="inlineStr">
        <is>
          <t>R018</t>
        </is>
      </c>
      <c r="Q19" t="inlineStr">
        <is>
          <t>Yes</t>
        </is>
      </c>
      <c r="R19" t="n">
        <v>1</v>
      </c>
      <c r="S19" s="14" t="n">
        <v>41466</v>
      </c>
      <c r="T19" s="14" t="n">
        <v>41466</v>
      </c>
      <c r="U19" s="14" t="n">
        <v>41466</v>
      </c>
      <c r="V19" t="inlineStr">
        <is>
          <t>Reported day</t>
        </is>
      </c>
      <c r="W19" t="inlineStr">
        <is>
          <t>Reported</t>
        </is>
      </c>
      <c r="AL19" t="n">
        <v>33</v>
      </c>
      <c r="AN19" t="inlineStr">
        <is>
          <t>Mac-Gray/CSC</t>
        </is>
      </c>
    </row>
    <row r="20">
      <c r="A20" t="n">
        <v>19</v>
      </c>
      <c r="B20" t="inlineStr">
        <is>
          <t>late June through late August 2013 (individual dates not disclosed)</t>
        </is>
      </c>
      <c r="C20" t="inlineStr">
        <is>
          <t>16 remaining financial bidders (residual cohort)</t>
        </is>
      </c>
      <c r="D20" t="inlineStr">
        <is>
          <t>NDA signed</t>
        </is>
      </c>
      <c r="E20" t="n">
        <v>1</v>
      </c>
      <c r="F20" t="n">
        <v>1</v>
      </c>
      <c r="G20" t="inlineStr">
        <is>
          <t>Financial</t>
        </is>
      </c>
      <c r="H20" t="inlineStr">
        <is>
          <t>Residual cohort: 20 potential bidders signed confidentiality and standstill agreements over roughly two months; four are individually recorded (Party A 08/05/2013, Party B 06/28/2013, Party C 06/30/2013, CSC/Pamplona 07/11/2013) and the remaining 16 signers are represented by this one cohort row. The cohort’s Working date is moved earlier to 07/23/2013 (inside its window) so that it precedes its inferred non-submission row (R021) — Assigned: sequence.</t>
        </is>
      </c>
      <c r="K20" t="inlineStr">
        <is>
          <t>— Stated total and split: "Over the next two months a total of 20 potential bidders, including two strategic bidders (Party A and CSC/Pamplona) and 18 financial bidders (including Party B and Party C), entered into confidentiality agreements with Mac-Gray" (p.32). Working date convention: the cohort’s signing window (late June to late August) straddles the 07/23/2013 solicitation; the date was moved earlier inside that window so the entry row precedes its inferred non-submission outcome (Assigned: sequence).</t>
        </is>
      </c>
      <c r="L20" t="inlineStr">
        <is>
          <t>P-023</t>
        </is>
      </c>
      <c r="M20" t="inlineStr">
        <is>
          <t>Q3; Q7</t>
        </is>
      </c>
      <c r="P20" t="inlineStr">
        <is>
          <t>R019</t>
        </is>
      </c>
      <c r="Q20" t="inlineStr">
        <is>
          <t>Yes</t>
        </is>
      </c>
      <c r="R20" t="n">
        <v>16</v>
      </c>
      <c r="S20" s="14" t="n">
        <v>41449</v>
      </c>
      <c r="T20" s="14" t="n">
        <v>41513</v>
      </c>
      <c r="U20" s="14" t="n">
        <v>41478</v>
      </c>
      <c r="V20" t="inlineStr">
        <is>
          <t>Approximate window</t>
        </is>
      </c>
      <c r="W20" t="inlineStr">
        <is>
          <t>Assigned: sequence</t>
        </is>
      </c>
      <c r="AL20" t="n">
        <v>32</v>
      </c>
      <c r="AM20" t="inlineStr">
        <is>
          <t>R014; R015; R018; R027; R021 (inferred non-submission)</t>
        </is>
      </c>
      <c r="AN20" t="inlineStr">
        <is>
          <t>Mac-Gray/CSC</t>
        </is>
      </c>
    </row>
    <row r="21">
      <c r="A21" t="n">
        <v>20</v>
      </c>
      <c r="B21" t="inlineStr">
        <is>
          <t>07/23/2013</t>
        </is>
      </c>
      <c r="C21" t="inlineStr">
        <is>
          <t>N/A — solicitation deadline</t>
        </is>
      </c>
      <c r="D21" t="inlineStr">
        <is>
          <t>Deadline</t>
        </is>
      </c>
      <c r="E21" t="n">
        <v>1</v>
      </c>
      <c r="F21" t="n">
        <v>1</v>
      </c>
      <c r="H21" t="inlineStr">
        <is>
          <t>Preliminary-indication due date reached. CSC/Pamplona submitted on 07/23/2013; Party B submitted 07/24/2013 and Party C 07/24–07/25/2013, and the Special Committee reviewed all of them on 07/25/2013 with no revision of the due date. Treatment: Late bids accepted.</t>
        </is>
      </c>
      <c r="K21" t="inlineStr">
        <is>
          <t>— Due date: "instructed to submit by July 23, 2013" (p.32).— Late submissions considered: "On July 25, 2013, the Board held a regularly scheduled in-person meeting" (p.33). "representatives of BofA Merrill Lynch reviewed the preliminary indications of interest received from Party B, Party C and CSC/Pamplona as well as the Party A June 21 proposal" (p.33).</t>
        </is>
      </c>
      <c r="L21" t="inlineStr">
        <is>
          <t>P-023; P-033</t>
        </is>
      </c>
      <c r="M21" t="inlineStr">
        <is>
          <t>Q2</t>
        </is>
      </c>
      <c r="P21" t="inlineStr">
        <is>
          <t>R020</t>
        </is>
      </c>
      <c r="Q21" t="inlineStr">
        <is>
          <t>Yes</t>
        </is>
      </c>
      <c r="S21" s="14" t="n">
        <v>41478</v>
      </c>
      <c r="T21" s="14" t="n">
        <v>41478</v>
      </c>
      <c r="U21" s="14" t="n">
        <v>41478</v>
      </c>
      <c r="V21" t="inlineStr">
        <is>
          <t>Reported day</t>
        </is>
      </c>
      <c r="W21" t="inlineStr">
        <is>
          <t>Reported</t>
        </is>
      </c>
      <c r="AF21" s="14" t="n">
        <v>41478</v>
      </c>
      <c r="AG21" t="inlineStr">
        <is>
          <t>Late bids accepted</t>
        </is>
      </c>
      <c r="AL21" t="n">
        <v>32</v>
      </c>
      <c r="AM21" t="inlineStr">
        <is>
          <t>R017</t>
        </is>
      </c>
      <c r="AN21" t="inlineStr">
        <is>
          <t>Mac-Gray/CSC</t>
        </is>
      </c>
    </row>
    <row r="22">
      <c r="A22" t="n">
        <v>21</v>
      </c>
      <c r="B22" t="inlineStr">
        <is>
          <t>by 07/23/2013 (solicitation due date passed with no submission)</t>
        </is>
      </c>
      <c r="C22" t="inlineStr">
        <is>
          <t>16 remaining financial bidders (residual cohort)</t>
        </is>
      </c>
      <c r="D22" t="inlineStr">
        <is>
          <t>Did not submit</t>
        </is>
      </c>
      <c r="E22" t="n">
        <v>1</v>
      </c>
      <c r="F22" t="n">
        <v>1</v>
      </c>
      <c r="G22" t="inlineStr">
        <is>
          <t>Financial</t>
        </is>
      </c>
      <c r="H22" t="inlineStr">
        <is>
          <t>Inferred: residual — 20 NDA signers − 4 individually recorded signers (Party A, Party B, Party C, CSC/Pamplona) = 16 remaining signers, all financial; none is reported to have submitted a July 23 indication. Base assumes each of the 20 signers was covered by the July 23 solicitation; if any signed later than that deadline, the non-submitting set is smaller (flagged in Q3). Inferred from arithmetic only — no dates, motives or identities inferred.</t>
        </is>
      </c>
      <c r="K22" t="inlineStr">
        <is>
          <t>— Base population: "a total of 20 potential bidders, including two strategic bidders (Party A and CSC/Pamplona) and 18 financial bidders (including Party B and Party C), entered into confidentiality agreements with Mac-Gray" (p.32).— Continuing set named at the next transition: "reach out to each of the four interested bidders and arrange management meetings" (p.33-34).— Solicitation due date: "instructed to submit by July 23, 2013" (p.32). Outcome basis: arithmetic residual only — no dates, motives, identities or voluntary withdrawal inferred. Count = stated base − accounted participants.</t>
        </is>
      </c>
      <c r="L22" t="inlineStr">
        <is>
          <t>P-023; P-034</t>
        </is>
      </c>
      <c r="M22" t="inlineStr">
        <is>
          <t>Q3</t>
        </is>
      </c>
      <c r="P22" t="inlineStr">
        <is>
          <t>R021</t>
        </is>
      </c>
      <c r="Q22" t="inlineStr">
        <is>
          <t>Yes</t>
        </is>
      </c>
      <c r="R22" t="n">
        <v>16</v>
      </c>
      <c r="T22" s="14" t="n">
        <v>41478</v>
      </c>
      <c r="U22" s="14" t="n">
        <v>41478</v>
      </c>
      <c r="V22" t="inlineStr">
        <is>
          <t>Relative only</t>
        </is>
      </c>
      <c r="W22" t="inlineStr">
        <is>
          <t>Assigned: deadline</t>
        </is>
      </c>
      <c r="AI22" t="inlineStr">
        <is>
          <t>Unknown</t>
        </is>
      </c>
      <c r="AJ22" t="inlineStr">
        <is>
          <t>Not stated</t>
        </is>
      </c>
      <c r="AK22" t="inlineStr">
        <is>
          <t>Inferred: residual</t>
        </is>
      </c>
      <c r="AL22" t="n">
        <v>32</v>
      </c>
      <c r="AM22" t="inlineStr">
        <is>
          <t>R019 (entry); R020</t>
        </is>
      </c>
      <c r="AN22" t="inlineStr">
        <is>
          <t>Mac-Gray/CSC</t>
        </is>
      </c>
    </row>
    <row r="23">
      <c r="A23" t="n">
        <v>22</v>
      </c>
      <c r="B23" t="inlineStr">
        <is>
          <t>07/23/2013</t>
        </is>
      </c>
      <c r="C23" t="inlineStr">
        <is>
          <t>CSC/Pamplona (strategic bidder)</t>
        </is>
      </c>
      <c r="D23" t="inlineStr">
        <is>
          <t>Bid</t>
        </is>
      </c>
      <c r="E23" t="n">
        <v>1</v>
      </c>
      <c r="F23" t="n">
        <v>1</v>
      </c>
      <c r="G23" t="inlineStr">
        <is>
          <t>Strategic</t>
        </is>
      </c>
      <c r="H23" t="inlineStr">
        <is>
          <t>Preliminary indication of interest: all-cash $18.50 per share, submitted on the 07/23/2013 due date after a preliminary review (07/11–07/23) but before data-room or management access; financing not described at this stage.</t>
        </is>
      </c>
      <c r="I23" t="inlineStr">
        <is>
          <t>Informal</t>
        </is>
      </c>
      <c r="J23" t="inlineStr">
        <is>
          <t>Heavy</t>
        </is>
      </c>
      <c r="K23" t="inlineStr">
        <is>
          <t>— Stated indication: "On July 23, 2013, CSC/Pamplona submitted a preliminary indication of interest at an all-cash purchase price of $18.50 per share" (p.33).— Substantive access not yet given: "Between July 11, 2013 and July 23, 2013, Party B, Party C and CSC/Pamplona engaged in a preliminary review of Mac-Gray and the potential acquisition opportunity" (p.33). Conditions: Heavy by context — preliminary indication made before data-room or management access; financing not yet described.</t>
        </is>
      </c>
      <c r="L23" t="inlineStr">
        <is>
          <t>P-031; P-030</t>
        </is>
      </c>
      <c r="M23" t="inlineStr">
        <is>
          <t>Q4</t>
        </is>
      </c>
      <c r="P23" t="inlineStr">
        <is>
          <t>R022</t>
        </is>
      </c>
      <c r="Q23" t="inlineStr">
        <is>
          <t>Yes</t>
        </is>
      </c>
      <c r="R23" t="n">
        <v>1</v>
      </c>
      <c r="S23" s="14" t="n">
        <v>41478</v>
      </c>
      <c r="T23" s="14" t="n">
        <v>41478</v>
      </c>
      <c r="U23" s="14" t="n">
        <v>41478</v>
      </c>
      <c r="V23" t="inlineStr">
        <is>
          <t>Reported day</t>
        </is>
      </c>
      <c r="W23" t="inlineStr">
        <is>
          <t>Reported</t>
        </is>
      </c>
      <c r="X23" t="n">
        <v>18.5</v>
      </c>
      <c r="Y23" t="n">
        <v>18.5</v>
      </c>
      <c r="Z23" t="inlineStr">
        <is>
          <t>Point</t>
        </is>
      </c>
      <c r="AA23" t="inlineStr">
        <is>
          <t>Stated</t>
        </is>
      </c>
      <c r="AB23" t="inlineStr">
        <is>
          <t>USD</t>
        </is>
      </c>
      <c r="AC23" t="inlineStr">
        <is>
          <t>Yes</t>
        </is>
      </c>
      <c r="AD23" t="n">
        <v>18.5</v>
      </c>
      <c r="AE23" t="inlineStr">
        <is>
          <t>Fin: not stated; DD required: not stated; DD open: yes; Excl: not stated</t>
        </is>
      </c>
      <c r="AL23" t="n">
        <v>33</v>
      </c>
      <c r="AM23" t="inlineStr">
        <is>
          <t>R030 (Sept 9 revision); R037; R042</t>
        </is>
      </c>
      <c r="AN23" t="inlineStr">
        <is>
          <t>Mac-Gray/CSC</t>
        </is>
      </c>
    </row>
    <row r="24">
      <c r="A24" t="n">
        <v>23</v>
      </c>
      <c r="B24" t="inlineStr">
        <is>
          <t>07/24/2013</t>
        </is>
      </c>
      <c r="C24" t="inlineStr">
        <is>
          <t>Party B (financial bidder)</t>
        </is>
      </c>
      <c r="D24" t="inlineStr">
        <is>
          <t>Bid</t>
        </is>
      </c>
      <c r="E24" t="n">
        <v>1</v>
      </c>
      <c r="F24" t="n">
        <v>1</v>
      </c>
      <c r="G24" t="inlineStr">
        <is>
          <t>Financial</t>
        </is>
      </c>
      <c r="H24" t="inlineStr">
        <is>
          <t>Preliminary indication of interest: all-cash $17.00–$18.00 per share, submitted one day after the 07/23/2013 instruction and considered at the 07/25/2013 Special Committee meeting.</t>
        </is>
      </c>
      <c r="I24" t="inlineStr">
        <is>
          <t>Informal</t>
        </is>
      </c>
      <c r="J24" t="inlineStr">
        <is>
          <t>Heavy</t>
        </is>
      </c>
      <c r="K24" t="inlineStr">
        <is>
          <t>— Stated indication: "On July 24, 2013, Party B submitted a preliminary indication of interest at an all-cash purchase price of $17.00 to $18.00 per share" (p.33). Conditions: Heavy by context — preliminary indication before substantive diligence access, and no financing commitment reported.</t>
        </is>
      </c>
      <c r="L24" t="inlineStr">
        <is>
          <t>P-032</t>
        </is>
      </c>
      <c r="M24" t="inlineStr">
        <is>
          <t>Q4</t>
        </is>
      </c>
      <c r="P24" t="inlineStr">
        <is>
          <t>R023</t>
        </is>
      </c>
      <c r="Q24" t="inlineStr">
        <is>
          <t>Yes</t>
        </is>
      </c>
      <c r="R24" t="n">
        <v>1</v>
      </c>
      <c r="S24" s="14" t="n">
        <v>41479</v>
      </c>
      <c r="T24" s="14" t="n">
        <v>41479</v>
      </c>
      <c r="U24" s="14" t="n">
        <v>41479</v>
      </c>
      <c r="V24" t="inlineStr">
        <is>
          <t>Reported day</t>
        </is>
      </c>
      <c r="W24" t="inlineStr">
        <is>
          <t>Reported</t>
        </is>
      </c>
      <c r="X24" t="n">
        <v>17</v>
      </c>
      <c r="Y24" t="n">
        <v>18</v>
      </c>
      <c r="Z24" t="inlineStr">
        <is>
          <t>Bidder range</t>
        </is>
      </c>
      <c r="AA24" t="inlineStr">
        <is>
          <t>Stated</t>
        </is>
      </c>
      <c r="AB24" t="inlineStr">
        <is>
          <t>USD</t>
        </is>
      </c>
      <c r="AC24" t="inlineStr">
        <is>
          <t>Yes</t>
        </is>
      </c>
      <c r="AE24" t="inlineStr">
        <is>
          <t>Fin: not stated; DD required: not stated; DD open: yes; Excl: not stated</t>
        </is>
      </c>
      <c r="AL24" t="n">
        <v>33</v>
      </c>
      <c r="AM24" t="inlineStr">
        <is>
          <t>R031 (Sept 9 revision)</t>
        </is>
      </c>
      <c r="AN24" t="inlineStr">
        <is>
          <t>Mac-Gray/CSC</t>
        </is>
      </c>
    </row>
    <row r="25">
      <c r="A25" t="n">
        <v>24</v>
      </c>
      <c r="B25" t="inlineStr">
        <is>
          <t>07/24/2013 (oral indication) – 07/25/2013 (written indication)</t>
        </is>
      </c>
      <c r="C25" t="inlineStr">
        <is>
          <t>Party C (financial bidder)</t>
        </is>
      </c>
      <c r="D25" t="inlineStr">
        <is>
          <t>Bid</t>
        </is>
      </c>
      <c r="E25" t="n">
        <v>1</v>
      </c>
      <c r="F25" t="n">
        <v>1</v>
      </c>
      <c r="G25" t="inlineStr">
        <is>
          <t>Financial</t>
        </is>
      </c>
      <c r="H25" t="inlineStr">
        <is>
          <t>One bid, two communications: an oral preliminary indication on 07/24/2013 at $15.00–$17.00 per share, then a written indication on 07/25/2013 at $16.00–$16.50 per share. Recorded as a single bid under the one-communication convention; the written range is recorded in the price cells and both values are stated here. All-cash; financing not described.</t>
        </is>
      </c>
      <c r="I25" t="inlineStr">
        <is>
          <t>Informal</t>
        </is>
      </c>
      <c r="J25" t="inlineStr">
        <is>
          <t>Heavy</t>
        </is>
      </c>
      <c r="K25" t="inlineStr">
        <is>
          <t>— Oral indication: "representatives from Party C called BofA Merrill Lynch and presented an oral preliminary indication of interest at an all-cash purchase price of $15.00 to $17.00 per share" (p.33).— Written indication: "Later on July 25, 2013, Party C submitted a written indication of interest at an all-cash purchase price of $16.00 to $16.50 per share" (p.34). Conditions: Heavy by context — preliminary indication before substantive diligence access. One bid, two communications (see Terms or outcome).</t>
        </is>
      </c>
      <c r="L25" t="inlineStr">
        <is>
          <t>P-032; P-035</t>
        </is>
      </c>
      <c r="M25" t="inlineStr">
        <is>
          <t>Q5; Q7</t>
        </is>
      </c>
      <c r="P25" t="inlineStr">
        <is>
          <t>R024</t>
        </is>
      </c>
      <c r="Q25" t="inlineStr">
        <is>
          <t>Yes</t>
        </is>
      </c>
      <c r="R25" t="n">
        <v>1</v>
      </c>
      <c r="S25" s="14" t="n">
        <v>41479</v>
      </c>
      <c r="T25" s="14" t="n">
        <v>41480</v>
      </c>
      <c r="U25" s="14" t="n">
        <v>41479</v>
      </c>
      <c r="V25" t="inlineStr">
        <is>
          <t>Reported interval</t>
        </is>
      </c>
      <c r="W25" t="inlineStr">
        <is>
          <t>Assigned: bound</t>
        </is>
      </c>
      <c r="X25" t="n">
        <v>16</v>
      </c>
      <c r="Y25" t="n">
        <v>16.5</v>
      </c>
      <c r="Z25" t="inlineStr">
        <is>
          <t>Bidder range</t>
        </is>
      </c>
      <c r="AA25" t="inlineStr">
        <is>
          <t>Stated</t>
        </is>
      </c>
      <c r="AB25" t="inlineStr">
        <is>
          <t>USD</t>
        </is>
      </c>
      <c r="AC25" t="inlineStr">
        <is>
          <t>Yes</t>
        </is>
      </c>
      <c r="AE25" t="inlineStr">
        <is>
          <t>Fin: not stated; DD required: not stated; DD open: yes; Excl: not stated</t>
        </is>
      </c>
      <c r="AL25" t="n">
        <v>33</v>
      </c>
      <c r="AM25" t="inlineStr">
        <is>
          <t>R033 (Sept 10 revision)</t>
        </is>
      </c>
      <c r="AN25" t="inlineStr">
        <is>
          <t>Mac-Gray/CSC</t>
        </is>
      </c>
    </row>
    <row r="26">
      <c r="A26" t="n">
        <v>25</v>
      </c>
      <c r="B26" t="inlineStr">
        <is>
          <t>07/25/2013</t>
        </is>
      </c>
      <c r="C26" t="inlineStr">
        <is>
          <t>Mac-Gray Special Committee</t>
        </is>
      </c>
      <c r="D26" t="inlineStr">
        <is>
          <t>Target decision</t>
        </is>
      </c>
      <c r="E26" t="n">
        <v>1</v>
      </c>
      <c r="F26" t="n">
        <v>1</v>
      </c>
      <c r="H26" t="inlineStr">
        <is>
          <t>Preliminary indications judged lower than expected; the Special Committee advanced the four interested bidders (Party A, Party B, Party C, CSC/Pamplona) to a second stage — staged information disclosure and management meetings — to drive improved offers. The Special Committee also directed that Mr. Rothenberg recuse himself from Board meetings for the duration of the sale process (Moab rollover conflict).</t>
        </is>
      </c>
      <c r="K26" t="inlineStr">
        <is>
          <t>— Advancement decision: "the Special Committee authorized and instructed BofA Merrill Lynch to proceed with the staged disclosure as discussed at this meeting and to reach out to each of the four interested bidders and arrange management meetings" (p.33-34).— Recusal: "The Special Committee then discussed the potential conflict of interest arising from Moab's continuing desire to consider an equity rollover and decided that Mr. Rothenberg should be asked to recuse himself from participating in Board meetings for the duration of the sale process" (p.33).</t>
        </is>
      </c>
      <c r="L26" t="inlineStr">
        <is>
          <t>P-034; P-033</t>
        </is>
      </c>
      <c r="M26" t="inlineStr">
        <is>
          <t>Q1</t>
        </is>
      </c>
      <c r="P26" t="inlineStr">
        <is>
          <t>R025</t>
        </is>
      </c>
      <c r="Q26" t="inlineStr">
        <is>
          <t>Yes</t>
        </is>
      </c>
      <c r="S26" s="14" t="n">
        <v>41480</v>
      </c>
      <c r="T26" s="14" t="n">
        <v>41480</v>
      </c>
      <c r="U26" s="14" t="n">
        <v>41480</v>
      </c>
      <c r="V26" t="inlineStr">
        <is>
          <t>Reported day</t>
        </is>
      </c>
      <c r="W26" t="inlineStr">
        <is>
          <t>Reported</t>
        </is>
      </c>
      <c r="AL26" t="n">
        <v>34</v>
      </c>
      <c r="AM26" t="inlineStr">
        <is>
          <t>R026; R011</t>
        </is>
      </c>
      <c r="AN26" t="inlineStr">
        <is>
          <t>Mac-Gray/CSC</t>
        </is>
      </c>
    </row>
    <row r="27">
      <c r="A27" t="n">
        <v>26</v>
      </c>
      <c r="B27" t="inlineStr">
        <is>
          <t>07/25/2013 (decision); implemented 08/06/2013–08/27/2013</t>
        </is>
      </c>
      <c r="C27" t="inlineStr">
        <is>
          <t>Mac-Gray Special Committee; Party A, Party B, Party C, CSC/Pamplona</t>
        </is>
      </c>
      <c r="D27" t="inlineStr">
        <is>
          <t>Information access changed</t>
        </is>
      </c>
      <c r="E27" t="n">
        <v>1</v>
      </c>
      <c r="F27" t="n">
        <v>1</v>
      </c>
      <c r="H27" t="inlineStr">
        <is>
          <t>Differentiated (tiered) access among live bidders: Party B and Party C, as financial bidders, were given broad access to the electronic data site; Party A and CSC/Pamplona, as strategic bidders, were given somewhat limited access, with customer data (including customer locations) withheld until a later stage; management presentations were held for all four bidders (08/06, 08/08, 08/12, 08/14). Stated rationale: concern over access to and potential misuse of sensitive competitive information, especially by strategic bidders; staging by demonstrated seriousness.</t>
        </is>
      </c>
      <c r="K27" t="inlineStr">
        <is>
          <t>— Stated access split and withholding: "Party B and Party C, in light of the fact that they were financial bidders, were given broad access to an electronic data site, and Party A and CSC/Pamplona, in light of the fact that they were strategic bidders, were given somewhat limited access to this electronic data site, with access to customer data, including customer locations, being reserved until later in the process as part of the staging discussed at the July 25 th Special Committee meeting" (p.34).— Stated rationale: "expressed concern over permitting access to and the potential misuse of sensitive and competitive information, including customer terms and locations, especially by strategic bidders" (p.33-34).— Presentations for all four: "On August 6, 2013, representatives of Party B attended a management presentation" (p.34). "On August 14, 2013, representatives of Party A attended a management presentation at the Boston office of Goodwin Procter" (p.34).</t>
        </is>
      </c>
      <c r="L27" t="inlineStr">
        <is>
          <t>P-042; P-034; P-037; P-040</t>
        </is>
      </c>
      <c r="P27" t="inlineStr">
        <is>
          <t>R026</t>
        </is>
      </c>
      <c r="Q27" t="inlineStr">
        <is>
          <t>Yes</t>
        </is>
      </c>
      <c r="S27" s="14" t="n">
        <v>41480</v>
      </c>
      <c r="T27" s="14" t="n">
        <v>41480</v>
      </c>
      <c r="U27" s="14" t="n">
        <v>41480</v>
      </c>
      <c r="V27" t="inlineStr">
        <is>
          <t>Reported day</t>
        </is>
      </c>
      <c r="W27" t="inlineStr">
        <is>
          <t>Reported</t>
        </is>
      </c>
      <c r="AL27" t="n">
        <v>34</v>
      </c>
      <c r="AM27" t="inlineStr">
        <is>
          <t>R025</t>
        </is>
      </c>
      <c r="AN27" t="inlineStr">
        <is>
          <t>Mac-Gray/CSC</t>
        </is>
      </c>
    </row>
    <row r="28">
      <c r="A28" t="n">
        <v>27</v>
      </c>
      <c r="B28" t="inlineStr">
        <is>
          <t>08/05/2013</t>
        </is>
      </c>
      <c r="C28" t="inlineStr">
        <is>
          <t>Party A (strategic bidder)</t>
        </is>
      </c>
      <c r="D28" t="inlineStr">
        <is>
          <t>NDA signed</t>
        </is>
      </c>
      <c r="E28" t="n">
        <v>1</v>
      </c>
      <c r="F28" t="n">
        <v>1</v>
      </c>
      <c r="G28" t="inlineStr">
        <is>
          <t>Strategic</t>
        </is>
      </c>
      <c r="H28" t="inlineStr">
        <is>
          <t>Executed after NDA negotiations stalled over customer and employee non-solicitation provisions; discussions resumed 07/27/2013 (the filing states "July 27, 2103" — source typo; intended 2013) and the agreement was executed 08/05/2013; informational package furnished so Party A could potentially improve its June 21 proposal.</t>
        </is>
      </c>
      <c r="K28" t="inlineStr">
        <is>
          <t>— Stated execution: "On August 5, 2013, Party A entered into a confidentiality and standstill agreement with Mac-Gray and was provided with an informational package for the purpose of providing Party A with data to potentially improve the terms of the Party A June 21 proposal" (p.34).— Stalled negotiation and source typo retained: "Discussions with Party A resumed on July 27, 2103 and Party A and the Transaction Committee agreed to the terms of the customer and employee non-solicitation provisions" (p.34). "did not come to agreement on the terms of the customer and employee non-solicitation provisions" (p.33).</t>
        </is>
      </c>
      <c r="L28" t="inlineStr">
        <is>
          <t>P-036; P-030</t>
        </is>
      </c>
      <c r="P28" t="inlineStr">
        <is>
          <t>R027</t>
        </is>
      </c>
      <c r="Q28" t="inlineStr">
        <is>
          <t>Yes</t>
        </is>
      </c>
      <c r="R28" t="n">
        <v>1</v>
      </c>
      <c r="S28" s="14" t="n">
        <v>41491</v>
      </c>
      <c r="T28" s="14" t="n">
        <v>41491</v>
      </c>
      <c r="U28" s="14" t="n">
        <v>41491</v>
      </c>
      <c r="V28" t="inlineStr">
        <is>
          <t>Reported day</t>
        </is>
      </c>
      <c r="W28" t="inlineStr">
        <is>
          <t>Reported</t>
        </is>
      </c>
      <c r="AL28" t="n">
        <v>34</v>
      </c>
      <c r="AN28" t="inlineStr">
        <is>
          <t>Mac-Gray/CSC</t>
        </is>
      </c>
    </row>
    <row r="29">
      <c r="A29" t="n">
        <v>28</v>
      </c>
      <c r="B29" t="inlineStr">
        <is>
          <t>08/27/2013</t>
        </is>
      </c>
      <c r="C29" t="inlineStr">
        <is>
          <t>Mac-Gray (BofA Merrill Lynch) → Party A, Party B, Party C, CSC/Pamplona</t>
        </is>
      </c>
      <c r="D29" t="inlineStr">
        <is>
          <t>Round opened</t>
        </is>
      </c>
      <c r="E29" t="n">
        <v>1</v>
      </c>
      <c r="F29" t="n">
        <v>2</v>
      </c>
      <c r="H29" t="inlineStr">
        <is>
          <t>Second-stage solicitation: letter to all four bidders once all four’s diligence was substantially complete, instructing revised written proposals no later than 09/09/2013 to continue to in-depth evaluation and confirmatory due diligence, addressing valuation, financing, regulatory approvals, post-signing covenants and diligence focus. Authorized at the 08/15/2013 Special Committee meeting; same-day follow-up diligence call with Party B. Round finality: Not final.</t>
        </is>
      </c>
      <c r="K29" t="inlineStr">
        <is>
          <t>— Stated authorization: "the Special Committee authorized and instructed BofA Merrill Lynch to send a letter to each of Party A, Party B, Party C and CSC/Pamplona once all four of the bidders' due diligence was substantially complete requesting that, in light of the results of the respective party's due diligence, such party submit a revised written proposal in order to continue in the process, including to engage in more in-depth and confirmatory due diligence of Mac-Gray" (p.34).— Stated letter and deadline: "On August 27, 2013, BofA Merrill Lynch, as instructed by the Special Committee, sent a letter to each of Party A, Party B, Party C and CSC/Pamplona instructing such bidders to submit revised written proposals no later than September 9, 2013 if such bidders wished to proceed further in the process to pursue an in-depth evaluation of Mac-Gray with the objective of making a revised offer" (p.35).</t>
        </is>
      </c>
      <c r="L29" t="inlineStr">
        <is>
          <t>P-041; P-043</t>
        </is>
      </c>
      <c r="M29" t="inlineStr">
        <is>
          <t>Q1</t>
        </is>
      </c>
      <c r="P29" t="inlineStr">
        <is>
          <t>R028</t>
        </is>
      </c>
      <c r="Q29" t="inlineStr">
        <is>
          <t>Yes</t>
        </is>
      </c>
      <c r="S29" s="14" t="n">
        <v>41513</v>
      </c>
      <c r="T29" s="14" t="n">
        <v>41513</v>
      </c>
      <c r="U29" s="14" t="n">
        <v>41513</v>
      </c>
      <c r="V29" t="inlineStr">
        <is>
          <t>Reported day</t>
        </is>
      </c>
      <c r="W29" t="inlineStr">
        <is>
          <t>Reported</t>
        </is>
      </c>
      <c r="AF29" s="14" t="n">
        <v>41526</v>
      </c>
      <c r="AH29" t="inlineStr">
        <is>
          <t>Not final</t>
        </is>
      </c>
      <c r="AL29" t="n">
        <v>35</v>
      </c>
      <c r="AM29" t="inlineStr">
        <is>
          <t>R025; R029</t>
        </is>
      </c>
      <c r="AN29" t="inlineStr">
        <is>
          <t>Mac-Gray/CSC</t>
        </is>
      </c>
    </row>
    <row r="30">
      <c r="A30" t="n">
        <v>29</v>
      </c>
      <c r="B30" t="inlineStr">
        <is>
          <t>09/09/2013</t>
        </is>
      </c>
      <c r="C30" t="inlineStr">
        <is>
          <t>N/A — solicitation deadline</t>
        </is>
      </c>
      <c r="D30" t="inlineStr">
        <is>
          <t>Deadline</t>
        </is>
      </c>
      <c r="E30" t="n">
        <v>1</v>
      </c>
      <c r="F30" t="n">
        <v>2</v>
      </c>
      <c r="H30" t="inlineStr">
        <is>
          <t>Revised-proposal due date reached. CSC/Pamplona and Party B submitted on 09/09/2013; Party A and Party C submitted revised indications on 09/10/2013 and were reviewed at the 09/11/2013 Special Committee meeting with no revision of the due date. Treatment: Late bids accepted.</t>
        </is>
      </c>
      <c r="K30" t="inlineStr">
        <is>
          <t>— Due date and on-time submissions: "instructing such bidders to submit revised written proposals no later than September 9, 2013" (p.35). "On September 9, 2013, CSC/Pamplona submitted a revised indication of interest with an all-cash purchase price of $19.50 per share" (p.35).— Late submissions reviewed: "On September 10, 2013, Party A submitted a revised indication of interest" (p.35). "the Special Committee held a telephonic meeting to review the revised indications of interest submitted by Party A, Party B, Party C and CSC/Pamplona" (p.35-36).</t>
        </is>
      </c>
      <c r="L30" t="inlineStr">
        <is>
          <t>P-043; P-047; P-048; P-050</t>
        </is>
      </c>
      <c r="M30" t="inlineStr">
        <is>
          <t>Q2</t>
        </is>
      </c>
      <c r="P30" t="inlineStr">
        <is>
          <t>R029</t>
        </is>
      </c>
      <c r="Q30" t="inlineStr">
        <is>
          <t>Yes</t>
        </is>
      </c>
      <c r="S30" s="14" t="n">
        <v>41526</v>
      </c>
      <c r="T30" s="14" t="n">
        <v>41526</v>
      </c>
      <c r="U30" s="14" t="n">
        <v>41526</v>
      </c>
      <c r="V30" t="inlineStr">
        <is>
          <t>Reported day</t>
        </is>
      </c>
      <c r="W30" t="inlineStr">
        <is>
          <t>Reported</t>
        </is>
      </c>
      <c r="AF30" s="14" t="n">
        <v>41526</v>
      </c>
      <c r="AG30" t="inlineStr">
        <is>
          <t>Late bids accepted</t>
        </is>
      </c>
      <c r="AL30" t="n">
        <v>35</v>
      </c>
      <c r="AM30" t="inlineStr">
        <is>
          <t>R028</t>
        </is>
      </c>
      <c r="AN30" t="inlineStr">
        <is>
          <t>Mac-Gray/CSC</t>
        </is>
      </c>
    </row>
    <row r="31">
      <c r="A31" t="n">
        <v>30</v>
      </c>
      <c r="B31" t="inlineStr">
        <is>
          <t>09/09/2013</t>
        </is>
      </c>
      <c r="C31" t="inlineStr">
        <is>
          <t>CSC/Pamplona (strategic bidder)</t>
        </is>
      </c>
      <c r="D31" t="inlineStr">
        <is>
          <t>Bid</t>
        </is>
      </c>
      <c r="E31" t="n">
        <v>1</v>
      </c>
      <c r="F31" t="n">
        <v>2</v>
      </c>
      <c r="G31" t="inlineStr">
        <is>
          <t>Strategic</t>
        </is>
      </c>
      <c r="H31" t="inlineStr">
        <is>
          <t>Revised indication of interest: all-cash $19.50 per share; Pamplona indicated it was committed to provide 100% of the capital required; CSC/Pamplona requested a two-week exclusive negotiation.</t>
        </is>
      </c>
      <c r="I31" t="inlineStr">
        <is>
          <t>Informal</t>
        </is>
      </c>
      <c r="J31" t="inlineStr">
        <is>
          <t>Light</t>
        </is>
      </c>
      <c r="K31" t="inlineStr">
        <is>
          <t>— Stated indication and committed capital: "On September 9, 2013, CSC/Pamplona submitted a revised indication of interest with an all-cash purchase price of $19.50 per share, indicating that Pamplona was committed to provide 100% of the capital required to consummate the transaction and requesting that CSC/Pamplona and Mac-Gray agree to exclusive negotiations for two weeks" (p.35).— Diligence still running: "Between September 11, 2013 and September 18, 2013, Party A, Party B, Party C and CSC/Pamplona continued to conduct business and legal due diligence" (p.36). Conditions: Light — committed financing reported (Pamplona, 100% of required capital) and no diligence condition attached to the bid; diligence remained open on the narrative.</t>
        </is>
      </c>
      <c r="L31" t="inlineStr">
        <is>
          <t>P-047; P-052</t>
        </is>
      </c>
      <c r="M31" t="inlineStr">
        <is>
          <t>Q4</t>
        </is>
      </c>
      <c r="P31" t="inlineStr">
        <is>
          <t>R030</t>
        </is>
      </c>
      <c r="Q31" t="inlineStr">
        <is>
          <t>Yes</t>
        </is>
      </c>
      <c r="R31" t="n">
        <v>1</v>
      </c>
      <c r="S31" s="14" t="n">
        <v>41526</v>
      </c>
      <c r="T31" s="14" t="n">
        <v>41526</v>
      </c>
      <c r="U31" s="14" t="n">
        <v>41526</v>
      </c>
      <c r="V31" t="inlineStr">
        <is>
          <t>Reported day</t>
        </is>
      </c>
      <c r="W31" t="inlineStr">
        <is>
          <t>Reported</t>
        </is>
      </c>
      <c r="X31" t="n">
        <v>19.5</v>
      </c>
      <c r="Y31" t="n">
        <v>19.5</v>
      </c>
      <c r="Z31" t="inlineStr">
        <is>
          <t>Point</t>
        </is>
      </c>
      <c r="AA31" t="inlineStr">
        <is>
          <t>Stated</t>
        </is>
      </c>
      <c r="AB31" t="inlineStr">
        <is>
          <t>USD</t>
        </is>
      </c>
      <c r="AC31" t="inlineStr">
        <is>
          <t>Yes</t>
        </is>
      </c>
      <c r="AD31" t="n">
        <v>19.5</v>
      </c>
      <c r="AE31" t="inlineStr">
        <is>
          <t>Fin: committed; DD required: not stated; DD open: yes; Excl: requested (2 wks)</t>
        </is>
      </c>
      <c r="AL31" t="n">
        <v>35</v>
      </c>
      <c r="AM31" t="inlineStr">
        <is>
          <t>R037 (Sept 18 revision)</t>
        </is>
      </c>
      <c r="AN31" t="inlineStr">
        <is>
          <t>Mac-Gray/CSC</t>
        </is>
      </c>
    </row>
    <row r="32">
      <c r="A32" t="n">
        <v>31</v>
      </c>
      <c r="B32" t="inlineStr">
        <is>
          <t>09/09/2013</t>
        </is>
      </c>
      <c r="C32" t="inlineStr">
        <is>
          <t>Party B (financial bidder)</t>
        </is>
      </c>
      <c r="D32" t="inlineStr">
        <is>
          <t>Bid</t>
        </is>
      </c>
      <c r="E32" t="n">
        <v>1</v>
      </c>
      <c r="F32" t="n">
        <v>2</v>
      </c>
      <c r="G32" t="inlineStr">
        <is>
          <t>Financial</t>
        </is>
      </c>
      <c r="H32" t="inlineStr">
        <is>
          <t>Revised indication of interest: all-cash $18.50 per share, proposed to be financed with equity from affiliated funds and third-party debt; no firm financing commitment.</t>
        </is>
      </c>
      <c r="I32" t="inlineStr">
        <is>
          <t>Informal</t>
        </is>
      </c>
      <c r="J32" t="inlineStr">
        <is>
          <t>Heavy</t>
        </is>
      </c>
      <c r="K32" t="inlineStr">
        <is>
          <t>— Stated indication and financing: "On September 9, 2013, Party B also submitted a revised indication of interest with an all-cash purchase price of $18.50 per share and proposed to finance the transaction with a combination of equity from affiliated funds and third party debt. Party B's revised indication of interest did not include a firm financing commitment" (p.35). Conditions: Heavy — no firm financing commitment reported; third-party debt contemplated.</t>
        </is>
      </c>
      <c r="L32" t="inlineStr">
        <is>
          <t>P-047</t>
        </is>
      </c>
      <c r="M32" t="inlineStr">
        <is>
          <t>Q4</t>
        </is>
      </c>
      <c r="P32" t="inlineStr">
        <is>
          <t>R031</t>
        </is>
      </c>
      <c r="Q32" t="inlineStr">
        <is>
          <t>Yes</t>
        </is>
      </c>
      <c r="R32" t="n">
        <v>1</v>
      </c>
      <c r="S32" s="14" t="n">
        <v>41526</v>
      </c>
      <c r="T32" s="14" t="n">
        <v>41526</v>
      </c>
      <c r="U32" s="14" t="n">
        <v>41526</v>
      </c>
      <c r="V32" t="inlineStr">
        <is>
          <t>Reported day</t>
        </is>
      </c>
      <c r="W32" t="inlineStr">
        <is>
          <t>Reported</t>
        </is>
      </c>
      <c r="X32" t="n">
        <v>18.5</v>
      </c>
      <c r="Y32" t="n">
        <v>18.5</v>
      </c>
      <c r="Z32" t="inlineStr">
        <is>
          <t>Point</t>
        </is>
      </c>
      <c r="AA32" t="inlineStr">
        <is>
          <t>Stated</t>
        </is>
      </c>
      <c r="AB32" t="inlineStr">
        <is>
          <t>USD</t>
        </is>
      </c>
      <c r="AC32" t="inlineStr">
        <is>
          <t>Yes</t>
        </is>
      </c>
      <c r="AD32" t="n">
        <v>18.5</v>
      </c>
      <c r="AE32" t="inlineStr">
        <is>
          <t>Fin: not committed; DD required: not stated; DD open: yes; Excl: not stated</t>
        </is>
      </c>
      <c r="AL32" t="n">
        <v>35</v>
      </c>
      <c r="AM32" t="inlineStr">
        <is>
          <t>R039 (Sept 18 revision)</t>
        </is>
      </c>
      <c r="AN32" t="inlineStr">
        <is>
          <t>Mac-Gray/CSC</t>
        </is>
      </c>
    </row>
    <row r="33">
      <c r="A33" t="n">
        <v>32</v>
      </c>
      <c r="B33" t="inlineStr">
        <is>
          <t>09/10/2013</t>
        </is>
      </c>
      <c r="C33" t="inlineStr">
        <is>
          <t>Party A (strategic bidder)</t>
        </is>
      </c>
      <c r="D33" t="inlineStr">
        <is>
          <t>Bid</t>
        </is>
      </c>
      <c r="E33" t="n">
        <v>1</v>
      </c>
      <c r="F33" t="n">
        <v>2</v>
      </c>
      <c r="G33" t="inlineStr">
        <is>
          <t>Strategic</t>
        </is>
      </c>
      <c r="H33" t="inlineStr">
        <is>
          <t>Revised indication of interest: all-cash $18.00–$19.00 per share, to be financed by outstanding credit facilities or affiliated equity sources; no firm financing commitment.</t>
        </is>
      </c>
      <c r="I33" t="inlineStr">
        <is>
          <t>Informal</t>
        </is>
      </c>
      <c r="J33" t="inlineStr">
        <is>
          <t>Heavy</t>
        </is>
      </c>
      <c r="K33" t="inlineStr">
        <is>
          <t>— Stated indication: "On September 10, 2013, Party A submitted a revised indication of interest with an all-cash purchase price of $18.00 to $19.00 per share, to be financed by outstanding credit facilities or affiliated equity sources" (p.35).— No firm commitment: "Neither Party A's nor Party C's revised indication of interest included a firm financing commitment" (p.35). Conditions: Heavy — no firm financing commitment reported.</t>
        </is>
      </c>
      <c r="L33" t="inlineStr">
        <is>
          <t>P-048</t>
        </is>
      </c>
      <c r="M33" t="inlineStr">
        <is>
          <t>Q4</t>
        </is>
      </c>
      <c r="P33" t="inlineStr">
        <is>
          <t>R032</t>
        </is>
      </c>
      <c r="Q33" t="inlineStr">
        <is>
          <t>Yes</t>
        </is>
      </c>
      <c r="R33" t="n">
        <v>1</v>
      </c>
      <c r="S33" s="14" t="n">
        <v>41527</v>
      </c>
      <c r="T33" s="14" t="n">
        <v>41527</v>
      </c>
      <c r="U33" s="14" t="n">
        <v>41527</v>
      </c>
      <c r="V33" t="inlineStr">
        <is>
          <t>Reported day</t>
        </is>
      </c>
      <c r="W33" t="inlineStr">
        <is>
          <t>Reported</t>
        </is>
      </c>
      <c r="X33" t="n">
        <v>18</v>
      </c>
      <c r="Y33" t="n">
        <v>19</v>
      </c>
      <c r="Z33" t="inlineStr">
        <is>
          <t>Bidder range</t>
        </is>
      </c>
      <c r="AA33" t="inlineStr">
        <is>
          <t>Stated</t>
        </is>
      </c>
      <c r="AB33" t="inlineStr">
        <is>
          <t>USD</t>
        </is>
      </c>
      <c r="AC33" t="inlineStr">
        <is>
          <t>Yes</t>
        </is>
      </c>
      <c r="AE33" t="inlineStr">
        <is>
          <t>Fin: not committed; DD required: not stated; DD open: yes; Excl: not stated</t>
        </is>
      </c>
      <c r="AL33" t="n">
        <v>35</v>
      </c>
      <c r="AM33" t="inlineStr">
        <is>
          <t>R038 (Sept 18 best-and-final reiteration)</t>
        </is>
      </c>
      <c r="AN33" t="inlineStr">
        <is>
          <t>Mac-Gray/CSC</t>
        </is>
      </c>
    </row>
    <row r="34">
      <c r="A34" t="n">
        <v>33</v>
      </c>
      <c r="B34" t="inlineStr">
        <is>
          <t>09/10/2013</t>
        </is>
      </c>
      <c r="C34" t="inlineStr">
        <is>
          <t>Party C (financial bidder)</t>
        </is>
      </c>
      <c r="D34" t="inlineStr">
        <is>
          <t>Bid</t>
        </is>
      </c>
      <c r="E34" t="n">
        <v>1</v>
      </c>
      <c r="F34" t="n">
        <v>2</v>
      </c>
      <c r="G34" t="inlineStr">
        <is>
          <t>Financial</t>
        </is>
      </c>
      <c r="H34" t="inlineStr">
        <is>
          <t>Revised oral indication of interest in a telephone call to BofA Merrill Lynch: all-cash $16.00–$17.00 per share; no firm financing commitment.</t>
        </is>
      </c>
      <c r="I34" t="inlineStr">
        <is>
          <t>Informal</t>
        </is>
      </c>
      <c r="J34" t="inlineStr">
        <is>
          <t>Heavy</t>
        </is>
      </c>
      <c r="K34" t="inlineStr">
        <is>
          <t>— Stated oral indication: "in a telephone call to a representative of BofA Merrill Lynch, a representative of Party C indicated that it was submitting a revised oral indication of interest with an all-cash purchase price of $16.00 to $17.00 per share" (p.35).— No firm commitment: "Neither Party A's nor Party C's revised indication of interest included a firm financing commitment" (p.35). Conditions: Heavy — no firm financing commitment reported.</t>
        </is>
      </c>
      <c r="L34" t="inlineStr">
        <is>
          <t>P-048</t>
        </is>
      </c>
      <c r="M34" t="inlineStr">
        <is>
          <t>Q4</t>
        </is>
      </c>
      <c r="P34" t="inlineStr">
        <is>
          <t>R033</t>
        </is>
      </c>
      <c r="Q34" t="inlineStr">
        <is>
          <t>Yes</t>
        </is>
      </c>
      <c r="R34" t="n">
        <v>1</v>
      </c>
      <c r="S34" s="14" t="n">
        <v>41527</v>
      </c>
      <c r="T34" s="14" t="n">
        <v>41527</v>
      </c>
      <c r="U34" s="14" t="n">
        <v>41527</v>
      </c>
      <c r="V34" t="inlineStr">
        <is>
          <t>Reported day</t>
        </is>
      </c>
      <c r="W34" t="inlineStr">
        <is>
          <t>Reported</t>
        </is>
      </c>
      <c r="X34" t="n">
        <v>16</v>
      </c>
      <c r="Y34" t="n">
        <v>17</v>
      </c>
      <c r="Z34" t="inlineStr">
        <is>
          <t>Bidder range</t>
        </is>
      </c>
      <c r="AA34" t="inlineStr">
        <is>
          <t>Stated</t>
        </is>
      </c>
      <c r="AB34" t="inlineStr">
        <is>
          <t>USD</t>
        </is>
      </c>
      <c r="AC34" t="inlineStr">
        <is>
          <t>Yes</t>
        </is>
      </c>
      <c r="AE34" t="inlineStr">
        <is>
          <t>Fin: not committed; DD required: not stated; DD open: yes; Excl: not stated</t>
        </is>
      </c>
      <c r="AL34" t="n">
        <v>35</v>
      </c>
      <c r="AN34" t="inlineStr">
        <is>
          <t>Mac-Gray/CSC</t>
        </is>
      </c>
    </row>
    <row r="35">
      <c r="A35" t="n">
        <v>34</v>
      </c>
      <c r="B35" t="inlineStr">
        <is>
          <t>09/11/2013 (limited overview) – 09/12/2013 (detailed briefing)</t>
        </is>
      </c>
      <c r="C35" t="inlineStr">
        <is>
          <t>Mac-Gray Transaction Committee / BofA Merrill Lynch ↔ Mr. MacDonald</t>
        </is>
      </c>
      <c r="D35" t="inlineStr">
        <is>
          <t>Material process update</t>
        </is>
      </c>
      <c r="E35" t="n">
        <v>1</v>
      </c>
      <c r="F35" t="n">
        <v>2</v>
      </c>
      <c r="H35" t="inlineStr">
        <is>
          <t>Mr. MacDonald’s rollover question resolved: in a limited-overview call (no bidder identities or prices) he said he was not interested in rolling over any shares; the Special Committee agreed he should be fully briefed because any potential acquiror was seen as unlikely to proceed without knowing he would support the transaction; a 09/12/2013 detailed briefing followed, after which he voiced general support while urging a higher value.</t>
        </is>
      </c>
      <c r="K35" t="inlineStr">
        <is>
          <t>— Stated rollover position: "During this call, Mr. MacDonald indicated that he had decided that he was not interested in rolling over any of his shares in any transaction" (p.35).— Stated support premise: "it was unlikely that any of these parties would move forward in the process without the express support of Mr. MacDonald" (p.35-36).— Stated briefing and stance: "Although Mr. MacDonald voiced his general support for continuing with the process, he expressed his view that Mac-Gray should continue to seek a higher value for stockholders" (p.36). Working date convention: reported interval 09/11–09/12/2013; first day used (Assigned: bound).</t>
        </is>
      </c>
      <c r="L35" t="inlineStr">
        <is>
          <t>P-049; P-050; P-051</t>
        </is>
      </c>
      <c r="M35" t="inlineStr">
        <is>
          <t>Q6; Q7</t>
        </is>
      </c>
      <c r="P35" t="inlineStr">
        <is>
          <t>R034</t>
        </is>
      </c>
      <c r="Q35" t="inlineStr">
        <is>
          <t>Yes</t>
        </is>
      </c>
      <c r="S35" s="14" t="n">
        <v>41528</v>
      </c>
      <c r="T35" s="14" t="n">
        <v>41529</v>
      </c>
      <c r="U35" s="14" t="n">
        <v>41528</v>
      </c>
      <c r="V35" t="inlineStr">
        <is>
          <t>Reported interval</t>
        </is>
      </c>
      <c r="W35" t="inlineStr">
        <is>
          <t>Assigned: bound</t>
        </is>
      </c>
      <c r="AL35" t="n">
        <v>35</v>
      </c>
      <c r="AM35" t="inlineStr">
        <is>
          <t>R016; R049; R041 (his 09/19 support at $21.25)</t>
        </is>
      </c>
      <c r="AN35" t="inlineStr">
        <is>
          <t>Mac-Gray/CSC</t>
        </is>
      </c>
    </row>
    <row r="36">
      <c r="A36" t="n">
        <v>35</v>
      </c>
      <c r="B36" t="inlineStr">
        <is>
          <t>09/11/2013</t>
        </is>
      </c>
      <c r="C36" t="inlineStr">
        <is>
          <t>Mac-Gray Special Committee (via BofA Merrill Lynch) → Party A, Party B, Party C, CSC/Pamplona</t>
        </is>
      </c>
      <c r="D36" t="inlineStr">
        <is>
          <t>Round opened</t>
        </is>
      </c>
      <c r="E36" t="n">
        <v>1</v>
      </c>
      <c r="F36" t="n">
        <v>3</v>
      </c>
      <c r="H36" t="inlineStr">
        <is>
          <t>First request for final indications of interest: BofA Merrill Lynch called each of the four bidders on 09/11/2013, as instructed, requesting final indications by 09/18/2013 and signaling that Mac-Gray would consider a short exclusive negotiation with one bidder depending on price and deal certainty. Invited bidders unchanged. Round finality: Announced as final — the target asked for "final indications of interest".</t>
        </is>
      </c>
      <c r="K36" t="inlineStr">
        <is>
          <t>— Stated instruction: "the Special Committee instructed BofA Merrill Lynch to call each of Party A, Party B, Party C and CSC/Pamplona to request final indications of interest by September 18, 2013 and to indicate that Mac-Gray would consider engaging in a short period of exclusive negotiations with one of the bidders depending upon, among other things, the proposed purchase price and the level of deal certainty indicated in the bidder's final proposal" (p.35-36).— Calls made same day: "representatives of BofA Merrill Lynch called each of Party A, Party B, Party C and CSC/Pamplona on September 11, 2013 with such instructions" (p.35-36).</t>
        </is>
      </c>
      <c r="L36" t="inlineStr">
        <is>
          <t>P-050</t>
        </is>
      </c>
      <c r="M36" t="inlineStr">
        <is>
          <t>Q1</t>
        </is>
      </c>
      <c r="P36" t="inlineStr">
        <is>
          <t>R035</t>
        </is>
      </c>
      <c r="Q36" t="inlineStr">
        <is>
          <t>Yes</t>
        </is>
      </c>
      <c r="S36" s="14" t="n">
        <v>41528</v>
      </c>
      <c r="T36" s="14" t="n">
        <v>41528</v>
      </c>
      <c r="U36" s="14" t="n">
        <v>41528</v>
      </c>
      <c r="V36" t="inlineStr">
        <is>
          <t>Reported day</t>
        </is>
      </c>
      <c r="W36" t="inlineStr">
        <is>
          <t>Reported</t>
        </is>
      </c>
      <c r="AF36" s="14" t="n">
        <v>41535</v>
      </c>
      <c r="AH36" t="inlineStr">
        <is>
          <t>Announced as final</t>
        </is>
      </c>
      <c r="AL36" t="n">
        <v>36</v>
      </c>
      <c r="AM36" t="inlineStr">
        <is>
          <t>R036</t>
        </is>
      </c>
      <c r="AN36" t="inlineStr">
        <is>
          <t>Mac-Gray/CSC</t>
        </is>
      </c>
    </row>
    <row r="37">
      <c r="A37" t="n">
        <v>36</v>
      </c>
      <c r="B37" t="inlineStr">
        <is>
          <t>09/18/2013</t>
        </is>
      </c>
      <c r="C37" t="inlineStr">
        <is>
          <t>N/A — solicitation deadline</t>
        </is>
      </c>
      <c r="D37" t="inlineStr">
        <is>
          <t>Deadline</t>
        </is>
      </c>
      <c r="E37" t="n">
        <v>1</v>
      </c>
      <c r="F37" t="n">
        <v>3</v>
      </c>
      <c r="H37" t="inlineStr">
        <is>
          <t>Final-indication due date reached. Three bidders responded on 09/18/2013 (CSC/Pamplona $20.75; Party A best-and-final reiteration; Party B $21.50 package); Party C did not submit (R040). The Special Committee took its next step on the bids in hand at its 09/19/2013 meeting — selection of CSC/Pamplona and authorization to offer exclusivity at $21.25. Treatment: Enforced.</t>
        </is>
      </c>
      <c r="K37" t="inlineStr">
        <is>
          <t>— Due date and responses: "to request final indications of interest by September 18, 2013" (p.35-36). "On September 18, 2013, CSC/Pamplona submitted a proposal for an all-cash purchase price of $20.75 per share" (p.36).— Next step on the bids in hand: "the Special Committee concluded that the revised indication of interest submitted by CSC/Pamplona had the potential of delivering the most value to stockholders, provided greater certainty and involved less potential risk than the other indications" (p.37).</t>
        </is>
      </c>
      <c r="L37" t="inlineStr">
        <is>
          <t>P-050; P-053; P-055</t>
        </is>
      </c>
      <c r="M37" t="inlineStr">
        <is>
          <t>Q2</t>
        </is>
      </c>
      <c r="P37" t="inlineStr">
        <is>
          <t>R036</t>
        </is>
      </c>
      <c r="Q37" t="inlineStr">
        <is>
          <t>Yes</t>
        </is>
      </c>
      <c r="S37" s="14" t="n">
        <v>41535</v>
      </c>
      <c r="T37" s="14" t="n">
        <v>41535</v>
      </c>
      <c r="U37" s="14" t="n">
        <v>41535</v>
      </c>
      <c r="V37" t="inlineStr">
        <is>
          <t>Reported day</t>
        </is>
      </c>
      <c r="W37" t="inlineStr">
        <is>
          <t>Reported</t>
        </is>
      </c>
      <c r="AF37" s="14" t="n">
        <v>41535</v>
      </c>
      <c r="AG37" t="inlineStr">
        <is>
          <t>Enforced</t>
        </is>
      </c>
      <c r="AL37" t="n">
        <v>36</v>
      </c>
      <c r="AM37" t="inlineStr">
        <is>
          <t>R035</t>
        </is>
      </c>
      <c r="AN37" t="inlineStr">
        <is>
          <t>Mac-Gray/CSC</t>
        </is>
      </c>
    </row>
    <row r="38">
      <c r="A38" t="n">
        <v>37</v>
      </c>
      <c r="B38" t="inlineStr">
        <is>
          <t>09/18/2013</t>
        </is>
      </c>
      <c r="C38" t="inlineStr">
        <is>
          <t>CSC/Pamplona (strategic bidder)</t>
        </is>
      </c>
      <c r="D38" t="inlineStr">
        <is>
          <t>Bid</t>
        </is>
      </c>
      <c r="E38" t="n">
        <v>1</v>
      </c>
      <c r="F38" t="n">
        <v>3</v>
      </c>
      <c r="G38" t="inlineStr">
        <is>
          <t>Strategic</t>
        </is>
      </c>
      <c r="H38" t="inlineStr">
        <is>
          <t>Final-solicited proposal: all-cash $20.75 per share; Pamplona reiterated it was committed to provide 100% of the capital required; requested two-week exclusive negotiations.</t>
        </is>
      </c>
      <c r="I38" t="inlineStr">
        <is>
          <t>Formal</t>
        </is>
      </c>
      <c r="J38" t="inlineStr">
        <is>
          <t>Light</t>
        </is>
      </c>
      <c r="K38" t="inlineStr">
        <is>
          <t>— Stated proposal and commitment: "On September 18, 2013, CSC/Pamplona submitted a proposal for an all-cash purchase price of $20.75 per share, reiterating that Pamplona was committed to provide 100% of the capital required to consummate the transaction and requesting that CSC/Pamplona and Mac-Gray agree to engage in exclusive negotiations for two weeks" (p.36).— Formal signal — response on the requested basis to the final solicitation: "to request final indications of interest by September 18, 2013" (p.35-36). Formality: Formal — response on the requested basis to the target’s final-indications request (signal 2). Conditions: Light — committed financing, no diligence condition attached; diligence still open.</t>
        </is>
      </c>
      <c r="L38" t="inlineStr">
        <is>
          <t>P-053; P-050</t>
        </is>
      </c>
      <c r="M38" t="inlineStr">
        <is>
          <t>Q4</t>
        </is>
      </c>
      <c r="P38" t="inlineStr">
        <is>
          <t>R037</t>
        </is>
      </c>
      <c r="Q38" t="inlineStr">
        <is>
          <t>Yes</t>
        </is>
      </c>
      <c r="R38" t="n">
        <v>1</v>
      </c>
      <c r="S38" s="14" t="n">
        <v>41535</v>
      </c>
      <c r="T38" s="14" t="n">
        <v>41535</v>
      </c>
      <c r="U38" s="14" t="n">
        <v>41535</v>
      </c>
      <c r="V38" t="inlineStr">
        <is>
          <t>Reported day</t>
        </is>
      </c>
      <c r="W38" t="inlineStr">
        <is>
          <t>Reported</t>
        </is>
      </c>
      <c r="X38" t="n">
        <v>20.75</v>
      </c>
      <c r="Y38" t="n">
        <v>20.75</v>
      </c>
      <c r="Z38" t="inlineStr">
        <is>
          <t>Point</t>
        </is>
      </c>
      <c r="AA38" t="inlineStr">
        <is>
          <t>Stated</t>
        </is>
      </c>
      <c r="AB38" t="inlineStr">
        <is>
          <t>USD</t>
        </is>
      </c>
      <c r="AC38" t="inlineStr">
        <is>
          <t>Yes</t>
        </is>
      </c>
      <c r="AD38" t="n">
        <v>20.75</v>
      </c>
      <c r="AE38" t="inlineStr">
        <is>
          <t>Fin: committed; DD required: not stated; DD open: yes; Excl: requested (2 wks)</t>
        </is>
      </c>
      <c r="AL38" t="n">
        <v>36</v>
      </c>
      <c r="AM38" t="inlineStr">
        <is>
          <t>R042 (Sept 21 increase); R035</t>
        </is>
      </c>
      <c r="AN38" t="inlineStr">
        <is>
          <t>Mac-Gray/CSC</t>
        </is>
      </c>
    </row>
    <row r="39">
      <c r="A39" t="n">
        <v>38</v>
      </c>
      <c r="B39" t="inlineStr">
        <is>
          <t>09/18/2013</t>
        </is>
      </c>
      <c r="C39" t="inlineStr">
        <is>
          <t>Party A (strategic bidder)</t>
        </is>
      </c>
      <c r="D39" t="inlineStr">
        <is>
          <t>Bid reaffirmed</t>
        </is>
      </c>
      <c r="E39" t="n">
        <v>1</v>
      </c>
      <c r="F39" t="n">
        <v>3</v>
      </c>
      <c r="G39" t="inlineStr">
        <is>
          <t>Strategic</t>
        </is>
      </c>
      <c r="H39" t="inlineStr">
        <is>
          <t>Reaffirmed by: price confirmed — telephone reiteration that its earlier all-cash $18.00–$19.00 indication was Party A’s best and final offer; price carried forward from R032, not restated. Financing basis unchanged (outstanding credit facilities or affiliated equity; no firm commitment).</t>
        </is>
      </c>
      <c r="I39" t="inlineStr">
        <is>
          <t>Formal</t>
        </is>
      </c>
      <c r="J39" t="inlineStr">
        <is>
          <t>Heavy</t>
        </is>
      </c>
      <c r="K39" t="inlineStr">
        <is>
          <t>— Stated reaffirmation: "Party A reiterated in a telephone call to a representative of BofA Merrill Lynch that its previous indication of interest with an all-cash purchase price of $18.00 to $19.00 per share was its best and final offer" (p.36).— Formal signal — best-and-final response; standing conditions unchanged: "Neither Party A's nor Party C's revised indication of interest included a firm financing commitment" (p.35). Formality: Formal — supported best-and-final response (signal 2; oral confirmation). Conditions: Heavy — carried financing basis with no firm commitment at this date (see R032).</t>
        </is>
      </c>
      <c r="L39" t="inlineStr">
        <is>
          <t>P-053; P-048</t>
        </is>
      </c>
      <c r="M39" t="inlineStr">
        <is>
          <t>Q4; Q5</t>
        </is>
      </c>
      <c r="P39" t="inlineStr">
        <is>
          <t>R038</t>
        </is>
      </c>
      <c r="Q39" t="inlineStr">
        <is>
          <t>Yes</t>
        </is>
      </c>
      <c r="R39" t="n">
        <v>1</v>
      </c>
      <c r="S39" s="14" t="n">
        <v>41535</v>
      </c>
      <c r="T39" s="14" t="n">
        <v>41535</v>
      </c>
      <c r="U39" s="14" t="n">
        <v>41535</v>
      </c>
      <c r="V39" t="inlineStr">
        <is>
          <t>Reported day</t>
        </is>
      </c>
      <c r="W39" t="inlineStr">
        <is>
          <t>Reported</t>
        </is>
      </c>
      <c r="X39" t="n">
        <v>18</v>
      </c>
      <c r="Y39" t="n">
        <v>19</v>
      </c>
      <c r="Z39" t="inlineStr">
        <is>
          <t>Bidder range</t>
        </is>
      </c>
      <c r="AA39" t="inlineStr">
        <is>
          <t>Carried forward</t>
        </is>
      </c>
      <c r="AB39" t="inlineStr">
        <is>
          <t>USD</t>
        </is>
      </c>
      <c r="AC39" t="inlineStr">
        <is>
          <t>Yes</t>
        </is>
      </c>
      <c r="AE39" t="inlineStr">
        <is>
          <t>Fin: not committed; DD required: not stated; DD open: yes; Excl: not stated</t>
        </is>
      </c>
      <c r="AL39" t="n">
        <v>36</v>
      </c>
      <c r="AM39" t="inlineStr">
        <is>
          <t>R032 (carried price); R042 (later Party A dropped)</t>
        </is>
      </c>
      <c r="AN39" t="inlineStr">
        <is>
          <t>Mac-Gray/CSC</t>
        </is>
      </c>
    </row>
    <row r="40">
      <c r="A40" t="n">
        <v>39</v>
      </c>
      <c r="B40" t="inlineStr">
        <is>
          <t>09/18/2013</t>
        </is>
      </c>
      <c r="C40" t="inlineStr">
        <is>
          <t>Party B (financial bidder)</t>
        </is>
      </c>
      <c r="D40" t="inlineStr">
        <is>
          <t>Bid</t>
        </is>
      </c>
      <c r="E40" t="n">
        <v>1</v>
      </c>
      <c r="F40" t="n">
        <v>3</v>
      </c>
      <c r="G40" t="inlineStr">
        <is>
          <t>Financial</t>
        </is>
      </c>
      <c r="H40" t="inlineStr">
        <is>
          <t>Revised indication valued by Party B at $21.50 per share: $19.00 cash at closing plus options representing 10% of the new equity with a strike price equal to Party B’s initial cost basis; options to vest over five years on achievement of the base-case management projections (excluding future acquisitions); Party B valued the options at $2.50 per share. Package value, not guaranteed cash; financing remained without a firm commitment.</t>
        </is>
      </c>
      <c r="I40" t="inlineStr">
        <is>
          <t>Formal</t>
        </is>
      </c>
      <c r="J40" t="inlineStr">
        <is>
          <t>Heavy</t>
        </is>
      </c>
      <c r="K40" t="inlineStr">
        <is>
          <t>— Stated package and option terms: "Party B also submitted a revised indication of interest with a purchase price that Party B valued at $21.50 per share, including $19.00 of cash to be paid at closing and the remaining per share price to be paid in the form of options to be issued to Mac-Gray stockholders, representing 10% of the new equity with a strike price equal to Party B's initial cost basis. These options, which we refer to as the Party B options, would vest on the achievement of the base case management projections ( i.e. , over five years), excluding any future acquisitions. Party B's proposal stated that it valued the Party B options at $2.50 of incremental value per share" (p.36).— Financing not committed; formal signal — final-solicitation response: "Neither Party A's nor Party C's revised indication of interest included a firm financing commitment" (p.35). Formality: Formal — final-solicitation response (signal 2). Conditions: Heavy — no firm financing commitment; option consideration adds contingency. Price: package value, not guaranteed cash.</t>
        </is>
      </c>
      <c r="L40" t="inlineStr">
        <is>
          <t>P-053; P-048</t>
        </is>
      </c>
      <c r="M40" t="inlineStr">
        <is>
          <t>Q4; Q5</t>
        </is>
      </c>
      <c r="P40" t="inlineStr">
        <is>
          <t>R039</t>
        </is>
      </c>
      <c r="Q40" t="inlineStr">
        <is>
          <t>Yes</t>
        </is>
      </c>
      <c r="R40" t="n">
        <v>1</v>
      </c>
      <c r="S40" s="14" t="n">
        <v>41535</v>
      </c>
      <c r="T40" s="14" t="n">
        <v>41535</v>
      </c>
      <c r="U40" s="14" t="n">
        <v>41535</v>
      </c>
      <c r="V40" t="inlineStr">
        <is>
          <t>Reported day</t>
        </is>
      </c>
      <c r="W40" t="inlineStr">
        <is>
          <t>Reported</t>
        </is>
      </c>
      <c r="X40" t="n">
        <v>21.5</v>
      </c>
      <c r="Y40" t="n">
        <v>21.5</v>
      </c>
      <c r="Z40" t="inlineStr">
        <is>
          <t>Point</t>
        </is>
      </c>
      <c r="AA40" t="inlineStr">
        <is>
          <t>Stated</t>
        </is>
      </c>
      <c r="AB40" t="inlineStr">
        <is>
          <t>USD</t>
        </is>
      </c>
      <c r="AC40" t="inlineStr">
        <is>
          <t>No</t>
        </is>
      </c>
      <c r="AD40" t="n">
        <v>19</v>
      </c>
      <c r="AE40" t="inlineStr">
        <is>
          <t>Fin: not committed; DD required: not stated; DD open: yes; Excl: not stated</t>
        </is>
      </c>
      <c r="AL40" t="n">
        <v>36</v>
      </c>
      <c r="AM40" t="inlineStr">
        <is>
          <t>R031 (prior priced bid)</t>
        </is>
      </c>
      <c r="AN40" t="inlineStr">
        <is>
          <t>Mac-Gray/CSC</t>
        </is>
      </c>
    </row>
    <row r="41">
      <c r="A41" t="n">
        <v>40</v>
      </c>
      <c r="B41" t="inlineStr">
        <is>
          <t>by 09/18/2013 (final-indication deadline passed with no submission)</t>
        </is>
      </c>
      <c r="C41" t="inlineStr">
        <is>
          <t>Party C (financial bidder)</t>
        </is>
      </c>
      <c r="D41" t="inlineStr">
        <is>
          <t>Did not submit</t>
        </is>
      </c>
      <c r="E41" t="n">
        <v>1</v>
      </c>
      <c r="F41" t="n">
        <v>3</v>
      </c>
      <c r="G41" t="inlineStr">
        <is>
          <t>Financial</t>
        </is>
      </c>
      <c r="H41" t="inlineStr">
        <is>
          <t>Party C did not submit a revised indication of interest or reiterate its prior $16.00–$17.00 indication in response to the 09/11/2013 final request, and the filing states it gave no reasons. Closed at this transition; no further Party C participation is reported.</t>
        </is>
      </c>
      <c r="K41" t="inlineStr">
        <is>
          <t>— Stated non-submission: "Party C did not submit a revised indication of interest or reiterate its prior indication of interest of an all-cash purchase price of $16.00 to $17.00 per share nor did it specify any reasons in connection therewith" (p.36). Outcome basis: Stated — the filing directly reports the non-submission and that no reasons were given.</t>
        </is>
      </c>
      <c r="L41" t="inlineStr">
        <is>
          <t>P-053</t>
        </is>
      </c>
      <c r="M41" t="inlineStr">
        <is>
          <t>Q3</t>
        </is>
      </c>
      <c r="P41" t="inlineStr">
        <is>
          <t>R040</t>
        </is>
      </c>
      <c r="Q41" t="inlineStr">
        <is>
          <t>Yes</t>
        </is>
      </c>
      <c r="R41" t="n">
        <v>1</v>
      </c>
      <c r="T41" s="14" t="n">
        <v>41535</v>
      </c>
      <c r="U41" s="14" t="n">
        <v>41535</v>
      </c>
      <c r="V41" t="inlineStr">
        <is>
          <t>Relative only</t>
        </is>
      </c>
      <c r="W41" t="inlineStr">
        <is>
          <t>Assigned: deadline</t>
        </is>
      </c>
      <c r="AI41" t="inlineStr">
        <is>
          <t>Unknown</t>
        </is>
      </c>
      <c r="AJ41" t="inlineStr">
        <is>
          <t>Not stated</t>
        </is>
      </c>
      <c r="AK41" t="inlineStr">
        <is>
          <t>Stated</t>
        </is>
      </c>
      <c r="AL41" t="n">
        <v>36</v>
      </c>
      <c r="AN41" t="inlineStr">
        <is>
          <t>Mac-Gray/CSC</t>
        </is>
      </c>
    </row>
    <row r="42">
      <c r="A42" t="n">
        <v>41</v>
      </c>
      <c r="B42" t="inlineStr">
        <is>
          <t>09/19/2013</t>
        </is>
      </c>
      <c r="C42" t="inlineStr">
        <is>
          <t>Mac-Gray Special Committee</t>
        </is>
      </c>
      <c r="D42" t="inlineStr">
        <is>
          <t>Target decision</t>
        </is>
      </c>
      <c r="E42" t="n">
        <v>1</v>
      </c>
      <c r="F42" t="n">
        <v>3</v>
      </c>
      <c r="H42" t="inlineStr">
        <is>
          <t>Preferred-bidder decision: the Special Committee concluded CSC/Pamplona’s indication offered the most value, greater certainty and less risk (Party B’s options were contingent and complex and Party B would likely need third-party debt); it concluded CSC/Pamplona should be able to raise above $20.75 and authorized the Transaction Committee to offer exclusivity at $21.25; Mr. MacDonald indicated he would support $21.25.</t>
        </is>
      </c>
      <c r="K42" t="inlineStr">
        <is>
          <t>— Stated conclusion: "the Special Committee concluded that the revised indication of interest submitted by CSC/Pamplona had the potential of delivering the most value to stockholders, provided greater certainty and involved less potential risk than the other indications" (p.37).— Price requirement and exclusivity authorization: "the Special Committee also concluded that, primarily in view of potential synergies between Mac-Gray and CSC, CSC/Pamplona should be in a position to increase their offer price above $20.75. The Special Committee then authorized the Transaction Committee to inform CSC/Pamplona that the Special Committee would be prepared to move into exclusivity at a price of $21.25 per share" (p.37). "at this meeting Mr. MacDonald indicated that he would be supportive of a price of $21.25 per share" (p.37).</t>
        </is>
      </c>
      <c r="L42" t="inlineStr">
        <is>
          <t>P-055</t>
        </is>
      </c>
      <c r="P42" t="inlineStr">
        <is>
          <t>R041</t>
        </is>
      </c>
      <c r="Q42" t="inlineStr">
        <is>
          <t>Yes</t>
        </is>
      </c>
      <c r="S42" s="14" t="n">
        <v>41536</v>
      </c>
      <c r="T42" s="14" t="n">
        <v>41536</v>
      </c>
      <c r="U42" s="14" t="n">
        <v>41536</v>
      </c>
      <c r="V42" t="inlineStr">
        <is>
          <t>Reported day</t>
        </is>
      </c>
      <c r="W42" t="inlineStr">
        <is>
          <t>Reported</t>
        </is>
      </c>
      <c r="AL42" t="n">
        <v>37</v>
      </c>
      <c r="AM42" t="inlineStr">
        <is>
          <t>R042; R043</t>
        </is>
      </c>
      <c r="AN42" t="inlineStr">
        <is>
          <t>Mac-Gray/CSC</t>
        </is>
      </c>
    </row>
    <row r="43">
      <c r="A43" t="n">
        <v>42</v>
      </c>
      <c r="B43" t="inlineStr">
        <is>
          <t>09/21/2013</t>
        </is>
      </c>
      <c r="C43" t="inlineStr">
        <is>
          <t>CSC/Pamplona (strategic bidder)</t>
        </is>
      </c>
      <c r="D43" t="inlineStr">
        <is>
          <t>Bid</t>
        </is>
      </c>
      <c r="E43" t="n">
        <v>1</v>
      </c>
      <c r="F43" t="n">
        <v>3</v>
      </c>
      <c r="G43" t="inlineStr">
        <is>
          <t>Strategic</t>
        </is>
      </c>
      <c r="H43" t="inlineStr">
        <is>
          <t>Price increase to $21.25 per share all-cash as a last and best offer, provided Mac-Gray agreed to a two-week exclusive negotiation; CSC/Pamplona also requested a customary voting agreement over Mr. MacDonald’s and his immediate family’s shares. This is the price component of the CSC/Pamplona final proposal (no financing contingency; Pamplona committing 100% of the capital needed for closing).</t>
        </is>
      </c>
      <c r="I43" t="inlineStr">
        <is>
          <t>Formal</t>
        </is>
      </c>
      <c r="J43" t="inlineStr">
        <is>
          <t>Light</t>
        </is>
      </c>
      <c r="K43" t="inlineStr">
        <is>
          <t>— Stated confirmation: "the representative of CSC/Pamplona called the members of the Transaction Committee to confirm that CSC/Pamplona were willing to increase their all-cash purchase price to $21.25 per share as a last and best offer, provided that Mac-Gray agree to a two week period of exclusive negotiations" (p.37).— Voting agreement request: "The representative of CSC/Pamplona also requested that shares of Mac-Gray common stock owned beneficially and of record by Mr. MacDonald and his immediate family be subject to a customary voting agreement, which we refer to as the MacDonald voting agreements" (p.37).— Final proposal terms: "the inclusion of a $15 million "reverse" termination fee payable by CSC/Pamplona to Mac-Gray in the event regulatory clearance is not obtained, which we refer to as the CSC reverse termination fee, agreements regarding certain post-signing covenants, the fact that there would be no financing contingency and that Pamplona was committing to fund 100% of the capital needed for closing" (p.37-38). Formality: carries forward from R037 (continuing proposal; no return to a preliminary basis). Conditions: Light — Pamplona committed 100% of closing capital; no financing contingency.</t>
        </is>
      </c>
      <c r="L43" t="inlineStr">
        <is>
          <t>P-056; P-057</t>
        </is>
      </c>
      <c r="M43" t="inlineStr">
        <is>
          <t>Q4</t>
        </is>
      </c>
      <c r="P43" t="inlineStr">
        <is>
          <t>R042</t>
        </is>
      </c>
      <c r="Q43" t="inlineStr">
        <is>
          <t>Yes</t>
        </is>
      </c>
      <c r="R43" t="n">
        <v>0</v>
      </c>
      <c r="S43" s="14" t="n">
        <v>41538</v>
      </c>
      <c r="T43" s="14" t="n">
        <v>41538</v>
      </c>
      <c r="U43" s="14" t="n">
        <v>41538</v>
      </c>
      <c r="V43" t="inlineStr">
        <is>
          <t>Reported day</t>
        </is>
      </c>
      <c r="W43" t="inlineStr">
        <is>
          <t>Reported</t>
        </is>
      </c>
      <c r="X43" t="n">
        <v>21.25</v>
      </c>
      <c r="Y43" t="n">
        <v>21.25</v>
      </c>
      <c r="Z43" t="inlineStr">
        <is>
          <t>Point</t>
        </is>
      </c>
      <c r="AA43" t="inlineStr">
        <is>
          <t>Stated</t>
        </is>
      </c>
      <c r="AB43" t="inlineStr">
        <is>
          <t>USD</t>
        </is>
      </c>
      <c r="AC43" t="inlineStr">
        <is>
          <t>Yes</t>
        </is>
      </c>
      <c r="AD43" t="n">
        <v>21.25</v>
      </c>
      <c r="AE43" t="inlineStr">
        <is>
          <t>Fin: committed; DD required: not stated; DD open: yes; Excl: requested (2 wks)</t>
        </is>
      </c>
      <c r="AL43" t="n">
        <v>37</v>
      </c>
      <c r="AM43" t="inlineStr">
        <is>
          <t>R037 (revises it); R043</t>
        </is>
      </c>
      <c r="AN43" t="inlineStr">
        <is>
          <t>Mac-Gray/CSC</t>
        </is>
      </c>
    </row>
    <row r="44">
      <c r="A44" t="n">
        <v>43</v>
      </c>
      <c r="B44" t="inlineStr">
        <is>
          <t>09/23/2013</t>
        </is>
      </c>
      <c r="C44" t="inlineStr">
        <is>
          <t>Mac-Gray Special Committee; CSC/Pamplona</t>
        </is>
      </c>
      <c r="D44" t="inlineStr">
        <is>
          <t>Exclusivity changed</t>
        </is>
      </c>
      <c r="E44" t="n">
        <v>1</v>
      </c>
      <c r="F44" t="n">
        <v>3</v>
      </c>
      <c r="H44" t="inlineStr">
        <is>
          <t>Authorized: the Special Committee authorized Mac-Gray to enter an exclusivity agreement providing exclusive negotiations until 5 p.m. ET on 10/12/2013 on the CSC/Pamplona final proposal terms ($21.25 per share cash; $15 million CSC reverse termination fee if regulatory clearance is not obtained; no financing contingency; Pamplona to fund 100% of closing capital); the agreement would automatically terminate if CSC or Pamplona adversely changed the final proposal terms.</t>
        </is>
      </c>
      <c r="K44" t="inlineStr">
        <is>
          <t>— Stated authorization: "After discussion, the Special Committee authorized Mac-Gray to enter into an exclusivity agreement providing for exclusive negotiations until 5 p.m. ET on October 12, 2013 on the terms included in the CSC/Pamplona final proposal" (p.38).— Stated terms and condition: "The parties also agreed that the exclusivity agreement would automatically terminate if CSC or Pamplona adversely changed any of the terms of the CSC/Pamplona final proposal" (p.37-38).</t>
        </is>
      </c>
      <c r="L44" t="inlineStr">
        <is>
          <t>P-059; P-057</t>
        </is>
      </c>
      <c r="M44" t="inlineStr">
        <is>
          <t>Q8</t>
        </is>
      </c>
      <c r="P44" t="inlineStr">
        <is>
          <t>R043</t>
        </is>
      </c>
      <c r="Q44" t="inlineStr">
        <is>
          <t>Yes</t>
        </is>
      </c>
      <c r="S44" s="14" t="n">
        <v>41540</v>
      </c>
      <c r="T44" s="14" t="n">
        <v>41540</v>
      </c>
      <c r="U44" s="14" t="n">
        <v>41540</v>
      </c>
      <c r="V44" t="inlineStr">
        <is>
          <t>Reported day</t>
        </is>
      </c>
      <c r="W44" t="inlineStr">
        <is>
          <t>Reported</t>
        </is>
      </c>
      <c r="AL44" t="n">
        <v>38</v>
      </c>
      <c r="AM44" t="inlineStr">
        <is>
          <t>R044; R042</t>
        </is>
      </c>
      <c r="AN44" t="inlineStr">
        <is>
          <t>Mac-Gray/CSC</t>
        </is>
      </c>
    </row>
    <row r="45">
      <c r="A45" t="n">
        <v>44</v>
      </c>
      <c r="B45" t="inlineStr">
        <is>
          <t>09/24/2013</t>
        </is>
      </c>
      <c r="C45" t="inlineStr">
        <is>
          <t>CSC, Pamplona and Mac-Gray</t>
        </is>
      </c>
      <c r="D45" t="inlineStr">
        <is>
          <t>Exclusivity changed</t>
        </is>
      </c>
      <c r="E45" t="n">
        <v>1</v>
      </c>
      <c r="F45" t="n">
        <v>3</v>
      </c>
      <c r="H45" t="inlineStr">
        <is>
          <t>Executed: CSC, Pamplona and Mac-Gray executed the exclusivity agreement — exclusive negotiations until 5 p.m. ET on 10/12/2013, subject to certain conditions including that CSC and Pamplona not adversely change or modify the final proposal terms. This execution is the transition into the definitive-negotiation stage (R047).</t>
        </is>
      </c>
      <c r="K45" t="inlineStr">
        <is>
          <t>— Stated execution: "On September 24, 2013, CSC, Pamplona and Mac-Gray executed the exclusivity agreement providing for exclusive negotiations until 5 p.m. ET on October 12, 2013, subject to certain conditions, including that CSC and Pamplona not adversely change or modify the terms of the CSC/Pamplona final proposal" (p.38).</t>
        </is>
      </c>
      <c r="L45" t="inlineStr">
        <is>
          <t>P-060</t>
        </is>
      </c>
      <c r="M45" t="inlineStr">
        <is>
          <t>Q8</t>
        </is>
      </c>
      <c r="P45" t="inlineStr">
        <is>
          <t>R044</t>
        </is>
      </c>
      <c r="Q45" t="inlineStr">
        <is>
          <t>Yes</t>
        </is>
      </c>
      <c r="S45" s="14" t="n">
        <v>41541</v>
      </c>
      <c r="T45" s="14" t="n">
        <v>41541</v>
      </c>
      <c r="U45" s="14" t="n">
        <v>41541</v>
      </c>
      <c r="V45" t="inlineStr">
        <is>
          <t>Reported day</t>
        </is>
      </c>
      <c r="W45" t="inlineStr">
        <is>
          <t>Reported</t>
        </is>
      </c>
      <c r="AL45" t="n">
        <v>38</v>
      </c>
      <c r="AM45" t="inlineStr">
        <is>
          <t>R043; R047; R045; R046</t>
        </is>
      </c>
      <c r="AN45" t="inlineStr">
        <is>
          <t>Mac-Gray/CSC</t>
        </is>
      </c>
    </row>
    <row r="46">
      <c r="A46" t="n">
        <v>45</v>
      </c>
      <c r="B46" t="inlineStr">
        <is>
          <t>by 09/24/2013 (exclusivity execution)</t>
        </is>
      </c>
      <c r="C46" t="inlineStr">
        <is>
          <t>Party A (strategic bidder)</t>
        </is>
      </c>
      <c r="D46" t="inlineStr">
        <is>
          <t>Dropped by target</t>
        </is>
      </c>
      <c r="E46" t="n">
        <v>1</v>
      </c>
      <c r="F46" t="n">
        <v>3</v>
      </c>
      <c r="G46" t="inlineStr">
        <is>
          <t>Strategic</t>
        </is>
      </c>
      <c r="H46" t="inlineStr">
        <is>
          <t>Inferred: exclusivity — Party A was still live after the final round (its best-and-final reiteration of 09/18/2013) when Mac-Gray executed exclusivity with CSC/Pamplona on 09/24/2013; the filing reports no notice to Party A and states no reason. Closed at this transition.</t>
        </is>
      </c>
      <c r="K46" t="inlineStr">
        <is>
          <t>— Exclusivity execution: "On September 24, 2013, CSC, Pamplona and Mac-Gray executed the exclusivity agreement providing for exclusive negotiations until 5 p.m. ET on October 12, 2013" (p.38).— Last participation: "Party A reiterated in a telephone call to a representative of BofA Merrill Lynch that its previous indication of interest with an all-cash purchase price of $18.00 to $19.00 per share was its best and final offer" (p.36). Outcome basis and agency: Inferred solely from the exclusivity execution; Decided by Target for the transition; the filing states no reason or notice.</t>
        </is>
      </c>
      <c r="L46" t="inlineStr">
        <is>
          <t>P-060; P-053</t>
        </is>
      </c>
      <c r="M46" t="inlineStr">
        <is>
          <t>Q3</t>
        </is>
      </c>
      <c r="P46" t="inlineStr">
        <is>
          <t>R045</t>
        </is>
      </c>
      <c r="Q46" t="inlineStr">
        <is>
          <t>Yes</t>
        </is>
      </c>
      <c r="R46" t="n">
        <v>1</v>
      </c>
      <c r="T46" s="14" t="n">
        <v>41541</v>
      </c>
      <c r="U46" s="14" t="n">
        <v>41541</v>
      </c>
      <c r="V46" t="inlineStr">
        <is>
          <t>Relative only</t>
        </is>
      </c>
      <c r="W46" t="inlineStr">
        <is>
          <t>Assigned: decision day</t>
        </is>
      </c>
      <c r="AI46" t="inlineStr">
        <is>
          <t>Target</t>
        </is>
      </c>
      <c r="AJ46" t="inlineStr">
        <is>
          <t>Not stated</t>
        </is>
      </c>
      <c r="AK46" t="inlineStr">
        <is>
          <t>Inferred: exclusivity</t>
        </is>
      </c>
      <c r="AL46" t="n">
        <v>38</v>
      </c>
      <c r="AM46" t="inlineStr">
        <is>
          <t>R038; R044</t>
        </is>
      </c>
      <c r="AN46" t="inlineStr">
        <is>
          <t>Mac-Gray/CSC</t>
        </is>
      </c>
    </row>
    <row r="47">
      <c r="A47" t="n">
        <v>46</v>
      </c>
      <c r="B47" t="inlineStr">
        <is>
          <t>by 09/24/2013 (exclusivity execution)</t>
        </is>
      </c>
      <c r="C47" t="inlineStr">
        <is>
          <t>Party B (financial bidder)</t>
        </is>
      </c>
      <c r="D47" t="inlineStr">
        <is>
          <t>Dropped by target</t>
        </is>
      </c>
      <c r="E47" t="n">
        <v>1</v>
      </c>
      <c r="F47" t="n">
        <v>3</v>
      </c>
      <c r="G47" t="inlineStr">
        <is>
          <t>Financial</t>
        </is>
      </c>
      <c r="H47" t="inlineStr">
        <is>
          <t>Inferred: exclusivity — Party B was still live after the final round (its 09/18/2013 $21.50 package) when Mac-Gray executed exclusivity with CSC/Pamplona on 09/24/2013; the filing reports no notice to Party B and states no reason. Closed at this transition.</t>
        </is>
      </c>
      <c r="K47" t="inlineStr">
        <is>
          <t>— Exclusivity execution: "On September 24, 2013, CSC, Pamplona and Mac-Gray executed the exclusivity agreement providing for exclusive negotiations until 5 p.m. ET on October 12, 2013" (p.38).— Last participation: "Party B also submitted a revised indication of interest with a purchase price that Party B valued at $21.50 per share" (p.36). Outcome basis and agency: Inferred solely from the exclusivity execution; Decided by Target for the transition; the filing states no reason or notice.</t>
        </is>
      </c>
      <c r="L47" t="inlineStr">
        <is>
          <t>P-060; P-053</t>
        </is>
      </c>
      <c r="M47" t="inlineStr">
        <is>
          <t>Q3</t>
        </is>
      </c>
      <c r="P47" t="inlineStr">
        <is>
          <t>R046</t>
        </is>
      </c>
      <c r="Q47" t="inlineStr">
        <is>
          <t>Yes</t>
        </is>
      </c>
      <c r="R47" t="n">
        <v>1</v>
      </c>
      <c r="T47" s="14" t="n">
        <v>41541</v>
      </c>
      <c r="U47" s="14" t="n">
        <v>41541</v>
      </c>
      <c r="V47" t="inlineStr">
        <is>
          <t>Relative only</t>
        </is>
      </c>
      <c r="W47" t="inlineStr">
        <is>
          <t>Assigned: decision day</t>
        </is>
      </c>
      <c r="AI47" t="inlineStr">
        <is>
          <t>Target</t>
        </is>
      </c>
      <c r="AJ47" t="inlineStr">
        <is>
          <t>Not stated</t>
        </is>
      </c>
      <c r="AK47" t="inlineStr">
        <is>
          <t>Inferred: exclusivity</t>
        </is>
      </c>
      <c r="AL47" t="n">
        <v>38</v>
      </c>
      <c r="AM47" t="inlineStr">
        <is>
          <t>R039; R044</t>
        </is>
      </c>
      <c r="AN47" t="inlineStr">
        <is>
          <t>Mac-Gray/CSC</t>
        </is>
      </c>
    </row>
    <row r="48">
      <c r="A48" t="n">
        <v>47</v>
      </c>
      <c r="B48" t="inlineStr">
        <is>
          <t>09/24/2013</t>
        </is>
      </c>
      <c r="C48" t="inlineStr">
        <is>
          <t>Mac-Gray ↔ CSC/Pamplona</t>
        </is>
      </c>
      <c r="D48" t="inlineStr">
        <is>
          <t>Round opened</t>
        </is>
      </c>
      <c r="E48" t="n">
        <v>1</v>
      </c>
      <c r="F48" t="n">
        <v>4</v>
      </c>
      <c r="H48" t="inlineStr">
        <is>
          <t>Definitive-negotiation stage opens with the 09/24/2013 exclusivity execution (R044); Goodwin Procter delivered the initial merger-agreement draft to Kirkland &amp; Ellis on 09/25/2013 (R048) and CSC/Pamplona were granted full data-site and management access for confirmatory diligence. Selected bidder CSC/Pamplona remains live; all other bidders are already closed. Round finality: Inferred final — no announcement, but the target moved to definitive negotiation with the selected bidder.</t>
        </is>
      </c>
      <c r="K48" t="inlineStr">
        <is>
          <t>— Draft delivered and confirmatory diligence: "On September 25, 2013, Goodwin Procter delivered to Kirkland &amp; Ellis LLP, outside legal counsel to CSC/Pamplona, whom we refer to as Kirkland, the initial draft of the merger agreement" (p.38). "CSC and Pamplona were granted full access to the electronic data site and access to certain members of management and conducted confirmatory business and legal due diligence on Mac-Gray" (p.38).</t>
        </is>
      </c>
      <c r="L48" t="inlineStr">
        <is>
          <t>P-061</t>
        </is>
      </c>
      <c r="M48" t="inlineStr">
        <is>
          <t>Q1</t>
        </is>
      </c>
      <c r="P48" t="inlineStr">
        <is>
          <t>R047</t>
        </is>
      </c>
      <c r="Q48" t="inlineStr">
        <is>
          <t>Yes</t>
        </is>
      </c>
      <c r="S48" s="14" t="n">
        <v>41541</v>
      </c>
      <c r="T48" s="14" t="n">
        <v>41541</v>
      </c>
      <c r="U48" s="14" t="n">
        <v>41541</v>
      </c>
      <c r="V48" t="inlineStr">
        <is>
          <t>Reported day</t>
        </is>
      </c>
      <c r="W48" t="inlineStr">
        <is>
          <t>Reported</t>
        </is>
      </c>
      <c r="AH48" t="inlineStr">
        <is>
          <t>Inferred final</t>
        </is>
      </c>
      <c r="AL48" t="n">
        <v>38</v>
      </c>
      <c r="AM48" t="inlineStr">
        <is>
          <t>R044; R048; R043; R035</t>
        </is>
      </c>
      <c r="AN48" t="inlineStr">
        <is>
          <t>Mac-Gray/CSC</t>
        </is>
      </c>
    </row>
    <row r="49">
      <c r="A49" t="n">
        <v>48</v>
      </c>
      <c r="B49" t="inlineStr">
        <is>
          <t>09/25/2013</t>
        </is>
      </c>
      <c r="C49" t="inlineStr">
        <is>
          <t>Kirkland &amp; Ellis LLP (outside legal counsel, CSC/Pamplona)</t>
        </is>
      </c>
      <c r="D49" t="inlineStr">
        <is>
          <t>Adviser service observed</t>
        </is>
      </c>
      <c r="E49" t="n">
        <v>1</v>
      </c>
      <c r="F49" t="n">
        <v>4</v>
      </c>
      <c r="H49" t="inlineStr">
        <is>
          <t>First shown acting on the CSC/Pamplona mandate when Goodwin Procter delivered the initial merger-agreement draft to Kirkland; engagement date not disclosed. Kirkland negotiated the merger agreement and the Pamplona commitment letter for CSC/Pamplona.</t>
        </is>
      </c>
      <c r="K49" t="inlineStr">
        <is>
          <t>— Earliest observed service: "On September 25, 2013, Goodwin Procter delivered to Kirkland &amp; Ellis LLP, outside legal counsel to CSC/Pamplona, whom we refer to as Kirkland, the initial draft of the merger agreement" (p.38).</t>
        </is>
      </c>
      <c r="L49" t="inlineStr">
        <is>
          <t>P-061</t>
        </is>
      </c>
      <c r="P49" t="inlineStr">
        <is>
          <t>R048</t>
        </is>
      </c>
      <c r="Q49" t="inlineStr">
        <is>
          <t>Yes</t>
        </is>
      </c>
      <c r="S49" s="14" t="n">
        <v>41542</v>
      </c>
      <c r="T49" s="14" t="n">
        <v>41542</v>
      </c>
      <c r="U49" s="14" t="n">
        <v>41542</v>
      </c>
      <c r="V49" t="inlineStr">
        <is>
          <t>Reported day</t>
        </is>
      </c>
      <c r="W49" t="inlineStr">
        <is>
          <t>Reported</t>
        </is>
      </c>
      <c r="AL49" t="n">
        <v>38</v>
      </c>
      <c r="AN49" t="inlineStr">
        <is>
          <t>Mac-Gray/CSC</t>
        </is>
      </c>
    </row>
    <row r="50">
      <c r="A50" t="n">
        <v>49</v>
      </c>
      <c r="B50" t="inlineStr">
        <is>
          <t>after 09/23/2013; reported 10/07/2013</t>
        </is>
      </c>
      <c r="C50" t="inlineStr">
        <is>
          <t>Moab Partners; CSC/Pamplona; Mac-Gray Special Committee</t>
        </is>
      </c>
      <c r="D50" t="inlineStr">
        <is>
          <t>Material process update</t>
        </is>
      </c>
      <c r="E50" t="n">
        <v>1</v>
      </c>
      <c r="F50" t="n">
        <v>4</v>
      </c>
      <c r="H50" t="inlineStr">
        <is>
          <t>Moab rollover resolved without a rollover: the Special Committee had allowed Mr. Rothenberg on 09/23/2013 to resume discussions with CSC/Pamplona about a possible rollover of Moab’s shares; after those discussions it was determined that Moab would not roll over any shares in the transaction, as reported to the Special Committee on 10/07/2013.</t>
        </is>
      </c>
      <c r="K50" t="inlineStr">
        <is>
          <t>— Stated permission: "to provide Moab with the opportunity to resume discussions with CSC/Pamplona regarding a possible equity rollover of Moab's shares in the transaction if Moab still had an interest in such a rollover" (p.38).— Stated discussion period: "Mr. Rothenberg engaged in various discussions with representatives of Pamplona during this time to discuss a possible rollover of Moab shares" (p.38).— Stated determination reported 10/07/2013: "Mr. Daoust reported to the Special Committee that, after discussions between Moab and representatives of Pamplona, it was determined that Moab would not rollover any Moab shares in the transaction" (p.39). Working date convention: the determination date is not disclosed; it is reported at the 10/07/2013 Special Committee meeting (Assigned: bound to the report).</t>
        </is>
      </c>
      <c r="L50" t="inlineStr">
        <is>
          <t>P-058; P-061; P-065</t>
        </is>
      </c>
      <c r="M50" t="inlineStr">
        <is>
          <t>Q6; Q7</t>
        </is>
      </c>
      <c r="P50" t="inlineStr">
        <is>
          <t>R049</t>
        </is>
      </c>
      <c r="Q50" t="inlineStr">
        <is>
          <t>Yes</t>
        </is>
      </c>
      <c r="S50" s="14" t="n">
        <v>41540</v>
      </c>
      <c r="T50" s="14" t="n">
        <v>41554</v>
      </c>
      <c r="U50" s="14" t="n">
        <v>41554</v>
      </c>
      <c r="V50" t="inlineStr">
        <is>
          <t>Approximate window</t>
        </is>
      </c>
      <c r="W50" t="inlineStr">
        <is>
          <t>Assigned: bound</t>
        </is>
      </c>
      <c r="AL50" t="n">
        <v>39</v>
      </c>
      <c r="AM50" t="inlineStr">
        <is>
          <t>R016 (denial); R010</t>
        </is>
      </c>
      <c r="AN50" t="inlineStr">
        <is>
          <t>Mac-Gray/CSC</t>
        </is>
      </c>
    </row>
    <row r="51">
      <c r="A51" t="n">
        <v>50</v>
      </c>
      <c r="B51" t="inlineStr">
        <is>
          <t>10/09/2013</t>
        </is>
      </c>
      <c r="C51" t="inlineStr">
        <is>
          <t>Mac-Gray Special Committee; CSC/Pamplona</t>
        </is>
      </c>
      <c r="D51" t="inlineStr">
        <is>
          <t>Exclusivity changed</t>
        </is>
      </c>
      <c r="E51" t="n">
        <v>1</v>
      </c>
      <c r="F51" t="n">
        <v>4</v>
      </c>
      <c r="H51" t="inlineStr">
        <is>
          <t>Extension authorized: the Special Committee authorized the Transaction Committee to negotiate the open issues within parameters and to extend exclusivity to 10/15/2013; CSC/Pamplona had requested extension of the 5 p.m. ET 10/12 expiry to allow continued negotiations.</t>
        </is>
      </c>
      <c r="K51" t="inlineStr">
        <is>
          <t>— Stated request and authorization: "Kirkland had requested on behalf of CSC/Pamplona that the exclusivity agreement, due to expire at 5 p.m. ET on October 12, 2013, be extended to allow for continued negotiations of these open issues. After discussion, the Special Committee authorized the Transaction Committee to negotiate the open issues within certain parameters and in connection therewith to extend exclusivity to October 15, 2013" (p.40).</t>
        </is>
      </c>
      <c r="L51" t="inlineStr">
        <is>
          <t>P-069</t>
        </is>
      </c>
      <c r="M51" t="inlineStr">
        <is>
          <t>Q8</t>
        </is>
      </c>
      <c r="P51" t="inlineStr">
        <is>
          <t>R050</t>
        </is>
      </c>
      <c r="Q51" t="inlineStr">
        <is>
          <t>Yes</t>
        </is>
      </c>
      <c r="S51" s="14" t="n">
        <v>41556</v>
      </c>
      <c r="T51" s="14" t="n">
        <v>41556</v>
      </c>
      <c r="U51" s="14" t="n">
        <v>41556</v>
      </c>
      <c r="V51" t="inlineStr">
        <is>
          <t>Reported day</t>
        </is>
      </c>
      <c r="W51" t="inlineStr">
        <is>
          <t>Reported</t>
        </is>
      </c>
      <c r="AL51" t="n">
        <v>40</v>
      </c>
      <c r="AM51" t="inlineStr">
        <is>
          <t>R051</t>
        </is>
      </c>
      <c r="AN51" t="inlineStr">
        <is>
          <t>Mac-Gray/CSC</t>
        </is>
      </c>
    </row>
    <row r="52">
      <c r="A52" t="n">
        <v>51</v>
      </c>
      <c r="B52" t="inlineStr">
        <is>
          <t>10/12/2013</t>
        </is>
      </c>
      <c r="C52" t="inlineStr">
        <is>
          <t>CSC, Pamplona and Mac-Gray</t>
        </is>
      </c>
      <c r="D52" t="inlineStr">
        <is>
          <t>Exclusivity changed</t>
        </is>
      </c>
      <c r="E52" t="n">
        <v>1</v>
      </c>
      <c r="F52" t="n">
        <v>4</v>
      </c>
      <c r="H52" t="inlineStr">
        <is>
          <t>Extended: letter agreement executed extending exclusivity to 11:59 p.m. ET on 10/15/2013. The extension was authorized subject to CSC/Pamplona agreeing to a Mac-Gray termination fee of not more than $11 million; CSC/Pamplona agreed on 10/11/2013.</t>
        </is>
      </c>
      <c r="K52" t="inlineStr">
        <is>
          <t>— Stated execution: "On October 12, 2013, CSC, Pamplona and Mac-Gray executed a letter agreement extending exclusivity until 11:59 p.m. ET on October 15, 2013" (p.41).— Stated condition and agreement: "The Special Committee confirmed that the Transaction Committee and representatives of Mac-Gray were authorized to extend the exclusivity agreement until 11:59 p.m. on ET on October 15, 2013 if CSC/Pamplona would agree to a Mac-Gray termination fee of not more than $11 million" (p.40). "the representative of CSC/Pamplona telephoned Mr. Daoust and agreed to the $11 million Mac-Gray termination fee" (p.40-41).</t>
        </is>
      </c>
      <c r="L52" t="inlineStr">
        <is>
          <t>P-072; P-070; P-071</t>
        </is>
      </c>
      <c r="M52" t="inlineStr">
        <is>
          <t>Q8</t>
        </is>
      </c>
      <c r="P52" t="inlineStr">
        <is>
          <t>R051</t>
        </is>
      </c>
      <c r="Q52" t="inlineStr">
        <is>
          <t>Yes</t>
        </is>
      </c>
      <c r="S52" s="14" t="n">
        <v>41559</v>
      </c>
      <c r="T52" s="14" t="n">
        <v>41559</v>
      </c>
      <c r="U52" s="14" t="n">
        <v>41559</v>
      </c>
      <c r="V52" t="inlineStr">
        <is>
          <t>Reported day</t>
        </is>
      </c>
      <c r="W52" t="inlineStr">
        <is>
          <t>Reported</t>
        </is>
      </c>
      <c r="AL52" t="n">
        <v>41</v>
      </c>
      <c r="AM52" t="inlineStr">
        <is>
          <t>R050</t>
        </is>
      </c>
      <c r="AN52" t="inlineStr">
        <is>
          <t>Mac-Gray/CSC</t>
        </is>
      </c>
    </row>
    <row r="53">
      <c r="A53" t="n">
        <v>52</v>
      </c>
      <c r="B53" t="inlineStr">
        <is>
          <t>10/14/2013</t>
        </is>
      </c>
      <c r="C53" t="inlineStr">
        <is>
          <t>Mac-Gray Special Committee; Mac-Gray Board of Directors</t>
        </is>
      </c>
      <c r="D53" t="inlineStr">
        <is>
          <t>Target decision</t>
        </is>
      </c>
      <c r="E53" t="n">
        <v>1</v>
      </c>
      <c r="F53" t="n">
        <v>4</v>
      </c>
      <c r="H53" t="inlineStr">
        <is>
          <t>BofA Merrill Lynch delivered its oral fairness opinion (confirmed in writing, dated 10/14/2013); the Special Committee unanimously determined to recommend the merger agreement; the Board, on that recommendation, unanimously approved and adopted the merger agreement and recommends stockholder adoption.</t>
        </is>
      </c>
      <c r="K53" t="inlineStr">
        <is>
          <t>— Stated opinion: "BofA Merrill Lynch reviewed with the Special Committee its financial analysis of the consideration and delivered to the Special Committee an oral opinion, which was confirmed by delivery of a written opinion dated, October 14, 2013" (p.41).— Stated recommendations: "the Board (upon the recommendation of the Special Committee) unanimously determined that the merger agreement and the merger were advisable and in the best interests of Mac-Gray's stockholders, approved the merger on the terms and subject to the conditions set forth in the merger agreement, adopted the merger agreement and recommended that the Mac-Gray stockholders adopt and approve the merger agreement" (p.41).</t>
        </is>
      </c>
      <c r="L53" t="inlineStr">
        <is>
          <t>P-075; P-076</t>
        </is>
      </c>
      <c r="M53" t="inlineStr">
        <is>
          <t>Q5</t>
        </is>
      </c>
      <c r="P53" t="inlineStr">
        <is>
          <t>R052</t>
        </is>
      </c>
      <c r="Q53" t="inlineStr">
        <is>
          <t>Yes</t>
        </is>
      </c>
      <c r="S53" s="14" t="n">
        <v>41561</v>
      </c>
      <c r="T53" s="14" t="n">
        <v>41561</v>
      </c>
      <c r="U53" s="14" t="n">
        <v>41561</v>
      </c>
      <c r="V53" t="inlineStr">
        <is>
          <t>Reported day</t>
        </is>
      </c>
      <c r="W53" t="inlineStr">
        <is>
          <t>Reported</t>
        </is>
      </c>
      <c r="AL53" t="n">
        <v>41</v>
      </c>
      <c r="AM53" t="inlineStr">
        <is>
          <t>R053</t>
        </is>
      </c>
      <c r="AN53" t="inlineStr">
        <is>
          <t>Mac-Gray/CSC</t>
        </is>
      </c>
    </row>
    <row r="54">
      <c r="A54" t="n">
        <v>53</v>
      </c>
      <c r="B54" t="inlineStr">
        <is>
          <t>10/14/2013</t>
        </is>
      </c>
      <c r="C54" t="inlineStr">
        <is>
          <t>Mac-Gray; CSC ServiceWorks Holdings, Inc.; CSC ServiceWorks, Inc.; Spin Holdco Inc.; CSC Fenway, Inc.</t>
        </is>
      </c>
      <c r="D54" t="inlineStr">
        <is>
          <t>Merger agreement signed</t>
        </is>
      </c>
      <c r="E54" t="n">
        <v>1</v>
      </c>
      <c r="F54" t="n">
        <v>4</v>
      </c>
      <c r="H54" t="inlineStr">
        <is>
          <t>Executed: Agreement and Plan of Merger dated as of 10/14/2013 (Mac-Gray; Holdings; CSC; Spin Holdco/Parent; CSC Fenway/Merger Subsidiary). Agreed consideration: $21.25 per share in cash, without interest, less applicable withholding. Pamplona commitment letter ($594 million) delivered; no financing condition to the Buyer Entities’ obligations; Mac-Gray termination fee $11 million; CSC reverse termination fee $15 million; Pamplona damages liability capped at $50 million (Buyer Entities unlimited). Moab voting agreement executed and the MacDonald voting agreements became effective (≈15% of shares subject to voting agreements). No go-shop is reported; the Board retained a fiduciary out to accept a superior proposal on payment of the $11 million fee.</t>
        </is>
      </c>
      <c r="K54" t="inlineStr">
        <is>
          <t>— Stated execution and related documents: "Later in the day, on October 14, 2013, the merger agreement was executed, the Pamplona commitment letter was delivered, Moab and Parent executed the Moab voting agreement and the Mac-Donald voting agreements became effective" (p.41).— Consideration: "will be automatically converted into the right to receive $21.25 in cash, without interest and less applicable withholding taxes" (p.5).— Termination fees: "Mac-Gray has agreed to pay Parent $11 million upon the termination of the merger agreement under certain circumstances" (p.10). "then Parent will pay Mac-Gray the $15 million Parent termination fee" (p.81).— Financing: "The merger agreement does not contain any condition to the obligations of the Buyer Entities or Merger Subsidiary relating to the receipt of financing by the Buyer Entities" (p.58). "an aggregate of $594 million of capital (the Pamplona commitment amount)" (p.59).— Voting agreements: "Approximately 15% of the outstanding Mac-Gray shares on the record date for the special meeting are subject to the voting agreements" (p.82).</t>
        </is>
      </c>
      <c r="L54" t="inlineStr">
        <is>
          <t>P-077; X-001; X-005; X-025; X-019; X-020; X-026</t>
        </is>
      </c>
      <c r="M54" t="inlineStr">
        <is>
          <t>Q5</t>
        </is>
      </c>
      <c r="P54" t="inlineStr">
        <is>
          <t>R053</t>
        </is>
      </c>
      <c r="Q54" t="inlineStr">
        <is>
          <t>Yes</t>
        </is>
      </c>
      <c r="S54" s="14" t="n">
        <v>41561</v>
      </c>
      <c r="T54" s="14" t="n">
        <v>41561</v>
      </c>
      <c r="U54" s="14" t="n">
        <v>41561</v>
      </c>
      <c r="V54" t="inlineStr">
        <is>
          <t>Reported day</t>
        </is>
      </c>
      <c r="W54" t="inlineStr">
        <is>
          <t>Reported</t>
        </is>
      </c>
      <c r="AL54" t="n">
        <v>41</v>
      </c>
      <c r="AM54" t="inlineStr">
        <is>
          <t>R052; R054; R044</t>
        </is>
      </c>
      <c r="AN54" t="inlineStr">
        <is>
          <t>Mac-Gray/CSC</t>
        </is>
      </c>
    </row>
    <row r="55">
      <c r="A55" t="n">
        <v>54</v>
      </c>
      <c r="B55" t="inlineStr">
        <is>
          <t>10/15/2013</t>
        </is>
      </c>
      <c r="C55" t="inlineStr">
        <is>
          <t>Mac-Gray and CSC ServiceWorks, Inc.</t>
        </is>
      </c>
      <c r="D55" t="inlineStr">
        <is>
          <t>Merger announced</t>
        </is>
      </c>
      <c r="E55" t="n">
        <v>1</v>
      </c>
      <c r="F55" t="inlineStr">
        <is>
          <t>post</t>
        </is>
      </c>
      <c r="H55" t="inlineStr">
        <is>
          <t>Joint announcement of the execution of the merger agreement, before U.S. stock markets opened. The merger was announced as expected to close in January 2014 (first half of 2014 per the merger-agreement section); no completion is observed in this filing.</t>
        </is>
      </c>
      <c r="K55" t="inlineStr">
        <is>
          <t>— Stated announcement: "On October 15, 2013, before the U.S. stock markets opened, Mac-Gray and CSC jointly announced the execution of the merger agreement" (p.41).— Expected timing: "We currently expect the merger to be completed in January 2014" (p.14).</t>
        </is>
      </c>
      <c r="L55" t="inlineStr">
        <is>
          <t>P-078; X-008</t>
        </is>
      </c>
      <c r="P55" t="inlineStr">
        <is>
          <t>R054</t>
        </is>
      </c>
      <c r="Q55" t="inlineStr">
        <is>
          <t>Yes</t>
        </is>
      </c>
      <c r="S55" s="14" t="n">
        <v>41562</v>
      </c>
      <c r="T55" s="14" t="n">
        <v>41562</v>
      </c>
      <c r="U55" s="14" t="n">
        <v>41562</v>
      </c>
      <c r="V55" t="inlineStr">
        <is>
          <t>Reported day</t>
        </is>
      </c>
      <c r="W55" t="inlineStr">
        <is>
          <t>Reported</t>
        </is>
      </c>
      <c r="AL55" t="n">
        <v>41</v>
      </c>
      <c r="AM55" t="inlineStr">
        <is>
          <t>R053</t>
        </is>
      </c>
      <c r="AN55" t="inlineStr">
        <is>
          <t>Mac-Gray/CSC</t>
        </is>
      </c>
    </row>
    <row r="56">
      <c r="A56" t="n">
        <v>55</v>
      </c>
      <c r="B56" t="inlineStr">
        <is>
          <t>12/04/2013</t>
        </is>
      </c>
      <c r="C56" t="inlineStr">
        <is>
          <t>MacKenzie Partners, Inc. (proxy solicitor, Mac-Gray)</t>
        </is>
      </c>
      <c r="D56" t="inlineStr">
        <is>
          <t>Adviser service observed</t>
        </is>
      </c>
      <c r="E56" t="n">
        <v>1</v>
      </c>
      <c r="F56" t="inlineStr">
        <is>
          <t>post</t>
        </is>
      </c>
      <c r="H56" t="inlineStr">
        <is>
          <t>Proxy solicitor for the special meeting; the proxy statement states Mac-Gray expects to retain MacKenzie Partners for the solicitation for a fee of approximately $15,000 plus out-of-pocket expenses and indemnification (expected retention, not a stated executed engagement).</t>
        </is>
      </c>
      <c r="K56" t="inlineStr">
        <is>
          <t>— Stated expected retention: "we expect to retain MacKenzie Partners, Inc. to assist in the solicitation for a fee of approximately $15,000" (p.23).</t>
        </is>
      </c>
      <c r="L56" t="inlineStr">
        <is>
          <t>X-010</t>
        </is>
      </c>
      <c r="P56" t="inlineStr">
        <is>
          <t>R055</t>
        </is>
      </c>
      <c r="Q56" t="inlineStr">
        <is>
          <t>Yes</t>
        </is>
      </c>
      <c r="S56" s="14" t="n">
        <v>41612</v>
      </c>
      <c r="T56" s="14" t="n">
        <v>41612</v>
      </c>
      <c r="U56" s="14" t="n">
        <v>41612</v>
      </c>
      <c r="V56" t="inlineStr">
        <is>
          <t>Reported day</t>
        </is>
      </c>
      <c r="W56" t="inlineStr">
        <is>
          <t>Reported</t>
        </is>
      </c>
      <c r="AL56" t="n">
        <v>23</v>
      </c>
      <c r="AN56" t="inlineStr">
        <is>
          <t>Mac-Gray/CSC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41"/>
  <sheetViews>
    <sheetView workbookViewId="0">
      <selection activeCell="A1" sqref="A1"/>
    </sheetView>
  </sheetViews>
  <sheetFormatPr baseColWidth="8" defaultRowHeight="15"/>
  <cols>
    <col width="17" customWidth="1" min="1" max="1"/>
    <col width="12" customWidth="1" min="2" max="2"/>
    <col width="13" customWidth="1" min="3" max="3"/>
    <col width="20" customWidth="1" min="4" max="4"/>
    <col width="12" customWidth="1" min="5" max="5"/>
    <col width="14" customWidth="1" min="6" max="6"/>
    <col width="15" customWidth="1" min="7" max="7"/>
    <col width="14" customWidth="1" min="8" max="8"/>
    <col width="16" customWidth="1" min="9" max="9"/>
    <col width="12" customWidth="1" min="10" max="10"/>
    <col width="22" customWidth="1" min="11" max="11"/>
    <col width="18" customWidth="1" min="12" max="12"/>
    <col width="14" customWidth="1" min="13" max="13"/>
    <col width="15" customWidth="1" min="14" max="14"/>
    <col width="17" customWidth="1" min="15" max="15"/>
  </cols>
  <sheetData>
    <row r="1">
      <c r="A1" s="13" t="inlineStr">
        <is>
          <t>What happened</t>
        </is>
      </c>
      <c r="B1" s="13" t="inlineStr">
        <is>
          <t>Type</t>
        </is>
      </c>
      <c r="C1" s="13" t="inlineStr">
        <is>
          <t>Formality</t>
        </is>
      </c>
      <c r="D1" s="13" t="inlineStr">
        <is>
          <t>Conditions level</t>
        </is>
      </c>
      <c r="E1" s="13" t="inlineStr">
        <is>
          <t>Include</t>
        </is>
      </c>
      <c r="F1" s="13" t="inlineStr">
        <is>
          <t>Date basis</t>
        </is>
      </c>
      <c r="G1" s="13" t="inlineStr">
        <is>
          <t>Date method</t>
        </is>
      </c>
      <c r="H1" s="13" t="inlineStr">
        <is>
          <t>Price kind</t>
        </is>
      </c>
      <c r="I1" s="13" t="inlineStr">
        <is>
          <t>Price origin</t>
        </is>
      </c>
      <c r="J1" s="13" t="inlineStr">
        <is>
          <t>All cash</t>
        </is>
      </c>
      <c r="K1" s="13" t="inlineStr">
        <is>
          <t>Deadline treatment</t>
        </is>
      </c>
      <c r="L1" s="13" t="inlineStr">
        <is>
          <t>Round finality</t>
        </is>
      </c>
      <c r="M1" s="13" t="inlineStr">
        <is>
          <t>Decided by</t>
        </is>
      </c>
      <c r="N1" s="13" t="inlineStr">
        <is>
          <t>Exit reason</t>
        </is>
      </c>
      <c r="O1" s="13" t="inlineStr">
        <is>
          <t>Outcome basis</t>
        </is>
      </c>
    </row>
    <row r="2">
      <c r="A2" t="inlineStr">
        <is>
          <t>Target interest</t>
        </is>
      </c>
      <c r="B2" t="inlineStr">
        <is>
          <t>Strategic</t>
        </is>
      </c>
      <c r="C2" t="inlineStr">
        <is>
          <t>Formal</t>
        </is>
      </c>
      <c r="D2" t="inlineStr">
        <is>
          <t>None</t>
        </is>
      </c>
      <c r="E2" t="inlineStr">
        <is>
          <t>Yes</t>
        </is>
      </c>
      <c r="F2" t="inlineStr">
        <is>
          <t>Reported day</t>
        </is>
      </c>
      <c r="G2" t="inlineStr">
        <is>
          <t>Reported</t>
        </is>
      </c>
      <c r="H2" t="inlineStr">
        <is>
          <t>Point</t>
        </is>
      </c>
      <c r="I2" t="inlineStr">
        <is>
          <t>Stated</t>
        </is>
      </c>
      <c r="J2" t="inlineStr">
        <is>
          <t>Yes</t>
        </is>
      </c>
      <c r="K2" t="inlineStr">
        <is>
          <t>Enforced</t>
        </is>
      </c>
      <c r="L2" t="inlineStr">
        <is>
          <t>Announced as final</t>
        </is>
      </c>
      <c r="M2" t="inlineStr">
        <is>
          <t>Bidder</t>
        </is>
      </c>
      <c r="N2" t="inlineStr">
        <is>
          <t>Value below market price</t>
        </is>
      </c>
      <c r="O2" t="inlineStr">
        <is>
          <t>Stated</t>
        </is>
      </c>
    </row>
    <row r="3">
      <c r="A3" t="inlineStr">
        <is>
          <t>Bidder interest</t>
        </is>
      </c>
      <c r="B3" t="inlineStr">
        <is>
          <t>Financial</t>
        </is>
      </c>
      <c r="C3" t="inlineStr">
        <is>
          <t>Informal</t>
        </is>
      </c>
      <c r="D3" t="inlineStr">
        <is>
          <t>Light</t>
        </is>
      </c>
      <c r="E3" t="inlineStr">
        <is>
          <t>No</t>
        </is>
      </c>
      <c r="F3" t="inlineStr">
        <is>
          <t>Inferred day</t>
        </is>
      </c>
      <c r="G3" t="inlineStr">
        <is>
          <t>Inferred</t>
        </is>
      </c>
      <c r="H3" t="inlineStr">
        <is>
          <t>Bidder range</t>
        </is>
      </c>
      <c r="I3" t="inlineStr">
        <is>
          <t>Carried forward</t>
        </is>
      </c>
      <c r="J3" t="inlineStr">
        <is>
          <t>No</t>
        </is>
      </c>
      <c r="K3" t="inlineStr">
        <is>
          <t>Extended</t>
        </is>
      </c>
      <c r="L3" t="inlineStr">
        <is>
          <t>Inferred final</t>
        </is>
      </c>
      <c r="M3" t="inlineStr">
        <is>
          <t>Target</t>
        </is>
      </c>
      <c r="N3" t="inlineStr">
        <is>
          <t>Value at or below market price</t>
        </is>
      </c>
      <c r="O3" t="inlineStr">
        <is>
          <t>Inferred: residual</t>
        </is>
      </c>
    </row>
    <row r="4">
      <c r="A4" t="inlineStr">
        <is>
          <t>Target sale decision</t>
        </is>
      </c>
      <c r="B4" t="inlineStr">
        <is>
          <t>Mixed</t>
        </is>
      </c>
      <c r="C4" t="inlineStr">
        <is>
          <t>Insufficient evidence</t>
        </is>
      </c>
      <c r="D4" t="inlineStr">
        <is>
          <t>Heavy</t>
        </is>
      </c>
      <c r="F4" t="inlineStr">
        <is>
          <t>Reported interval</t>
        </is>
      </c>
      <c r="G4" t="inlineStr">
        <is>
          <t>Assigned: deadline</t>
        </is>
      </c>
      <c r="H4" t="inlineStr">
        <is>
          <t>Group envelope</t>
        </is>
      </c>
      <c r="I4" t="inlineStr">
        <is>
          <t>Inferred</t>
        </is>
      </c>
      <c r="J4" t="inlineStr">
        <is>
          <t>Not stated</t>
        </is>
      </c>
      <c r="K4" t="inlineStr">
        <is>
          <t>Late bids accepted</t>
        </is>
      </c>
      <c r="L4" t="inlineStr">
        <is>
          <t>Not final</t>
        </is>
      </c>
      <c r="M4" t="inlineStr">
        <is>
          <t>Both</t>
        </is>
      </c>
      <c r="N4" t="inlineStr">
        <is>
          <t>Value below earlier offer</t>
        </is>
      </c>
      <c r="O4" t="inlineStr">
        <is>
          <t>Inferred: exclusivity</t>
        </is>
      </c>
    </row>
    <row r="5">
      <c r="A5" t="inlineStr">
        <is>
          <t>Activist pressure</t>
        </is>
      </c>
      <c r="B5" t="inlineStr">
        <is>
          <t>Unknown</t>
        </is>
      </c>
      <c r="C5" t="inlineStr">
        <is>
          <t>Varies</t>
        </is>
      </c>
      <c r="D5" t="inlineStr">
        <is>
          <t>Insufficient evidence</t>
        </is>
      </c>
      <c r="F5" t="inlineStr">
        <is>
          <t>Approximate window</t>
        </is>
      </c>
      <c r="G5" t="inlineStr">
        <is>
          <t>Assigned: decision day</t>
        </is>
      </c>
      <c r="H5" t="inlineStr">
        <is>
          <t>Bound only</t>
        </is>
      </c>
      <c r="K5" t="inlineStr">
        <is>
          <t>Passed without action</t>
        </is>
      </c>
      <c r="M5" t="inlineStr">
        <is>
          <t>Unknown</t>
        </is>
      </c>
      <c r="N5" t="inlineStr">
        <is>
          <t>Value at earlier offer</t>
        </is>
      </c>
      <c r="O5" t="inlineStr">
        <is>
          <t>Inferred: silent</t>
        </is>
      </c>
    </row>
    <row r="6">
      <c r="A6" t="inlineStr">
        <is>
          <t>Activist involvement</t>
        </is>
      </c>
      <c r="D6" t="inlineStr">
        <is>
          <t>Varies</t>
        </is>
      </c>
      <c r="F6" t="inlineStr">
        <is>
          <t>Relative only</t>
        </is>
      </c>
      <c r="G6" t="inlineStr">
        <is>
          <t>Assigned: midpoint</t>
        </is>
      </c>
      <c r="H6" t="inlineStr">
        <is>
          <t>Undisclosed</t>
        </is>
      </c>
      <c r="K6" t="inlineStr">
        <is>
          <t>Unclear</t>
        </is>
      </c>
      <c r="N6" t="inlineStr">
        <is>
          <t>Would not improve earlier offer</t>
        </is>
      </c>
      <c r="O6" t="inlineStr">
        <is>
          <t>Inferred: identity</t>
        </is>
      </c>
    </row>
    <row r="7">
      <c r="A7" t="inlineStr">
        <is>
          <t>Adviser engaged</t>
        </is>
      </c>
      <c r="F7" t="inlineStr">
        <is>
          <t>Undated</t>
        </is>
      </c>
      <c r="G7" t="inlineStr">
        <is>
          <t>Assigned: bound</t>
        </is>
      </c>
      <c r="K7" t="inlineStr">
        <is>
          <t>No deadline stated</t>
        </is>
      </c>
      <c r="N7" t="inlineStr">
        <is>
          <t>Lower offer than rivals</t>
        </is>
      </c>
    </row>
    <row r="8">
      <c r="A8" t="inlineStr">
        <is>
          <t>Adviser service observed</t>
        </is>
      </c>
      <c r="G8" t="inlineStr">
        <is>
          <t>Assigned: sequence</t>
        </is>
      </c>
      <c r="K8" t="inlineStr">
        <is>
          <t>Extended; Late bids accepted</t>
        </is>
      </c>
      <c r="N8" t="inlineStr">
        <is>
          <t>Terms or process</t>
        </is>
      </c>
    </row>
    <row r="9">
      <c r="A9" t="inlineStr">
        <is>
          <t>Adviser ended</t>
        </is>
      </c>
      <c r="N9" t="inlineStr">
        <is>
          <t>Other stated reason</t>
        </is>
      </c>
    </row>
    <row r="10">
      <c r="A10" t="inlineStr">
        <is>
          <t>Contact</t>
        </is>
      </c>
      <c r="N10" t="inlineStr">
        <is>
          <t>Not stated</t>
        </is>
      </c>
    </row>
    <row r="11">
      <c r="A11" t="inlineStr">
        <is>
          <t>NDA signed</t>
        </is>
      </c>
    </row>
    <row r="12">
      <c r="A12" t="inlineStr">
        <is>
          <t>Round opened</t>
        </is>
      </c>
    </row>
    <row r="13">
      <c r="A13" t="inlineStr">
        <is>
          <t>Deadline set</t>
        </is>
      </c>
    </row>
    <row r="14">
      <c r="A14" t="inlineStr">
        <is>
          <t>Deadline revised</t>
        </is>
      </c>
    </row>
    <row r="15">
      <c r="A15" t="inlineStr">
        <is>
          <t>Deadline</t>
        </is>
      </c>
    </row>
    <row r="16">
      <c r="A16" t="inlineStr">
        <is>
          <t>Target decision</t>
        </is>
      </c>
    </row>
    <row r="17">
      <c r="A17" t="inlineStr">
        <is>
          <t>Information access changed</t>
        </is>
      </c>
    </row>
    <row r="18">
      <c r="A18" t="inlineStr">
        <is>
          <t>Material process update</t>
        </is>
      </c>
    </row>
    <row r="19">
      <c r="A19" t="inlineStr">
        <is>
          <t>Exclusivity changed</t>
        </is>
      </c>
    </row>
    <row r="20">
      <c r="A20" t="inlineStr">
        <is>
          <t>Bid</t>
        </is>
      </c>
    </row>
    <row r="21">
      <c r="A21" t="inlineStr">
        <is>
          <t>Bid reaffirmed</t>
        </is>
      </c>
    </row>
    <row r="22">
      <c r="A22" t="inlineStr">
        <is>
          <t>Offer update</t>
        </is>
      </c>
    </row>
    <row r="23">
      <c r="A23" t="inlineStr">
        <is>
          <t>Other-scope bid</t>
        </is>
      </c>
    </row>
    <row r="24">
      <c r="A24" t="inlineStr">
        <is>
          <t>Valuation statement</t>
        </is>
      </c>
    </row>
    <row r="25">
      <c r="A25" t="inlineStr">
        <is>
          <t>Bidding group changed</t>
        </is>
      </c>
    </row>
    <row r="26">
      <c r="A26" t="inlineStr">
        <is>
          <t>Joined group</t>
        </is>
      </c>
    </row>
    <row r="27">
      <c r="A27" t="inlineStr">
        <is>
          <t>Dropped by target</t>
        </is>
      </c>
    </row>
    <row r="28">
      <c r="A28" t="inlineStr">
        <is>
          <t>Withdrew</t>
        </is>
      </c>
    </row>
    <row r="29">
      <c r="A29" t="inlineStr">
        <is>
          <t>Did not submit</t>
        </is>
      </c>
    </row>
    <row r="30">
      <c r="A30" t="inlineStr">
        <is>
          <t>Participation paused</t>
        </is>
      </c>
    </row>
    <row r="31">
      <c r="A31" t="inlineStr">
        <is>
          <t>Re-entered</t>
        </is>
      </c>
    </row>
    <row r="32">
      <c r="A32" t="inlineStr">
        <is>
          <t>Not selected at signing</t>
        </is>
      </c>
    </row>
    <row r="33">
      <c r="A33" t="inlineStr">
        <is>
          <t>Sale process announced</t>
        </is>
      </c>
    </row>
    <row r="34">
      <c r="A34" t="inlineStr">
        <is>
          <t>Bid announced</t>
        </is>
      </c>
    </row>
    <row r="35">
      <c r="A35" t="inlineStr">
        <is>
          <t>Merger announced</t>
        </is>
      </c>
    </row>
    <row r="36">
      <c r="A36" t="inlineStr">
        <is>
          <t>Merger agreement signed</t>
        </is>
      </c>
    </row>
    <row r="37">
      <c r="A37" t="inlineStr">
        <is>
          <t>Go-shop changed</t>
        </is>
      </c>
    </row>
    <row r="38">
      <c r="A38" t="inlineStr">
        <is>
          <t>Process terminated</t>
        </is>
      </c>
    </row>
    <row r="39">
      <c r="A39" t="inlineStr">
        <is>
          <t>Process restarted</t>
        </is>
      </c>
    </row>
    <row r="40">
      <c r="A40" t="inlineStr">
        <is>
          <t>Agreement terminated</t>
        </is>
      </c>
    </row>
    <row r="41">
      <c r="A41" t="inlineStr">
        <is>
          <t>Closed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2026-09-19T13:41:48Z</dcterms:created>
  <dcterms:modified xmlns:dcterms="http://purl.org/dc/terms/" xmlns:xsi="http://www.w3.org/2001/XMLSchema-instance" xsi:type="dcterms:W3CDTF">2026-09-19T13:41:48Z</dcterms:modified>
</cp:coreProperties>
</file>