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ledger'!$A$1:$AM$53</definedName>
    <definedName name="_xlnm._FilterDatabase" localSheetId="2" hidden="1">'Questions'!$A$1:$H$19</definedName>
    <definedName name="_xlnm._FilterDatabase" localSheetId="3" hidden="1">'Source text'!$A$1:$D$107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5">
    <font>
      <name val="Calibri"/>
      <family val="2"/>
      <color theme="1"/>
      <sz val="11"/>
      <scheme val="minor"/>
    </font>
    <font>
      <b val="1"/>
    </font>
    <font>
      <color rgb="000563C1"/>
      <u val="single"/>
    </font>
    <font>
      <b val="1"/>
      <sz val="14"/>
    </font>
    <font>
      <b val="1"/>
      <sz val="12"/>
    </font>
  </fonts>
  <fills count="4">
    <fill>
      <patternFill/>
    </fill>
    <fill>
      <patternFill patternType="gray125"/>
    </fill>
    <fill>
      <patternFill patternType="solid">
        <fgColor rgb="00D9E1F2"/>
      </patternFill>
    </fill>
    <fill>
      <patternFill patternType="solid">
        <fgColor rgb="00FCE4D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wrapText="1"/>
    </xf>
    <xf numFmtId="165" fontId="0" fillId="0" borderId="1" applyAlignment="1" pivotButton="0" quotePrefix="0" xfId="0">
      <alignment vertical="top"/>
    </xf>
    <xf numFmtId="165" fontId="0" fillId="0" borderId="1" applyAlignment="1" pivotButton="0" quotePrefix="0" xfId="0">
      <alignment vertical="top" wrapText="1"/>
    </xf>
    <xf numFmtId="4" fontId="0" fillId="0" borderId="1" applyAlignment="1" pivotButton="0" quotePrefix="0" xfId="0">
      <alignment vertical="top" wrapText="1"/>
    </xf>
    <xf numFmtId="1" fontId="0" fillId="0" borderId="1" applyAlignment="1" pivotButton="0" quotePrefix="0" xfId="0">
      <alignment vertical="top" wrapText="1"/>
    </xf>
    <xf numFmtId="0" fontId="3" fillId="0" borderId="0" pivotButton="0" quotePrefix="0" xfId="0"/>
    <xf numFmtId="0" fontId="4" fillId="3" borderId="0" pivotButton="0" quotePrefix="0" xfId="0"/>
    <xf numFmtId="0" fontId="0" fillId="3" borderId="0" pivotButton="0" quotePrefix="0" xfId="0"/>
    <xf numFmtId="0" fontId="1" fillId="0" borderId="1" applyAlignment="1" pivotButton="0" quotePrefix="0" xfId="0">
      <alignment vertical="top" wrapText="1"/>
    </xf>
    <xf numFmtId="0" fontId="1" fillId="2" borderId="1" pivotButton="0" quotePrefix="0" xfId="0"/>
    <xf numFmtId="0" fontId="4"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cellXfs>
  <cellStyles count="1">
    <cellStyle name="Normal" xfId="0" builtinId="0" hidden="0"/>
  </cellStyles>
  <dxfs count="1">
    <dxf>
      <font>
        <b val="1"/>
        <color rgb="FF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5" customWidth="1" min="3" max="3"/>
    <col width="20" customWidth="1" min="4" max="4"/>
    <col width="8" customWidth="1" min="5" max="5"/>
    <col width="7" customWidth="1" min="6" max="6"/>
    <col width="11" customWidth="1" min="7" max="7"/>
    <col width="66" customWidth="1" min="8" max="8"/>
    <col width="12" customWidth="1" min="9" max="9"/>
    <col width="12" customWidth="1" min="10" max="10"/>
    <col width="72" customWidth="1" min="11" max="11"/>
    <col width="16" customWidth="1" min="12" max="12"/>
    <col width="10" customWidth="1" min="13" max="13"/>
    <col width="16" customWidth="1" min="14" max="14"/>
    <col hidden="1" outlineLevel="1" width="8" customWidth="1" min="15" max="15"/>
    <col hidden="1" outlineLevel="1" width="8" customWidth="1" min="16" max="16"/>
    <col hidden="1" outlineLevel="1" width="7" customWidth="1" min="17" max="17"/>
    <col hidden="1" outlineLevel="1" width="12" customWidth="1" min="18" max="18"/>
    <col hidden="1" outlineLevel="1" width="12" customWidth="1" min="19" max="19"/>
    <col hidden="1" outlineLevel="1" width="12" customWidth="1" min="20" max="20"/>
    <col hidden="1" outlineLevel="1" width="15" customWidth="1" min="21" max="21"/>
    <col hidden="1" outlineLevel="1" width="17" customWidth="1" min="22" max="22"/>
    <col hidden="1" outlineLevel="1" width="10" customWidth="1" min="23" max="23"/>
    <col hidden="1" outlineLevel="1" width="10" customWidth="1" min="24" max="24"/>
    <col hidden="1" outlineLevel="1" width="13" customWidth="1" min="25" max="25"/>
    <col hidden="1" outlineLevel="1" width="13" customWidth="1" min="26" max="26"/>
    <col hidden="1" outlineLevel="1" width="9" customWidth="1" min="27" max="27"/>
    <col hidden="1" outlineLevel="1" width="9" customWidth="1" min="28" max="28"/>
    <col hidden="1" outlineLevel="1" width="12" customWidth="1" min="29" max="29"/>
    <col hidden="1" outlineLevel="1" width="46" customWidth="1" min="30" max="30"/>
    <col hidden="1" outlineLevel="1" width="11" customWidth="1" min="31" max="31"/>
    <col hidden="1" outlineLevel="1" width="17" customWidth="1" min="32" max="32"/>
    <col hidden="1" outlineLevel="1" width="15" customWidth="1" min="33" max="33"/>
    <col hidden="1" outlineLevel="1" width="10" customWidth="1" min="34" max="34"/>
    <col hidden="1" outlineLevel="1" width="18" customWidth="1" min="35" max="35"/>
    <col hidden="1" outlineLevel="1" width="16" customWidth="1" min="36" max="36"/>
    <col hidden="1" outlineLevel="1" width="6" customWidth="1" min="37" max="37"/>
    <col hidden="1" outlineLevel="1" width="30" customWidth="1" min="38" max="38"/>
    <col hidden="1" outlineLevel="1" width="9"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3" t="inlineStr">
        <is>
          <t>10/23/2012</t>
        </is>
      </c>
      <c r="C2" s="3" t="inlineStr">
        <is>
          <t>BofA Merrill Lynch — Mac-Gray (client)</t>
        </is>
      </c>
      <c r="D2" s="3" t="inlineStr">
        <is>
          <t>Adviser engaged</t>
        </is>
      </c>
      <c r="E2" s="2" t="inlineStr">
        <is>
          <t>1</t>
        </is>
      </c>
      <c r="F2" s="2" t="inlineStr">
        <is>
          <t>0</t>
        </is>
      </c>
      <c r="G2" s="2" t="inlineStr"/>
      <c r="H2" s="3" t="inlineStr">
        <is>
          <t>Pre-process context (not a Mac-Gray sale attempt): engaged 10/23/2012 for the 2011-2012 Discussions — Mac-Gray's consideration of a possible acquisition of CSC. CSC was itself sold to Pamplona in May 2013. The mandate was terminated in May 2013 before the sale process (see R006).</t>
        </is>
      </c>
      <c r="I2" s="3" t="inlineStr"/>
      <c r="J2" s="3" t="inlineStr"/>
      <c r="K2" s="3" t="inlineStr">
        <is>
          <t>Stated.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 (both p.27)</t>
        </is>
      </c>
      <c r="L2" s="4" t="inlineStr">
        <is>
          <t>P-002</t>
        </is>
      </c>
      <c r="M2" s="3" t="inlineStr"/>
      <c r="N2" s="3" t="inlineStr"/>
      <c r="O2" s="3" t="inlineStr">
        <is>
          <t>R001</t>
        </is>
      </c>
      <c r="P2" s="3" t="inlineStr">
        <is>
          <t>Yes</t>
        </is>
      </c>
      <c r="Q2" s="3" t="n"/>
      <c r="R2" s="5" t="n">
        <v>41205</v>
      </c>
      <c r="S2" s="5" t="n">
        <v>41205</v>
      </c>
      <c r="T2" s="6" t="n">
        <v>41205</v>
      </c>
      <c r="U2" s="3" t="inlineStr">
        <is>
          <t>Reported day</t>
        </is>
      </c>
      <c r="V2" s="3" t="inlineStr">
        <is>
          <t>Reported</t>
        </is>
      </c>
      <c r="W2" s="7" t="n"/>
      <c r="X2" s="7" t="n"/>
      <c r="Y2" s="3" t="inlineStr"/>
      <c r="Z2" s="3" t="inlineStr"/>
      <c r="AA2" s="3" t="inlineStr"/>
      <c r="AB2" s="3" t="inlineStr"/>
      <c r="AC2" s="7" t="n"/>
      <c r="AD2" s="3" t="inlineStr"/>
      <c r="AE2" s="6" t="n"/>
      <c r="AF2" s="3" t="inlineStr"/>
      <c r="AG2" s="3" t="inlineStr"/>
      <c r="AH2" s="3" t="inlineStr"/>
      <c r="AI2" s="2" t="inlineStr"/>
      <c r="AJ2" s="3" t="inlineStr"/>
      <c r="AK2" s="8" t="n">
        <v>27</v>
      </c>
      <c r="AL2" s="3" t="inlineStr">
        <is>
          <t>R006</t>
        </is>
      </c>
      <c r="AM2" s="3" t="inlineStr">
        <is>
          <t>Mac-Gray</t>
        </is>
      </c>
    </row>
    <row r="3">
      <c r="A3" s="2" t="n">
        <v>2</v>
      </c>
      <c r="B3" s="3" t="inlineStr">
        <is>
          <t>04/05/2013</t>
        </is>
      </c>
      <c r="C3" s="3" t="inlineStr">
        <is>
          <t>Mac-Gray Board of Directors</t>
        </is>
      </c>
      <c r="D3" s="3" t="inlineStr">
        <is>
          <t>Target sale decision</t>
        </is>
      </c>
      <c r="E3" s="2" t="inlineStr">
        <is>
          <t>1</t>
        </is>
      </c>
      <c r="F3" s="2" t="inlineStr">
        <is>
          <t>0</t>
        </is>
      </c>
      <c r="G3" s="2" t="inlineStr"/>
      <c r="H3" s="3" t="inlineStr">
        <is>
          <t>Board discussed CSC's sale to Pamplona and industry M&amp;A activity and authorized Mac-Gray management to work with BofA Merrill Lynch to explore transactional opportunities, including with Party A (a laundry-industry strategic party); further consideration deferred to the May 9 meeting. An exploration authorization, not a commitment to sell.</t>
        </is>
      </c>
      <c r="I3" s="3" t="inlineStr"/>
      <c r="J3" s="3" t="inlineStr"/>
      <c r="K3" s="3" t="inlineStr">
        <is>
          <t>Stated.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(p.27)</t>
        </is>
      </c>
      <c r="L3" s="4" t="inlineStr">
        <is>
          <t>P-003</t>
        </is>
      </c>
      <c r="M3" s="3" t="inlineStr"/>
      <c r="N3" s="3" t="inlineStr"/>
      <c r="O3" s="3" t="inlineStr">
        <is>
          <t>R002</t>
        </is>
      </c>
      <c r="P3" s="3" t="inlineStr">
        <is>
          <t>Yes</t>
        </is>
      </c>
      <c r="Q3" s="3" t="n"/>
      <c r="R3" s="5" t="n">
        <v>41369</v>
      </c>
      <c r="S3" s="5" t="n">
        <v>41369</v>
      </c>
      <c r="T3" s="6" t="n">
        <v>41369</v>
      </c>
      <c r="U3" s="3" t="inlineStr">
        <is>
          <t>Reported day</t>
        </is>
      </c>
      <c r="V3" s="3" t="inlineStr">
        <is>
          <t>Reported</t>
        </is>
      </c>
      <c r="W3" s="7" t="n"/>
      <c r="X3" s="7" t="n"/>
      <c r="Y3" s="3" t="inlineStr"/>
      <c r="Z3" s="3" t="inlineStr"/>
      <c r="AA3" s="3" t="inlineStr"/>
      <c r="AB3" s="3" t="inlineStr"/>
      <c r="AC3" s="7" t="n"/>
      <c r="AD3" s="3" t="inlineStr"/>
      <c r="AE3" s="6" t="n"/>
      <c r="AF3" s="3" t="inlineStr"/>
      <c r="AG3" s="3" t="inlineStr"/>
      <c r="AH3" s="3" t="inlineStr"/>
      <c r="AI3" s="2" t="inlineStr"/>
      <c r="AJ3" s="3" t="inlineStr"/>
      <c r="AK3" s="8" t="n">
        <v>27</v>
      </c>
      <c r="AL3" s="3" t="inlineStr">
        <is>
          <t>R003</t>
        </is>
      </c>
      <c r="AM3" s="3" t="inlineStr">
        <is>
          <t>Mac-Gray</t>
        </is>
      </c>
    </row>
    <row r="4">
      <c r="A4" s="2" t="n">
        <v>3</v>
      </c>
      <c r="B4" s="3" t="inlineStr">
        <is>
          <t>04/08/2013</t>
        </is>
      </c>
      <c r="C4" s="3" t="inlineStr">
        <is>
          <t>Party A (approached by BofA Merrill Lynch for Mac-Gray)</t>
        </is>
      </c>
      <c r="D4" s="3" t="inlineStr">
        <is>
          <t>Contact</t>
        </is>
      </c>
      <c r="E4" s="2" t="inlineStr">
        <is>
          <t>1</t>
        </is>
      </c>
      <c r="F4" s="2" t="inlineStr">
        <is>
          <t>0</t>
        </is>
      </c>
      <c r="G4" s="2" t="inlineStr">
        <is>
          <t>Strategic</t>
        </is>
      </c>
      <c r="H4" s="3" t="inlineStr">
        <is>
          <t>BofA Merrill Lynch telephoned Party A, as instructed by the Board, to discuss a possible business combination between Party A and Mac-Gray; Party A indicated it might consider one. Direction: Mac-Gray → Party A. First sale-related contact with Party A.</t>
        </is>
      </c>
      <c r="I4" s="3" t="inlineStr"/>
      <c r="J4" s="3" t="inlineStr"/>
      <c r="K4" s="3" t="inlineStr">
        <is>
          <t>Stated.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t>
        </is>
      </c>
      <c r="L4" s="4" t="inlineStr">
        <is>
          <t>P-004</t>
        </is>
      </c>
      <c r="M4" s="3" t="inlineStr">
        <is>
          <t>Q1</t>
        </is>
      </c>
      <c r="N4" s="3" t="inlineStr"/>
      <c r="O4" s="3" t="inlineStr">
        <is>
          <t>R003</t>
        </is>
      </c>
      <c r="P4" s="3" t="inlineStr">
        <is>
          <t>Yes</t>
        </is>
      </c>
      <c r="Q4" s="3" t="n">
        <v>1</v>
      </c>
      <c r="R4" s="5" t="n">
        <v>41372</v>
      </c>
      <c r="S4" s="5" t="n">
        <v>41372</v>
      </c>
      <c r="T4" s="6" t="n">
        <v>41372</v>
      </c>
      <c r="U4" s="3" t="inlineStr">
        <is>
          <t>Reported day</t>
        </is>
      </c>
      <c r="V4" s="3" t="inlineStr">
        <is>
          <t>Reported</t>
        </is>
      </c>
      <c r="W4" s="7" t="n"/>
      <c r="X4" s="7" t="n"/>
      <c r="Y4" s="3" t="inlineStr"/>
      <c r="Z4" s="3" t="inlineStr"/>
      <c r="AA4" s="3" t="inlineStr"/>
      <c r="AB4" s="3" t="inlineStr"/>
      <c r="AC4" s="7" t="n"/>
      <c r="AD4" s="3" t="inlineStr"/>
      <c r="AE4" s="6" t="n"/>
      <c r="AF4" s="3" t="inlineStr"/>
      <c r="AG4" s="3" t="inlineStr"/>
      <c r="AH4" s="3" t="inlineStr"/>
      <c r="AI4" s="2" t="inlineStr"/>
      <c r="AJ4" s="3" t="inlineStr"/>
      <c r="AK4" s="8" t="n">
        <v>27</v>
      </c>
      <c r="AL4" s="3" t="inlineStr">
        <is>
          <t>R010</t>
        </is>
      </c>
      <c r="AM4" s="3" t="inlineStr">
        <is>
          <t>Mac-Gray</t>
        </is>
      </c>
    </row>
    <row r="5">
      <c r="A5" s="2" t="n">
        <v>4</v>
      </c>
      <c r="B5" s="3" t="inlineStr">
        <is>
          <t>05/09/2013–05/10/2013</t>
        </is>
      </c>
      <c r="C5" s="3" t="inlineStr">
        <is>
          <t>Mac-Gray Board of Directors; Transaction Committee</t>
        </is>
      </c>
      <c r="D5" s="3" t="inlineStr">
        <is>
          <t>Material process update</t>
        </is>
      </c>
      <c r="E5" s="2" t="inlineStr">
        <is>
          <t>1</t>
        </is>
      </c>
      <c r="F5" s="2" t="inlineStr">
        <is>
          <t>0</t>
        </is>
      </c>
      <c r="G5" s="2" t="inlineStr"/>
      <c r="H5" s="3" t="inlineStr">
        <is>
          <t>Board reviewed strategic alternatives with BofA Merrill Lynch and Goodwin Procter and discussed whether to approach third parties about a potential sale; formed the Transaction Committee (Thomas Bullock and Paul Daoust) to recommend and engage a financial advisor and take administrative actions; deferred the sale-process decision to a later meeting. On 05/10/2013 the Transaction Committee decided to invite three nationally recognized investment banks to submit proposals and recommended that, given his significant family stock ownership and a possible equity rollover, Mr. MacDonald not participate in the Board's evaluation of strategic alternatives or negotiations (he could provide perspectives as requested).</t>
        </is>
      </c>
      <c r="I5" s="3" t="inlineStr"/>
      <c r="J5" s="3" t="inlineStr"/>
      <c r="K5" s="3" t="inlineStr">
        <is>
          <t>Stated. “the Board formed a transaction committee at this meeting, which we refer to as the Transaction Committee, and appointed Thomas Bullock and Paul Daoust, both independent directors, to serve as its members.” “The Transaction Committee was charged with recommending to the Board the selection and engagement of a financial advisor” (both p.28). “determined to invite three nationally recognized investment banks to submit proposals” (p.28). “Mr. MacDonald should not be permitted to participate in the Board's evaluation of strategic alternatives or any negotiations with any interested parties in a sale process” (p.28)</t>
        </is>
      </c>
      <c r="L5" s="4" t="inlineStr">
        <is>
          <t>P-005; P-006; P-007; P-008</t>
        </is>
      </c>
      <c r="M5" s="3" t="inlineStr"/>
      <c r="N5" s="3" t="inlineStr"/>
      <c r="O5" s="3" t="inlineStr">
        <is>
          <t>R004</t>
        </is>
      </c>
      <c r="P5" s="3" t="inlineStr">
        <is>
          <t>Yes</t>
        </is>
      </c>
      <c r="Q5" s="3" t="n"/>
      <c r="R5" s="5" t="n">
        <v>41403</v>
      </c>
      <c r="S5" s="5" t="n">
        <v>41404</v>
      </c>
      <c r="T5" s="6" t="n">
        <v>41403</v>
      </c>
      <c r="U5" s="3" t="inlineStr">
        <is>
          <t>Reported interval</t>
        </is>
      </c>
      <c r="V5" s="3" t="inlineStr">
        <is>
          <t>Assigned: midpoint</t>
        </is>
      </c>
      <c r="W5" s="7" t="n"/>
      <c r="X5" s="7" t="n"/>
      <c r="Y5" s="3" t="inlineStr"/>
      <c r="Z5" s="3" t="inlineStr"/>
      <c r="AA5" s="3" t="inlineStr"/>
      <c r="AB5" s="3" t="inlineStr"/>
      <c r="AC5" s="7" t="n"/>
      <c r="AD5" s="3" t="inlineStr"/>
      <c r="AE5" s="6" t="n"/>
      <c r="AF5" s="3" t="inlineStr"/>
      <c r="AG5" s="3" t="inlineStr"/>
      <c r="AH5" s="3" t="inlineStr"/>
      <c r="AI5" s="2" t="inlineStr"/>
      <c r="AJ5" s="3" t="inlineStr"/>
      <c r="AK5" s="8" t="n">
        <v>28</v>
      </c>
      <c r="AL5" s="3" t="inlineStr">
        <is>
          <t>R007; R009</t>
        </is>
      </c>
      <c r="AM5" s="3" t="inlineStr">
        <is>
          <t>Mac-Gray</t>
        </is>
      </c>
    </row>
    <row r="6">
      <c r="A6" s="2" t="n">
        <v>5</v>
      </c>
      <c r="B6" s="3" t="inlineStr">
        <is>
          <t>05/09/2013 (earliest observed service; commencement not disclosed)</t>
        </is>
      </c>
      <c r="C6" s="3" t="inlineStr">
        <is>
          <t>Goodwin Procter LLP — Mac-Gray (client)</t>
        </is>
      </c>
      <c r="D6" s="3" t="inlineStr">
        <is>
          <t>Adviser service observed</t>
        </is>
      </c>
      <c r="E6" s="2" t="inlineStr">
        <is>
          <t>1</t>
        </is>
      </c>
      <c r="F6" s="2" t="inlineStr">
        <is>
          <t>0</t>
        </is>
      </c>
      <c r="G6" s="2" t="inlineStr"/>
      <c r="H6" s="3" t="inlineStr">
        <is>
          <t>Outside legal counsel to Mac-Gray; first observed advising the Board at the 05/09/2013 Board meeting, then the Transaction Committee and Special Committee through signing (fiduciary reviews, process and agreement negotiation). Engagement or selection date not disclosed in the filing; no adviser row for a later re-engagement.</t>
        </is>
      </c>
      <c r="I6" s="3" t="inlineStr"/>
      <c r="J6" s="3" t="inlineStr"/>
      <c r="K6" s="3" t="inlineStr">
        <is>
          <t>Stated (service; no engagement date). “representatives from BofA Merrill Lynch and Goodwin Procter LLP, outside legal counsel to Mac-Gray, were also in attendance for all or portions of the meeting” (p.27) — first narrative mention of Goodwin Procter in the background (May 9, 2013 Board meeting). The filing does not state an engagement date; service observed from 05/09/2013.</t>
        </is>
      </c>
      <c r="L6" s="4" t="inlineStr">
        <is>
          <t>P-005</t>
        </is>
      </c>
      <c r="M6" s="3" t="inlineStr"/>
      <c r="N6" s="3" t="inlineStr"/>
      <c r="O6" s="3" t="inlineStr">
        <is>
          <t>R005</t>
        </is>
      </c>
      <c r="P6" s="3" t="inlineStr">
        <is>
          <t>Yes</t>
        </is>
      </c>
      <c r="Q6" s="3" t="n"/>
      <c r="R6" s="5" t="n">
        <v>41403</v>
      </c>
      <c r="S6" s="5" t="n"/>
      <c r="T6" s="6" t="n">
        <v>41403</v>
      </c>
      <c r="U6" s="3" t="inlineStr">
        <is>
          <t>Relative only</t>
        </is>
      </c>
      <c r="V6" s="3" t="inlineStr">
        <is>
          <t>Assigned: bound</t>
        </is>
      </c>
      <c r="W6" s="7" t="n"/>
      <c r="X6" s="7" t="n"/>
      <c r="Y6" s="3" t="inlineStr"/>
      <c r="Z6" s="3" t="inlineStr"/>
      <c r="AA6" s="3" t="inlineStr"/>
      <c r="AB6" s="3" t="inlineStr"/>
      <c r="AC6" s="7" t="n"/>
      <c r="AD6" s="3" t="inlineStr"/>
      <c r="AE6" s="6" t="n"/>
      <c r="AF6" s="3" t="inlineStr"/>
      <c r="AG6" s="3" t="inlineStr"/>
      <c r="AH6" s="3" t="inlineStr"/>
      <c r="AI6" s="2" t="inlineStr"/>
      <c r="AJ6" s="3" t="inlineStr"/>
      <c r="AK6" s="8" t="n">
        <v>27</v>
      </c>
      <c r="AL6" s="3" t="inlineStr">
        <is>
          <t>R007</t>
        </is>
      </c>
      <c r="AM6" s="3" t="inlineStr">
        <is>
          <t>Mac-Gray</t>
        </is>
      </c>
    </row>
    <row r="7">
      <c r="A7" s="2" t="n">
        <v>6</v>
      </c>
      <c r="B7" s="3" t="inlineStr">
        <is>
          <t>05/14/2013–05/15/2013 (committee decision 05/14; letter sent 05/15)</t>
        </is>
      </c>
      <c r="C7" s="3" t="inlineStr">
        <is>
          <t>Transaction Committee / BofA Merrill Lynch</t>
        </is>
      </c>
      <c r="D7" s="3" t="inlineStr">
        <is>
          <t>Adviser ended</t>
        </is>
      </c>
      <c r="E7" s="2" t="inlineStr">
        <is>
          <t>1</t>
        </is>
      </c>
      <c r="F7" s="2" t="inlineStr">
        <is>
          <t>0</t>
        </is>
      </c>
      <c r="G7" s="2" t="inlineStr"/>
      <c r="H7" s="3" t="inlineStr">
        <is>
          <t>Transaction Committee determined to terminate BofA Merrill Lynch's engagement letter entered for the 2011-2012 Discussions; Mac-Gray sent the termination letter 05/15/2013. Reason disclosed: BofA was one of the banks invited to submit a proposal for the new mandate and the CSC sale process had ended.</t>
        </is>
      </c>
      <c r="I7" s="3" t="inlineStr"/>
      <c r="J7" s="3" t="inlineStr"/>
      <c r="K7" s="3" t="inlineStr">
        <is>
          <t>Stated. “Given that BofA Merrill Lynch was one of the investment banks to be invited to submit a proposal and that the CSC sale process had ended, the Transaction Committee determined to terminate BofA Merrill Lynch's engagement letter entered into for purposes of the 2011-2012 Discussions.” “On May 15, 2013, Mac-Gray sent a letter to BofA Merrill Lynch terminating their engagement in connection with the 2011-2012 Discussions.” (both p.29)</t>
        </is>
      </c>
      <c r="L7" s="4" t="inlineStr">
        <is>
          <t>P-009; P-010</t>
        </is>
      </c>
      <c r="M7" s="3" t="inlineStr"/>
      <c r="N7" s="3" t="inlineStr"/>
      <c r="O7" s="3" t="inlineStr">
        <is>
          <t>R006</t>
        </is>
      </c>
      <c r="P7" s="3" t="inlineStr">
        <is>
          <t>Yes</t>
        </is>
      </c>
      <c r="Q7" s="3" t="n"/>
      <c r="R7" s="5" t="n">
        <v>41408</v>
      </c>
      <c r="S7" s="5" t="n">
        <v>41409</v>
      </c>
      <c r="T7" s="6" t="n">
        <v>41408</v>
      </c>
      <c r="U7" s="3" t="inlineStr">
        <is>
          <t>Reported interval</t>
        </is>
      </c>
      <c r="V7" s="3" t="inlineStr">
        <is>
          <t>Assigned: bound</t>
        </is>
      </c>
      <c r="W7" s="7" t="n"/>
      <c r="X7" s="7" t="n"/>
      <c r="Y7" s="3" t="inlineStr"/>
      <c r="Z7" s="3" t="inlineStr"/>
      <c r="AA7" s="3" t="inlineStr"/>
      <c r="AB7" s="3" t="inlineStr"/>
      <c r="AC7" s="7" t="n"/>
      <c r="AD7" s="3" t="inlineStr"/>
      <c r="AE7" s="6" t="n"/>
      <c r="AF7" s="3" t="inlineStr"/>
      <c r="AG7" s="3" t="inlineStr"/>
      <c r="AH7" s="3" t="inlineStr"/>
      <c r="AI7" s="2" t="inlineStr"/>
      <c r="AJ7" s="3" t="inlineStr"/>
      <c r="AK7" s="8" t="n">
        <v>29</v>
      </c>
      <c r="AL7" s="3" t="inlineStr">
        <is>
          <t>R001; R007</t>
        </is>
      </c>
      <c r="AM7" s="3" t="inlineStr">
        <is>
          <t>Mac-Gray</t>
        </is>
      </c>
    </row>
    <row r="8">
      <c r="A8" s="2" t="n">
        <v>7</v>
      </c>
      <c r="B8" s="3" t="inlineStr">
        <is>
          <t>05/30/2013–05/31/2013 (Board approval 05/30; engagement letter 05/31)</t>
        </is>
      </c>
      <c r="C8" s="3" t="inlineStr">
        <is>
          <t>BofA Merrill Lynch — Mac-Gray (client)</t>
        </is>
      </c>
      <c r="D8" s="3" t="inlineStr">
        <is>
          <t>Adviser engaged</t>
        </is>
      </c>
      <c r="E8" s="2" t="inlineStr">
        <is>
          <t>1</t>
        </is>
      </c>
      <c r="F8" s="2" t="inlineStr">
        <is>
          <t>0</t>
        </is>
      </c>
      <c r="G8" s="2" t="inlineStr"/>
      <c r="H8" s="3" t="inlineStr">
        <is>
          <t>Board unanimously approved engaging BofA Merrill Lynch as Mac-Gray's financial advisor for the strategic-alternatives review and potential sale process; BofA had presented 05/22/2013, the other two invited candidates 05/29/2013. Engagement letter entered 05/31/2013; BofA agreed not to act as a source of new acquisition financing for potential buyers without Mac-Gray's prior written consent. BofA advised through signing and delivered its written fairness opinion dated 10/14/2013; its fee includes a portion payable on the opinion and a significant portion contingent on consummation.</t>
        </is>
      </c>
      <c r="I8" s="3" t="inlineStr"/>
      <c r="J8" s="3" t="inlineStr"/>
      <c r="K8" s="3" t="inlineStr">
        <is>
          <t>Stated. “Based on the recommendation of the Transaction Committee, the Board unanimously approved the engagement of BofA Merrill Lynch on the terms discussed at this meeting.” (p.29)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“We have acted as financial advisor to MGC in connection with the Merger and will receive a fee for our services, a portion of which is payable upon the rendering of this opinion and a significant portion of which is contingent upon consummation of the Merger.” (Annex B, p. B-2)</t>
        </is>
      </c>
      <c r="L8" s="4" t="inlineStr">
        <is>
          <t>P-011; P-012; P-013; P-014; P-016; X-028</t>
        </is>
      </c>
      <c r="M8" s="3" t="inlineStr"/>
      <c r="N8" s="3" t="inlineStr"/>
      <c r="O8" s="3" t="inlineStr">
        <is>
          <t>R007</t>
        </is>
      </c>
      <c r="P8" s="3" t="inlineStr">
        <is>
          <t>Yes</t>
        </is>
      </c>
      <c r="Q8" s="3" t="n"/>
      <c r="R8" s="5" t="n">
        <v>41424</v>
      </c>
      <c r="S8" s="5" t="n">
        <v>41425</v>
      </c>
      <c r="T8" s="6" t="n">
        <v>41424</v>
      </c>
      <c r="U8" s="3" t="inlineStr">
        <is>
          <t>Reported interval</t>
        </is>
      </c>
      <c r="V8" s="3" t="inlineStr">
        <is>
          <t>Assigned: bound</t>
        </is>
      </c>
      <c r="W8" s="7" t="n"/>
      <c r="X8" s="7" t="n"/>
      <c r="Y8" s="3" t="inlineStr"/>
      <c r="Z8" s="3" t="inlineStr"/>
      <c r="AA8" s="3" t="inlineStr"/>
      <c r="AB8" s="3" t="inlineStr"/>
      <c r="AC8" s="7" t="n"/>
      <c r="AD8" s="3" t="inlineStr"/>
      <c r="AE8" s="6" t="n"/>
      <c r="AF8" s="3" t="inlineStr"/>
      <c r="AG8" s="3" t="inlineStr"/>
      <c r="AH8" s="3" t="inlineStr"/>
      <c r="AI8" s="2" t="inlineStr"/>
      <c r="AJ8" s="3" t="inlineStr"/>
      <c r="AK8" s="8" t="n">
        <v>30</v>
      </c>
      <c r="AL8" s="3" t="inlineStr">
        <is>
          <t>R006; R051</t>
        </is>
      </c>
      <c r="AM8" s="3" t="inlineStr">
        <is>
          <t>Mac-Gray</t>
        </is>
      </c>
    </row>
    <row r="9">
      <c r="A9" s="2" t="n">
        <v>8</v>
      </c>
      <c r="B9" s="3" t="inlineStr">
        <is>
          <t>05/30/2013</t>
        </is>
      </c>
      <c r="C9" s="3" t="inlineStr">
        <is>
          <t>Moab / Mac-Gray annual stockholder meeting</t>
        </is>
      </c>
      <c r="D9" s="3" t="inlineStr">
        <is>
          <t>Activist involvement</t>
        </is>
      </c>
      <c r="E9" s="2" t="inlineStr">
        <is>
          <t>1</t>
        </is>
      </c>
      <c r="F9" s="2" t="inlineStr">
        <is>
          <t>0</t>
        </is>
      </c>
      <c r="G9" s="2" t="inlineStr"/>
      <c r="H9" s="3" t="inlineStr">
        <is>
          <t>Moab-nominated candidates Michael M. Rothenberg (Moab co-founder and General Partner) and James E. Hyman were elected as directors in place of two incumbent nominees after a proxy contest; board size was reduced to seven. Context: the board change led to Mr. Rothenberg's exclusion from the sale process given Moab's possible equity rollover interest; Moab held approximately 9% (06/12/2013).</t>
        </is>
      </c>
      <c r="I9" s="3" t="inlineStr"/>
      <c r="J9" s="3" t="inlineStr"/>
      <c r="K9" s="3" t="inlineStr">
        <is>
          <t>Stated. “Mac-Gray and Moab engaged in a proxy contest leading up to the annual meeting and Mr. Rothenberg and Mr. Hyman were elected in place of Mac-Gray's incumbent nominees, David W. Bryan and Mary Ann Tocio.” “Mr. Rothenberg is a co-founder and the General Partner of Moab” (both p.29). “At the time of this meeting, Moab beneficially owned approximately 9% of Mac-Gray's outstanding common stock.” (p.30)</t>
        </is>
      </c>
      <c r="L9" s="4" t="inlineStr">
        <is>
          <t>P-015; P-017</t>
        </is>
      </c>
      <c r="M9" s="3" t="inlineStr"/>
      <c r="N9" s="3" t="inlineStr"/>
      <c r="O9" s="3" t="inlineStr">
        <is>
          <t>R008</t>
        </is>
      </c>
      <c r="P9" s="3" t="inlineStr">
        <is>
          <t>Yes</t>
        </is>
      </c>
      <c r="Q9" s="3" t="n"/>
      <c r="R9" s="5" t="n">
        <v>41424</v>
      </c>
      <c r="S9" s="5" t="n">
        <v>41424</v>
      </c>
      <c r="T9" s="6" t="n">
        <v>41424</v>
      </c>
      <c r="U9" s="3" t="inlineStr">
        <is>
          <t>Reported day</t>
        </is>
      </c>
      <c r="V9" s="3" t="inlineStr">
        <is>
          <t>Reported</t>
        </is>
      </c>
      <c r="W9" s="7" t="n"/>
      <c r="X9" s="7" t="n"/>
      <c r="Y9" s="3" t="inlineStr"/>
      <c r="Z9" s="3" t="inlineStr"/>
      <c r="AA9" s="3" t="inlineStr"/>
      <c r="AB9" s="3" t="inlineStr"/>
      <c r="AC9" s="7" t="n"/>
      <c r="AD9" s="3" t="inlineStr"/>
      <c r="AE9" s="6" t="n"/>
      <c r="AF9" s="3" t="inlineStr"/>
      <c r="AG9" s="3" t="inlineStr"/>
      <c r="AH9" s="3" t="inlineStr"/>
      <c r="AI9" s="2" t="inlineStr"/>
      <c r="AJ9" s="3" t="inlineStr"/>
      <c r="AK9" s="8" t="n">
        <v>29</v>
      </c>
      <c r="AL9" s="3" t="inlineStr">
        <is>
          <t>R009; R017; R049</t>
        </is>
      </c>
      <c r="AM9" s="3" t="inlineStr">
        <is>
          <t>Mac-Gray</t>
        </is>
      </c>
    </row>
    <row r="10">
      <c r="A10" s="2" t="n">
        <v>9</v>
      </c>
      <c r="B10" s="3" t="inlineStr">
        <is>
          <t>06/12/2013</t>
        </is>
      </c>
      <c r="C10" s="3" t="inlineStr">
        <is>
          <t>Mac-Gray / new directors (Rothenberg, Hyman)</t>
        </is>
      </c>
      <c r="D10" s="3" t="inlineStr">
        <is>
          <t>Material process update</t>
        </is>
      </c>
      <c r="E10" s="2" t="inlineStr">
        <is>
          <t>1</t>
        </is>
      </c>
      <c r="F10" s="2" t="inlineStr">
        <is>
          <t>0</t>
        </is>
      </c>
      <c r="G10" s="2" t="inlineStr"/>
      <c r="H10" s="3" t="inlineStr">
        <is>
          <t>Orientation of new directors: each received an overview of the strategic-alternatives review and potential sale process; with Mr. Rothenberg the participants discussed that if Moab might want an equity rollover in a sale transaction resulting from the process, he would need to be excluded from the process from the outset. Moab then held approximately 9% of Mac-Gray's outstanding stock.</t>
        </is>
      </c>
      <c r="I10" s="3" t="inlineStr"/>
      <c r="J10" s="3" t="inlineStr"/>
      <c r="K10" s="3" t="inlineStr">
        <is>
          <t>Stated.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 (p.30)</t>
        </is>
      </c>
      <c r="L10" s="4" t="inlineStr">
        <is>
          <t>P-017</t>
        </is>
      </c>
      <c r="M10" s="3" t="inlineStr"/>
      <c r="N10" s="3" t="inlineStr"/>
      <c r="O10" s="3" t="inlineStr">
        <is>
          <t>R009</t>
        </is>
      </c>
      <c r="P10" s="3" t="inlineStr">
        <is>
          <t>Yes</t>
        </is>
      </c>
      <c r="Q10" s="3" t="n"/>
      <c r="R10" s="5" t="n">
        <v>41437</v>
      </c>
      <c r="S10" s="5" t="n">
        <v>41437</v>
      </c>
      <c r="T10" s="6" t="n">
        <v>41437</v>
      </c>
      <c r="U10" s="3" t="inlineStr">
        <is>
          <t>Reported day</t>
        </is>
      </c>
      <c r="V10" s="3" t="inlineStr">
        <is>
          <t>Reported</t>
        </is>
      </c>
      <c r="W10" s="7" t="n"/>
      <c r="X10" s="7" t="n"/>
      <c r="Y10" s="3" t="inlineStr"/>
      <c r="Z10" s="3" t="inlineStr"/>
      <c r="AA10" s="3" t="inlineStr"/>
      <c r="AB10" s="3" t="inlineStr"/>
      <c r="AC10" s="7" t="n"/>
      <c r="AD10" s="3" t="inlineStr"/>
      <c r="AE10" s="6" t="n"/>
      <c r="AF10" s="3" t="inlineStr"/>
      <c r="AG10" s="3" t="inlineStr"/>
      <c r="AH10" s="3" t="inlineStr"/>
      <c r="AI10" s="2" t="inlineStr"/>
      <c r="AJ10" s="3" t="inlineStr"/>
      <c r="AK10" s="8" t="n">
        <v>30</v>
      </c>
      <c r="AL10" s="3" t="inlineStr">
        <is>
          <t>R008; R011</t>
        </is>
      </c>
      <c r="AM10" s="3" t="inlineStr">
        <is>
          <t>Mac-Gray</t>
        </is>
      </c>
    </row>
    <row r="11">
      <c r="A11" s="2" t="n">
        <v>10</v>
      </c>
      <c r="B11" s="3" t="inlineStr">
        <is>
          <t>06/21/2013</t>
        </is>
      </c>
      <c r="C11" s="3" t="inlineStr">
        <is>
          <t>Party A</t>
        </is>
      </c>
      <c r="D11" s="3" t="inlineStr">
        <is>
          <t>Bid</t>
        </is>
      </c>
      <c r="E11" s="2" t="inlineStr">
        <is>
          <t>1</t>
        </is>
      </c>
      <c r="F11" s="2" t="inlineStr">
        <is>
          <t>0</t>
        </is>
      </c>
      <c r="G11" s="2" t="inlineStr">
        <is>
          <t>Strategic</t>
        </is>
      </c>
      <c r="H11" s="3" t="inlineStr">
        <is>
          <t>Unsolicited proposal to the Board for a whole-company acquisition at an all-cash price of $17.00–$19.00 per share. Made before any substantive diligence access (no confidentiality agreement yet; Party A's NDA was executed 08/05/2013), so Heavy by context. Still standing when round 1 was evaluated (reviewed with the three preliminary indications at the 07/25/2013 Special Committee meeting).</t>
        </is>
      </c>
      <c r="I11" s="3" t="inlineStr">
        <is>
          <t>Informal</t>
        </is>
      </c>
      <c r="J11" s="3" t="inlineStr">
        <is>
          <t>Heavy</t>
        </is>
      </c>
      <c r="K11" s="3" t="inlineStr">
        <is>
          <t>Stated (price). “On June 21, 2013, Party A submitted an unsolicited proposal to the Mac-Gray Board of Directors offering to purchase Mac-Gray for an all-cash purchase price of $17.00 to $19.00 per share” (p.30). Context: no substantive access before the proposal — “outside counsel to Party A and representatives of Goodwin Procter negotiated the terms of a confidentiality and standstill agreement, but did not come to agreement on the terms of the customer and employee non-solicitation provisions” between 07/11 and 07/23 (P-030, p.33); reviewed as still standing on 07/25/2013 (P-033, p.33).</t>
        </is>
      </c>
      <c r="L11" s="4" t="inlineStr">
        <is>
          <t>P-018; P-030; P-033</t>
        </is>
      </c>
      <c r="M11" s="3" t="inlineStr">
        <is>
          <t>Q1; Q5</t>
        </is>
      </c>
      <c r="N11" s="3" t="inlineStr"/>
      <c r="O11" s="3" t="inlineStr">
        <is>
          <t>R010</t>
        </is>
      </c>
      <c r="P11" s="3" t="inlineStr">
        <is>
          <t>Yes</t>
        </is>
      </c>
      <c r="Q11" s="3" t="n">
        <v>1</v>
      </c>
      <c r="R11" s="5" t="n">
        <v>41446</v>
      </c>
      <c r="S11" s="5" t="n">
        <v>41446</v>
      </c>
      <c r="T11" s="6" t="n">
        <v>41446</v>
      </c>
      <c r="U11" s="3" t="inlineStr">
        <is>
          <t>Reported day</t>
        </is>
      </c>
      <c r="V11" s="3" t="inlineStr">
        <is>
          <t>Reported</t>
        </is>
      </c>
      <c r="W11" s="7" t="n">
        <v>17</v>
      </c>
      <c r="X11" s="7" t="n">
        <v>19</v>
      </c>
      <c r="Y11" s="3" t="inlineStr">
        <is>
          <t>Bidder range</t>
        </is>
      </c>
      <c r="Z11" s="3" t="inlineStr">
        <is>
          <t>Stated</t>
        </is>
      </c>
      <c r="AA11" s="3" t="inlineStr">
        <is>
          <t>USD</t>
        </is>
      </c>
      <c r="AB11" s="3" t="inlineStr">
        <is>
          <t>Yes</t>
        </is>
      </c>
      <c r="AC11" s="7" t="inlineStr"/>
      <c r="AD11" s="3" t="inlineStr">
        <is>
          <t>Fin: not stated; DD required: not stated; DD open: no; Excl: not stated</t>
        </is>
      </c>
      <c r="AE11" s="6" t="n"/>
      <c r="AF11" s="3" t="inlineStr"/>
      <c r="AG11" s="3" t="inlineStr"/>
      <c r="AH11" s="3" t="inlineStr"/>
      <c r="AI11" s="2" t="inlineStr"/>
      <c r="AJ11" s="3" t="inlineStr"/>
      <c r="AK11" s="8" t="n">
        <v>30</v>
      </c>
      <c r="AL11" s="3" t="inlineStr">
        <is>
          <t>R003; R011; R031</t>
        </is>
      </c>
      <c r="AM11" s="3" t="inlineStr">
        <is>
          <t>Mac-Gray</t>
        </is>
      </c>
    </row>
    <row r="12">
      <c r="A12" s="2" t="n">
        <v>11</v>
      </c>
      <c r="B12" s="3" t="inlineStr">
        <is>
          <t>06/24/2013</t>
        </is>
      </c>
      <c r="C12" s="3" t="inlineStr">
        <is>
          <t>Mac-Gray Board of Directors / Special Committee</t>
        </is>
      </c>
      <c r="D12" s="3" t="inlineStr">
        <is>
          <t>Round opened</t>
        </is>
      </c>
      <c r="E12" s="2" t="inlineStr">
        <is>
          <t>1</t>
        </is>
      </c>
      <c r="F12" s="2" t="inlineStr">
        <is>
          <t>1</t>
        </is>
      </c>
      <c r="G12" s="2" t="inlineStr"/>
      <c r="H12" s="3" t="inlineStr">
        <is>
          <t>R1 anchor: 06/24/2013 Special Committee determination to commence the sale process and approach 50 parties (15 strategic, 35 financial) — first outreach executed within days (contacts reported 06/28/2013). Rejected anchor candidates: R003 (04/08/2013 single Party A contact) and R010 (06/21/2013 unsolicited Party A proposal). The Board also excluded Mr. MacDonald and Mr. Rothenberg from evaluating strategic alternatives (possible rollovers) and established the Special Committee (Bullock chair; Daoust, Hyman, Meagher, Percelay, Robinson). Deadline set: preliminary indications of interest due 07/23/2013 (informational package issued to NDA signers). Round finality: Not final — initial solicitation for preliminary indications; no finality signal.</t>
        </is>
      </c>
      <c r="I12" s="3" t="inlineStr"/>
      <c r="J12" s="3" t="inlineStr"/>
      <c r="K12" s="3" t="inlineStr">
        <is>
          <t>Stated. “the Special Committee concluded that it would be in the best interests of stockholders to consider a potential sale of Mac-Gray” (p.31). “the Board decided, and Mr. MacDonald and Mr. Rothenberg agreed, that it would be appropriate to exclude Mr. MacDonald and Mr. Rothenberg from the Board's evaluation of strategic alternatives and any negotiations with third parties that might take place” (p.30).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(p.32). “furnished an informational package for the purpose of providing potential bidders with data to formulate a preliminary indication of interest, which they were instructed to submit by July 23, 2013” (p.32)</t>
        </is>
      </c>
      <c r="L12" s="4" t="inlineStr">
        <is>
          <t>P-019; P-021; P-022; P-023</t>
        </is>
      </c>
      <c r="M12" s="3" t="inlineStr">
        <is>
          <t>Q1</t>
        </is>
      </c>
      <c r="N12" s="3" t="inlineStr"/>
      <c r="O12" s="3" t="inlineStr">
        <is>
          <t>R011</t>
        </is>
      </c>
      <c r="P12" s="3" t="inlineStr">
        <is>
          <t>Yes</t>
        </is>
      </c>
      <c r="Q12" s="3" t="n"/>
      <c r="R12" s="5" t="n">
        <v>41449</v>
      </c>
      <c r="S12" s="5" t="n">
        <v>41449</v>
      </c>
      <c r="T12" s="6" t="n">
        <v>41449</v>
      </c>
      <c r="U12" s="3" t="inlineStr">
        <is>
          <t>Reported day</t>
        </is>
      </c>
      <c r="V12" s="3" t="inlineStr">
        <is>
          <t>Reported</t>
        </is>
      </c>
      <c r="W12" s="7" t="n"/>
      <c r="X12" s="7" t="n"/>
      <c r="Y12" s="3" t="inlineStr"/>
      <c r="Z12" s="3" t="inlineStr"/>
      <c r="AA12" s="3" t="inlineStr"/>
      <c r="AB12" s="3" t="inlineStr"/>
      <c r="AC12" s="7" t="n"/>
      <c r="AD12" s="3" t="inlineStr"/>
      <c r="AE12" s="6" t="n">
        <v>41478</v>
      </c>
      <c r="AF12" s="3" t="inlineStr"/>
      <c r="AG12" s="3" t="inlineStr">
        <is>
          <t>Not final</t>
        </is>
      </c>
      <c r="AH12" s="3" t="inlineStr"/>
      <c r="AI12" s="2" t="inlineStr"/>
      <c r="AJ12" s="3" t="inlineStr"/>
      <c r="AK12" s="8" t="n">
        <v>31</v>
      </c>
      <c r="AL12" s="3" t="inlineStr">
        <is>
          <t>R010; R003; R012; R019</t>
        </is>
      </c>
      <c r="AM12" s="3" t="inlineStr">
        <is>
          <t>Mac-Gray</t>
        </is>
      </c>
    </row>
    <row r="13">
      <c r="A13" s="2" t="n">
        <v>12</v>
      </c>
      <c r="B13" s="3" t="inlineStr">
        <is>
          <t>late June 2013 (after the 06/24/2013 decision; contacts reported by 06/28/2013)</t>
        </is>
      </c>
      <c r="C13" s="3" t="inlineStr">
        <is>
          <t>BofA Merrill Lynch (for Mac-Gray) — strategic parties</t>
        </is>
      </c>
      <c r="D13" s="3" t="inlineStr">
        <is>
          <t>Contact</t>
        </is>
      </c>
      <c r="E13" s="2" t="inlineStr">
        <is>
          <t>1</t>
        </is>
      </c>
      <c r="F13" s="2" t="inlineStr">
        <is>
          <t>1</t>
        </is>
      </c>
      <c r="G13" s="2" t="inlineStr">
        <is>
          <t>Strategic</t>
        </is>
      </c>
      <c r="H13" s="3" t="inlineStr">
        <is>
          <t>Outreach wave to the 15 potential strategic buyers identified at the 06/24/2013 meeting, including Party A and CSC/Pamplona; Party A was already in contact from 04/08/2013. Part of the 50-party universe; 2 of the 15 (Party A, CSC/Pamplona) ultimately executed confidentiality agreements.</t>
        </is>
      </c>
      <c r="I13" s="3" t="inlineStr"/>
      <c r="J13" s="3" t="inlineStr"/>
      <c r="K13" s="3" t="inlineStr">
        <is>
          <t>Stated. “BofA Merrill Lynch contacted the strategic and financial parties identified at the June 24th Special Committee meeting” (p.32);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(p.32); “including two strategic bidders (Party A and CSC/Pamplona)” signed confidentiality agreements (p.32).</t>
        </is>
      </c>
      <c r="L13" s="4" t="inlineStr">
        <is>
          <t>P-022; P-023</t>
        </is>
      </c>
      <c r="M13" s="3" t="inlineStr"/>
      <c r="N13" s="3" t="inlineStr"/>
      <c r="O13" s="3" t="inlineStr">
        <is>
          <t>R012</t>
        </is>
      </c>
      <c r="P13" s="3" t="inlineStr">
        <is>
          <t>Yes</t>
        </is>
      </c>
      <c r="Q13" s="3" t="n">
        <v>15</v>
      </c>
      <c r="R13" s="5" t="n">
        <v>41449</v>
      </c>
      <c r="S13" s="5" t="n"/>
      <c r="T13" s="6" t="n">
        <v>41449</v>
      </c>
      <c r="U13" s="3" t="inlineStr">
        <is>
          <t>Relative only</t>
        </is>
      </c>
      <c r="V13" s="3" t="inlineStr">
        <is>
          <t>Assigned: bound</t>
        </is>
      </c>
      <c r="W13" s="7" t="n"/>
      <c r="X13" s="7" t="n"/>
      <c r="Y13" s="3" t="inlineStr"/>
      <c r="Z13" s="3" t="inlineStr"/>
      <c r="AA13" s="3" t="inlineStr"/>
      <c r="AB13" s="3" t="inlineStr"/>
      <c r="AC13" s="7" t="n"/>
      <c r="AD13" s="3" t="inlineStr"/>
      <c r="AE13" s="6" t="n"/>
      <c r="AF13" s="3" t="inlineStr"/>
      <c r="AG13" s="3" t="inlineStr"/>
      <c r="AH13" s="3" t="inlineStr"/>
      <c r="AI13" s="2" t="inlineStr"/>
      <c r="AJ13" s="3" t="inlineStr"/>
      <c r="AK13" s="8" t="n">
        <v>32</v>
      </c>
      <c r="AL13" s="3" t="inlineStr">
        <is>
          <t>R011; R003; R013</t>
        </is>
      </c>
      <c r="AM13" s="3" t="inlineStr">
        <is>
          <t>Mac-Gray</t>
        </is>
      </c>
    </row>
    <row r="14">
      <c r="A14" s="2" t="n">
        <v>13</v>
      </c>
      <c r="B14" s="3" t="inlineStr">
        <is>
          <t>late June 2013 (after the 06/24/2013 decision; contacts reported by 06/28/2013)</t>
        </is>
      </c>
      <c r="C14" s="3" t="inlineStr">
        <is>
          <t>BofA Merrill Lynch (for Mac-Gray) — financial parties</t>
        </is>
      </c>
      <c r="D14" s="3" t="inlineStr">
        <is>
          <t>Contact</t>
        </is>
      </c>
      <c r="E14" s="2" t="inlineStr">
        <is>
          <t>1</t>
        </is>
      </c>
      <c r="F14" s="2" t="inlineStr">
        <is>
          <t>1</t>
        </is>
      </c>
      <c r="G14" s="2" t="inlineStr">
        <is>
          <t>Financial</t>
        </is>
      </c>
      <c r="H14" s="3" t="inlineStr">
        <is>
          <t>Outreach wave to the 35 potential financial buyers identified at the 06/24/2013 meeting, including private equity firms (among them Party B and Party C); 18 of the 35 ultimately executed confidentiality agreements (including Party B and Party C).</t>
        </is>
      </c>
      <c r="I14" s="3" t="inlineStr"/>
      <c r="J14" s="3" t="inlineStr"/>
      <c r="K14" s="3" t="inlineStr">
        <is>
          <t>Stated. “BofA Merrill Lynch contacted the strategic and financial parties identified at the June 24th Special Committee meeting” (p.32); “35 of which were potential financial buyers, including private equity firms”; “18 financial bidders (including Party B and Party C)” signed confidentiality agreements (p.32).</t>
        </is>
      </c>
      <c r="L14" s="4" t="inlineStr">
        <is>
          <t>P-022; P-023</t>
        </is>
      </c>
      <c r="M14" s="3" t="inlineStr"/>
      <c r="N14" s="3" t="inlineStr"/>
      <c r="O14" s="3" t="inlineStr">
        <is>
          <t>R013</t>
        </is>
      </c>
      <c r="P14" s="3" t="inlineStr">
        <is>
          <t>Yes</t>
        </is>
      </c>
      <c r="Q14" s="3" t="n">
        <v>35</v>
      </c>
      <c r="R14" s="5" t="n">
        <v>41449</v>
      </c>
      <c r="S14" s="5" t="n"/>
      <c r="T14" s="6" t="n">
        <v>41449</v>
      </c>
      <c r="U14" s="3" t="inlineStr">
        <is>
          <t>Relative only</t>
        </is>
      </c>
      <c r="V14" s="3" t="inlineStr">
        <is>
          <t>Assigned: bound</t>
        </is>
      </c>
      <c r="W14" s="7" t="n"/>
      <c r="X14" s="7" t="n"/>
      <c r="Y14" s="3" t="inlineStr"/>
      <c r="Z14" s="3" t="inlineStr"/>
      <c r="AA14" s="3" t="inlineStr"/>
      <c r="AB14" s="3" t="inlineStr"/>
      <c r="AC14" s="7" t="n"/>
      <c r="AD14" s="3" t="inlineStr"/>
      <c r="AE14" s="6" t="n"/>
      <c r="AF14" s="3" t="inlineStr"/>
      <c r="AG14" s="3" t="inlineStr"/>
      <c r="AH14" s="3" t="inlineStr"/>
      <c r="AI14" s="2" t="inlineStr"/>
      <c r="AJ14" s="3" t="inlineStr"/>
      <c r="AK14" s="8" t="n">
        <v>32</v>
      </c>
      <c r="AL14" s="3" t="inlineStr">
        <is>
          <t>R011; R012</t>
        </is>
      </c>
      <c r="AM14" s="3" t="inlineStr">
        <is>
          <t>Mac-Gray</t>
        </is>
      </c>
    </row>
    <row r="15">
      <c r="A15" s="2" t="n">
        <v>14</v>
      </c>
      <c r="B15" s="3" t="inlineStr">
        <is>
          <t>late June–August 2013 (two-month signing window; dates not individually disclosed)</t>
        </is>
      </c>
      <c r="C15" s="3" t="inlineStr">
        <is>
          <t>16 residual financial NDA signers</t>
        </is>
      </c>
      <c r="D15" s="3" t="inlineStr">
        <is>
          <t>NDA signed</t>
        </is>
      </c>
      <c r="E15" s="2" t="inlineStr">
        <is>
          <t>1</t>
        </is>
      </c>
      <c r="F15" s="2" t="inlineStr">
        <is>
          <t>1</t>
        </is>
      </c>
      <c r="G15" s="2" t="inlineStr">
        <is>
          <t>Financial</t>
        </is>
      </c>
      <c r="H15" s="3" t="inlineStr">
        <is>
          <t>Residual cohort: 18 financial NDA signers less the two individually recorded financial signers (Party B, Party C) = 16 financial NDA signers. The filing reports the 20 signers collectively over a two-month window and does not date them; the two strategic signers (Party A, CSC/Pamplona) are recorded individually. Agreements were on a form provided by Mac-Gray, individually negotiated but not materially varied; they included standstill provisions with sunset rights to make confidential proposals on announcement of a business combination. Working date is the first day of the reported signing window (display convention) — not an observed signing date. Count 16.</t>
        </is>
      </c>
      <c r="I15" s="3" t="inlineStr"/>
      <c r="J15" s="3" t="inlineStr"/>
      <c r="K15" s="3" t="inlineStr">
        <is>
          <t>Stated (population and window).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(both p.32).</t>
        </is>
      </c>
      <c r="L15" s="4" t="inlineStr">
        <is>
          <t>P-023</t>
        </is>
      </c>
      <c r="M15" s="3" t="inlineStr">
        <is>
          <t>Q3; Q7</t>
        </is>
      </c>
      <c r="N15" s="3" t="inlineStr"/>
      <c r="O15" s="3" t="inlineStr">
        <is>
          <t>R014</t>
        </is>
      </c>
      <c r="P15" s="3" t="inlineStr">
        <is>
          <t>Yes</t>
        </is>
      </c>
      <c r="Q15" s="3" t="n">
        <v>16</v>
      </c>
      <c r="R15" s="5" t="n">
        <v>41449</v>
      </c>
      <c r="S15" s="5" t="n">
        <v>41517</v>
      </c>
      <c r="T15" s="6" t="n">
        <v>41449</v>
      </c>
      <c r="U15" s="3" t="inlineStr">
        <is>
          <t>Approximate window</t>
        </is>
      </c>
      <c r="V15" s="3" t="inlineStr">
        <is>
          <t>Assigned: bound</t>
        </is>
      </c>
      <c r="W15" s="7" t="n"/>
      <c r="X15" s="7" t="n"/>
      <c r="Y15" s="3" t="inlineStr"/>
      <c r="Z15" s="3" t="inlineStr"/>
      <c r="AA15" s="3" t="inlineStr"/>
      <c r="AB15" s="3" t="inlineStr"/>
      <c r="AC15" s="7" t="n"/>
      <c r="AD15" s="3" t="inlineStr"/>
      <c r="AE15" s="6" t="n"/>
      <c r="AF15" s="3" t="inlineStr"/>
      <c r="AG15" s="3" t="inlineStr"/>
      <c r="AH15" s="3" t="inlineStr"/>
      <c r="AI15" s="2" t="inlineStr"/>
      <c r="AJ15" s="3" t="inlineStr"/>
      <c r="AK15" s="8" t="n">
        <v>32</v>
      </c>
      <c r="AL15" s="3" t="inlineStr">
        <is>
          <t>R021; R015; R016; R018; R025</t>
        </is>
      </c>
      <c r="AM15" s="3" t="inlineStr">
        <is>
          <t>Mac-Gray</t>
        </is>
      </c>
    </row>
    <row r="16">
      <c r="A16" s="2" t="n">
        <v>15</v>
      </c>
      <c r="B16" s="3" t="inlineStr">
        <is>
          <t>06/28/2013</t>
        </is>
      </c>
      <c r="C16" s="3" t="inlineStr">
        <is>
          <t>Party B</t>
        </is>
      </c>
      <c r="D16" s="3" t="inlineStr">
        <is>
          <t>NDA signed</t>
        </is>
      </c>
      <c r="E16" s="2" t="inlineStr">
        <is>
          <t>1</t>
        </is>
      </c>
      <c r="F16" s="2" t="inlineStr">
        <is>
          <t>1</t>
        </is>
      </c>
      <c r="G16" s="2" t="inlineStr">
        <is>
          <t>Financial</t>
        </is>
      </c>
      <c r="H16" s="3" t="inlineStr">
        <is>
          <t>Party B entered a confidentiality and standstill agreement with Mac-Gray and was provided the informational package (preliminary indication of interest due 07/23/2013). First observed participation by Party B.</t>
        </is>
      </c>
      <c r="I16" s="3" t="inlineStr"/>
      <c r="J16" s="3" t="inlineStr"/>
      <c r="K16" s="3" t="inlineStr">
        <is>
          <t>Stated. “Later on June 28, 2013, Party B, entered into a confidentiality and standstill agreement with Mac-Gray and was provided with an informational package for the purpose of providing Party B with data to formulate a preliminary indication of interest.” (p.32)</t>
        </is>
      </c>
      <c r="L16" s="4" t="inlineStr">
        <is>
          <t>P-025</t>
        </is>
      </c>
      <c r="M16" s="3" t="inlineStr">
        <is>
          <t>Q3</t>
        </is>
      </c>
      <c r="N16" s="3" t="inlineStr"/>
      <c r="O16" s="3" t="inlineStr">
        <is>
          <t>R015</t>
        </is>
      </c>
      <c r="P16" s="3" t="inlineStr">
        <is>
          <t>Yes</t>
        </is>
      </c>
      <c r="Q16" s="3" t="n">
        <v>1</v>
      </c>
      <c r="R16" s="5" t="n">
        <v>41453</v>
      </c>
      <c r="S16" s="5" t="n">
        <v>41453</v>
      </c>
      <c r="T16" s="6" t="n">
        <v>41453</v>
      </c>
      <c r="U16" s="3" t="inlineStr">
        <is>
          <t>Reported day</t>
        </is>
      </c>
      <c r="V16" s="3" t="inlineStr">
        <is>
          <t>Reported</t>
        </is>
      </c>
      <c r="W16" s="7" t="n"/>
      <c r="X16" s="7" t="n"/>
      <c r="Y16" s="3" t="inlineStr"/>
      <c r="Z16" s="3" t="inlineStr"/>
      <c r="AA16" s="3" t="inlineStr"/>
      <c r="AB16" s="3" t="inlineStr"/>
      <c r="AC16" s="7" t="n"/>
      <c r="AD16" s="3" t="inlineStr"/>
      <c r="AE16" s="6" t="n"/>
      <c r="AF16" s="3" t="inlineStr"/>
      <c r="AG16" s="3" t="inlineStr"/>
      <c r="AH16" s="3" t="inlineStr"/>
      <c r="AI16" s="2" t="inlineStr"/>
      <c r="AJ16" s="3" t="inlineStr"/>
      <c r="AK16" s="8" t="n">
        <v>32</v>
      </c>
      <c r="AL16" s="3" t="inlineStr">
        <is>
          <t>R022</t>
        </is>
      </c>
      <c r="AM16" s="3" t="inlineStr">
        <is>
          <t>Mac-Gray</t>
        </is>
      </c>
    </row>
    <row r="17">
      <c r="A17" s="2" t="n">
        <v>16</v>
      </c>
      <c r="B17" s="3" t="inlineStr">
        <is>
          <t>06/30/2013</t>
        </is>
      </c>
      <c r="C17" s="3" t="inlineStr">
        <is>
          <t>Party C</t>
        </is>
      </c>
      <c r="D17" s="3" t="inlineStr">
        <is>
          <t>NDA signed</t>
        </is>
      </c>
      <c r="E17" s="2" t="inlineStr">
        <is>
          <t>1</t>
        </is>
      </c>
      <c r="F17" s="2" t="inlineStr">
        <is>
          <t>1</t>
        </is>
      </c>
      <c r="G17" s="2" t="inlineStr">
        <is>
          <t>Financial</t>
        </is>
      </c>
      <c r="H17" s="3" t="inlineStr">
        <is>
          <t>Party C entered a confidentiality and standstill agreement with Mac-Gray and was provided the informational package (preliminary indication of interest due 07/23/2013). First observed participation by Party C.</t>
        </is>
      </c>
      <c r="I17" s="3" t="inlineStr"/>
      <c r="J17" s="3" t="inlineStr"/>
      <c r="K17" s="3" t="inlineStr">
        <is>
          <t>Stated. “On June 30, 2013, Party C entered into a confidentiality and standstill agreement with Mac-Gray and was provided with an informational package for the purpose of providing Party C with data to formulate a preliminary indication of interest.” (p.32)</t>
        </is>
      </c>
      <c r="L17" s="4" t="inlineStr">
        <is>
          <t>P-026</t>
        </is>
      </c>
      <c r="M17" s="3" t="inlineStr">
        <is>
          <t>Q3</t>
        </is>
      </c>
      <c r="N17" s="3" t="inlineStr"/>
      <c r="O17" s="3" t="inlineStr">
        <is>
          <t>R016</t>
        </is>
      </c>
      <c r="P17" s="3" t="inlineStr">
        <is>
          <t>Yes</t>
        </is>
      </c>
      <c r="Q17" s="3" t="n">
        <v>1</v>
      </c>
      <c r="R17" s="5" t="n">
        <v>41455</v>
      </c>
      <c r="S17" s="5" t="n">
        <v>41455</v>
      </c>
      <c r="T17" s="6" t="n">
        <v>41455</v>
      </c>
      <c r="U17" s="3" t="inlineStr">
        <is>
          <t>Reported day</t>
        </is>
      </c>
      <c r="V17" s="3" t="inlineStr">
        <is>
          <t>Reported</t>
        </is>
      </c>
      <c r="W17" s="7" t="n"/>
      <c r="X17" s="7" t="n"/>
      <c r="Y17" s="3" t="inlineStr"/>
      <c r="Z17" s="3" t="inlineStr"/>
      <c r="AA17" s="3" t="inlineStr"/>
      <c r="AB17" s="3" t="inlineStr"/>
      <c r="AC17" s="7" t="n"/>
      <c r="AD17" s="3" t="inlineStr"/>
      <c r="AE17" s="6" t="n"/>
      <c r="AF17" s="3" t="inlineStr"/>
      <c r="AG17" s="3" t="inlineStr"/>
      <c r="AH17" s="3" t="inlineStr"/>
      <c r="AI17" s="2" t="inlineStr"/>
      <c r="AJ17" s="3" t="inlineStr"/>
      <c r="AK17" s="8" t="n">
        <v>32</v>
      </c>
      <c r="AL17" s="3" t="inlineStr">
        <is>
          <t>R023</t>
        </is>
      </c>
      <c r="AM17" s="3" t="inlineStr">
        <is>
          <t>Mac-Gray</t>
        </is>
      </c>
    </row>
    <row r="18">
      <c r="A18" s="2" t="n">
        <v>17</v>
      </c>
      <c r="B18" s="3" t="inlineStr">
        <is>
          <t>07/06/2013</t>
        </is>
      </c>
      <c r="C18" s="3" t="inlineStr">
        <is>
          <t>Special Committee / Moab / CSC/Pamplona</t>
        </is>
      </c>
      <c r="D18" s="3" t="inlineStr">
        <is>
          <t>Material process update</t>
        </is>
      </c>
      <c r="E18" s="2" t="inlineStr">
        <is>
          <t>1</t>
        </is>
      </c>
      <c r="F18" s="2" t="inlineStr">
        <is>
          <t>1</t>
        </is>
      </c>
      <c r="G18" s="2" t="inlineStr"/>
      <c r="H18" s="3" t="inlineStr">
        <is>
          <t>Rollover (step 1 — exclusivity denied): the Special Committee denied the request that Moab be permitted to partner exclusively with CSC/Pamplona (including sharing under CSC/Pamplona's confidentiality agreement), so that Moab's potential equity rollover remained available as a source of capital for other bidders; the Committee told the parties it was premature and that rollover discussions would be permitted at a later stage. Mr. Rothenberg had raised Moab's interest with Goodwin Procter on 07/03/2013.</t>
        </is>
      </c>
      <c r="I18" s="3" t="inlineStr"/>
      <c r="J18" s="3" t="inlineStr"/>
      <c r="K18" s="3" t="inlineStr">
        <is>
          <t>Stated.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 (p.32–33)</t>
        </is>
      </c>
      <c r="L18" s="4" t="inlineStr">
        <is>
          <t>P-027; P-028</t>
        </is>
      </c>
      <c r="M18" s="3" t="inlineStr"/>
      <c r="N18" s="3" t="inlineStr"/>
      <c r="O18" s="3" t="inlineStr">
        <is>
          <t>R017</t>
        </is>
      </c>
      <c r="P18" s="3" t="inlineStr">
        <is>
          <t>Yes</t>
        </is>
      </c>
      <c r="Q18" s="3" t="n"/>
      <c r="R18" s="5" t="n">
        <v>41461</v>
      </c>
      <c r="S18" s="5" t="n">
        <v>41461</v>
      </c>
      <c r="T18" s="6" t="n">
        <v>41461</v>
      </c>
      <c r="U18" s="3" t="inlineStr">
        <is>
          <t>Reported day</t>
        </is>
      </c>
      <c r="V18" s="3" t="inlineStr">
        <is>
          <t>Reported</t>
        </is>
      </c>
      <c r="W18" s="7" t="n"/>
      <c r="X18" s="7" t="n"/>
      <c r="Y18" s="3" t="inlineStr"/>
      <c r="Z18" s="3" t="inlineStr"/>
      <c r="AA18" s="3" t="inlineStr"/>
      <c r="AB18" s="3" t="inlineStr"/>
      <c r="AC18" s="7" t="n"/>
      <c r="AD18" s="3" t="inlineStr"/>
      <c r="AE18" s="6" t="n"/>
      <c r="AF18" s="3" t="inlineStr"/>
      <c r="AG18" s="3" t="inlineStr"/>
      <c r="AH18" s="3" t="inlineStr"/>
      <c r="AI18" s="2" t="inlineStr"/>
      <c r="AJ18" s="3" t="inlineStr"/>
      <c r="AK18" s="8" t="n">
        <v>32</v>
      </c>
      <c r="AL18" s="3" t="inlineStr">
        <is>
          <t>R008; R049</t>
        </is>
      </c>
      <c r="AM18" s="3" t="inlineStr">
        <is>
          <t>Mac-Gray</t>
        </is>
      </c>
    </row>
    <row r="19">
      <c r="A19" s="2" t="n">
        <v>18</v>
      </c>
      <c r="B19" s="3" t="inlineStr">
        <is>
          <t>07/11/2013</t>
        </is>
      </c>
      <c r="C19" s="3" t="inlineStr">
        <is>
          <t>CSC/Pamplona</t>
        </is>
      </c>
      <c r="D19" s="3" t="inlineStr">
        <is>
          <t>NDA signed</t>
        </is>
      </c>
      <c r="E19" s="2" t="inlineStr">
        <is>
          <t>1</t>
        </is>
      </c>
      <c r="F19" s="2" t="inlineStr">
        <is>
          <t>1</t>
        </is>
      </c>
      <c r="G19" s="2" t="inlineStr">
        <is>
          <t>Strategic</t>
        </is>
      </c>
      <c r="H19" s="3" t="inlineStr">
        <is>
          <t>CSC/Pamplona entered a confidentiality and standstill agreement with Mac-Gray and was provided the informational package. The merger agreement later confirms the July 11, 2013 confidentiality letter agreement among Pamplona Capital Management LLC, Parent and Mac-Gray.</t>
        </is>
      </c>
      <c r="I19" s="3" t="inlineStr"/>
      <c r="J19" s="3" t="inlineStr"/>
      <c r="K19" s="3" t="inlineStr">
        <is>
          <t>Stated. “On July 11, 2013, CSC/Pamplona entered into a confidentiality and standstill agreement with Mac-Gray and were provided with an informational package for the purpose of providing CSC/Pamplona with data to formulate a preliminary indication of interest.” (p.33) “Parent and the Company hereby acknowledge and agree that they are and shall continue to be bound by that certain letter agreement dated as of July 11, 2013, among Pamplona Capital Management LLC, Parent and the Company (the "Confidentiality Agreement").” (Annex A, Section 6.17, p. A-46)</t>
        </is>
      </c>
      <c r="L19" s="4" t="inlineStr">
        <is>
          <t>P-029; X-027</t>
        </is>
      </c>
      <c r="M19" s="3" t="inlineStr">
        <is>
          <t>Q3</t>
        </is>
      </c>
      <c r="N19" s="3" t="inlineStr"/>
      <c r="O19" s="3" t="inlineStr">
        <is>
          <t>R018</t>
        </is>
      </c>
      <c r="P19" s="3" t="inlineStr">
        <is>
          <t>Yes</t>
        </is>
      </c>
      <c r="Q19" s="3" t="n">
        <v>1</v>
      </c>
      <c r="R19" s="5" t="n">
        <v>41466</v>
      </c>
      <c r="S19" s="5" t="n">
        <v>41466</v>
      </c>
      <c r="T19" s="6" t="n">
        <v>41466</v>
      </c>
      <c r="U19" s="3" t="inlineStr">
        <is>
          <t>Reported day</t>
        </is>
      </c>
      <c r="V19" s="3" t="inlineStr">
        <is>
          <t>Reported</t>
        </is>
      </c>
      <c r="W19" s="7" t="n"/>
      <c r="X19" s="7" t="n"/>
      <c r="Y19" s="3" t="inlineStr"/>
      <c r="Z19" s="3" t="inlineStr"/>
      <c r="AA19" s="3" t="inlineStr"/>
      <c r="AB19" s="3" t="inlineStr"/>
      <c r="AC19" s="7" t="n"/>
      <c r="AD19" s="3" t="inlineStr"/>
      <c r="AE19" s="6" t="n"/>
      <c r="AF19" s="3" t="inlineStr"/>
      <c r="AG19" s="3" t="inlineStr"/>
      <c r="AH19" s="3" t="inlineStr"/>
      <c r="AI19" s="2" t="inlineStr"/>
      <c r="AJ19" s="3" t="inlineStr"/>
      <c r="AK19" s="8" t="n">
        <v>33</v>
      </c>
      <c r="AL19" s="3" t="inlineStr">
        <is>
          <t>R020</t>
        </is>
      </c>
      <c r="AM19" s="3" t="inlineStr">
        <is>
          <t>Mac-Gray</t>
        </is>
      </c>
    </row>
    <row r="20">
      <c r="A20" s="2" t="n">
        <v>19</v>
      </c>
      <c r="B20" s="3" t="inlineStr">
        <is>
          <t>07/23/2013 (scheduled due date for preliminary indications)</t>
        </is>
      </c>
      <c r="C20" s="3" t="inlineStr">
        <is>
          <t>NDA signers (solicitation deadline)</t>
        </is>
      </c>
      <c r="D20" s="3" t="inlineStr">
        <is>
          <t>Deadline</t>
        </is>
      </c>
      <c r="E20" s="2" t="inlineStr">
        <is>
          <t>1</t>
        </is>
      </c>
      <c r="F20" s="2" t="inlineStr">
        <is>
          <t>1</t>
        </is>
      </c>
      <c r="G20" s="2" t="inlineStr"/>
      <c r="H20" s="3" t="inlineStr">
        <is>
          <t>Preliminary indications of interest were due 07/23/2013 (deadline set with the launch of the process; see R010). CSC/Pamplona submitted on the due date; Party B (07/24) and Party C (07/24–25) submitted after it and were considered (late bids accepted). No extension is disclosed.</t>
        </is>
      </c>
      <c r="I20" s="3" t="inlineStr"/>
      <c r="J20" s="3" t="inlineStr"/>
      <c r="K20" s="3" t="inlineStr">
        <is>
          <t>Stated (due date reached and operative). “furnished an informational package for the purpose of providing potential bidders with data to formulate a preliminary indication of interest, which they were instructed to submit by July 23, 2013” (p.32); submissions and later consideration documented at P-031, P-032, P-033, P-035.</t>
        </is>
      </c>
      <c r="L20" s="4" t="inlineStr">
        <is>
          <t>P-023; P-031; P-032; P-033; P-035</t>
        </is>
      </c>
      <c r="M20" s="3" t="inlineStr">
        <is>
          <t>Q2</t>
        </is>
      </c>
      <c r="N20" s="3" t="inlineStr"/>
      <c r="O20" s="3" t="inlineStr">
        <is>
          <t>R019</t>
        </is>
      </c>
      <c r="P20" s="3" t="inlineStr">
        <is>
          <t>Yes</t>
        </is>
      </c>
      <c r="Q20" s="3" t="n"/>
      <c r="R20" s="5" t="n">
        <v>41478</v>
      </c>
      <c r="S20" s="5" t="n">
        <v>41478</v>
      </c>
      <c r="T20" s="6" t="n">
        <v>41478</v>
      </c>
      <c r="U20" s="3" t="inlineStr">
        <is>
          <t>Reported day</t>
        </is>
      </c>
      <c r="V20" s="3" t="inlineStr">
        <is>
          <t>Reported</t>
        </is>
      </c>
      <c r="W20" s="7" t="n"/>
      <c r="X20" s="7" t="n"/>
      <c r="Y20" s="3" t="inlineStr"/>
      <c r="Z20" s="3" t="inlineStr"/>
      <c r="AA20" s="3" t="inlineStr"/>
      <c r="AB20" s="3" t="inlineStr"/>
      <c r="AC20" s="7" t="n"/>
      <c r="AD20" s="3" t="inlineStr"/>
      <c r="AE20" s="6" t="n">
        <v>41478</v>
      </c>
      <c r="AF20" s="3" t="inlineStr">
        <is>
          <t>Late bids accepted</t>
        </is>
      </c>
      <c r="AG20" s="3" t="inlineStr"/>
      <c r="AH20" s="3" t="inlineStr"/>
      <c r="AI20" s="2" t="inlineStr"/>
      <c r="AJ20" s="3" t="inlineStr"/>
      <c r="AK20" s="8" t="n">
        <v>32</v>
      </c>
      <c r="AL20" s="3" t="inlineStr">
        <is>
          <t>R011; R020; R021</t>
        </is>
      </c>
      <c r="AM20" s="3" t="inlineStr">
        <is>
          <t>Mac-Gray</t>
        </is>
      </c>
    </row>
    <row r="21">
      <c r="A21" s="2" t="n">
        <v>20</v>
      </c>
      <c r="B21" s="3" t="inlineStr">
        <is>
          <t>07/23/2013</t>
        </is>
      </c>
      <c r="C21" s="3" t="inlineStr">
        <is>
          <t>CSC/Pamplona</t>
        </is>
      </c>
      <c r="D21" s="3" t="inlineStr">
        <is>
          <t>Bid</t>
        </is>
      </c>
      <c r="E21" s="2" t="inlineStr">
        <is>
          <t>1</t>
        </is>
      </c>
      <c r="F21" s="2" t="inlineStr">
        <is>
          <t>1</t>
        </is>
      </c>
      <c r="G21" s="2" t="inlineStr">
        <is>
          <t>Strategic</t>
        </is>
      </c>
      <c r="H21" s="3" t="inlineStr">
        <is>
          <t>Preliminary indication of interest, all-cash $18.50 per share, submitted on the 07/23/2013 deadline. First bid by CSC/Pamplona (NDA 07/11/2013; preliminary review only — no substantive data-site or management access yet, so Heavy by context).</t>
        </is>
      </c>
      <c r="I21" s="3" t="inlineStr">
        <is>
          <t>Informal</t>
        </is>
      </c>
      <c r="J21" s="3" t="inlineStr">
        <is>
          <t>Heavy</t>
        </is>
      </c>
      <c r="K21" s="3" t="inlineStr">
        <is>
          <t>Stated. “On July 23, 2013, CSC/Pamplona submitted a preliminary indication of interest at an all-cash purchase price of $18.50 per share.” (p.33) Context: “Between July 11, 2013 and July 23, 2013, Party B, Party C and CSC/Pamplona engaged in a preliminary review of Mac-Gray and the potential acquisition opportunity.” (p.33); management presentations and data-site access came later (P-042, p.34).</t>
        </is>
      </c>
      <c r="L21" s="4" t="inlineStr">
        <is>
          <t>P-031; P-030; P-042</t>
        </is>
      </c>
      <c r="M21" s="3" t="inlineStr">
        <is>
          <t>Q5</t>
        </is>
      </c>
      <c r="N21" s="3" t="inlineStr"/>
      <c r="O21" s="3" t="inlineStr">
        <is>
          <t>R020</t>
        </is>
      </c>
      <c r="P21" s="3" t="inlineStr">
        <is>
          <t>Yes</t>
        </is>
      </c>
      <c r="Q21" s="3" t="n">
        <v>1</v>
      </c>
      <c r="R21" s="5" t="n">
        <v>41478</v>
      </c>
      <c r="S21" s="5" t="n">
        <v>41478</v>
      </c>
      <c r="T21" s="6" t="n">
        <v>41478</v>
      </c>
      <c r="U21" s="3" t="inlineStr">
        <is>
          <t>Reported day</t>
        </is>
      </c>
      <c r="V21" s="3" t="inlineStr">
        <is>
          <t>Reported</t>
        </is>
      </c>
      <c r="W21" s="7" t="n">
        <v>18.5</v>
      </c>
      <c r="X21" s="7" t="n">
        <v>18.5</v>
      </c>
      <c r="Y21" s="3" t="inlineStr">
        <is>
          <t>Point</t>
        </is>
      </c>
      <c r="Z21" s="3" t="inlineStr">
        <is>
          <t>Stated</t>
        </is>
      </c>
      <c r="AA21" s="3" t="inlineStr">
        <is>
          <t>USD</t>
        </is>
      </c>
      <c r="AB21" s="3" t="inlineStr">
        <is>
          <t>Yes</t>
        </is>
      </c>
      <c r="AC21" s="7" t="n">
        <v>18.5</v>
      </c>
      <c r="AD21" s="3" t="inlineStr">
        <is>
          <t>Fin: not stated; DD required: not stated; DD open: yes; Excl: not stated</t>
        </is>
      </c>
      <c r="AE21" s="6" t="n"/>
      <c r="AF21" s="3" t="inlineStr"/>
      <c r="AG21" s="3" t="inlineStr"/>
      <c r="AH21" s="3" t="inlineStr"/>
      <c r="AI21" s="2" t="inlineStr"/>
      <c r="AJ21" s="3" t="inlineStr"/>
      <c r="AK21" s="8" t="n">
        <v>33</v>
      </c>
      <c r="AL21" s="3" t="inlineStr">
        <is>
          <t>R018; R029</t>
        </is>
      </c>
      <c r="AM21" s="3" t="inlineStr">
        <is>
          <t>Mac-Gray</t>
        </is>
      </c>
    </row>
    <row r="22">
      <c r="A22" s="2" t="n">
        <v>21</v>
      </c>
      <c r="B22" s="3" t="inlineStr">
        <is>
          <t>by 07/23/2013</t>
        </is>
      </c>
      <c r="C22" s="3" t="inlineStr">
        <is>
          <t>16 residual financial NDA signers</t>
        </is>
      </c>
      <c r="D22" s="3" t="inlineStr">
        <is>
          <t>Did not submit</t>
        </is>
      </c>
      <c r="E22" s="2" t="inlineStr">
        <is>
          <t>1</t>
        </is>
      </c>
      <c r="F22" s="2" t="inlineStr">
        <is>
          <t>1</t>
        </is>
      </c>
      <c r="G22" s="2" t="inlineStr">
        <is>
          <t>Financial</t>
        </is>
      </c>
      <c r="H22" s="3" t="inlineStr">
        <is>
          <t>Inferred: residual — 20 NDA signers (2 strategic + 18 financial) − 4 individually recorded participants (Party A, Party B, Party C, CSC/Pamplona) = 16 residual financial signers with no preliminary indication of interest submitted by the 07/23/2013 deadline; the filing names no other submitters, and the 07/25/2013 Special Committee review addressed only Party B, Party C, CSC/Pamplona and the standing Party A proposal. Base assumes the residual signers had signed by and were eligible for the solicitation; the filing dates their signatures only as a two-month window. No motive, identity or voluntary withdrawal inferred.</t>
        </is>
      </c>
      <c r="I22" s="3" t="inlineStr"/>
      <c r="J22" s="3" t="inlineStr"/>
      <c r="K22" s="3" t="inlineStr">
        <is>
          <t>Inferred: residual. “a total of 20 potential bidders, including two strategic bidders (Party A and CSC/Pamplona) and 18 financial bidders (including Party B and Party C), entered into confidentiality agreements” (P-023, p.32); “representatives of BofA Merrill Lynch reviewed the preliminary indications of interest received from Party B, Party C and CSC/Pamplona as well as the Party A June 21 proposal” (P-033, p.33). Arithmetic: 20 − 4 = 16.</t>
        </is>
      </c>
      <c r="L22" s="4" t="inlineStr">
        <is>
          <t>P-023; P-033</t>
        </is>
      </c>
      <c r="M22" s="3" t="inlineStr">
        <is>
          <t>Q3; Q4</t>
        </is>
      </c>
      <c r="N22" s="3" t="inlineStr"/>
      <c r="O22" s="3" t="inlineStr">
        <is>
          <t>R021</t>
        </is>
      </c>
      <c r="P22" s="3" t="inlineStr">
        <is>
          <t>Yes</t>
        </is>
      </c>
      <c r="Q22" s="3" t="n">
        <v>16</v>
      </c>
      <c r="R22" s="5" t="n"/>
      <c r="S22" s="5" t="n">
        <v>41478</v>
      </c>
      <c r="T22" s="6" t="n">
        <v>41478</v>
      </c>
      <c r="U22" s="3" t="inlineStr">
        <is>
          <t>Relative only</t>
        </is>
      </c>
      <c r="V22" s="3" t="inlineStr">
        <is>
          <t>Assigned: deadline</t>
        </is>
      </c>
      <c r="W22" s="7" t="n"/>
      <c r="X22" s="7" t="n"/>
      <c r="Y22" s="3" t="inlineStr"/>
      <c r="Z22" s="3" t="inlineStr"/>
      <c r="AA22" s="3" t="inlineStr"/>
      <c r="AB22" s="3" t="inlineStr"/>
      <c r="AC22" s="7" t="n"/>
      <c r="AD22" s="3" t="inlineStr"/>
      <c r="AE22" s="6" t="n"/>
      <c r="AF22" s="3" t="inlineStr"/>
      <c r="AG22" s="3" t="inlineStr"/>
      <c r="AH22" s="3" t="inlineStr">
        <is>
          <t>Unknown</t>
        </is>
      </c>
      <c r="AI22" s="2" t="inlineStr">
        <is>
          <t>Not stated</t>
        </is>
      </c>
      <c r="AJ22" s="3" t="inlineStr">
        <is>
          <t>Inferred: residual</t>
        </is>
      </c>
      <c r="AK22" s="8" t="n">
        <v>33</v>
      </c>
      <c r="AL22" s="3" t="inlineStr">
        <is>
          <t>R014; R019</t>
        </is>
      </c>
      <c r="AM22" s="3" t="inlineStr">
        <is>
          <t>Mac-Gray</t>
        </is>
      </c>
    </row>
    <row r="23">
      <c r="A23" s="2" t="n">
        <v>22</v>
      </c>
      <c r="B23" s="3" t="inlineStr">
        <is>
          <t>07/24/2013 (one day after the 07/23/2013 due date)</t>
        </is>
      </c>
      <c r="C23" s="3" t="inlineStr">
        <is>
          <t>Party B</t>
        </is>
      </c>
      <c r="D23" s="3" t="inlineStr">
        <is>
          <t>Bid</t>
        </is>
      </c>
      <c r="E23" s="2" t="inlineStr">
        <is>
          <t>1</t>
        </is>
      </c>
      <c r="F23" s="2" t="inlineStr">
        <is>
          <t>1</t>
        </is>
      </c>
      <c r="G23" s="2" t="inlineStr">
        <is>
          <t>Financial</t>
        </is>
      </c>
      <c r="H23" s="3" t="inlineStr">
        <is>
          <t>Preliminary indication of interest, all-cash $17.00–$18.00 per share, submitted after the 07/23/2013 due date and considered at the 07/25/2013 Special Committee meeting (late bid accepted). Preliminary review only; Heavy by context.</t>
        </is>
      </c>
      <c r="I23" s="3" t="inlineStr">
        <is>
          <t>Informal</t>
        </is>
      </c>
      <c r="J23" s="3" t="inlineStr">
        <is>
          <t>Heavy</t>
        </is>
      </c>
      <c r="K23" s="3" t="inlineStr">
        <is>
          <t>Stated. “On July 24, 2013, Party B submitted a preliminary indication of interest at an all-cash purchase price of $17.00 to $18.00 per share.” (p.33) Considered: “reviewed the preliminary indications of interest received from Party B, Party C and CSC/Pamplona” (p.33).</t>
        </is>
      </c>
      <c r="L23" s="4" t="inlineStr">
        <is>
          <t>P-032; P-033</t>
        </is>
      </c>
      <c r="M23" s="3" t="inlineStr">
        <is>
          <t>Q2; Q5</t>
        </is>
      </c>
      <c r="N23" s="3" t="inlineStr"/>
      <c r="O23" s="3" t="inlineStr">
        <is>
          <t>R022</t>
        </is>
      </c>
      <c r="P23" s="3" t="inlineStr">
        <is>
          <t>Yes</t>
        </is>
      </c>
      <c r="Q23" s="3" t="n">
        <v>1</v>
      </c>
      <c r="R23" s="5" t="n">
        <v>41479</v>
      </c>
      <c r="S23" s="5" t="n">
        <v>41479</v>
      </c>
      <c r="T23" s="6" t="n">
        <v>41479</v>
      </c>
      <c r="U23" s="3" t="inlineStr">
        <is>
          <t>Reported day</t>
        </is>
      </c>
      <c r="V23" s="3" t="inlineStr">
        <is>
          <t>Reported</t>
        </is>
      </c>
      <c r="W23" s="7" t="n">
        <v>17</v>
      </c>
      <c r="X23" s="7" t="n">
        <v>18</v>
      </c>
      <c r="Y23" s="3" t="inlineStr">
        <is>
          <t>Bidder range</t>
        </is>
      </c>
      <c r="Z23" s="3" t="inlineStr">
        <is>
          <t>Stated</t>
        </is>
      </c>
      <c r="AA23" s="3" t="inlineStr">
        <is>
          <t>USD</t>
        </is>
      </c>
      <c r="AB23" s="3" t="inlineStr">
        <is>
          <t>Yes</t>
        </is>
      </c>
      <c r="AC23" s="7" t="inlineStr"/>
      <c r="AD23" s="3" t="inlineStr">
        <is>
          <t>Fin: not stated; DD required: not stated; DD open: yes; Excl: not stated</t>
        </is>
      </c>
      <c r="AE23" s="6" t="n"/>
      <c r="AF23" s="3" t="inlineStr"/>
      <c r="AG23" s="3" t="inlineStr"/>
      <c r="AH23" s="3" t="inlineStr"/>
      <c r="AI23" s="2" t="inlineStr"/>
      <c r="AJ23" s="3" t="inlineStr"/>
      <c r="AK23" s="8" t="n">
        <v>33</v>
      </c>
      <c r="AL23" s="3" t="inlineStr">
        <is>
          <t>R015; R030</t>
        </is>
      </c>
      <c r="AM23" s="3" t="inlineStr">
        <is>
          <t>Mac-Gray</t>
        </is>
      </c>
    </row>
    <row r="24">
      <c r="A24" s="2" t="n">
        <v>23</v>
      </c>
      <c r="B24" s="3" t="inlineStr">
        <is>
          <t>07/24/2013–07/25/2013 (oral indication 07/24; written indication 07/25)</t>
        </is>
      </c>
      <c r="C24" s="3" t="inlineStr">
        <is>
          <t>Party C</t>
        </is>
      </c>
      <c r="D24" s="3" t="inlineStr">
        <is>
          <t>Bid</t>
        </is>
      </c>
      <c r="E24" s="2" t="inlineStr">
        <is>
          <t>1</t>
        </is>
      </c>
      <c r="F24" s="2" t="inlineStr">
        <is>
          <t>1</t>
        </is>
      </c>
      <c r="G24" s="2" t="inlineStr">
        <is>
          <t>Financial</t>
        </is>
      </c>
      <c r="H24" s="3" t="inlineStr">
        <is>
          <t>Oral preliminary indication of interest 07/24/2013 at $15.00–$17.00 per share, followed by a written indication of interest 07/25/2013 at $16.00–$16.50 per share; treated as one bid (an IOI and its written offer are one submission). The written indication came after the 07/23/2013 due date and was considered (late bid accepted). Preliminary review only; Heavy by context.</t>
        </is>
      </c>
      <c r="I24" s="3" t="inlineStr">
        <is>
          <t>Informal</t>
        </is>
      </c>
      <c r="J24" s="3" t="inlineStr">
        <is>
          <t>Heavy</t>
        </is>
      </c>
      <c r="K24" s="3" t="inlineStr">
        <is>
          <t>Stated. “representatives from Party C called BofA Merrill Lynch and presented an oral preliminary indication of interest at an all-cash purchase price of $15.00 to $17.00 per share” (p.33). “Later on July 25, 2013, Party C submitted a written indication of interest at an all-cash purchase price of $16.00 to $16.50 per share.” (p.34) Considered at the 07/25/2013 Special Committee meeting (P-033, p.33).</t>
        </is>
      </c>
      <c r="L24" s="4" t="inlineStr">
        <is>
          <t>P-032; P-033; P-035</t>
        </is>
      </c>
      <c r="M24" s="3" t="inlineStr">
        <is>
          <t>Q2; Q5; Q7</t>
        </is>
      </c>
      <c r="N24" s="3" t="inlineStr"/>
      <c r="O24" s="3" t="inlineStr">
        <is>
          <t>R023</t>
        </is>
      </c>
      <c r="P24" s="3" t="inlineStr">
        <is>
          <t>Yes</t>
        </is>
      </c>
      <c r="Q24" s="3" t="n">
        <v>1</v>
      </c>
      <c r="R24" s="5" t="n">
        <v>41479</v>
      </c>
      <c r="S24" s="5" t="n">
        <v>41480</v>
      </c>
      <c r="T24" s="6" t="n">
        <v>41479</v>
      </c>
      <c r="U24" s="3" t="inlineStr">
        <is>
          <t>Reported interval</t>
        </is>
      </c>
      <c r="V24" s="3" t="inlineStr">
        <is>
          <t>Assigned: bound</t>
        </is>
      </c>
      <c r="W24" s="7" t="n">
        <v>16</v>
      </c>
      <c r="X24" s="7" t="n">
        <v>16.5</v>
      </c>
      <c r="Y24" s="3" t="inlineStr">
        <is>
          <t>Bidder range</t>
        </is>
      </c>
      <c r="Z24" s="3" t="inlineStr">
        <is>
          <t>Stated</t>
        </is>
      </c>
      <c r="AA24" s="3" t="inlineStr">
        <is>
          <t>USD</t>
        </is>
      </c>
      <c r="AB24" s="3" t="inlineStr">
        <is>
          <t>Yes</t>
        </is>
      </c>
      <c r="AC24" s="7" t="inlineStr"/>
      <c r="AD24" s="3" t="inlineStr">
        <is>
          <t>Fin: not stated; DD required: not stated; DD open: yes; Excl: not stated</t>
        </is>
      </c>
      <c r="AE24" s="6" t="n"/>
      <c r="AF24" s="3" t="inlineStr"/>
      <c r="AG24" s="3" t="inlineStr"/>
      <c r="AH24" s="3" t="inlineStr"/>
      <c r="AI24" s="2" t="inlineStr"/>
      <c r="AJ24" s="3" t="inlineStr"/>
      <c r="AK24" s="8" t="n">
        <v>34</v>
      </c>
      <c r="AL24" s="3" t="inlineStr">
        <is>
          <t>R016; R032</t>
        </is>
      </c>
      <c r="AM24" s="3" t="inlineStr">
        <is>
          <t>Mac-Gray</t>
        </is>
      </c>
    </row>
    <row r="25">
      <c r="A25" s="2" t="n">
        <v>24</v>
      </c>
      <c r="B25" s="3" t="inlineStr">
        <is>
          <t>07/25/2013</t>
        </is>
      </c>
      <c r="C25" s="3" t="inlineStr">
        <is>
          <t>Special Committee</t>
        </is>
      </c>
      <c r="D25" s="3" t="inlineStr">
        <is>
          <t>Round opened</t>
        </is>
      </c>
      <c r="E25" s="2" t="inlineStr">
        <is>
          <t>1</t>
        </is>
      </c>
      <c r="F25" s="2" t="inlineStr">
        <is>
          <t>2</t>
        </is>
      </c>
      <c r="G25" s="2" t="inlineStr"/>
      <c r="H25" s="3" t="inlineStr">
        <is>
          <t>Round 2 opened: Special Committee reviewed the three preliminary indications (Party B, Party C, CSC/Pamplona) and the still-standing Party A June 21 proposal; indications were lower than expected; adopted staged disclosure of sensitive information for the second stage. Authorized BofA to arrange management presentations and high-level information access with the four interested bidders (Party A conditional on executing its NDA; synergies discussions for Party A and CSC/Pamplona) and thereafter to request revised indications. Mr. Rothenberg to recuse himself for the duration of the process (continuing rollover interest). Round finality: Not final — revised written proposals were sought only to continue in the process; no finality signal. Round-2 bidders: Party A, Party B, Party C, CSC/Pamplona (4 units).</t>
        </is>
      </c>
      <c r="I25" s="3" t="inlineStr"/>
      <c r="J25" s="3" t="inlineStr"/>
      <c r="K25" s="3" t="inlineStr">
        <is>
          <t>Stated.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“the Special Committee authorized and instructed BofA Merrill Lynch to proceed with the staged disclosure as discussed at this meeting and to reach out to each of the four interested bidders and arrange management meetings” (both p.33–34). “decided that Mr. Rothenberg should be asked to recuse himself from participating in Board meetings for the duration of the sale process” (p.33).</t>
        </is>
      </c>
      <c r="L25" s="4" t="inlineStr">
        <is>
          <t>P-033; P-034</t>
        </is>
      </c>
      <c r="M25" s="3" t="inlineStr">
        <is>
          <t>Q1</t>
        </is>
      </c>
      <c r="N25" s="3" t="inlineStr"/>
      <c r="O25" s="3" t="inlineStr">
        <is>
          <t>R024</t>
        </is>
      </c>
      <c r="P25" s="3" t="inlineStr">
        <is>
          <t>Yes</t>
        </is>
      </c>
      <c r="Q25" s="3" t="n"/>
      <c r="R25" s="5" t="n">
        <v>41480</v>
      </c>
      <c r="S25" s="5" t="n">
        <v>41480</v>
      </c>
      <c r="T25" s="6" t="n">
        <v>41480</v>
      </c>
      <c r="U25" s="3" t="inlineStr">
        <is>
          <t>Reported day</t>
        </is>
      </c>
      <c r="V25" s="3" t="inlineStr">
        <is>
          <t>Reported</t>
        </is>
      </c>
      <c r="W25" s="7" t="n"/>
      <c r="X25" s="7" t="n"/>
      <c r="Y25" s="3" t="inlineStr"/>
      <c r="Z25" s="3" t="inlineStr"/>
      <c r="AA25" s="3" t="inlineStr"/>
      <c r="AB25" s="3" t="inlineStr"/>
      <c r="AC25" s="7" t="n"/>
      <c r="AD25" s="3" t="inlineStr"/>
      <c r="AE25" s="6" t="n"/>
      <c r="AF25" s="3" t="inlineStr"/>
      <c r="AG25" s="3" t="inlineStr">
        <is>
          <t>Not final</t>
        </is>
      </c>
      <c r="AH25" s="3" t="inlineStr"/>
      <c r="AI25" s="2" t="inlineStr"/>
      <c r="AJ25" s="3" t="inlineStr"/>
      <c r="AK25" s="8" t="n">
        <v>34</v>
      </c>
      <c r="AL25" s="3" t="inlineStr">
        <is>
          <t>R011; R025; R026</t>
        </is>
      </c>
      <c r="AM25" s="3" t="inlineStr">
        <is>
          <t>Mac-Gray</t>
        </is>
      </c>
    </row>
    <row r="26">
      <c r="A26" s="2" t="n">
        <v>25</v>
      </c>
      <c r="B26" s="3" t="inlineStr">
        <is>
          <t>08/05/2013 (negotiations from 07/11–07/23; resumed 07/27)</t>
        </is>
      </c>
      <c r="C26" s="3" t="inlineStr">
        <is>
          <t>Party A</t>
        </is>
      </c>
      <c r="D26" s="3" t="inlineStr">
        <is>
          <t>NDA signed</t>
        </is>
      </c>
      <c r="E26" s="2" t="inlineStr">
        <is>
          <t>1</t>
        </is>
      </c>
      <c r="F26" s="2" t="inlineStr">
        <is>
          <t>2</t>
        </is>
      </c>
      <c r="G26" s="2" t="inlineStr">
        <is>
          <t>Strategic</t>
        </is>
      </c>
      <c r="H26" s="3" t="inlineStr">
        <is>
          <t>Party A entered a confidentiality and standstill agreement with Mac-Gray and received the informational package to potentially improve its June 21 proposal. Non-solicitation terms were agreed with the Transaction Committee on 07/27/2013 (the filing prints “July 27, 2103” — a typo retained; the supported reading is 07/27/2013). Party A's standing round-0 proposal remained under consideration.</t>
        </is>
      </c>
      <c r="I26" s="3" t="inlineStr"/>
      <c r="J26" s="3" t="inlineStr"/>
      <c r="K26" s="3" t="inlineStr">
        <is>
          <t>Stated. “Discussions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 (p.34) Wording of the source typo preserved; proposed corrected date 07/27/2013 (see Q7).</t>
        </is>
      </c>
      <c r="L26" s="4" t="inlineStr">
        <is>
          <t>P-030; P-036</t>
        </is>
      </c>
      <c r="M26" s="3" t="inlineStr">
        <is>
          <t>Q3; Q7</t>
        </is>
      </c>
      <c r="N26" s="3" t="inlineStr"/>
      <c r="O26" s="3" t="inlineStr">
        <is>
          <t>R025</t>
        </is>
      </c>
      <c r="P26" s="3" t="inlineStr">
        <is>
          <t>Yes</t>
        </is>
      </c>
      <c r="Q26" s="3" t="n">
        <v>1</v>
      </c>
      <c r="R26" s="5" t="n">
        <v>41491</v>
      </c>
      <c r="S26" s="5" t="n">
        <v>41491</v>
      </c>
      <c r="T26" s="6" t="n">
        <v>41491</v>
      </c>
      <c r="U26" s="3" t="inlineStr">
        <is>
          <t>Reported day</t>
        </is>
      </c>
      <c r="V26" s="3" t="inlineStr">
        <is>
          <t>Reported</t>
        </is>
      </c>
      <c r="W26" s="7" t="n"/>
      <c r="X26" s="7" t="n"/>
      <c r="Y26" s="3" t="inlineStr"/>
      <c r="Z26" s="3" t="inlineStr"/>
      <c r="AA26" s="3" t="inlineStr"/>
      <c r="AB26" s="3" t="inlineStr"/>
      <c r="AC26" s="7" t="n"/>
      <c r="AD26" s="3" t="inlineStr"/>
      <c r="AE26" s="6" t="n"/>
      <c r="AF26" s="3" t="inlineStr"/>
      <c r="AG26" s="3" t="inlineStr"/>
      <c r="AH26" s="3" t="inlineStr"/>
      <c r="AI26" s="2" t="inlineStr"/>
      <c r="AJ26" s="3" t="inlineStr"/>
      <c r="AK26" s="8" t="n">
        <v>34</v>
      </c>
      <c r="AL26" s="3" t="inlineStr">
        <is>
          <t>R010; R026</t>
        </is>
      </c>
      <c r="AM26" s="3" t="inlineStr">
        <is>
          <t>Mac-Gray</t>
        </is>
      </c>
    </row>
    <row r="27">
      <c r="A27" s="2" t="n">
        <v>26</v>
      </c>
      <c r="B27" s="3" t="inlineStr">
        <is>
          <t>08/06/2013–08/27/2013 (staged access during diligence)</t>
        </is>
      </c>
      <c r="C27" s="3" t="inlineStr">
        <is>
          <t>Mac-Gray/BofA Merrill Lynch → Party A, Party B, Party C, CSC/Pamplona</t>
        </is>
      </c>
      <c r="D27" s="3" t="inlineStr">
        <is>
          <t>Information access changed</t>
        </is>
      </c>
      <c r="E27" s="2" t="inlineStr">
        <is>
          <t>1</t>
        </is>
      </c>
      <c r="F27" s="2" t="inlineStr">
        <is>
          <t>2</t>
        </is>
      </c>
      <c r="G27" s="2" t="inlineStr"/>
      <c r="H27" s="3" t="inlineStr">
        <is>
          <t>Differentiated, staged access among the four live bidders: Party B and Party C (financial bidders) received broad access to the electronic data site; Party A and CSC/Pamplona (strategic bidders) received somewhat limited access, with customer data (including locations) reserved until later in the process. Stated rationale: risk of misuse of sensitive competitive information by strategic bidders (07/25/2013 staging decision). Management presentations were held for each advanced bidder (B 08/06; C 08/08; CSC/Pamplona 08/12; A 08/14); Party A and CSC/Pamplona also held synergies discussions with management.</t>
        </is>
      </c>
      <c r="I27" s="3" t="inlineStr"/>
      <c r="J27" s="3" t="inlineStr"/>
      <c r="K27" s="3" t="inlineStr">
        <is>
          <t>Stated.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25th Special Committee meeting.” “both Party A and CSC/Pamplona participated in discussions with members of Mac-Gray management around synergies.” (both p.34) Presentations at P-037–P-040 (p.34).</t>
        </is>
      </c>
      <c r="L27" s="4" t="inlineStr">
        <is>
          <t>P-033; P-034; P-037; P-038; P-039; P-040; P-041; P-042</t>
        </is>
      </c>
      <c r="M27" s="3" t="inlineStr"/>
      <c r="N27" s="3" t="inlineStr"/>
      <c r="O27" s="3" t="inlineStr">
        <is>
          <t>R026</t>
        </is>
      </c>
      <c r="P27" s="3" t="inlineStr">
        <is>
          <t>Yes</t>
        </is>
      </c>
      <c r="Q27" s="3" t="n"/>
      <c r="R27" s="5" t="n">
        <v>41492</v>
      </c>
      <c r="S27" s="5" t="n">
        <v>41513</v>
      </c>
      <c r="T27" s="6" t="n">
        <v>41492</v>
      </c>
      <c r="U27" s="3" t="inlineStr">
        <is>
          <t>Reported interval</t>
        </is>
      </c>
      <c r="V27" s="3" t="inlineStr">
        <is>
          <t>Assigned: bound</t>
        </is>
      </c>
      <c r="W27" s="7" t="n"/>
      <c r="X27" s="7" t="n"/>
      <c r="Y27" s="3" t="inlineStr"/>
      <c r="Z27" s="3" t="inlineStr"/>
      <c r="AA27" s="3" t="inlineStr"/>
      <c r="AB27" s="3" t="inlineStr"/>
      <c r="AC27" s="7" t="n"/>
      <c r="AD27" s="3" t="inlineStr"/>
      <c r="AE27" s="6" t="n"/>
      <c r="AF27" s="3" t="inlineStr"/>
      <c r="AG27" s="3" t="inlineStr"/>
      <c r="AH27" s="3" t="inlineStr"/>
      <c r="AI27" s="2" t="inlineStr"/>
      <c r="AJ27" s="3" t="inlineStr"/>
      <c r="AK27" s="8" t="n">
        <v>34</v>
      </c>
      <c r="AL27" s="3" t="inlineStr">
        <is>
          <t>R024</t>
        </is>
      </c>
      <c r="AM27" s="3" t="inlineStr">
        <is>
          <t>Mac-Gray</t>
        </is>
      </c>
    </row>
    <row r="28">
      <c r="A28" s="2" t="n">
        <v>27</v>
      </c>
      <c r="B28" s="3" t="inlineStr">
        <is>
          <t>08/27/2013</t>
        </is>
      </c>
      <c r="C28" s="3" t="inlineStr">
        <is>
          <t>BofA Merrill Lynch (for the Special Committee)</t>
        </is>
      </c>
      <c r="D28" s="3" t="inlineStr">
        <is>
          <t>Deadline set</t>
        </is>
      </c>
      <c r="E28" s="2" t="inlineStr">
        <is>
          <t>1</t>
        </is>
      </c>
      <c r="F28" s="2" t="inlineStr">
        <is>
          <t>2</t>
        </is>
      </c>
      <c r="G28" s="2" t="inlineStr"/>
      <c r="H28" s="3" t="inlineStr">
        <is>
          <t>Following the 08/15/2013 Special Committee authorization, BofA sent a letter to each of Party A, Party B, Party C and CSC/Pamplona requesting revised written proposals no later than 09/09/2013 to continue in the process and pursue in-depth confirmatory diligence; the letter asked for valuation, financing sources/structure, regulatory approvals, post-signing covenants and diligence focus areas.</t>
        </is>
      </c>
      <c r="I28" s="3" t="inlineStr"/>
      <c r="J28" s="3" t="inlineStr"/>
      <c r="K28" s="3" t="inlineStr">
        <is>
          <t>Stated.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 Authorization: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(p.34).</t>
        </is>
      </c>
      <c r="L28" s="4" t="inlineStr">
        <is>
          <t>P-041; P-043</t>
        </is>
      </c>
      <c r="M28" s="3" t="inlineStr">
        <is>
          <t>Q2</t>
        </is>
      </c>
      <c r="N28" s="3" t="inlineStr"/>
      <c r="O28" s="3" t="inlineStr">
        <is>
          <t>R027</t>
        </is>
      </c>
      <c r="P28" s="3" t="inlineStr">
        <is>
          <t>Yes</t>
        </is>
      </c>
      <c r="Q28" s="3" t="n"/>
      <c r="R28" s="5" t="n">
        <v>41513</v>
      </c>
      <c r="S28" s="5" t="n">
        <v>41513</v>
      </c>
      <c r="T28" s="6" t="n">
        <v>41513</v>
      </c>
      <c r="U28" s="3" t="inlineStr">
        <is>
          <t>Reported day</t>
        </is>
      </c>
      <c r="V28" s="3" t="inlineStr">
        <is>
          <t>Reported</t>
        </is>
      </c>
      <c r="W28" s="7" t="n"/>
      <c r="X28" s="7" t="n"/>
      <c r="Y28" s="3" t="inlineStr"/>
      <c r="Z28" s="3" t="inlineStr"/>
      <c r="AA28" s="3" t="inlineStr"/>
      <c r="AB28" s="3" t="inlineStr"/>
      <c r="AC28" s="7" t="n"/>
      <c r="AD28" s="3" t="inlineStr"/>
      <c r="AE28" s="6" t="n">
        <v>41526</v>
      </c>
      <c r="AF28" s="3" t="inlineStr"/>
      <c r="AG28" s="3" t="inlineStr"/>
      <c r="AH28" s="3" t="inlineStr"/>
      <c r="AI28" s="2" t="inlineStr"/>
      <c r="AJ28" s="3" t="inlineStr"/>
      <c r="AK28" s="8" t="n">
        <v>35</v>
      </c>
      <c r="AL28" s="3" t="inlineStr">
        <is>
          <t>R028</t>
        </is>
      </c>
      <c r="AM28" s="3" t="inlineStr">
        <is>
          <t>Mac-Gray</t>
        </is>
      </c>
    </row>
    <row r="29">
      <c r="A29" s="2" t="n">
        <v>28</v>
      </c>
      <c r="B29" s="3" t="inlineStr">
        <is>
          <t>09/09/2013 (scheduled due date for revised written proposals)</t>
        </is>
      </c>
      <c r="C29" s="3" t="inlineStr">
        <is>
          <t>Party A, Party B, Party C, CSC/Pamplona (solicitation deadline)</t>
        </is>
      </c>
      <c r="D29" s="3" t="inlineStr">
        <is>
          <t>Deadline</t>
        </is>
      </c>
      <c r="E29" s="2" t="inlineStr">
        <is>
          <t>1</t>
        </is>
      </c>
      <c r="F29" s="2" t="inlineStr">
        <is>
          <t>2</t>
        </is>
      </c>
      <c r="G29" s="2" t="inlineStr"/>
      <c r="H29" s="3" t="inlineStr">
        <is>
          <t>Revised written proposals were due 09/09/2013. CSC/Pamplona and Party B submitted on the due date; Party A and Party C submitted on 09/10/2013 and were considered at the 09/11/2013 Special Committee meeting (late bids accepted; no extension disclosed).</t>
        </is>
      </c>
      <c r="I29" s="3" t="inlineStr"/>
      <c r="J29" s="3" t="inlineStr"/>
      <c r="K29" s="3" t="inlineStr">
        <is>
          <t>Stated (due date reached and operative). “instructing such bidders to submit revised written proposals no later than September 9, 2013” (p.35); submissions at P-047 and P-048; considered: “the Special Committee held a telephonic meeting to review the revised indications of interest submitted by Party A, Party B, Party C and CSC/Pamplona” on 09/11/2013 (P-050, p.35).</t>
        </is>
      </c>
      <c r="L29" s="4" t="inlineStr">
        <is>
          <t>P-043; P-047; P-048; P-050</t>
        </is>
      </c>
      <c r="M29" s="3" t="inlineStr">
        <is>
          <t>Q2</t>
        </is>
      </c>
      <c r="N29" s="3" t="inlineStr"/>
      <c r="O29" s="3" t="inlineStr">
        <is>
          <t>R028</t>
        </is>
      </c>
      <c r="P29" s="3" t="inlineStr">
        <is>
          <t>Yes</t>
        </is>
      </c>
      <c r="Q29" s="3" t="n"/>
      <c r="R29" s="5" t="n">
        <v>41526</v>
      </c>
      <c r="S29" s="5" t="n">
        <v>41526</v>
      </c>
      <c r="T29" s="6" t="n">
        <v>41526</v>
      </c>
      <c r="U29" s="3" t="inlineStr">
        <is>
          <t>Reported day</t>
        </is>
      </c>
      <c r="V29" s="3" t="inlineStr">
        <is>
          <t>Reported</t>
        </is>
      </c>
      <c r="W29" s="7" t="n"/>
      <c r="X29" s="7" t="n"/>
      <c r="Y29" s="3" t="inlineStr"/>
      <c r="Z29" s="3" t="inlineStr"/>
      <c r="AA29" s="3" t="inlineStr"/>
      <c r="AB29" s="3" t="inlineStr"/>
      <c r="AC29" s="7" t="n"/>
      <c r="AD29" s="3" t="inlineStr"/>
      <c r="AE29" s="6" t="n">
        <v>41526</v>
      </c>
      <c r="AF29" s="3" t="inlineStr">
        <is>
          <t>Late bids accepted</t>
        </is>
      </c>
      <c r="AG29" s="3" t="inlineStr"/>
      <c r="AH29" s="3" t="inlineStr"/>
      <c r="AI29" s="2" t="inlineStr"/>
      <c r="AJ29" s="3" t="inlineStr"/>
      <c r="AK29" s="8" t="n">
        <v>35</v>
      </c>
      <c r="AL29" s="3" t="inlineStr">
        <is>
          <t>R027; R029; R030</t>
        </is>
      </c>
      <c r="AM29" s="3" t="inlineStr">
        <is>
          <t>Mac-Gray</t>
        </is>
      </c>
    </row>
    <row r="30">
      <c r="A30" s="2" t="n">
        <v>29</v>
      </c>
      <c r="B30" s="3" t="inlineStr">
        <is>
          <t>09/09/2013</t>
        </is>
      </c>
      <c r="C30" s="3" t="inlineStr">
        <is>
          <t>CSC/Pamplona</t>
        </is>
      </c>
      <c r="D30" s="3" t="inlineStr">
        <is>
          <t>Bid</t>
        </is>
      </c>
      <c r="E30" s="2" t="inlineStr">
        <is>
          <t>1</t>
        </is>
      </c>
      <c r="F30" s="2" t="inlineStr">
        <is>
          <t>2</t>
        </is>
      </c>
      <c r="G30" s="2" t="inlineStr">
        <is>
          <t>Strategic</t>
        </is>
      </c>
      <c r="H30" s="3" t="inlineStr">
        <is>
          <t>Revised indication of interest: all-cash $19.50 per share; Pamplona committed to provide 100% of the capital required to consummate the transaction; requested two weeks of exclusive negotiations. Light: committed financing, no diligence condition reported (exclusivity request does not change the level).</t>
        </is>
      </c>
      <c r="I30" s="3" t="inlineStr">
        <is>
          <t>Informal</t>
        </is>
      </c>
      <c r="J30" s="3" t="inlineStr">
        <is>
          <t>Light</t>
        </is>
      </c>
      <c r="K30" s="3" t="inlineStr">
        <is>
          <t>Stated.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t>
        </is>
      </c>
      <c r="L30" s="4" t="inlineStr">
        <is>
          <t>P-047</t>
        </is>
      </c>
      <c r="M30" s="3" t="inlineStr">
        <is>
          <t>Q5</t>
        </is>
      </c>
      <c r="N30" s="3" t="inlineStr"/>
      <c r="O30" s="3" t="inlineStr">
        <is>
          <t>R029</t>
        </is>
      </c>
      <c r="P30" s="3" t="inlineStr">
        <is>
          <t>Yes</t>
        </is>
      </c>
      <c r="Q30" s="3" t="n">
        <v>1</v>
      </c>
      <c r="R30" s="5" t="n">
        <v>41526</v>
      </c>
      <c r="S30" s="5" t="n">
        <v>41526</v>
      </c>
      <c r="T30" s="6" t="n">
        <v>41526</v>
      </c>
      <c r="U30" s="3" t="inlineStr">
        <is>
          <t>Reported day</t>
        </is>
      </c>
      <c r="V30" s="3" t="inlineStr">
        <is>
          <t>Reported</t>
        </is>
      </c>
      <c r="W30" s="7" t="n">
        <v>19.5</v>
      </c>
      <c r="X30" s="7" t="n">
        <v>19.5</v>
      </c>
      <c r="Y30" s="3" t="inlineStr">
        <is>
          <t>Point</t>
        </is>
      </c>
      <c r="Z30" s="3" t="inlineStr">
        <is>
          <t>Stated</t>
        </is>
      </c>
      <c r="AA30" s="3" t="inlineStr">
        <is>
          <t>USD</t>
        </is>
      </c>
      <c r="AB30" s="3" t="inlineStr">
        <is>
          <t>Yes</t>
        </is>
      </c>
      <c r="AC30" s="7" t="n">
        <v>19.5</v>
      </c>
      <c r="AD30" s="3" t="inlineStr">
        <is>
          <t>Fin: committed; DD required: not stated; DD open: yes; Excl: requested (2 wks)</t>
        </is>
      </c>
      <c r="AE30" s="6" t="n"/>
      <c r="AF30" s="3" t="inlineStr"/>
      <c r="AG30" s="3" t="inlineStr"/>
      <c r="AH30" s="3" t="inlineStr"/>
      <c r="AI30" s="2" t="inlineStr"/>
      <c r="AJ30" s="3" t="inlineStr"/>
      <c r="AK30" s="8" t="n">
        <v>35</v>
      </c>
      <c r="AL30" s="3" t="inlineStr">
        <is>
          <t>R020; R037</t>
        </is>
      </c>
      <c r="AM30" s="3" t="inlineStr">
        <is>
          <t>Mac-Gray</t>
        </is>
      </c>
    </row>
    <row r="31">
      <c r="A31" s="2" t="n">
        <v>30</v>
      </c>
      <c r="B31" s="3" t="inlineStr">
        <is>
          <t>09/09/2013</t>
        </is>
      </c>
      <c r="C31" s="3" t="inlineStr">
        <is>
          <t>Party B</t>
        </is>
      </c>
      <c r="D31" s="3" t="inlineStr">
        <is>
          <t>Bid</t>
        </is>
      </c>
      <c r="E31" s="2" t="inlineStr">
        <is>
          <t>1</t>
        </is>
      </c>
      <c r="F31" s="2" t="inlineStr">
        <is>
          <t>2</t>
        </is>
      </c>
      <c r="G31" s="2" t="inlineStr">
        <is>
          <t>Financial</t>
        </is>
      </c>
      <c r="H31" s="3" t="inlineStr">
        <is>
          <t>Revised indication of interest: all-cash $18.50 per share; proposed financing from a combination of affiliated-fund equity and third-party debt; no firm financing commitment (stated) — Heavy.</t>
        </is>
      </c>
      <c r="I31" s="3" t="inlineStr">
        <is>
          <t>Informal</t>
        </is>
      </c>
      <c r="J31" s="3" t="inlineStr">
        <is>
          <t>Heavy</t>
        </is>
      </c>
      <c r="K31" s="3" t="inlineStr">
        <is>
          <t>Stated.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t>
        </is>
      </c>
      <c r="L31" s="4" t="inlineStr">
        <is>
          <t>P-047</t>
        </is>
      </c>
      <c r="M31" s="3" t="inlineStr">
        <is>
          <t>Q5</t>
        </is>
      </c>
      <c r="N31" s="3" t="inlineStr"/>
      <c r="O31" s="3" t="inlineStr">
        <is>
          <t>R030</t>
        </is>
      </c>
      <c r="P31" s="3" t="inlineStr">
        <is>
          <t>Yes</t>
        </is>
      </c>
      <c r="Q31" s="3" t="n">
        <v>1</v>
      </c>
      <c r="R31" s="5" t="n">
        <v>41526</v>
      </c>
      <c r="S31" s="5" t="n">
        <v>41526</v>
      </c>
      <c r="T31" s="6" t="n">
        <v>41526</v>
      </c>
      <c r="U31" s="3" t="inlineStr">
        <is>
          <t>Reported day</t>
        </is>
      </c>
      <c r="V31" s="3" t="inlineStr">
        <is>
          <t>Reported</t>
        </is>
      </c>
      <c r="W31" s="7" t="n">
        <v>18.5</v>
      </c>
      <c r="X31" s="7" t="n">
        <v>18.5</v>
      </c>
      <c r="Y31" s="3" t="inlineStr">
        <is>
          <t>Point</t>
        </is>
      </c>
      <c r="Z31" s="3" t="inlineStr">
        <is>
          <t>Stated</t>
        </is>
      </c>
      <c r="AA31" s="3" t="inlineStr">
        <is>
          <t>USD</t>
        </is>
      </c>
      <c r="AB31" s="3" t="inlineStr">
        <is>
          <t>Yes</t>
        </is>
      </c>
      <c r="AC31" s="7" t="n">
        <v>18.5</v>
      </c>
      <c r="AD31" s="3" t="inlineStr">
        <is>
          <t>Fin: not committed; DD required: not stated; DD open: yes; Excl: not stated</t>
        </is>
      </c>
      <c r="AE31" s="6" t="n"/>
      <c r="AF31" s="3" t="inlineStr"/>
      <c r="AG31" s="3" t="inlineStr"/>
      <c r="AH31" s="3" t="inlineStr"/>
      <c r="AI31" s="2" t="inlineStr"/>
      <c r="AJ31" s="3" t="inlineStr"/>
      <c r="AK31" s="8" t="n">
        <v>35</v>
      </c>
      <c r="AL31" s="3" t="inlineStr">
        <is>
          <t>R022; R039</t>
        </is>
      </c>
      <c r="AM31" s="3" t="inlineStr">
        <is>
          <t>Mac-Gray</t>
        </is>
      </c>
    </row>
    <row r="32">
      <c r="A32" s="2" t="n">
        <v>31</v>
      </c>
      <c r="B32" s="3" t="inlineStr">
        <is>
          <t>09/10/2013</t>
        </is>
      </c>
      <c r="C32" s="3" t="inlineStr">
        <is>
          <t>Party A</t>
        </is>
      </c>
      <c r="D32" s="3" t="inlineStr">
        <is>
          <t>Bid</t>
        </is>
      </c>
      <c r="E32" s="2" t="inlineStr">
        <is>
          <t>1</t>
        </is>
      </c>
      <c r="F32" s="2" t="inlineStr">
        <is>
          <t>2</t>
        </is>
      </c>
      <c r="G32" s="2" t="inlineStr">
        <is>
          <t>Strategic</t>
        </is>
      </c>
      <c r="H32" s="3" t="inlineStr">
        <is>
          <t>Revised indication of interest: all-cash $18.00–$19.00 per share, to be financed by outstanding credit facilities or affiliated equity sources; no firm financing commitment (stated) — Heavy.</t>
        </is>
      </c>
      <c r="I32" s="3" t="inlineStr">
        <is>
          <t>Informal</t>
        </is>
      </c>
      <c r="J32" s="3" t="inlineStr">
        <is>
          <t>Heavy</t>
        </is>
      </c>
      <c r="K32" s="3" t="inlineStr">
        <is>
          <t>Stated. “On September 10, 2013, Party A submitted a revised indication of interest with an all-cash purchase price of $18.00 to $19.00 per share, to be financed by outstanding credit facilities or affiliated equity sources.” “Neither Party A's nor Party C's revised indication of interest included a firm financing commitment.” (both p.35)</t>
        </is>
      </c>
      <c r="L32" s="4" t="inlineStr">
        <is>
          <t>P-048</t>
        </is>
      </c>
      <c r="M32" s="3" t="inlineStr">
        <is>
          <t>Q5</t>
        </is>
      </c>
      <c r="N32" s="3" t="inlineStr"/>
      <c r="O32" s="3" t="inlineStr">
        <is>
          <t>R031</t>
        </is>
      </c>
      <c r="P32" s="3" t="inlineStr">
        <is>
          <t>Yes</t>
        </is>
      </c>
      <c r="Q32" s="3" t="n">
        <v>1</v>
      </c>
      <c r="R32" s="5" t="n">
        <v>41527</v>
      </c>
      <c r="S32" s="5" t="n">
        <v>41527</v>
      </c>
      <c r="T32" s="6" t="n">
        <v>41527</v>
      </c>
      <c r="U32" s="3" t="inlineStr">
        <is>
          <t>Reported day</t>
        </is>
      </c>
      <c r="V32" s="3" t="inlineStr">
        <is>
          <t>Reported</t>
        </is>
      </c>
      <c r="W32" s="7" t="n">
        <v>18</v>
      </c>
      <c r="X32" s="7" t="n">
        <v>19</v>
      </c>
      <c r="Y32" s="3" t="inlineStr">
        <is>
          <t>Bidder range</t>
        </is>
      </c>
      <c r="Z32" s="3" t="inlineStr">
        <is>
          <t>Stated</t>
        </is>
      </c>
      <c r="AA32" s="3" t="inlineStr">
        <is>
          <t>USD</t>
        </is>
      </c>
      <c r="AB32" s="3" t="inlineStr">
        <is>
          <t>Yes</t>
        </is>
      </c>
      <c r="AC32" s="7" t="inlineStr"/>
      <c r="AD32" s="3" t="inlineStr">
        <is>
          <t>Fin: not committed; DD required: not stated; DD open: yes; Excl: not stated</t>
        </is>
      </c>
      <c r="AE32" s="6" t="n"/>
      <c r="AF32" s="3" t="inlineStr"/>
      <c r="AG32" s="3" t="inlineStr"/>
      <c r="AH32" s="3" t="inlineStr"/>
      <c r="AI32" s="2" t="inlineStr"/>
      <c r="AJ32" s="3" t="inlineStr"/>
      <c r="AK32" s="8" t="n">
        <v>35</v>
      </c>
      <c r="AL32" s="3" t="inlineStr">
        <is>
          <t>R010; R038</t>
        </is>
      </c>
      <c r="AM32" s="3" t="inlineStr">
        <is>
          <t>Mac-Gray</t>
        </is>
      </c>
    </row>
    <row r="33">
      <c r="A33" s="2" t="n">
        <v>32</v>
      </c>
      <c r="B33" s="3" t="inlineStr">
        <is>
          <t>09/10/2013</t>
        </is>
      </c>
      <c r="C33" s="3" t="inlineStr">
        <is>
          <t>Party C</t>
        </is>
      </c>
      <c r="D33" s="3" t="inlineStr">
        <is>
          <t>Bid</t>
        </is>
      </c>
      <c r="E33" s="2" t="inlineStr">
        <is>
          <t>1</t>
        </is>
      </c>
      <c r="F33" s="2" t="inlineStr">
        <is>
          <t>2</t>
        </is>
      </c>
      <c r="G33" s="2" t="inlineStr">
        <is>
          <t>Financial</t>
        </is>
      </c>
      <c r="H33" s="3" t="inlineStr">
        <is>
          <t>Revised oral indication of interest (telephone call to BofA Merrill Lynch): all-cash $16.00–$17.00 per share; no firm financing commitment (stated) — Heavy.</t>
        </is>
      </c>
      <c r="I33" s="3" t="inlineStr">
        <is>
          <t>Informal</t>
        </is>
      </c>
      <c r="J33" s="3" t="inlineStr">
        <is>
          <t>Heavy</t>
        </is>
      </c>
      <c r="K33" s="3" t="inlineStr">
        <is>
          <t>Stated.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 (p.35)</t>
        </is>
      </c>
      <c r="L33" s="4" t="inlineStr">
        <is>
          <t>P-048</t>
        </is>
      </c>
      <c r="M33" s="3" t="inlineStr">
        <is>
          <t>Q5</t>
        </is>
      </c>
      <c r="N33" s="3" t="inlineStr"/>
      <c r="O33" s="3" t="inlineStr">
        <is>
          <t>R032</t>
        </is>
      </c>
      <c r="P33" s="3" t="inlineStr">
        <is>
          <t>Yes</t>
        </is>
      </c>
      <c r="Q33" s="3" t="n">
        <v>1</v>
      </c>
      <c r="R33" s="5" t="n">
        <v>41527</v>
      </c>
      <c r="S33" s="5" t="n">
        <v>41527</v>
      </c>
      <c r="T33" s="6" t="n">
        <v>41527</v>
      </c>
      <c r="U33" s="3" t="inlineStr">
        <is>
          <t>Reported day</t>
        </is>
      </c>
      <c r="V33" s="3" t="inlineStr">
        <is>
          <t>Reported</t>
        </is>
      </c>
      <c r="W33" s="7" t="n">
        <v>16</v>
      </c>
      <c r="X33" s="7" t="n">
        <v>17</v>
      </c>
      <c r="Y33" s="3" t="inlineStr">
        <is>
          <t>Bidder range</t>
        </is>
      </c>
      <c r="Z33" s="3" t="inlineStr">
        <is>
          <t>Stated</t>
        </is>
      </c>
      <c r="AA33" s="3" t="inlineStr">
        <is>
          <t>USD</t>
        </is>
      </c>
      <c r="AB33" s="3" t="inlineStr">
        <is>
          <t>Yes</t>
        </is>
      </c>
      <c r="AC33" s="7" t="inlineStr"/>
      <c r="AD33" s="3" t="inlineStr">
        <is>
          <t>Fin: not committed; DD required: not stated; DD open: yes; Excl: not stated</t>
        </is>
      </c>
      <c r="AE33" s="6" t="n"/>
      <c r="AF33" s="3" t="inlineStr"/>
      <c r="AG33" s="3" t="inlineStr"/>
      <c r="AH33" s="3" t="inlineStr"/>
      <c r="AI33" s="2" t="inlineStr"/>
      <c r="AJ33" s="3" t="inlineStr"/>
      <c r="AK33" s="8" t="n">
        <v>35</v>
      </c>
      <c r="AL33" s="3" t="inlineStr">
        <is>
          <t>R023; R040</t>
        </is>
      </c>
      <c r="AM33" s="3" t="inlineStr">
        <is>
          <t>Mac-Gray</t>
        </is>
      </c>
    </row>
    <row r="34">
      <c r="A34" s="2" t="n">
        <v>33</v>
      </c>
      <c r="B34" s="3" t="inlineStr">
        <is>
          <t>09/11/2013</t>
        </is>
      </c>
      <c r="C34" s="3" t="inlineStr">
        <is>
          <t>Transaction Committee → Mr. MacDonald (rollover)</t>
        </is>
      </c>
      <c r="D34" s="3" t="inlineStr">
        <is>
          <t>Material process update</t>
        </is>
      </c>
      <c r="E34" s="2" t="inlineStr">
        <is>
          <t>1</t>
        </is>
      </c>
      <c r="F34" s="2" t="inlineStr">
        <is>
          <t>2</t>
        </is>
      </c>
      <c r="G34" s="2" t="inlineStr"/>
      <c r="H34" s="3" t="inlineStr">
        <is>
          <t>Rollover (declined): the Transaction Committee gave Mr. MacDonald, without identifying bidders or prices, a limited overview of the process status so he could consider whether he remained interested in a possible rollover of his Mac-Gray shares; he stated he had decided he was not interested in rolling over any shares in any transaction.</t>
        </is>
      </c>
      <c r="I34" s="3" t="inlineStr"/>
      <c r="J34" s="3" t="inlineStr"/>
      <c r="K34" s="3" t="inlineStr">
        <is>
          <t>Stated.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 (p.35)</t>
        </is>
      </c>
      <c r="L34" s="4" t="inlineStr">
        <is>
          <t>P-049</t>
        </is>
      </c>
      <c r="M34" s="3" t="inlineStr"/>
      <c r="N34" s="3" t="inlineStr"/>
      <c r="O34" s="3" t="inlineStr">
        <is>
          <t>R033</t>
        </is>
      </c>
      <c r="P34" s="3" t="inlineStr">
        <is>
          <t>Yes</t>
        </is>
      </c>
      <c r="Q34" s="3" t="n"/>
      <c r="R34" s="5" t="n">
        <v>41528</v>
      </c>
      <c r="S34" s="5" t="n">
        <v>41528</v>
      </c>
      <c r="T34" s="6" t="n">
        <v>41528</v>
      </c>
      <c r="U34" s="3" t="inlineStr">
        <is>
          <t>Reported day</t>
        </is>
      </c>
      <c r="V34" s="3" t="inlineStr">
        <is>
          <t>Reported</t>
        </is>
      </c>
      <c r="W34" s="7" t="n"/>
      <c r="X34" s="7" t="n"/>
      <c r="Y34" s="3" t="inlineStr"/>
      <c r="Z34" s="3" t="inlineStr"/>
      <c r="AA34" s="3" t="inlineStr"/>
      <c r="AB34" s="3" t="inlineStr"/>
      <c r="AC34" s="7" t="n"/>
      <c r="AD34" s="3" t="inlineStr"/>
      <c r="AE34" s="6" t="n"/>
      <c r="AF34" s="3" t="inlineStr"/>
      <c r="AG34" s="3" t="inlineStr"/>
      <c r="AH34" s="3" t="inlineStr"/>
      <c r="AI34" s="2" t="inlineStr"/>
      <c r="AJ34" s="3" t="inlineStr"/>
      <c r="AK34" s="8" t="n">
        <v>35</v>
      </c>
      <c r="AL34" s="3" t="inlineStr">
        <is>
          <t>R034; R035</t>
        </is>
      </c>
      <c r="AM34" s="3" t="inlineStr">
        <is>
          <t>Mac-Gray</t>
        </is>
      </c>
    </row>
    <row r="35">
      <c r="A35" s="2" t="n">
        <v>34</v>
      </c>
      <c r="B35" s="3" t="inlineStr">
        <is>
          <t>09/11/2013</t>
        </is>
      </c>
      <c r="C35" s="3" t="inlineStr">
        <is>
          <t>Special Committee</t>
        </is>
      </c>
      <c r="D35" s="3" t="inlineStr">
        <is>
          <t>Round opened</t>
        </is>
      </c>
      <c r="E35" s="2" t="inlineStr">
        <is>
          <t>1</t>
        </is>
      </c>
      <c r="F35" s="2" t="inlineStr">
        <is>
          <t>3</t>
        </is>
      </c>
      <c r="G35" s="2" t="inlineStr"/>
      <c r="H35" s="3" t="inlineStr">
        <is>
          <t>Round 3 opened: after BofA reported it was unlikely any bidder would proceed without Mr. MacDonald's express support and the Committee agreed his perspective on price was critical, the Special Committee instructed BofA to call Party A, Party B, Party C and CSC/Pamplona to request final indications of interest by 09/18/2013 and to indicate that Mac-Gray would consider a short period of exclusive negotiations with one bidder depending on price and deal certainty. Deadline set: final indications due 09/18/2013. Round finality: Announced as final — bidders were told this was the final indications stage. Round-3 bidders: Party A, Party B, Party C, CSC/Pamplona (4 invited).</t>
        </is>
      </c>
      <c r="I35" s="3" t="inlineStr"/>
      <c r="J35" s="3" t="inlineStr"/>
      <c r="K35" s="3" t="inlineStr">
        <is>
          <t>Stated.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“any potential acquiror would be unlikely to proceed without knowing that Mr. MacDonald would support the transaction.” (both p.36)</t>
        </is>
      </c>
      <c r="L35" s="4" t="inlineStr">
        <is>
          <t>P-050</t>
        </is>
      </c>
      <c r="M35" s="3" t="inlineStr">
        <is>
          <t>Q1</t>
        </is>
      </c>
      <c r="N35" s="3" t="inlineStr"/>
      <c r="O35" s="3" t="inlineStr">
        <is>
          <t>R034</t>
        </is>
      </c>
      <c r="P35" s="3" t="inlineStr">
        <is>
          <t>Yes</t>
        </is>
      </c>
      <c r="Q35" s="3" t="n"/>
      <c r="R35" s="5" t="n">
        <v>41528</v>
      </c>
      <c r="S35" s="5" t="n">
        <v>41528</v>
      </c>
      <c r="T35" s="6" t="n">
        <v>41528</v>
      </c>
      <c r="U35" s="3" t="inlineStr">
        <is>
          <t>Reported day</t>
        </is>
      </c>
      <c r="V35" s="3" t="inlineStr">
        <is>
          <t>Reported</t>
        </is>
      </c>
      <c r="W35" s="7" t="n"/>
      <c r="X35" s="7" t="n"/>
      <c r="Y35" s="3" t="inlineStr"/>
      <c r="Z35" s="3" t="inlineStr"/>
      <c r="AA35" s="3" t="inlineStr"/>
      <c r="AB35" s="3" t="inlineStr"/>
      <c r="AC35" s="7" t="n"/>
      <c r="AD35" s="3" t="inlineStr"/>
      <c r="AE35" s="6" t="n">
        <v>41535</v>
      </c>
      <c r="AF35" s="3" t="inlineStr"/>
      <c r="AG35" s="3" t="inlineStr">
        <is>
          <t>Announced as final</t>
        </is>
      </c>
      <c r="AH35" s="3" t="inlineStr"/>
      <c r="AI35" s="2" t="inlineStr"/>
      <c r="AJ35" s="3" t="inlineStr"/>
      <c r="AK35" s="8" t="n">
        <v>36</v>
      </c>
      <c r="AL35" s="3" t="inlineStr">
        <is>
          <t>R033; R035; R036</t>
        </is>
      </c>
      <c r="AM35" s="3" t="inlineStr">
        <is>
          <t>Mac-Gray</t>
        </is>
      </c>
    </row>
    <row r="36">
      <c r="A36" s="2" t="n">
        <v>35</v>
      </c>
      <c r="B36" s="3" t="inlineStr">
        <is>
          <t>09/12/2013</t>
        </is>
      </c>
      <c r="C36" s="3" t="inlineStr">
        <is>
          <t>BofA Merrill Lynch → Mr. MacDonald</t>
        </is>
      </c>
      <c r="D36" s="3" t="inlineStr">
        <is>
          <t>Material process update</t>
        </is>
      </c>
      <c r="E36" s="2" t="inlineStr">
        <is>
          <t>1</t>
        </is>
      </c>
      <c r="F36" s="2" t="inlineStr">
        <is>
          <t>3</t>
        </is>
      </c>
      <c r="G36" s="2" t="inlineStr"/>
      <c r="H36" s="3" t="inlineStr">
        <is>
          <t>Mr. MacDonald received a detailed overview of the process, the status of negotiations and the identities of Party A, Party B, Party C and CSC/Pamplona; he voiced general support for continuing the process but expressed the view that Mac-Gray should continue to seek a higher value for stockholders.</t>
        </is>
      </c>
      <c r="I36" s="3" t="inlineStr"/>
      <c r="J36" s="3" t="inlineStr"/>
      <c r="K36" s="3" t="inlineStr">
        <is>
          <t>Stated.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 (p.36)</t>
        </is>
      </c>
      <c r="L36" s="4" t="inlineStr">
        <is>
          <t>P-051</t>
        </is>
      </c>
      <c r="M36" s="3" t="inlineStr"/>
      <c r="N36" s="3" t="inlineStr"/>
      <c r="O36" s="3" t="inlineStr">
        <is>
          <t>R035</t>
        </is>
      </c>
      <c r="P36" s="3" t="inlineStr">
        <is>
          <t>Yes</t>
        </is>
      </c>
      <c r="Q36" s="3" t="n"/>
      <c r="R36" s="5" t="n">
        <v>41529</v>
      </c>
      <c r="S36" s="5" t="n">
        <v>41529</v>
      </c>
      <c r="T36" s="6" t="n">
        <v>41529</v>
      </c>
      <c r="U36" s="3" t="inlineStr">
        <is>
          <t>Reported day</t>
        </is>
      </c>
      <c r="V36" s="3" t="inlineStr">
        <is>
          <t>Reported</t>
        </is>
      </c>
      <c r="W36" s="7" t="n"/>
      <c r="X36" s="7" t="n"/>
      <c r="Y36" s="3" t="inlineStr"/>
      <c r="Z36" s="3" t="inlineStr"/>
      <c r="AA36" s="3" t="inlineStr"/>
      <c r="AB36" s="3" t="inlineStr"/>
      <c r="AC36" s="7" t="n"/>
      <c r="AD36" s="3" t="inlineStr"/>
      <c r="AE36" s="6" t="n"/>
      <c r="AF36" s="3" t="inlineStr"/>
      <c r="AG36" s="3" t="inlineStr"/>
      <c r="AH36" s="3" t="inlineStr"/>
      <c r="AI36" s="2" t="inlineStr"/>
      <c r="AJ36" s="3" t="inlineStr"/>
      <c r="AK36" s="8" t="n">
        <v>36</v>
      </c>
      <c r="AL36" s="3" t="inlineStr">
        <is>
          <t>R034; R041</t>
        </is>
      </c>
      <c r="AM36" s="3" t="inlineStr">
        <is>
          <t>Mac-Gray</t>
        </is>
      </c>
    </row>
    <row r="37">
      <c r="A37" s="2" t="n">
        <v>36</v>
      </c>
      <c r="B37" s="3" t="inlineStr">
        <is>
          <t>09/18/2013 (scheduled due date for final indications)</t>
        </is>
      </c>
      <c r="C37" s="3" t="inlineStr">
        <is>
          <t>Party A, Party B, Party C, CSC/Pamplona (solicitation deadline)</t>
        </is>
      </c>
      <c r="D37" s="3" t="inlineStr">
        <is>
          <t>Deadline</t>
        </is>
      </c>
      <c r="E37" s="2" t="inlineStr">
        <is>
          <t>1</t>
        </is>
      </c>
      <c r="F37" s="2" t="inlineStr">
        <is>
          <t>3</t>
        </is>
      </c>
      <c r="G37" s="2" t="inlineStr"/>
      <c r="H37" s="3" t="inlineStr">
        <is>
          <t>Final indications of interest were due 09/18/2013. CSC/Pamplona and Party B submitted, Party A reiterated its prior offer, and Party C did not submit. The Special Committee evaluated the proposals on 09/19/2013 (enforced: the date passed with no extension and the target took its next step on the bids in hand).</t>
        </is>
      </c>
      <c r="I37" s="3" t="inlineStr"/>
      <c r="J37" s="3" t="inlineStr"/>
      <c r="K37" s="3" t="inlineStr">
        <is>
          <t>Stated (due date reached and operative). “request final indications of interest by September 18, 2013” (p.36); submissions and evaluation at P-053 and P-054. No extension disclosed; selection followed 09/19/2013 (P-055, p.37).</t>
        </is>
      </c>
      <c r="L37" s="4" t="inlineStr">
        <is>
          <t>P-050; P-053; P-054; P-055</t>
        </is>
      </c>
      <c r="M37" s="3" t="inlineStr">
        <is>
          <t>Q2</t>
        </is>
      </c>
      <c r="N37" s="3" t="inlineStr"/>
      <c r="O37" s="3" t="inlineStr">
        <is>
          <t>R036</t>
        </is>
      </c>
      <c r="P37" s="3" t="inlineStr">
        <is>
          <t>Yes</t>
        </is>
      </c>
      <c r="Q37" s="3" t="n"/>
      <c r="R37" s="5" t="n">
        <v>41535</v>
      </c>
      <c r="S37" s="5" t="n">
        <v>41535</v>
      </c>
      <c r="T37" s="6" t="n">
        <v>41535</v>
      </c>
      <c r="U37" s="3" t="inlineStr">
        <is>
          <t>Reported day</t>
        </is>
      </c>
      <c r="V37" s="3" t="inlineStr">
        <is>
          <t>Reported</t>
        </is>
      </c>
      <c r="W37" s="7" t="n"/>
      <c r="X37" s="7" t="n"/>
      <c r="Y37" s="3" t="inlineStr"/>
      <c r="Z37" s="3" t="inlineStr"/>
      <c r="AA37" s="3" t="inlineStr"/>
      <c r="AB37" s="3" t="inlineStr"/>
      <c r="AC37" s="7" t="n"/>
      <c r="AD37" s="3" t="inlineStr"/>
      <c r="AE37" s="6" t="n">
        <v>41535</v>
      </c>
      <c r="AF37" s="3" t="inlineStr">
        <is>
          <t>Enforced</t>
        </is>
      </c>
      <c r="AG37" s="3" t="inlineStr"/>
      <c r="AH37" s="3" t="inlineStr"/>
      <c r="AI37" s="2" t="inlineStr"/>
      <c r="AJ37" s="3" t="inlineStr"/>
      <c r="AK37" s="8" t="n">
        <v>36</v>
      </c>
      <c r="AL37" s="3" t="inlineStr">
        <is>
          <t>R034; R037; R040</t>
        </is>
      </c>
      <c r="AM37" s="3" t="inlineStr">
        <is>
          <t>Mac-Gray</t>
        </is>
      </c>
    </row>
    <row r="38">
      <c r="A38" s="2" t="n">
        <v>37</v>
      </c>
      <c r="B38" s="3" t="inlineStr">
        <is>
          <t>09/18/2013</t>
        </is>
      </c>
      <c r="C38" s="3" t="inlineStr">
        <is>
          <t>CSC/Pamplona</t>
        </is>
      </c>
      <c r="D38" s="3" t="inlineStr">
        <is>
          <t>Bid</t>
        </is>
      </c>
      <c r="E38" s="2" t="inlineStr">
        <is>
          <t>1</t>
        </is>
      </c>
      <c r="F38" s="2" t="inlineStr">
        <is>
          <t>3</t>
        </is>
      </c>
      <c r="G38" s="2" t="inlineStr">
        <is>
          <t>Strategic</t>
        </is>
      </c>
      <c r="H38" s="3" t="inlineStr">
        <is>
          <t>Final-round proposal: all-cash $20.75 per share; Pamplona committed to provide 100% of the capital required; requested two weeks of exclusive negotiations. Formal as a response on the requested basis to the target's final-indications solicitation (signal 2). Light: committed financing and no diligence condition reported.</t>
        </is>
      </c>
      <c r="I38" s="3" t="inlineStr">
        <is>
          <t>Formal</t>
        </is>
      </c>
      <c r="J38" s="3" t="inlineStr">
        <is>
          <t>Light</t>
        </is>
      </c>
      <c r="K38" s="3" t="inlineStr">
        <is>
          <t>Stated.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Final solicitation: “request final indications of interest by September 18, 2013” (P-050, p.36).</t>
        </is>
      </c>
      <c r="L38" s="4" t="inlineStr">
        <is>
          <t>P-053; P-050</t>
        </is>
      </c>
      <c r="M38" s="3" t="inlineStr">
        <is>
          <t>Q5</t>
        </is>
      </c>
      <c r="N38" s="3" t="inlineStr"/>
      <c r="O38" s="3" t="inlineStr">
        <is>
          <t>R037</t>
        </is>
      </c>
      <c r="P38" s="3" t="inlineStr">
        <is>
          <t>Yes</t>
        </is>
      </c>
      <c r="Q38" s="3" t="n">
        <v>1</v>
      </c>
      <c r="R38" s="5" t="n">
        <v>41535</v>
      </c>
      <c r="S38" s="5" t="n">
        <v>41535</v>
      </c>
      <c r="T38" s="6" t="n">
        <v>41535</v>
      </c>
      <c r="U38" s="3" t="inlineStr">
        <is>
          <t>Reported day</t>
        </is>
      </c>
      <c r="V38" s="3" t="inlineStr">
        <is>
          <t>Reported</t>
        </is>
      </c>
      <c r="W38" s="7" t="n">
        <v>20.75</v>
      </c>
      <c r="X38" s="7" t="n">
        <v>20.75</v>
      </c>
      <c r="Y38" s="3" t="inlineStr">
        <is>
          <t>Point</t>
        </is>
      </c>
      <c r="Z38" s="3" t="inlineStr">
        <is>
          <t>Stated</t>
        </is>
      </c>
      <c r="AA38" s="3" t="inlineStr">
        <is>
          <t>USD</t>
        </is>
      </c>
      <c r="AB38" s="3" t="inlineStr">
        <is>
          <t>Yes</t>
        </is>
      </c>
      <c r="AC38" s="7" t="n">
        <v>20.75</v>
      </c>
      <c r="AD38" s="3" t="inlineStr">
        <is>
          <t>Fin: committed; DD required: not stated; DD open: yes; Excl: requested (2 wks)</t>
        </is>
      </c>
      <c r="AE38" s="6" t="n"/>
      <c r="AF38" s="3" t="inlineStr"/>
      <c r="AG38" s="3" t="inlineStr"/>
      <c r="AH38" s="3" t="inlineStr"/>
      <c r="AI38" s="2" t="inlineStr"/>
      <c r="AJ38" s="3" t="inlineStr"/>
      <c r="AK38" s="8" t="n">
        <v>36</v>
      </c>
      <c r="AL38" s="3" t="inlineStr">
        <is>
          <t>R029; R041; R043</t>
        </is>
      </c>
      <c r="AM38" s="3" t="inlineStr">
        <is>
          <t>Mac-Gray</t>
        </is>
      </c>
    </row>
    <row r="39">
      <c r="A39" s="2" t="n">
        <v>38</v>
      </c>
      <c r="B39" s="3" t="inlineStr">
        <is>
          <t>09/18/2013</t>
        </is>
      </c>
      <c r="C39" s="3" t="inlineStr">
        <is>
          <t>Party A</t>
        </is>
      </c>
      <c r="D39" s="3" t="inlineStr">
        <is>
          <t>Bid reaffirmed</t>
        </is>
      </c>
      <c r="E39" s="2" t="inlineStr">
        <is>
          <t>1</t>
        </is>
      </c>
      <c r="F39" s="2" t="inlineStr">
        <is>
          <t>3</t>
        </is>
      </c>
      <c r="G39" s="2" t="inlineStr">
        <is>
          <t>Strategic</t>
        </is>
      </c>
      <c r="H39" s="3" t="inlineStr">
        <is>
          <t>Party A reiterated by telephone that its previous $18.00–$19.00 all-cash indication was its best and final offer; no new price. Formal as a supported best-and-final response to the target's final-indications solicitation (signal 2). Heavy: no firm financing commitment was ever reported.</t>
        </is>
      </c>
      <c r="I39" s="3" t="inlineStr">
        <is>
          <t>Formal</t>
        </is>
      </c>
      <c r="J39" s="3" t="inlineStr">
        <is>
          <t>Heavy</t>
        </is>
      </c>
      <c r="K39" s="3" t="inlineStr">
        <is>
          <t>Stated (reaffirmation). “Party A reiterated in a telephone call to a representative of BofA Merrill Lynch that its previous indication of interest with an all-cash purchase price of $18.00 to $19.00 per share was its best and final offer.” (p.36) Financing position carried: “Neither Party A's nor Party C's revised indication of interest included a firm financing commitment.” (P-048, p.35)</t>
        </is>
      </c>
      <c r="L39" s="4" t="inlineStr">
        <is>
          <t>P-053; P-048</t>
        </is>
      </c>
      <c r="M39" s="3" t="inlineStr">
        <is>
          <t>Q5</t>
        </is>
      </c>
      <c r="N39" s="3" t="inlineStr"/>
      <c r="O39" s="3" t="inlineStr">
        <is>
          <t>R038</t>
        </is>
      </c>
      <c r="P39" s="3" t="inlineStr">
        <is>
          <t>Yes</t>
        </is>
      </c>
      <c r="Q39" s="3" t="n">
        <v>1</v>
      </c>
      <c r="R39" s="5" t="n">
        <v>41535</v>
      </c>
      <c r="S39" s="5" t="n">
        <v>41535</v>
      </c>
      <c r="T39" s="6" t="n">
        <v>41535</v>
      </c>
      <c r="U39" s="3" t="inlineStr">
        <is>
          <t>Reported day</t>
        </is>
      </c>
      <c r="V39" s="3" t="inlineStr">
        <is>
          <t>Reported</t>
        </is>
      </c>
      <c r="W39" s="7" t="n">
        <v>18</v>
      </c>
      <c r="X39" s="7" t="n">
        <v>19</v>
      </c>
      <c r="Y39" s="3" t="inlineStr">
        <is>
          <t>Bidder range</t>
        </is>
      </c>
      <c r="Z39" s="3" t="inlineStr">
        <is>
          <t>Carried forward</t>
        </is>
      </c>
      <c r="AA39" s="3" t="inlineStr">
        <is>
          <t>USD</t>
        </is>
      </c>
      <c r="AB39" s="3" t="inlineStr">
        <is>
          <t>Yes</t>
        </is>
      </c>
      <c r="AC39" s="7" t="inlineStr"/>
      <c r="AD39" s="3" t="inlineStr">
        <is>
          <t>Fin: not committed; DD required: not stated; DD open: yes; Excl: not stated</t>
        </is>
      </c>
      <c r="AE39" s="6" t="n"/>
      <c r="AF39" s="3" t="inlineStr"/>
      <c r="AG39" s="3" t="inlineStr"/>
      <c r="AH39" s="3" t="inlineStr"/>
      <c r="AI39" s="2" t="inlineStr"/>
      <c r="AJ39" s="3" t="inlineStr"/>
      <c r="AK39" s="8" t="n">
        <v>36</v>
      </c>
      <c r="AL39" s="3" t="inlineStr">
        <is>
          <t>R031; R041</t>
        </is>
      </c>
      <c r="AM39" s="3" t="inlineStr">
        <is>
          <t>Mac-Gray</t>
        </is>
      </c>
    </row>
    <row r="40">
      <c r="A40" s="2" t="n">
        <v>39</v>
      </c>
      <c r="B40" s="3" t="inlineStr">
        <is>
          <t>09/18/2013</t>
        </is>
      </c>
      <c r="C40" s="3" t="inlineStr">
        <is>
          <t>Party B</t>
        </is>
      </c>
      <c r="D40" s="3" t="inlineStr">
        <is>
          <t>Bid</t>
        </is>
      </c>
      <c r="E40" s="2" t="inlineStr">
        <is>
          <t>1</t>
        </is>
      </c>
      <c r="F40" s="2" t="inlineStr">
        <is>
          <t>3</t>
        </is>
      </c>
      <c r="G40" s="2" t="inlineStr">
        <is>
          <t>Financial</t>
        </is>
      </c>
      <c r="H40" s="3" t="inlineStr">
        <is>
          <t>Revised final-round indication: a price Party B valued at $21.50 per share, comprising $19.00 cash at closing plus options representing 10% of the new equity (strike equal to Party B's initial cost basis; vesting over five years on achievement of the base-case management projections excluding future acquisitions), which Party B valued at $2.50 of incremental value per share. Bidder-valued package — the option component is non-cash and not guaranteed; All cash = No. Formal as a response to the final-indications solicitation (signal 2). Heavy: financing not committed (09/09) and the Committee later noted the third-party debt financing risk.</t>
        </is>
      </c>
      <c r="I40" s="3" t="inlineStr">
        <is>
          <t>Formal</t>
        </is>
      </c>
      <c r="J40" s="3" t="inlineStr">
        <is>
          <t>Heavy</t>
        </is>
      </c>
      <c r="K40" s="3" t="inlineStr">
        <is>
          <t>Stated.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(i.e., over five years), excluding any future acquisitions. Party B's proposal stated that it valued the Party B options at $2.50 of incremental value per share.” (p.36) “Party B would likely be financing the transaction with a combination of equity from affiliated funds and third party debt capital, which would involve more risk than the Pamplona-funded CSC/Pamplona proposal” (P-055, p.37).</t>
        </is>
      </c>
      <c r="L40" s="4" t="inlineStr">
        <is>
          <t>P-053; P-047; P-055</t>
        </is>
      </c>
      <c r="M40" s="3" t="inlineStr">
        <is>
          <t>Q5; Q6</t>
        </is>
      </c>
      <c r="N40" s="3" t="inlineStr"/>
      <c r="O40" s="3" t="inlineStr">
        <is>
          <t>R039</t>
        </is>
      </c>
      <c r="P40" s="3" t="inlineStr">
        <is>
          <t>Yes</t>
        </is>
      </c>
      <c r="Q40" s="3" t="n">
        <v>1</v>
      </c>
      <c r="R40" s="5" t="n">
        <v>41535</v>
      </c>
      <c r="S40" s="5" t="n">
        <v>41535</v>
      </c>
      <c r="T40" s="6" t="n">
        <v>41535</v>
      </c>
      <c r="U40" s="3" t="inlineStr">
        <is>
          <t>Reported day</t>
        </is>
      </c>
      <c r="V40" s="3" t="inlineStr">
        <is>
          <t>Reported</t>
        </is>
      </c>
      <c r="W40" s="7" t="n">
        <v>21.5</v>
      </c>
      <c r="X40" s="7" t="n">
        <v>21.5</v>
      </c>
      <c r="Y40" s="3" t="inlineStr">
        <is>
          <t>Point</t>
        </is>
      </c>
      <c r="Z40" s="3" t="inlineStr">
        <is>
          <t>Stated</t>
        </is>
      </c>
      <c r="AA40" s="3" t="inlineStr">
        <is>
          <t>USD</t>
        </is>
      </c>
      <c r="AB40" s="3" t="inlineStr">
        <is>
          <t>No</t>
        </is>
      </c>
      <c r="AC40" s="7" t="n">
        <v>19</v>
      </c>
      <c r="AD40" s="3" t="inlineStr">
        <is>
          <t>Fin: not committed; DD required: not stated; DD open: yes; Excl: not stated</t>
        </is>
      </c>
      <c r="AE40" s="6" t="n"/>
      <c r="AF40" s="3" t="inlineStr"/>
      <c r="AG40" s="3" t="inlineStr"/>
      <c r="AH40" s="3" t="inlineStr"/>
      <c r="AI40" s="2" t="inlineStr"/>
      <c r="AJ40" s="3" t="inlineStr"/>
      <c r="AK40" s="8" t="n">
        <v>36</v>
      </c>
      <c r="AL40" s="3" t="inlineStr">
        <is>
          <t>R030; R041</t>
        </is>
      </c>
      <c r="AM40" s="3" t="inlineStr">
        <is>
          <t>Mac-Gray</t>
        </is>
      </c>
    </row>
    <row r="41">
      <c r="A41" s="2" t="n">
        <v>40</v>
      </c>
      <c r="B41" s="3" t="inlineStr">
        <is>
          <t>by 09/18/2013</t>
        </is>
      </c>
      <c r="C41" s="3" t="inlineStr">
        <is>
          <t>Party C</t>
        </is>
      </c>
      <c r="D41" s="3" t="inlineStr">
        <is>
          <t>Did not submit</t>
        </is>
      </c>
      <c r="E41" s="2" t="inlineStr">
        <is>
          <t>1</t>
        </is>
      </c>
      <c r="F41" s="2" t="inlineStr">
        <is>
          <t>3</t>
        </is>
      </c>
      <c r="G41" s="2" t="inlineStr">
        <is>
          <t>Financial</t>
        </is>
      </c>
      <c r="H41" s="3" t="inlineStr">
        <is>
          <t>Party C did not submit a revised indication of interest and did not reiterate its prior $16.00–$17.00 indication in the final-indications solicitation; the filing states it specified no reasons. Stated non-submission; decided by the bidder; no reason given.</t>
        </is>
      </c>
      <c r="I41" s="3" t="inlineStr"/>
      <c r="J41" s="3" t="inlineStr"/>
      <c r="K41" s="3" t="inlineStr">
        <is>
          <t>Stated. “Party C did not submit a revised indication of interest or reiterate its prior indication of interest of an all-cash purchase price of $16.00 to $17.00 per share nor did it specify any reasons in connection therewith.” (p.36) “reported that Party C did not submit a revised indication of interest or reiterate its prior indication of interest” (P-054, p.36).</t>
        </is>
      </c>
      <c r="L41" s="4" t="inlineStr">
        <is>
          <t>P-053; P-054</t>
        </is>
      </c>
      <c r="M41" s="3" t="inlineStr">
        <is>
          <t>Q4</t>
        </is>
      </c>
      <c r="N41" s="3" t="inlineStr"/>
      <c r="O41" s="3" t="inlineStr">
        <is>
          <t>R040</t>
        </is>
      </c>
      <c r="P41" s="3" t="inlineStr">
        <is>
          <t>Yes</t>
        </is>
      </c>
      <c r="Q41" s="3" t="n">
        <v>1</v>
      </c>
      <c r="R41" s="5" t="n"/>
      <c r="S41" s="5" t="n">
        <v>41535</v>
      </c>
      <c r="T41" s="6" t="n">
        <v>41535</v>
      </c>
      <c r="U41" s="3" t="inlineStr">
        <is>
          <t>Relative only</t>
        </is>
      </c>
      <c r="V41" s="3" t="inlineStr">
        <is>
          <t>Assigned: deadline</t>
        </is>
      </c>
      <c r="W41" s="7" t="n"/>
      <c r="X41" s="7" t="n"/>
      <c r="Y41" s="3" t="inlineStr"/>
      <c r="Z41" s="3" t="inlineStr"/>
      <c r="AA41" s="3" t="inlineStr"/>
      <c r="AB41" s="3" t="inlineStr"/>
      <c r="AC41" s="7" t="n"/>
      <c r="AD41" s="3" t="inlineStr"/>
      <c r="AE41" s="6" t="n"/>
      <c r="AF41" s="3" t="inlineStr"/>
      <c r="AG41" s="3" t="inlineStr"/>
      <c r="AH41" s="3" t="inlineStr">
        <is>
          <t>Bidder</t>
        </is>
      </c>
      <c r="AI41" s="2" t="inlineStr">
        <is>
          <t>Not stated</t>
        </is>
      </c>
      <c r="AJ41" s="3" t="inlineStr">
        <is>
          <t>Stated</t>
        </is>
      </c>
      <c r="AK41" s="8" t="n">
        <v>36</v>
      </c>
      <c r="AL41" s="3" t="inlineStr">
        <is>
          <t>R032; R036</t>
        </is>
      </c>
      <c r="AM41" s="3" t="inlineStr">
        <is>
          <t>Mac-Gray</t>
        </is>
      </c>
    </row>
    <row r="42">
      <c r="A42" s="2" t="n">
        <v>41</v>
      </c>
      <c r="B42" s="3" t="inlineStr">
        <is>
          <t>09/19/2013</t>
        </is>
      </c>
      <c r="C42" s="3" t="inlineStr">
        <is>
          <t>Special Committee</t>
        </is>
      </c>
      <c r="D42" s="3" t="inlineStr">
        <is>
          <t>Target decision</t>
        </is>
      </c>
      <c r="E42" s="2" t="inlineStr">
        <is>
          <t>1</t>
        </is>
      </c>
      <c r="F42" s="2" t="inlineStr">
        <is>
          <t>3</t>
        </is>
      </c>
      <c r="G42" s="2" t="inlineStr"/>
      <c r="H42" s="3" t="inlineStr">
        <is>
          <t>After reviewing the three final proposals and the Projections, the Committee considered CSC/Pamplona the most value with greater certainty and less risk (Party B's package was higher on its face but carried option-measurement risk and third-party debt financing), concluded CSC/Pamplona should be able to raise above $20.75, and authorized the Transaction Committee to inform CSC/Pamplona that the Special Committee was prepared to move into exclusivity at $21.25 per share. Mr. MacDonald indicated he would be supportive of $21.25.</t>
        </is>
      </c>
      <c r="I42" s="3" t="inlineStr"/>
      <c r="J42" s="3" t="inlineStr"/>
      <c r="K42" s="3" t="inlineStr">
        <is>
          <t>Stated.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“at this meeting Mr. MacDonald indicated that he would be supportive of a price of $21.25 per share” (both p.37).</t>
        </is>
      </c>
      <c r="L42" s="4" t="inlineStr">
        <is>
          <t>P-054; P-055</t>
        </is>
      </c>
      <c r="M42" s="3" t="inlineStr">
        <is>
          <t>Q1</t>
        </is>
      </c>
      <c r="N42" s="3" t="inlineStr"/>
      <c r="O42" s="3" t="inlineStr">
        <is>
          <t>R041</t>
        </is>
      </c>
      <c r="P42" s="3" t="inlineStr">
        <is>
          <t>Yes</t>
        </is>
      </c>
      <c r="Q42" s="3" t="n"/>
      <c r="R42" s="5" t="n">
        <v>41536</v>
      </c>
      <c r="S42" s="5" t="n">
        <v>41536</v>
      </c>
      <c r="T42" s="6" t="n">
        <v>41536</v>
      </c>
      <c r="U42" s="3" t="inlineStr">
        <is>
          <t>Reported day</t>
        </is>
      </c>
      <c r="V42" s="3" t="inlineStr">
        <is>
          <t>Reported</t>
        </is>
      </c>
      <c r="W42" s="7" t="n"/>
      <c r="X42" s="7" t="n"/>
      <c r="Y42" s="3" t="inlineStr"/>
      <c r="Z42" s="3" t="inlineStr"/>
      <c r="AA42" s="3" t="inlineStr"/>
      <c r="AB42" s="3" t="inlineStr"/>
      <c r="AC42" s="7" t="n"/>
      <c r="AD42" s="3" t="inlineStr"/>
      <c r="AE42" s="6" t="n"/>
      <c r="AF42" s="3" t="inlineStr"/>
      <c r="AG42" s="3" t="inlineStr"/>
      <c r="AH42" s="3" t="inlineStr"/>
      <c r="AI42" s="2" t="inlineStr"/>
      <c r="AJ42" s="3" t="inlineStr"/>
      <c r="AK42" s="8" t="n">
        <v>37</v>
      </c>
      <c r="AL42" s="3" t="inlineStr">
        <is>
          <t>R037; R038; R039; R042</t>
        </is>
      </c>
      <c r="AM42" s="3" t="inlineStr">
        <is>
          <t>Mac-Gray</t>
        </is>
      </c>
    </row>
    <row r="43">
      <c r="A43" s="2" t="n">
        <v>42</v>
      </c>
      <c r="B43" s="3" t="inlineStr">
        <is>
          <t>09/21/2013</t>
        </is>
      </c>
      <c r="C43" s="3" t="inlineStr">
        <is>
          <t>Transaction Committee / CSC/Pamplona</t>
        </is>
      </c>
      <c r="D43" s="3" t="inlineStr">
        <is>
          <t>Round opened</t>
        </is>
      </c>
      <c r="E43" s="2" t="inlineStr">
        <is>
          <t>1</t>
        </is>
      </c>
      <c r="F43" s="2" t="inlineStr">
        <is>
          <t>4</t>
        </is>
      </c>
      <c r="G43" s="2" t="inlineStr"/>
      <c r="H43" s="3" t="inlineStr">
        <is>
          <t>Round 4 opened: the Transaction Committee proposed moving forward with CSC/Pamplona exclusively for two weeks subject to an increase to $21.25 per share; CSC/Pamplona confirmed the same day that it would increase its all-cash price to $21.25 as a last and best offer provided Mac-Gray agreed to a two-week exclusive negotiation (exclusivity agreement executed 09/24/2013, R044). Round finality: Inferred final — the target moved to definitive negotiation with the selected bidder; no finality announcement to the other bidders. Round-4 bidder: CSC/Pamplona (1 unit).</t>
        </is>
      </c>
      <c r="I43" s="3" t="inlineStr"/>
      <c r="J43" s="3" t="inlineStr"/>
      <c r="K43" s="3" t="inlineStr">
        <is>
          <t>Stated.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(p.37)</t>
        </is>
      </c>
      <c r="L43" s="4" t="inlineStr">
        <is>
          <t>P-056</t>
        </is>
      </c>
      <c r="M43" s="3" t="inlineStr">
        <is>
          <t>Q1</t>
        </is>
      </c>
      <c r="N43" s="3" t="inlineStr"/>
      <c r="O43" s="3" t="inlineStr">
        <is>
          <t>R042</t>
        </is>
      </c>
      <c r="P43" s="3" t="inlineStr">
        <is>
          <t>Yes</t>
        </is>
      </c>
      <c r="Q43" s="3" t="n"/>
      <c r="R43" s="5" t="n">
        <v>41538</v>
      </c>
      <c r="S43" s="5" t="n">
        <v>41538</v>
      </c>
      <c r="T43" s="6" t="n">
        <v>41538</v>
      </c>
      <c r="U43" s="3" t="inlineStr">
        <is>
          <t>Reported day</t>
        </is>
      </c>
      <c r="V43" s="3" t="inlineStr">
        <is>
          <t>Reported</t>
        </is>
      </c>
      <c r="W43" s="7" t="n"/>
      <c r="X43" s="7" t="n"/>
      <c r="Y43" s="3" t="inlineStr"/>
      <c r="Z43" s="3" t="inlineStr"/>
      <c r="AA43" s="3" t="inlineStr"/>
      <c r="AB43" s="3" t="inlineStr"/>
      <c r="AC43" s="7" t="n"/>
      <c r="AD43" s="3" t="inlineStr"/>
      <c r="AE43" s="6" t="n"/>
      <c r="AF43" s="3" t="inlineStr"/>
      <c r="AG43" s="3" t="inlineStr">
        <is>
          <t>Inferred final</t>
        </is>
      </c>
      <c r="AH43" s="3" t="inlineStr"/>
      <c r="AI43" s="2" t="inlineStr"/>
      <c r="AJ43" s="3" t="inlineStr"/>
      <c r="AK43" s="8" t="n">
        <v>37</v>
      </c>
      <c r="AL43" s="3" t="inlineStr">
        <is>
          <t>R041; R043; R045</t>
        </is>
      </c>
      <c r="AM43" s="3" t="inlineStr">
        <is>
          <t>Mac-Gray</t>
        </is>
      </c>
    </row>
    <row r="44">
      <c r="A44" s="2" t="n">
        <v>43</v>
      </c>
      <c r="B44" s="3" t="inlineStr">
        <is>
          <t>09/21/2013</t>
        </is>
      </c>
      <c r="C44" s="3" t="inlineStr">
        <is>
          <t>CSC/Pamplona</t>
        </is>
      </c>
      <c r="D44" s="3" t="inlineStr">
        <is>
          <t>Bid</t>
        </is>
      </c>
      <c r="E44" s="2" t="inlineStr">
        <is>
          <t>1</t>
        </is>
      </c>
      <c r="F44" s="2" t="inlineStr">
        <is>
          <t>4</t>
        </is>
      </c>
      <c r="G44" s="2" t="inlineStr">
        <is>
          <t>Strategic</t>
        </is>
      </c>
      <c r="H44" s="3" t="inlineStr">
        <is>
          <t>All-cash $21.25 per share last and best offer, conditioned on a two-week exclusive negotiation. Part of the CSC/Pamplona final proposal, which also included no financing contingency, Pamplona's commitment to fund 100% of the capital needed for closing, a $15 million reverse termination fee payable if regulatory clearance is not obtained, and post-signing covenants; exclusivity would automatically terminate if CSC/Pamplona adversely changed the proposal terms. Formal: price confirmed as the parties moved to exclusivity and definitive negotiation (signal 3; the same price was carried into the signed merger agreement).</t>
        </is>
      </c>
      <c r="I44" s="3" t="inlineStr">
        <is>
          <t>Formal</t>
        </is>
      </c>
      <c r="J44" s="3" t="inlineStr">
        <is>
          <t>Light</t>
        </is>
      </c>
      <c r="K44" s="3" t="inlineStr">
        <is>
          <t>Stated. “CSC/Pamplona were willing to increase their all-cash purchase price to $21.25 per share as a last and best offer, provided that Mac-Gray agree to a two week period of exclusive negotiations.” (p.37) “the inclusion of a $15 million "reverse" termination fee payable by CSC/Pamplona to Mac-Gray in the event regulatory clearance is not obtained” “the fact that there would be no financing contingency and that Pamplona was committing to fund 100% of the capital needed for closing, which, together with the all-cash per share purchase price of $21.25, we refer to as the CSC/Pamplona final proposal” (p.37–38).</t>
        </is>
      </c>
      <c r="L44" s="4" t="inlineStr">
        <is>
          <t>P-056; P-057; P-059</t>
        </is>
      </c>
      <c r="M44" s="3" t="inlineStr">
        <is>
          <t>Q5</t>
        </is>
      </c>
      <c r="N44" s="3" t="inlineStr"/>
      <c r="O44" s="3" t="inlineStr">
        <is>
          <t>R043</t>
        </is>
      </c>
      <c r="P44" s="3" t="inlineStr">
        <is>
          <t>Yes</t>
        </is>
      </c>
      <c r="Q44" s="3" t="n">
        <v>1</v>
      </c>
      <c r="R44" s="5" t="n">
        <v>41538</v>
      </c>
      <c r="S44" s="5" t="n">
        <v>41538</v>
      </c>
      <c r="T44" s="6" t="n">
        <v>41538</v>
      </c>
      <c r="U44" s="3" t="inlineStr">
        <is>
          <t>Reported day</t>
        </is>
      </c>
      <c r="V44" s="3" t="inlineStr">
        <is>
          <t>Reported</t>
        </is>
      </c>
      <c r="W44" s="7" t="n">
        <v>21.25</v>
      </c>
      <c r="X44" s="7" t="n">
        <v>21.25</v>
      </c>
      <c r="Y44" s="3" t="inlineStr">
        <is>
          <t>Point</t>
        </is>
      </c>
      <c r="Z44" s="3" t="inlineStr">
        <is>
          <t>Stated</t>
        </is>
      </c>
      <c r="AA44" s="3" t="inlineStr">
        <is>
          <t>USD</t>
        </is>
      </c>
      <c r="AB44" s="3" t="inlineStr">
        <is>
          <t>Yes</t>
        </is>
      </c>
      <c r="AC44" s="7" t="n">
        <v>21.25</v>
      </c>
      <c r="AD44" s="3" t="inlineStr">
        <is>
          <t>Fin: committed; DD required: not stated; DD open: yes; Excl: requested (2 wks)</t>
        </is>
      </c>
      <c r="AE44" s="6" t="n"/>
      <c r="AF44" s="3" t="inlineStr"/>
      <c r="AG44" s="3" t="inlineStr"/>
      <c r="AH44" s="3" t="inlineStr"/>
      <c r="AI44" s="2" t="inlineStr"/>
      <c r="AJ44" s="3" t="inlineStr"/>
      <c r="AK44" s="8" t="n">
        <v>37</v>
      </c>
      <c r="AL44" s="3" t="inlineStr">
        <is>
          <t>R037; R042; R044; R051</t>
        </is>
      </c>
      <c r="AM44" s="3" t="inlineStr">
        <is>
          <t>Mac-Gray</t>
        </is>
      </c>
    </row>
    <row r="45">
      <c r="A45" s="2" t="n">
        <v>44</v>
      </c>
      <c r="B45" s="3" t="inlineStr">
        <is>
          <t>09/23/2013</t>
        </is>
      </c>
      <c r="C45" s="3" t="inlineStr">
        <is>
          <t>Special Committee</t>
        </is>
      </c>
      <c r="D45" s="3" t="inlineStr">
        <is>
          <t>Exclusivity changed</t>
        </is>
      </c>
      <c r="E45" s="2" t="inlineStr">
        <is>
          <t>1</t>
        </is>
      </c>
      <c r="F45" s="2" t="inlineStr">
        <is>
          <t>4</t>
        </is>
      </c>
      <c r="G45" s="2" t="inlineStr"/>
      <c r="H45" s="3" t="inlineStr">
        <is>
          <t>Exclusivity authorized: the Special Committee authorized Mac-Gray to enter into an exclusivity agreement providing for exclusive negotiations until 5 p.m. ET on 10/12/2013 on the terms of the CSC/Pamplona final proposal ($21.25 cash; $15 million CSC reverse termination fee if regulatory clearance not obtained; no financing contingency; Pamplona funding 100% of closing capital; automatic termination on adverse change). This followed negotiation of the agreement's terms 09/21–09/23/2013.</t>
        </is>
      </c>
      <c r="I45" s="3" t="inlineStr"/>
      <c r="J45" s="3" t="inlineStr"/>
      <c r="K45" s="3" t="inlineStr">
        <is>
          <t>Stated.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(p.38). Terms: P-057 (p.37–38).</t>
        </is>
      </c>
      <c r="L45" s="4" t="inlineStr">
        <is>
          <t>P-057; P-059</t>
        </is>
      </c>
      <c r="M45" s="3" t="inlineStr"/>
      <c r="N45" s="3" t="inlineStr"/>
      <c r="O45" s="3" t="inlineStr">
        <is>
          <t>R044</t>
        </is>
      </c>
      <c r="P45" s="3" t="inlineStr">
        <is>
          <t>Yes</t>
        </is>
      </c>
      <c r="Q45" s="3" t="n"/>
      <c r="R45" s="5" t="n">
        <v>41540</v>
      </c>
      <c r="S45" s="5" t="n">
        <v>41540</v>
      </c>
      <c r="T45" s="6" t="n">
        <v>41540</v>
      </c>
      <c r="U45" s="3" t="inlineStr">
        <is>
          <t>Reported day</t>
        </is>
      </c>
      <c r="V45" s="3" t="inlineStr">
        <is>
          <t>Reported</t>
        </is>
      </c>
      <c r="W45" s="7" t="n"/>
      <c r="X45" s="7" t="n"/>
      <c r="Y45" s="3" t="inlineStr"/>
      <c r="Z45" s="3" t="inlineStr"/>
      <c r="AA45" s="3" t="inlineStr"/>
      <c r="AB45" s="3" t="inlineStr"/>
      <c r="AC45" s="7" t="n"/>
      <c r="AD45" s="3" t="inlineStr"/>
      <c r="AE45" s="6" t="n"/>
      <c r="AF45" s="3" t="inlineStr"/>
      <c r="AG45" s="3" t="inlineStr"/>
      <c r="AH45" s="3" t="inlineStr"/>
      <c r="AI45" s="2" t="inlineStr"/>
      <c r="AJ45" s="3" t="inlineStr"/>
      <c r="AK45" s="8" t="n">
        <v>38</v>
      </c>
      <c r="AL45" s="3" t="inlineStr">
        <is>
          <t>R043; R045</t>
        </is>
      </c>
      <c r="AM45" s="3" t="inlineStr">
        <is>
          <t>Mac-Gray</t>
        </is>
      </c>
    </row>
    <row r="46">
      <c r="A46" s="2" t="n">
        <v>45</v>
      </c>
      <c r="B46" s="3" t="inlineStr">
        <is>
          <t>09/24/2013</t>
        </is>
      </c>
      <c r="C46" s="3" t="inlineStr">
        <is>
          <t>CSC, Pamplona and Mac-Gray</t>
        </is>
      </c>
      <c r="D46" s="3" t="inlineStr">
        <is>
          <t>Exclusivity changed</t>
        </is>
      </c>
      <c r="E46" s="2" t="inlineStr">
        <is>
          <t>1</t>
        </is>
      </c>
      <c r="F46" s="2" t="inlineStr">
        <is>
          <t>4</t>
        </is>
      </c>
      <c r="G46" s="2" t="inlineStr"/>
      <c r="H46" s="3" t="inlineStr">
        <is>
          <t>Exclusivity granted: CSC, Pamplona and Mac-Gray executed the exclusivity agreement providing exclusive negotiations until 5 p.m. ET on 10/12/2013, subject to CSC/Pamplona not adversely changing or modifying the CSC/Pamplona final proposal terms. During exclusivity (09/25–10/07/2013) CSC and Pamplona received full access to the electronic data site and to certain management and conducted confirmatory business and legal diligence.</t>
        </is>
      </c>
      <c r="I46" s="3" t="inlineStr"/>
      <c r="J46" s="3" t="inlineStr"/>
      <c r="K46" s="3" t="inlineStr">
        <is>
          <t>Stated.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“CSC and Pamplona were granted full access to the electronic data site and access to certain members of management and conducted confirmatory business and legal due diligence on Mac-Gray.” (both p.38)</t>
        </is>
      </c>
      <c r="L46" s="4" t="inlineStr">
        <is>
          <t>P-060; P-061</t>
        </is>
      </c>
      <c r="M46" s="3" t="inlineStr"/>
      <c r="N46" s="3" t="inlineStr"/>
      <c r="O46" s="3" t="inlineStr">
        <is>
          <t>R045</t>
        </is>
      </c>
      <c r="P46" s="3" t="inlineStr">
        <is>
          <t>Yes</t>
        </is>
      </c>
      <c r="Q46" s="3" t="n"/>
      <c r="R46" s="5" t="n">
        <v>41541</v>
      </c>
      <c r="S46" s="5" t="n">
        <v>41541</v>
      </c>
      <c r="T46" s="6" t="n">
        <v>41541</v>
      </c>
      <c r="U46" s="3" t="inlineStr">
        <is>
          <t>Reported day</t>
        </is>
      </c>
      <c r="V46" s="3" t="inlineStr">
        <is>
          <t>Reported</t>
        </is>
      </c>
      <c r="W46" s="7" t="n"/>
      <c r="X46" s="7" t="n"/>
      <c r="Y46" s="3" t="inlineStr"/>
      <c r="Z46" s="3" t="inlineStr"/>
      <c r="AA46" s="3" t="inlineStr"/>
      <c r="AB46" s="3" t="inlineStr"/>
      <c r="AC46" s="7" t="n"/>
      <c r="AD46" s="3" t="inlineStr"/>
      <c r="AE46" s="6" t="n"/>
      <c r="AF46" s="3" t="inlineStr"/>
      <c r="AG46" s="3" t="inlineStr"/>
      <c r="AH46" s="3" t="inlineStr"/>
      <c r="AI46" s="2" t="inlineStr"/>
      <c r="AJ46" s="3" t="inlineStr"/>
      <c r="AK46" s="8" t="n">
        <v>38</v>
      </c>
      <c r="AL46" s="3" t="inlineStr">
        <is>
          <t>R044; R046; R047; R050</t>
        </is>
      </c>
      <c r="AM46" s="3" t="inlineStr">
        <is>
          <t>Mac-Gray</t>
        </is>
      </c>
    </row>
    <row r="47">
      <c r="A47" s="2" t="n">
        <v>46</v>
      </c>
      <c r="B47" s="3" t="inlineStr">
        <is>
          <t>by 09/24/2013</t>
        </is>
      </c>
      <c r="C47" s="3" t="inlineStr">
        <is>
          <t>Party A</t>
        </is>
      </c>
      <c r="D47" s="3" t="inlineStr">
        <is>
          <t>Dropped by target</t>
        </is>
      </c>
      <c r="E47" s="2" t="inlineStr">
        <is>
          <t>1</t>
        </is>
      </c>
      <c r="F47" s="2" t="inlineStr">
        <is>
          <t>4</t>
        </is>
      </c>
      <c r="G47" s="2" t="inlineStr">
        <is>
          <t>Strategic</t>
        </is>
      </c>
      <c r="H47" s="3" t="inlineStr">
        <is>
          <t>Inferred: exclusivity — with exclusivity executed with CSC/Pamplona on 09/24/2013, Party A was displaced from the process; no notice to Party A is reported and no earlier outcome is recorded. Count 1.</t>
        </is>
      </c>
      <c r="I47" s="3" t="inlineStr"/>
      <c r="J47" s="3" t="inlineStr"/>
      <c r="K47" s="3" t="inlineStr">
        <is>
          <t>Inferred: exclusivity. “On September 24, 2013, CSC, Pamplona and Mac-Gray executed the exclusivity agreement providing for exclusive negotiations until 5 p.m. ET on October 12, 2013” (P-060, p.38); Party A was live with its best-and-final offer when CSC/Pamplona was selected (P-053, p.36; P-055, p.37).</t>
        </is>
      </c>
      <c r="L47" s="4" t="inlineStr">
        <is>
          <t>P-060; P-053; P-055</t>
        </is>
      </c>
      <c r="M47" s="3" t="inlineStr">
        <is>
          <t>Q4</t>
        </is>
      </c>
      <c r="N47" s="3" t="inlineStr"/>
      <c r="O47" s="3" t="inlineStr">
        <is>
          <t>R046</t>
        </is>
      </c>
      <c r="P47" s="3" t="inlineStr">
        <is>
          <t>Yes</t>
        </is>
      </c>
      <c r="Q47" s="3" t="n">
        <v>1</v>
      </c>
      <c r="R47" s="5" t="n"/>
      <c r="S47" s="5" t="n">
        <v>41541</v>
      </c>
      <c r="T47" s="6" t="n">
        <v>41541</v>
      </c>
      <c r="U47" s="3" t="inlineStr">
        <is>
          <t>Relative only</t>
        </is>
      </c>
      <c r="V47" s="3" t="inlineStr">
        <is>
          <t>Assigned: decision day</t>
        </is>
      </c>
      <c r="W47" s="7" t="n"/>
      <c r="X47" s="7" t="n"/>
      <c r="Y47" s="3" t="inlineStr"/>
      <c r="Z47" s="3" t="inlineStr"/>
      <c r="AA47" s="3" t="inlineStr"/>
      <c r="AB47" s="3" t="inlineStr"/>
      <c r="AC47" s="7" t="n"/>
      <c r="AD47" s="3" t="inlineStr"/>
      <c r="AE47" s="6" t="n"/>
      <c r="AF47" s="3" t="inlineStr"/>
      <c r="AG47" s="3" t="inlineStr"/>
      <c r="AH47" s="3" t="inlineStr">
        <is>
          <t>Target</t>
        </is>
      </c>
      <c r="AI47" s="2" t="inlineStr">
        <is>
          <t>Not stated</t>
        </is>
      </c>
      <c r="AJ47" s="3" t="inlineStr">
        <is>
          <t>Inferred: exclusivity</t>
        </is>
      </c>
      <c r="AK47" s="8" t="n">
        <v>38</v>
      </c>
      <c r="AL47" s="3" t="inlineStr">
        <is>
          <t>R045; R038</t>
        </is>
      </c>
      <c r="AM47" s="3" t="inlineStr">
        <is>
          <t>Mac-Gray</t>
        </is>
      </c>
    </row>
    <row r="48">
      <c r="A48" s="2" t="n">
        <v>47</v>
      </c>
      <c r="B48" s="3" t="inlineStr">
        <is>
          <t>by 09/24/2013</t>
        </is>
      </c>
      <c r="C48" s="3" t="inlineStr">
        <is>
          <t>Party B</t>
        </is>
      </c>
      <c r="D48" s="3" t="inlineStr">
        <is>
          <t>Dropped by target</t>
        </is>
      </c>
      <c r="E48" s="2" t="inlineStr">
        <is>
          <t>1</t>
        </is>
      </c>
      <c r="F48" s="2" t="inlineStr">
        <is>
          <t>4</t>
        </is>
      </c>
      <c r="G48" s="2" t="inlineStr">
        <is>
          <t>Financial</t>
        </is>
      </c>
      <c r="H48" s="3" t="inlineStr">
        <is>
          <t>Inferred: exclusivity — with exclusivity executed with CSC/Pamplona on 09/24/2013, Party B was displaced from the process; no notice to Party B is reported and no earlier outcome is recorded. Count 1.</t>
        </is>
      </c>
      <c r="I48" s="3" t="inlineStr"/>
      <c r="J48" s="3" t="inlineStr"/>
      <c r="K48" s="3" t="inlineStr">
        <is>
          <t>Inferred: exclusivity. “On September 24, 2013, CSC, Pamplona and Mac-Gray executed the exclusivity agreement providing for exclusive negotiations until 5 p.m. ET on October 12, 2013” (P-060, p.38); Party B was live with its $21.50-valued package when CSC/Pamplona was selected (P-053, p.36; P-055, p.37).</t>
        </is>
      </c>
      <c r="L48" s="4" t="inlineStr">
        <is>
          <t>P-060; P-053; P-055</t>
        </is>
      </c>
      <c r="M48" s="3" t="inlineStr">
        <is>
          <t>Q4</t>
        </is>
      </c>
      <c r="N48" s="3" t="inlineStr"/>
      <c r="O48" s="3" t="inlineStr">
        <is>
          <t>R047</t>
        </is>
      </c>
      <c r="P48" s="3" t="inlineStr">
        <is>
          <t>Yes</t>
        </is>
      </c>
      <c r="Q48" s="3" t="n">
        <v>1</v>
      </c>
      <c r="R48" s="5" t="n"/>
      <c r="S48" s="5" t="n">
        <v>41541</v>
      </c>
      <c r="T48" s="6" t="n">
        <v>41541</v>
      </c>
      <c r="U48" s="3" t="inlineStr">
        <is>
          <t>Relative only</t>
        </is>
      </c>
      <c r="V48" s="3" t="inlineStr">
        <is>
          <t>Assigned: decision day</t>
        </is>
      </c>
      <c r="W48" s="7" t="n"/>
      <c r="X48" s="7" t="n"/>
      <c r="Y48" s="3" t="inlineStr"/>
      <c r="Z48" s="3" t="inlineStr"/>
      <c r="AA48" s="3" t="inlineStr"/>
      <c r="AB48" s="3" t="inlineStr"/>
      <c r="AC48" s="7" t="n"/>
      <c r="AD48" s="3" t="inlineStr"/>
      <c r="AE48" s="6" t="n"/>
      <c r="AF48" s="3" t="inlineStr"/>
      <c r="AG48" s="3" t="inlineStr"/>
      <c r="AH48" s="3" t="inlineStr">
        <is>
          <t>Target</t>
        </is>
      </c>
      <c r="AI48" s="2" t="inlineStr">
        <is>
          <t>Not stated</t>
        </is>
      </c>
      <c r="AJ48" s="3" t="inlineStr">
        <is>
          <t>Inferred: exclusivity</t>
        </is>
      </c>
      <c r="AK48" s="8" t="n">
        <v>38</v>
      </c>
      <c r="AL48" s="3" t="inlineStr">
        <is>
          <t>R045; R039</t>
        </is>
      </c>
      <c r="AM48" s="3" t="inlineStr">
        <is>
          <t>Mac-Gray</t>
        </is>
      </c>
    </row>
    <row r="49">
      <c r="A49" s="2" t="n">
        <v>48</v>
      </c>
      <c r="B49" s="3" t="inlineStr">
        <is>
          <t>09/25/2013 (earliest observed service; commencement not disclosed)</t>
        </is>
      </c>
      <c r="C49" s="3" t="inlineStr">
        <is>
          <t>Kirkland &amp; Ellis LLP — CSC/Pamplona (client)</t>
        </is>
      </c>
      <c r="D49" s="3" t="inlineStr">
        <is>
          <t>Adviser service observed</t>
        </is>
      </c>
      <c r="E49" s="2" t="inlineStr">
        <is>
          <t>1</t>
        </is>
      </c>
      <c r="F49" s="2" t="inlineStr">
        <is>
          <t>4</t>
        </is>
      </c>
      <c r="G49" s="2" t="inlineStr"/>
      <c r="H49" s="3" t="inlineStr">
        <is>
          <t>Outside legal counsel to CSC/Pamplona; first observed receiving the initial draft merger agreement from Goodwin Procter on 09/25/2013. Thereafter negotiated the merger agreement, the Pamplona commitment letter (including Pamplona's liability cap) and the voting agreements with Goodwin Procter and counsel for the stockholders through signing. Engagement or selection date not disclosed.</t>
        </is>
      </c>
      <c r="I49" s="3" t="inlineStr"/>
      <c r="J49" s="3" t="inlineStr"/>
      <c r="K49" s="3" t="inlineStr">
        <is>
          <t>Stated (service; no engagement date). “On September 25, 2013, Goodwin Procter delivered to Kirkland &amp; Ellis LLP, outside legal counsel to CSC/Pamplona, whom we refer to as Kirkland, the initial draft of the merger agreement.” (p.38)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 (p.39)</t>
        </is>
      </c>
      <c r="L49" s="4" t="inlineStr">
        <is>
          <t>P-061; P-064</t>
        </is>
      </c>
      <c r="M49" s="3" t="inlineStr"/>
      <c r="N49" s="3" t="inlineStr"/>
      <c r="O49" s="3" t="inlineStr">
        <is>
          <t>R048</t>
        </is>
      </c>
      <c r="P49" s="3" t="inlineStr">
        <is>
          <t>Yes</t>
        </is>
      </c>
      <c r="Q49" s="3" t="n"/>
      <c r="R49" s="5" t="n">
        <v>41542</v>
      </c>
      <c r="S49" s="5" t="n"/>
      <c r="T49" s="6" t="n">
        <v>41542</v>
      </c>
      <c r="U49" s="3" t="inlineStr">
        <is>
          <t>Relative only</t>
        </is>
      </c>
      <c r="V49" s="3" t="inlineStr">
        <is>
          <t>Assigned: bound</t>
        </is>
      </c>
      <c r="W49" s="7" t="n"/>
      <c r="X49" s="7" t="n"/>
      <c r="Y49" s="3" t="inlineStr"/>
      <c r="Z49" s="3" t="inlineStr"/>
      <c r="AA49" s="3" t="inlineStr"/>
      <c r="AB49" s="3" t="inlineStr"/>
      <c r="AC49" s="7" t="n"/>
      <c r="AD49" s="3" t="inlineStr"/>
      <c r="AE49" s="6" t="n"/>
      <c r="AF49" s="3" t="inlineStr"/>
      <c r="AG49" s="3" t="inlineStr"/>
      <c r="AH49" s="3" t="inlineStr"/>
      <c r="AI49" s="2" t="inlineStr"/>
      <c r="AJ49" s="3" t="inlineStr"/>
      <c r="AK49" s="8" t="n">
        <v>38</v>
      </c>
      <c r="AL49" s="3" t="inlineStr">
        <is>
          <t>R045; R051</t>
        </is>
      </c>
      <c r="AM49" s="3" t="inlineStr">
        <is>
          <t>Mac-Gray</t>
        </is>
      </c>
    </row>
    <row r="50">
      <c r="A50" s="2" t="n">
        <v>49</v>
      </c>
      <c r="B50" s="3" t="inlineStr">
        <is>
          <t>09/23/2013–10/07/2013 (discussions through early October; no rollover determined by 10/07/2013)</t>
        </is>
      </c>
      <c r="C50" s="3" t="inlineStr">
        <is>
          <t>Moab (Mr. Rothenberg) / CSC-Pamplona</t>
        </is>
      </c>
      <c r="D50" s="3" t="inlineStr">
        <is>
          <t>Material process update</t>
        </is>
      </c>
      <c r="E50" s="2" t="inlineStr">
        <is>
          <t>1</t>
        </is>
      </c>
      <c r="F50" s="2" t="inlineStr">
        <is>
          <t>4</t>
        </is>
      </c>
      <c r="G50" s="2" t="inlineStr"/>
      <c r="H50" s="3" t="inlineStr">
        <is>
          <t>Rollover (step 2 — permitted, then resolved without a rollover): Mac-Gray told Mr. Rothenberg on a limited basis of the process status and the CSC/Pamplona negotiations so Moab could resume rollover discussions with CSC/Pamplona; he indicated interest and BofA agreed to arrange and facilitate. Mr. Rothenberg then held discussions with Pamplona; as a result it was determined that Moab would not roll over any shares in the transaction (reported to the Special Committee on 10/07/2013).</t>
        </is>
      </c>
      <c r="I50" s="3" t="inlineStr"/>
      <c r="J50" s="3" t="inlineStr"/>
      <c r="K50" s="3" t="inlineStr">
        <is>
          <t>Stated.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(p.38). “Mr. Rothenberg engaged in various discussions with representatives of Pamplona during this time to discuss a possible rollover of Moab shares. As a result of such discussions, it was determined that Moab would not rollover any Moab shares in the transaction.” (p.38) “Mr. Daoust reported to the Special Committee that, after discussions between Moab and representatives of Pamplona, it was determined that Moab would not rollover any Moab shares in the transaction.” (p.39)</t>
        </is>
      </c>
      <c r="L50" s="4" t="inlineStr">
        <is>
          <t>P-058; P-061; P-065</t>
        </is>
      </c>
      <c r="M50" s="3" t="inlineStr"/>
      <c r="N50" s="3" t="inlineStr"/>
      <c r="O50" s="3" t="inlineStr">
        <is>
          <t>R049</t>
        </is>
      </c>
      <c r="P50" s="3" t="inlineStr">
        <is>
          <t>Yes</t>
        </is>
      </c>
      <c r="Q50" s="3" t="n"/>
      <c r="R50" s="5" t="n">
        <v>41540</v>
      </c>
      <c r="S50" s="5" t="n">
        <v>41554</v>
      </c>
      <c r="T50" s="6" t="n">
        <v>41554</v>
      </c>
      <c r="U50" s="3" t="inlineStr">
        <is>
          <t>Reported interval</t>
        </is>
      </c>
      <c r="V50" s="3" t="inlineStr">
        <is>
          <t>Assigned: decision day</t>
        </is>
      </c>
      <c r="W50" s="7" t="n"/>
      <c r="X50" s="7" t="n"/>
      <c r="Y50" s="3" t="inlineStr"/>
      <c r="Z50" s="3" t="inlineStr"/>
      <c r="AA50" s="3" t="inlineStr"/>
      <c r="AB50" s="3" t="inlineStr"/>
      <c r="AC50" s="7" t="n"/>
      <c r="AD50" s="3" t="inlineStr"/>
      <c r="AE50" s="6" t="n"/>
      <c r="AF50" s="3" t="inlineStr"/>
      <c r="AG50" s="3" t="inlineStr"/>
      <c r="AH50" s="3" t="inlineStr"/>
      <c r="AI50" s="2" t="inlineStr"/>
      <c r="AJ50" s="3" t="inlineStr"/>
      <c r="AK50" s="8" t="n">
        <v>39</v>
      </c>
      <c r="AL50" s="3" t="inlineStr">
        <is>
          <t>R017; R008</t>
        </is>
      </c>
      <c r="AM50" s="3" t="inlineStr">
        <is>
          <t>Mac-Gray</t>
        </is>
      </c>
    </row>
    <row r="51">
      <c r="A51" s="2" t="n">
        <v>50</v>
      </c>
      <c r="B51" s="3" t="inlineStr">
        <is>
          <t>10/12/2013 (letter agreement; extension sought 10/09–10/11)</t>
        </is>
      </c>
      <c r="C51" s="3" t="inlineStr">
        <is>
          <t>CSC, Pamplona and Mac-Gray</t>
        </is>
      </c>
      <c r="D51" s="3" t="inlineStr">
        <is>
          <t>Exclusivity changed</t>
        </is>
      </c>
      <c r="E51" s="2" t="inlineStr">
        <is>
          <t>1</t>
        </is>
      </c>
      <c r="F51" s="2" t="inlineStr">
        <is>
          <t>4</t>
        </is>
      </c>
      <c r="G51" s="2" t="inlineStr"/>
      <c r="H51" s="3" t="inlineStr">
        <is>
          <t>Exclusivity extended: with exclusivity due to expire at 5 p.m. ET on 10/12/2013 and open issues remaining, CSC/Pamplona requested an extension; the Special Committee objected to the $15 million Mac-Gray termination fee and would not extend unless a lower amount was agreed; CSC/Pamplona agreed to the $11 million fee, and the parties executed a letter agreement extending exclusivity until 11:59 p.m. ET on 10/15/2013. Scheduled (not observed) end: the merger agreement was signed 10/14/2013.</t>
        </is>
      </c>
      <c r="I51" s="3" t="inlineStr"/>
      <c r="J51" s="3" t="inlineStr"/>
      <c r="K51" s="3" t="inlineStr">
        <is>
          <t>Stated. “On October 12, 2013, CSC, Pamplona and Mac-Gray executed a letter agreement extending exclusivity until 11:59 p.m. ET on October 15, 2013.” (p.41) “the Special Committee continued to object to the $15 million Mac-Gray termination fee proposed by CSC/Pamplona and would not be willing to extend exclusivity unless a lower amount were agreed to” “authorized to extend the exclusivity agreement until 11:59 p.m. on ET on October 15, 2013 if CSC/Pamplona would agree to a Mac-Gray termination fee of not more than $11 million” (p.40) — “Shortly following that conversation, the representative of CSC/Pamplona telephoned Mr. Daoust and agreed to the $11 million Mac-Gray termination fee.” (p.40–41)</t>
        </is>
      </c>
      <c r="L51" s="4" t="inlineStr">
        <is>
          <t>P-069; P-070; P-071; P-072</t>
        </is>
      </c>
      <c r="M51" s="3" t="inlineStr"/>
      <c r="N51" s="3" t="inlineStr"/>
      <c r="O51" s="3" t="inlineStr">
        <is>
          <t>R050</t>
        </is>
      </c>
      <c r="P51" s="3" t="inlineStr">
        <is>
          <t>Yes</t>
        </is>
      </c>
      <c r="Q51" s="3" t="n"/>
      <c r="R51" s="5" t="n">
        <v>41559</v>
      </c>
      <c r="S51" s="5" t="n">
        <v>41559</v>
      </c>
      <c r="T51" s="6" t="n">
        <v>41559</v>
      </c>
      <c r="U51" s="3" t="inlineStr">
        <is>
          <t>Reported day</t>
        </is>
      </c>
      <c r="V51" s="3" t="inlineStr">
        <is>
          <t>Reported</t>
        </is>
      </c>
      <c r="W51" s="7" t="n"/>
      <c r="X51" s="7" t="n"/>
      <c r="Y51" s="3" t="inlineStr"/>
      <c r="Z51" s="3" t="inlineStr"/>
      <c r="AA51" s="3" t="inlineStr"/>
      <c r="AB51" s="3" t="inlineStr"/>
      <c r="AC51" s="7" t="n"/>
      <c r="AD51" s="3" t="inlineStr"/>
      <c r="AE51" s="6" t="n"/>
      <c r="AF51" s="3" t="inlineStr"/>
      <c r="AG51" s="3" t="inlineStr"/>
      <c r="AH51" s="3" t="inlineStr"/>
      <c r="AI51" s="2" t="inlineStr"/>
      <c r="AJ51" s="3" t="inlineStr"/>
      <c r="AK51" s="8" t="n">
        <v>41</v>
      </c>
      <c r="AL51" s="3" t="inlineStr">
        <is>
          <t>R045; R051</t>
        </is>
      </c>
      <c r="AM51" s="3" t="inlineStr">
        <is>
          <t>Mac-Gray</t>
        </is>
      </c>
    </row>
    <row r="52">
      <c r="A52" s="2" t="n">
        <v>51</v>
      </c>
      <c r="B52" s="3" t="inlineStr">
        <is>
          <t>10/14/2013</t>
        </is>
      </c>
      <c r="C52" s="3" t="inlineStr">
        <is>
          <t>Mac-Gray / Special Committee / Board of Directors / CSC-Pamplona</t>
        </is>
      </c>
      <c r="D52" s="3" t="inlineStr">
        <is>
          <t>Merger agreement signed</t>
        </is>
      </c>
      <c r="E52" s="2" t="inlineStr">
        <is>
          <t>1</t>
        </is>
      </c>
      <c r="F52" s="2" t="inlineStr">
        <is>
          <t>4</t>
        </is>
      </c>
      <c r="G52" s="2" t="inlineStr"/>
      <c r="H52" s="3" t="inlineStr">
        <is>
          <t>Agreed consideration: $21.25 per share in cash, without interest and less applicable withholding (whole-company merger; Mac-Gray survives as a wholly-owned subsidiary of Parent). The Special Committee unanimously recommended and the Board unanimously approved and adopted the merger agreement; BofA Merrill Lynch delivered its oral fairness opinion, confirmed in writing dated 10/14/2013. The merger agreement was executed later that day; the Pamplona commitment letter was delivered ($594 million committed by Pamplona Capital Partners III, L.P.; no financing condition; Pamplona and the Buyer Entities jointly and severally liable for damages, with Pamplona's liability capped at $50 million and the Buyer Entities' liability unlimited); Moab and Parent executed the Moab voting agreement and the MacDonald voting agreements (entered 09/27/2013) became effective — approximately 15% of shares subject to voting agreements. Mac-Gray termination fee $11 million; CSC reverse termination fee $15 million. Signing is not an extra submitted bid: numeric bid-price cells and formality/conditionality cells are blank on this row.</t>
        </is>
      </c>
      <c r="I52" s="3" t="inlineStr"/>
      <c r="J52" s="3" t="inlineStr"/>
      <c r="K52" s="3" t="inlineStr">
        <is>
          <t>Stated. “the Special Committee unanimously determined to recommend to the Board that the merger agreement and the merger were advisable and in the best interests of Mac-Gray's stockholders” (p.41). “the merger agreement was executed, the Pamplona commitment letter was delivered, Moab and Parent executed the Moab voting agreement and the Mac-Donald voting agreements became effective.” (p.41)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 (p.6; also Annex A Section 5.08, p. A-30). “Mac-Gray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 (p.10; also p.80–81).</t>
        </is>
      </c>
      <c r="L52" s="4" t="inlineStr">
        <is>
          <t>P-075; P-076; P-077; X-002; X-005; X-026; X-017; X-018; X-006</t>
        </is>
      </c>
      <c r="M52" s="3" t="inlineStr">
        <is>
          <t>Q5</t>
        </is>
      </c>
      <c r="N52" s="3" t="inlineStr"/>
      <c r="O52" s="3" t="inlineStr">
        <is>
          <t>R051</t>
        </is>
      </c>
      <c r="P52" s="3" t="inlineStr">
        <is>
          <t>Yes</t>
        </is>
      </c>
      <c r="Q52" s="3" t="n"/>
      <c r="R52" s="5" t="n">
        <v>41561</v>
      </c>
      <c r="S52" s="5" t="n">
        <v>41561</v>
      </c>
      <c r="T52" s="6" t="n">
        <v>41561</v>
      </c>
      <c r="U52" s="3" t="inlineStr">
        <is>
          <t>Reported day</t>
        </is>
      </c>
      <c r="V52" s="3" t="inlineStr">
        <is>
          <t>Reported</t>
        </is>
      </c>
      <c r="W52" s="7" t="n"/>
      <c r="X52" s="7" t="n"/>
      <c r="Y52" s="3" t="inlineStr"/>
      <c r="Z52" s="3" t="inlineStr"/>
      <c r="AA52" s="3" t="inlineStr"/>
      <c r="AB52" s="3" t="inlineStr"/>
      <c r="AC52" s="7" t="n"/>
      <c r="AD52" s="3" t="inlineStr"/>
      <c r="AE52" s="6" t="n"/>
      <c r="AF52" s="3" t="inlineStr"/>
      <c r="AG52" s="3" t="inlineStr"/>
      <c r="AH52" s="3" t="inlineStr"/>
      <c r="AI52" s="2" t="inlineStr"/>
      <c r="AJ52" s="3" t="inlineStr"/>
      <c r="AK52" s="8" t="n">
        <v>41</v>
      </c>
      <c r="AL52" s="3" t="inlineStr">
        <is>
          <t>R043; R050; R052; R007</t>
        </is>
      </c>
      <c r="AM52" s="3" t="inlineStr">
        <is>
          <t>Mac-Gray</t>
        </is>
      </c>
    </row>
    <row r="53">
      <c r="A53" s="2" t="n">
        <v>52</v>
      </c>
      <c r="B53" s="3" t="inlineStr">
        <is>
          <t>10/15/2013</t>
        </is>
      </c>
      <c r="C53" s="3" t="inlineStr">
        <is>
          <t>Mac-Gray and CSC</t>
        </is>
      </c>
      <c r="D53" s="3" t="inlineStr">
        <is>
          <t>Merger announced</t>
        </is>
      </c>
      <c r="E53" s="2" t="inlineStr">
        <is>
          <t>1</t>
        </is>
      </c>
      <c r="F53" s="2" t="inlineStr">
        <is>
          <t>4</t>
        </is>
      </c>
      <c r="G53" s="2" t="inlineStr"/>
      <c r="H53" s="3" t="inlineStr">
        <is>
          <t>Joint public announcement of the execution of the merger agreement, made before the U.S. stock markets opened. Public disclosure of the transaction; no earlier public sale-process announcement or leak is reported. No go-shop is provided; no post-signing competing proposal is disclosed in the proxy statement.</t>
        </is>
      </c>
      <c r="I53" s="3" t="inlineStr"/>
      <c r="J53" s="3" t="inlineStr"/>
      <c r="K53" s="3" t="inlineStr">
        <is>
          <t>Stated. “On October 15, 2013, before the U.S. stock markets opened, Mac-Gray and CSC jointly announced the execution of the merger agreement.” (p.41). Absence of a go-shop: the merger agreement prohibits solicitation subject to a fiduciary out — “prior to the adoption of the merger agreement by Mac-Gray stockholders, if Mac-Gray receives an unsolicited bona fide acquisition proposal in writing from a third party after the date of the merger agreement” “then Mac-Gray may furnish to such third party non-public information relating to Mac-Gray pursuant to a confidentiality agreement meeting certain requirements as set forth in the merger agreement and afford such third party access to the businesses, properties, assets and personnel of Mac-Gray or any of its subsidiaries and enter into, maintain and participate in discussions or negotiations with such third party or otherwise cooperate with or assist or participate in, or facilitate, any such discussions or negotiations” (p.8); no go-shop provision is described.</t>
        </is>
      </c>
      <c r="L53" s="4" t="inlineStr">
        <is>
          <t>P-078; X-004</t>
        </is>
      </c>
      <c r="M53" s="3" t="inlineStr"/>
      <c r="N53" s="3" t="inlineStr"/>
      <c r="O53" s="3" t="inlineStr">
        <is>
          <t>R052</t>
        </is>
      </c>
      <c r="P53" s="3" t="inlineStr">
        <is>
          <t>Yes</t>
        </is>
      </c>
      <c r="Q53" s="3" t="n"/>
      <c r="R53" s="5" t="n">
        <v>41562</v>
      </c>
      <c r="S53" s="5" t="n">
        <v>41562</v>
      </c>
      <c r="T53" s="6" t="n">
        <v>41562</v>
      </c>
      <c r="U53" s="3" t="inlineStr">
        <is>
          <t>Reported day</t>
        </is>
      </c>
      <c r="V53" s="3" t="inlineStr">
        <is>
          <t>Reported</t>
        </is>
      </c>
      <c r="W53" s="7" t="n"/>
      <c r="X53" s="7" t="n"/>
      <c r="Y53" s="3" t="inlineStr"/>
      <c r="Z53" s="3" t="inlineStr"/>
      <c r="AA53" s="3" t="inlineStr"/>
      <c r="AB53" s="3" t="inlineStr"/>
      <c r="AC53" s="7" t="n"/>
      <c r="AD53" s="3" t="inlineStr"/>
      <c r="AE53" s="6" t="n"/>
      <c r="AF53" s="3" t="inlineStr"/>
      <c r="AG53" s="3" t="inlineStr"/>
      <c r="AH53" s="3" t="inlineStr"/>
      <c r="AI53" s="2" t="inlineStr"/>
      <c r="AJ53" s="3" t="inlineStr"/>
      <c r="AK53" s="8" t="n">
        <v>41</v>
      </c>
      <c r="AL53" s="3" t="inlineStr">
        <is>
          <t>R051</t>
        </is>
      </c>
      <c r="AM53" s="3" t="inlineStr">
        <is>
          <t>Mac-Gray</t>
        </is>
      </c>
    </row>
  </sheetData>
  <autoFilter ref="A1:AM53"/>
  <conditionalFormatting sqref="B2:AM300">
    <cfRule type="expression" priority="1" dxfId="0" stopIfTrue="0">
      <formula>AND($O2&lt;&gt;"",IFERROR(INDEX('AI original'!$A$1:$AM$1000,MATCH($O2,'AI original'!$O$1:$O$1000,0),COLUMN())&lt;&gt;B2,TRUE))</formula>
    </cfRule>
  </conditionalFormatting>
  <dataValidations count="15">
    <dataValidation sqref="D2:D400" showDropDown="0" showInputMessage="0" showErrorMessage="1" allowBlank="1" type="list">
      <formula1>Lists!$A$2:$A$60</formula1>
    </dataValidation>
    <dataValidation sqref="G2:G400" showDropDown="0" showInputMessage="0" showErrorMessage="1" allowBlank="1" type="list">
      <formula1>Lists!$B$2:$B$60</formula1>
    </dataValidation>
    <dataValidation sqref="I2:I400" showDropDown="0" showInputMessage="0" showErrorMessage="1" allowBlank="1" type="list">
      <formula1>Lists!$C$2:$C$60</formula1>
    </dataValidation>
    <dataValidation sqref="J2:J400" showDropDown="0" showInputMessage="0" showErrorMessage="1" allowBlank="1" type="list">
      <formula1>Lists!$D$2:$D$60</formula1>
    </dataValidation>
    <dataValidation sqref="P2:P400" showDropDown="0" showInputMessage="0" showErrorMessage="1" allowBlank="1" type="list">
      <formula1>Lists!$E$2:$E$60</formula1>
    </dataValidation>
    <dataValidation sqref="U2:U400" showDropDown="0" showInputMessage="0" showErrorMessage="1" allowBlank="1" type="list">
      <formula1>Lists!$F$2:$F$60</formula1>
    </dataValidation>
    <dataValidation sqref="V2:V400" showDropDown="0" showInputMessage="0" showErrorMessage="1" allowBlank="1" type="list">
      <formula1>Lists!$G$2:$G$60</formula1>
    </dataValidation>
    <dataValidation sqref="Y2:Y400" showDropDown="0" showInputMessage="0" showErrorMessage="1" allowBlank="1" type="list">
      <formula1>Lists!$H$2:$H$60</formula1>
    </dataValidation>
    <dataValidation sqref="Z2:Z400" showDropDown="0" showInputMessage="0" showErrorMessage="1" allowBlank="1" type="list">
      <formula1>Lists!$I$2:$I$60</formula1>
    </dataValidation>
    <dataValidation sqref="AB2:AB400" showDropDown="0" showInputMessage="0" showErrorMessage="1" allowBlank="1" type="list">
      <formula1>Lists!$J$2:$J$60</formula1>
    </dataValidation>
    <dataValidation sqref="AF2:AF400" showDropDown="0" showInputMessage="0" showErrorMessage="1" allowBlank="1" type="list">
      <formula1>Lists!$K$2:$K$60</formula1>
    </dataValidation>
    <dataValidation sqref="AG2:AG400" showDropDown="0" showInputMessage="0" showErrorMessage="1" allowBlank="1" type="list">
      <formula1>Lists!$L$2:$L$60</formula1>
    </dataValidation>
    <dataValidation sqref="AH2:AH400" showDropDown="0" showInputMessage="0" showErrorMessage="1" allowBlank="1" type="list">
      <formula1>Lists!$M$2:$M$60</formula1>
    </dataValidation>
    <dataValidation sqref="AI2:AI400" showDropDown="0" showInputMessage="0" showErrorMessage="1" allowBlank="1" type="list">
      <formula1>Lists!$N$2:$N$60</formula1>
    </dataValidation>
    <dataValidation sqref="AJ2:AJ400" showDropDown="0" showInputMessage="0" showErrorMessage="1" allowBlank="1" type="list">
      <formula1>Lists!$O$2:$O$60</formula1>
    </dataValidation>
  </dataValidations>
  <hyperlinks>
    <hyperlink ref="L2" location="'Source text'!A3"/>
    <hyperlink ref="L3" location="'Source text'!A4"/>
    <hyperlink ref="L4" location="'Source text'!A5"/>
    <hyperlink ref="L5" location="'Source text'!A6"/>
    <hyperlink ref="L6" location="'Source text'!A6"/>
    <hyperlink ref="L7" location="'Source text'!A10"/>
    <hyperlink ref="L8" location="'Source text'!A12"/>
    <hyperlink ref="L9" location="'Source text'!A16"/>
    <hyperlink ref="L10" location="'Source text'!A18"/>
    <hyperlink ref="L11" location="'Source text'!A19"/>
    <hyperlink ref="L12" location="'Source text'!A20"/>
    <hyperlink ref="L13" location="'Source text'!A23"/>
    <hyperlink ref="L14" location="'Source text'!A23"/>
    <hyperlink ref="L15" location="'Source text'!A24"/>
    <hyperlink ref="L16" location="'Source text'!A26"/>
    <hyperlink ref="L17" location="'Source text'!A27"/>
    <hyperlink ref="L18" location="'Source text'!A28"/>
    <hyperlink ref="L19" location="'Source text'!A30"/>
    <hyperlink ref="L20" location="'Source text'!A24"/>
    <hyperlink ref="L21" location="'Source text'!A32"/>
    <hyperlink ref="L22" location="'Source text'!A24"/>
    <hyperlink ref="L23" location="'Source text'!A33"/>
    <hyperlink ref="L24" location="'Source text'!A33"/>
    <hyperlink ref="L25" location="'Source text'!A34"/>
    <hyperlink ref="L26" location="'Source text'!A31"/>
    <hyperlink ref="L27" location="'Source text'!A34"/>
    <hyperlink ref="L28" location="'Source text'!A42"/>
    <hyperlink ref="L29" location="'Source text'!A44"/>
    <hyperlink ref="L30" location="'Source text'!A48"/>
    <hyperlink ref="L31" location="'Source text'!A48"/>
    <hyperlink ref="L32" location="'Source text'!A49"/>
    <hyperlink ref="L33" location="'Source text'!A49"/>
    <hyperlink ref="L34" location="'Source text'!A50"/>
    <hyperlink ref="L35" location="'Source text'!A51"/>
    <hyperlink ref="L36" location="'Source text'!A52"/>
    <hyperlink ref="L37" location="'Source text'!A51"/>
    <hyperlink ref="L38" location="'Source text'!A54"/>
    <hyperlink ref="L39" location="'Source text'!A54"/>
    <hyperlink ref="L40" location="'Source text'!A54"/>
    <hyperlink ref="L41" location="'Source text'!A54"/>
    <hyperlink ref="L42" location="'Source text'!A55"/>
    <hyperlink ref="L43" location="'Source text'!A57"/>
    <hyperlink ref="L44" location="'Source text'!A57"/>
    <hyperlink ref="L45" location="'Source text'!A58"/>
    <hyperlink ref="L46" location="'Source text'!A61"/>
    <hyperlink ref="L47" location="'Source text'!A61"/>
    <hyperlink ref="L48" location="'Source text'!A61"/>
    <hyperlink ref="L49" location="'Source text'!A62"/>
    <hyperlink ref="L50" location="'Source text'!A59"/>
    <hyperlink ref="L51" location="'Source text'!A70"/>
    <hyperlink ref="L52" location="'Source text'!A76"/>
    <hyperlink ref="L53" location="'Source text'!A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00" customWidth="1" min="2" max="2"/>
    <col width="70" customWidth="1" min="3" max="3"/>
  </cols>
  <sheetData>
    <row r="1">
      <c r="A1" s="9" t="inlineStr">
        <is>
          <t>Mac-Gray Corporation — acquisition by CSC/Pamplona: summary</t>
        </is>
      </c>
    </row>
    <row r="2">
      <c r="A2" t="inlineStr">
        <is>
          <t>Deal ledger — AI first pass (see Questions for review items and check results)</t>
        </is>
      </c>
    </row>
    <row r="3">
      <c r="A3" s="10" t="inlineStr">
        <is>
          <t>Status and source</t>
        </is>
      </c>
      <c r="B3" s="11" t="n"/>
    </row>
    <row r="4">
      <c r="A4" s="12" t="inlineStr">
        <is>
          <t>Status</t>
        </is>
      </c>
      <c r="B4" s="3" t="inlineStr">
        <is>
          <t>AI first pass; not human-approved. Extraction from a single supplied SEC filing only; no outside sources, identities or prices used.</t>
        </is>
      </c>
    </row>
    <row r="5">
      <c r="A5" s="12" t="inlineStr">
        <is>
          <t>Instruction</t>
        </is>
      </c>
      <c r="B5" s="3" t="inlineStr">
        <is>
          <t>SEC deal-ledger extraction instruction, revision 19 September 2026 (replaces earlier instructions).</t>
        </is>
      </c>
    </row>
    <row r="6">
      <c r="A6" s="12" t="inlineStr">
        <is>
          <t>Source coverage</t>
        </is>
      </c>
      <c r="B6" s="3" t="inlineStr">
        <is>
          <t>Complete Mac-Gray DEFM14A filed 12/04/2013 (accession a2217482; file raw_filing/mac-gray_2013-12-04_DEFM14A.htm): proxy statement pp.1–97 plus Annexes A–D; full background read (pp.27–41) and supporting sections; Source text sheet holds the complete background and every additional passage used.</t>
        </is>
      </c>
    </row>
    <row r="7">
      <c r="A7" s="12" t="inlineStr">
        <is>
          <t>Last recheck</t>
        </is>
      </c>
      <c r="B7" s="3" t="inlineStr">
        <is>
          <t>Mechanical checks re-run against the delivered workbook (sorting, counts, quote matching, validation lists). Not rechecked in a spreadsheet application; conditional-formatting change highlighting is built but untested in Excel.</t>
        </is>
      </c>
    </row>
    <row r="8">
      <c r="A8" s="10" t="inlineStr">
        <is>
          <t>Commercial account</t>
        </is>
      </c>
      <c r="B8" s="11" t="n"/>
    </row>
    <row r="9">
      <c r="A9" s="12" t="inlineStr">
        <is>
          <t>Account</t>
        </is>
      </c>
      <c r="B9" s="3" t="inlineStr">
        <is>
          <t>Mac-Gray, an NYSE-listed laundry facilities management company, had reviewed strategic alternatives with BofA Merrill Lynch since April 2013; after Moab's 2013 proxy contest changed the board, a six-member Special Committee launched a sale process on June 24, 2013, approaching 50 parties (15 strategic, 35 financial), of which 20 signed confidentiality agreements. Four bidders advanced — strategic Party A and CSC/Pamplona (CSC ServiceWorks, a Pamplona Capital portfolio company) and financial bidders Party B and Party C. Preliminary indications of $15.00–$19.00 (July) led to staged disclosure and management presentations; revised September indications ranged from $16.00–$17.00 (Party C) to $19.50 (CSC/Pamplona), while Party B offered $19.00 cash plus options it valued at $2.50. In the final round (due September 18), CSC/Pamplona bid $20.75 all cash with committed financing, Party A reiterated $18.00–$19.00 as its best and final, Party B proposed its cash-plus-options package, and Party C did not submit. The Special Committee selected CSC/Pamplona, negotiated a $21.25 all-cash price in exchange for two-week exclusivity from September 24, and signed a definitive agreement on October 14, 2013, announced October 15. No go-shop and no post-signing competing proposal are disclosed; closing was expected in January 2014 / first half of 2014 and is not observed in the filing.</t>
        </is>
      </c>
    </row>
    <row r="10">
      <c r="A10" s="10" t="inlineStr">
        <is>
          <t>Deal facts</t>
        </is>
      </c>
      <c r="B10" s="11" t="n"/>
    </row>
    <row r="11">
      <c r="A11" s="12" t="inlineStr">
        <is>
          <t>Target</t>
        </is>
      </c>
      <c r="B11" s="3" t="inlineStr">
        <is>
          <t>Mac-Gray Corporation (Delaware; Waltham, Massachusetts; NYSE: TUC; second largest U.S. laundry facilities management contractor; founded 1927) — p.26.</t>
        </is>
      </c>
    </row>
    <row r="12">
      <c r="A12" s="12" t="inlineStr">
        <is>
          <t>Focal acquirer</t>
        </is>
      </c>
      <c r="B12" s="3" t="inlineStr">
        <is>
          <t>CSC/Pamplona — CSC ServiceWorks, Inc., the largest U.S. multi-family housing and commercial laundry solutions provider and air-vending leader (1M+ machines), a portfolio company of Pamplona Capital Partners III, L.P. Chain: CSC ServiceWorks Holdings, Inc. (Holdings) → CSC ServiceWorks, Inc. (CSC) → Spin Holdco Inc. (Parent) → CSC Fenway, Inc. (Merger Subsidiary) — pp.26, 30.</t>
        </is>
      </c>
    </row>
    <row r="13">
      <c r="A13" s="12" t="inlineStr">
        <is>
          <t>Acquirer type</t>
        </is>
      </c>
      <c r="B13" s="3" t="inlineStr">
        <is>
          <t>Strategic: operating-company acquisition role through a sponsor-owned operating company; Pamplona (sponsor) committed the capital. The filing includes CSC/Pamplona among strategic bidders (p.32) and discusses CSC synergies (p.31, p.37). Pamplona is the funding provider, not a separate bidder unit (single CSC/Pamplona unit from first NDA/bid; no Bidding group changed row).</t>
        </is>
      </c>
    </row>
    <row r="14">
      <c r="A14" s="12" t="inlineStr">
        <is>
          <t>Agreed consideration</t>
        </is>
      </c>
      <c r="B14" s="3" t="inlineStr">
        <is>
          <t>$21.25 per share in cash, without interest, less applicable withholding (whole-company merger; Mac-Gray survives as a wholly-owned subsidiary of Parent). Equity awards: options cashed out at $21.25 less strike; RSUs at $21.25; ESPP suspended — pp.5, 60–61.</t>
        </is>
      </c>
    </row>
    <row r="15">
      <c r="A15" s="12" t="inlineStr">
        <is>
          <t>Implied equity value (labelled calculation)</t>
        </is>
      </c>
      <c r="B15" s="3" t="inlineStr">
        <is>
          <t>$21.25 × 14,758,306 shares outstanding at 11/27/2013 = $313,614,002.50 (context only; not adjusted for equity awards, treasury shares or appraisal shares). Input: p.20.</t>
        </is>
      </c>
    </row>
    <row r="16">
      <c r="A16" s="12" t="inlineStr">
        <is>
          <t>Dates</t>
        </is>
      </c>
      <c r="B16" s="3" t="inlineStr">
        <is>
          <t>Merger agreement signed 10/14/2013; announced 10/15/2013; record date 11/27/2013; special meeting scheduled 01/08/2014; closing expected January 2014 (merger agreement §2.01 describes completion expected in the first half of 2014). Closing NOT observed in the filing.</t>
        </is>
      </c>
    </row>
    <row r="17">
      <c r="A17" s="12" t="inlineStr">
        <is>
          <t>Filing</t>
        </is>
      </c>
      <c r="B17" s="3" t="inlineStr">
        <is>
          <t>DEFM14A, dated 12/04/2013; background at pp.27–41; source filename raw_filing/mac-gray_2013-12-04_DEFM14A.htm.</t>
        </is>
      </c>
    </row>
    <row r="18">
      <c r="A18" s="12" t="inlineStr">
        <is>
          <t>Financing</t>
        </is>
      </c>
      <c r="B18" s="3" t="inlineStr">
        <is>
          <t>Pamplona commitment letter dated 10/14/2013: $594 million committed; no financing condition to closing; Pamplona and the Buyer Entities jointly and severally liable for damages up to $50 million for Pamplona (Buyer Entities unlimited); Mac-Gray an express third-party beneficiary — pp.6, 58–59; Annex A §5.08 (p. A-30).</t>
        </is>
      </c>
    </row>
    <row r="19">
      <c r="A19" s="12" t="inlineStr">
        <is>
          <t>Termination fees</t>
        </is>
      </c>
      <c r="B19" s="3" t="inlineStr">
        <is>
          <t>Mac-Gray termination fee $11 million (≈3.2% of total equity value); CSC reverse termination fee $15 million payable if regulatory clearance is not obtained — pp.10, 79–81.</t>
        </is>
      </c>
    </row>
    <row r="20">
      <c r="A20" s="12" t="inlineStr">
        <is>
          <t>Voting agreements</t>
        </is>
      </c>
      <c r="B20" s="3" t="inlineStr">
        <is>
          <t>≈15% of record-date shares subject to voting agreements with Parent (MacDonald family and Moab); effective on signing; terminate on termination of the merger agreement or the effective time — pp.10–11, 82.</t>
        </is>
      </c>
    </row>
    <row r="21">
      <c r="A21" s="12" t="inlineStr">
        <is>
          <t>Regulatory/litigation (one line; no ledger rows)</t>
        </is>
      </c>
      <c r="B21" s="3" t="inlineStr">
        <is>
          <t>HSR notifications filed 10/29/2013; waiting period expired 11/27/2013. Putative class action Star Partners Fund v. Bullock, et al. (Mass. Super. Ct., filed 11/21/2013) regarding the transaction — pp.82, 85.</t>
        </is>
      </c>
    </row>
    <row r="22">
      <c r="A22" s="12" t="inlineStr">
        <is>
          <t>Market benchmarks (not offers)</t>
        </is>
      </c>
      <c r="B22" s="3" t="inlineStr">
        <is>
          <t>Closing prices: $14.72 on 10/11/2013 (last trading day before Board approval); $14.93 on 10/14/2013 (last full trading day before announcement); $21.30 on 11/27/2013; 52-week high $15.61 for the period ending 10/11/2013. Filing-cited premiums: ≈36% over the 52-week high and ≈44% over $14.72 — pp.13, 43, 89.</t>
        </is>
      </c>
    </row>
    <row r="23">
      <c r="A23" s="12" t="inlineStr">
        <is>
          <t>Projections</t>
        </is>
      </c>
      <c r="B23" s="3" t="inlineStr">
        <is>
          <t>Management projections prepared June 2013 (with- and without-acquisitions cases) were provided to the Special Committee and BofA Merrill Lynch; not updated and not shown as shared with bidders — pp.52–53.</t>
        </is>
      </c>
    </row>
    <row r="24">
      <c r="A24" s="10" t="inlineStr">
        <is>
          <t>Process and round map (one process; post-signing phase has no new round)</t>
        </is>
      </c>
      <c r="B24" s="11" t="n"/>
    </row>
    <row r="25">
      <c r="A25" s="12" t="inlineStr">
        <is>
          <t>Process</t>
        </is>
      </c>
      <c r="B25" s="3" t="inlineStr">
        <is>
          <t>Process 1 — the 2013 sale process. The 2011-2012 Discussions were Mac-Gray's consideration of acquiring CSC (a target buy-side mandate), not a target sale attempt; no Process terminated / Process restarted is supported. No go-shop and no post-signing competing proposal are disclosed.</t>
        </is>
      </c>
    </row>
    <row r="26">
      <c r="A26" s="12" t="inlineStr">
        <is>
          <t>Round 0 (pre-opening)</t>
        </is>
      </c>
      <c r="B26" s="3" t="inlineStr">
        <is>
          <t>04/05/2013 Board exploration authorization (R002); 04/08/2013 Party A first contact (R003); 06/21/2013 Party A unsolicited all-cash proposal $17.00–$19.00 (R010), still standing when round 1 was evaluated.</t>
        </is>
      </c>
    </row>
    <row r="27">
      <c r="A27" s="12" t="inlineStr">
        <is>
          <t>Round 1 (opened 06/24/2013; R011)</t>
        </is>
      </c>
      <c r="B27" s="3" t="inlineStr">
        <is>
          <t>R1 anchor: Special Committee decision to commence the sale process and approach 50 parties (15 strategic, 35 financial); outreach executed within days (contacts reported 06/28). Rejected anchors: R003 (04/08 Party A contact), R010 (06/21 Party A proposal). Participants: 20 NDA signers (individually: R015 Party B, R016 Party C, R018 CSC/Pamplona, R025 Party A; residual cohort R014, Count 16); advancing set: 4. Deadline 07/23/2013 — Late bids accepted (CSC/Pamplona on time; Party B and Party C later submissions considered). Finality: Not final. Round-bidder tally: 4 units (new submissions 3 + Party A standing).</t>
        </is>
      </c>
    </row>
    <row r="28">
      <c r="A28" s="12" t="inlineStr">
        <is>
          <t>Round 2 (opened 07/25/2013; R024)</t>
        </is>
      </c>
      <c r="B28" s="3" t="inlineStr">
        <is>
          <t>Staged disclosure and management presentations with the four bidders; revised written proposals requested 08/27 with deadline 09/09/2013 — Late bids accepted (Party A and Party C submitted 09/10 and were considered). Finality: Not final. Round-bidder tally: 4 units (all submitted).</t>
        </is>
      </c>
    </row>
    <row r="29">
      <c r="A29" s="12" t="inlineStr">
        <is>
          <t>Round 3 (opened 09/11/2013; R034)</t>
        </is>
      </c>
      <c r="B29" s="3" t="inlineStr">
        <is>
          <t>First request for final indications — deadline 09/18/2013 — Enforced (selection followed on 09/19). Submissions: CSC/Pamplona $20.75 (R037, Formal), Party B package (R039, Formal), Party A reaffirmed best-and-final (R038, Formal); Party C did not submit. Finality: Announced as final. Round-bidder tally: 3 submitters + 1 non-submitter of 4 invited.</t>
        </is>
      </c>
    </row>
    <row r="30">
      <c r="A30" s="12" t="inlineStr">
        <is>
          <t>Round 4 (opened 09/21/2013; R042)</t>
        </is>
      </c>
      <c r="B30" s="3" t="inlineStr">
        <is>
          <t>Selection and definitive negotiation with CSC/Pamplona at $21.25 last and best; exclusivity authorized 09/23 (R044), executed 09/24 until 5 p.m. ET 10/12 (R045), extended 10/12 to 11:59 p.m. ET 10/15 (R050); merger agreement signed 10/14 (R051); announced 10/15 (R052). Finality: Inferred final. Round-bidder tally: 1 unit.</t>
        </is>
      </c>
    </row>
    <row r="31">
      <c r="A31" s="12" t="inlineStr">
        <is>
          <t>Post-signing</t>
        </is>
      </c>
      <c r="B31" s="3" t="inlineStr">
        <is>
          <t>No go-shop; no competing proposal disclosed up to the 12/04/2013 proxy. HSR clearance and litigation are Summary-only entries.</t>
        </is>
      </c>
    </row>
    <row r="32">
      <c r="A32" s="10" t="inlineStr">
        <is>
          <t>Participants and advisers</t>
        </is>
      </c>
      <c r="B32" s="11" t="n"/>
    </row>
    <row r="33">
      <c r="A33" s="12" t="inlineStr">
        <is>
          <t>Party A — Strategic</t>
        </is>
      </c>
      <c r="B33" s="3" t="inlineStr">
        <is>
          <t>Unnamed laundry-industry strategic party. First contact 04/08/2013; bid 06/21/2013 ($17.00–$19.00, round 0); NDA 08/05/2013; bid 09/10/2013 ($18.00–$19.00); reaffirmed best-and-final 09/18/2013; dropped by target on exclusivity 09/24/2013 (Inferred: exclusivity).</t>
        </is>
      </c>
    </row>
    <row r="34">
      <c r="A34" s="12" t="inlineStr">
        <is>
          <t>Party B — Financial</t>
        </is>
      </c>
      <c r="B34" s="3" t="inlineStr">
        <is>
          <t>Unnamed financial bidder (private-equity-style; affiliated funds + third-party debt). NDA 06/28/2013; bids 07/24/2013 ($17.00–$18.00), 09/09/2013 ($18.50), 09/18/2013 ($19.00 cash + options valued at $2.50 → stated $21.50; All cash = No); dropped by target on exclusivity 09/24/2013 (Inferred: exclusivity).</t>
        </is>
      </c>
    </row>
    <row r="35">
      <c r="A35" s="12" t="inlineStr">
        <is>
          <t>Party C — Financial</t>
        </is>
      </c>
      <c r="B35" s="3" t="inlineStr">
        <is>
          <t>Unnamed financial bidder. NDA 06/30/2013; bids 07/24–25/2013 (oral $15.00–$17.00; written $16.00–$16.50) and 09/10/2013 (oral $16.00–$17.00); did not submit in the final round (09/18/2013, stated, no reasons given); closed.</t>
        </is>
      </c>
    </row>
    <row r="36">
      <c r="A36" s="12" t="inlineStr">
        <is>
          <t>CSC/Pamplona — Strategic (winner)</t>
        </is>
      </c>
      <c r="B36" s="3" t="inlineStr">
        <is>
          <t>CSC ServiceWorks, Inc. and Pamplona Capital Partners III, L.P. operating as one unit. NDA 07/11/2013 (confidentiality letter agreement among Pamplona Capital Management LLC, Parent and Mac-Gray; Annex A §6.17); bids 07/23/2013 $18.50, 09/09/2013 $19.50, 09/18/2013 $20.75, 09/21/2013 $21.25 last and best; no exit row (winner).</t>
        </is>
      </c>
    </row>
    <row r="37">
      <c r="A37" s="12" t="inlineStr">
        <is>
          <t>16 residual NDA signers — Financial</t>
        </is>
      </c>
      <c r="B37" s="3" t="inlineStr">
        <is>
          <t>18 financial signers less Party B and Party C = 16; NDA signatures undated within the reported two-month window (late June–August 2013); no submissions; closed as one inferred non-submitter cohort at the 07/23/2013 deadline (Count 16).</t>
        </is>
      </c>
    </row>
    <row r="38">
      <c r="A38" s="12" t="inlineStr">
        <is>
          <t>Groups and rollovers</t>
        </is>
      </c>
      <c r="B38" s="3" t="inlineStr">
        <is>
          <t>No Bidding group changed / Joined group events: CSC/Pamplona bid as one unit from the outset; no independent bidder joined another. No shareholder rollover occurred: Moab's exclusive-partnering request denied 07/06/2013 (R017); Mr. MacDonald declined a rollover 09/11/2013 (R033); Moab determined not to roll over (R049).</t>
        </is>
      </c>
    </row>
    <row r="39">
      <c r="A39" s="12" t="inlineStr">
        <is>
          <t>Disclosed attributes</t>
        </is>
      </c>
      <c r="B39" s="3" t="inlineStr">
        <is>
          <t>Mac-Gray: public (NYSE: TUC), U.S. CSC/Pamplona: private (sponsor-owned), U.S. Party A/B/C: public/private status and country not disclosed; not inferred. Moab ≈9% holder; MacDonald family significant holder; ≈15% of shares under voting agreements — pp.29, 30, 82.</t>
        </is>
      </c>
    </row>
    <row r="40">
      <c r="A40" s="12" t="inlineStr">
        <is>
          <t>Advisers</t>
        </is>
      </c>
      <c r="B40" s="3" t="inlineStr">
        <is>
          <t>BofA Merrill Lynch — Mac-Gray financial advisor: prior mandate 10/23/2012 terminated 05/14–15/2013 (R001, R006); re-engaged by Board approval 05/30/2013 with letter 05/31/2013 (R007); fairness opinion 10/14/2013; fee partly payable on the opinion and significantly contingent on consummation (Annex B p. B-2). Goodwin Procter LLP — Mac-Gray outside legal counsel; service observed from 05/09/2013, commencement not disclosed (R005). Kirkland &amp; Ellis LLP — CSC/Pamplona outside legal counsel; service observed from 09/25/2013 (R048). MacKenzie Partners, Inc. — proxy solicitor; expected retention disclosed, fee ≈$15,000 plus expenses (p.23; Summary only, no ledger row). Unnamed: counsel for Moab and outside counsel to Mr. MacDonald negotiated the voting agreements (p.41). No adviser client affiliation is unclear.</t>
        </is>
      </c>
    </row>
    <row r="41">
      <c r="A41" s="10" t="inlineStr">
        <is>
          <t>Counts and auction screen</t>
        </is>
      </c>
      <c r="B41" s="11" t="n"/>
    </row>
    <row r="42">
      <c r="A42" s="12" t="inlineStr">
        <is>
          <t>Contacts — filing assertion</t>
        </is>
      </c>
      <c r="B42" s="3" t="inlineStr">
        <is>
          <t>50 parties approached: 15 strategic + 35 financial (p.32).</t>
        </is>
      </c>
    </row>
    <row r="43">
      <c r="A43" s="12" t="inlineStr">
        <is>
          <t>Contacts — ledger row sum (raw)</t>
        </is>
      </c>
      <c r="B43" s="12">
        <f>SUMIFS('Deal ledger'!$Q$2:$Q$100,'Deal ledger'!$D$2:$D$100,"Contact",'Deal ledger'!$P$2:$P$100,"Yes")</f>
        <v/>
      </c>
      <c r="C43" s="3" t="inlineStr">
        <is>
          <t>Equals 51: the 50-party wave plus the 04/08/2013 Party A contact (R003); Party A is also inside the 50-party cohort, so unique contacted parties = 50. Inclusion of R003 in the raw sum is explicit; do not double count.</t>
        </is>
      </c>
    </row>
    <row r="44">
      <c r="A44" s="12" t="inlineStr">
        <is>
          <t>NDAs — filing assertion</t>
        </is>
      </c>
      <c r="B44" s="3" t="inlineStr">
        <is>
          <t>20 signers: 2 strategic + 18 financial (p.32).</t>
        </is>
      </c>
    </row>
    <row r="45">
      <c r="A45" s="12" t="inlineStr">
        <is>
          <t>NDAs — ledger sum</t>
        </is>
      </c>
      <c r="B45" s="12">
        <f>SUMIFS('Deal ledger'!$Q$2:$Q$100,'Deal ledger'!$D$2:$D$100,"NDA signed",'Deal ledger'!$P$2:$P$100,"Yes")</f>
        <v/>
      </c>
      <c r="C45" s="3" t="inlineStr">
        <is>
          <t>Equals 20 and matches the filing: individually recorded Party B R015, Party C R016, CSC/Pamplona R018, Party A R025; residual cohort R014 with Count 16. 4 + 16 = 20.</t>
        </is>
      </c>
    </row>
    <row r="46">
      <c r="A46" s="12" t="inlineStr">
        <is>
          <t>Round-bidder tallies</t>
        </is>
      </c>
      <c r="B46" s="3" t="inlineStr">
        <is>
          <t>Round 1: 4 units — R020 CSC/Pamplona, R022 Party B, R023 Party C, plus Party A's standing R010 proposal shown as a round-1 participant (new submissions 3). Round 2: 4 units — R029, R030, R031, R032. Round 3: 4 invited; 3 submissions/reaffirmations (R037, R038, R039) plus Party C non-submission R040. Round 4: 1 unit — R043. These are stage-specific counts, not unique firms or total submissions.</t>
        </is>
      </c>
    </row>
    <row r="47">
      <c r="A47" s="12" t="inlineStr">
        <is>
          <t>Submissions — ledger counts</t>
        </is>
      </c>
      <c r="B47" s="3" t="inlineStr">
        <is>
          <t>Bid rows and Bid reaffirmed rows are formula-counted below; by bidder: Party A 3 priced communications (R010, R031, R038), Party B 3 (R022, R030, R039), Party C 2 (R023, R032), CSC/Pamplona 4 (R020, R029, R037, R043). Alternative structures: none; each bidder's IOI and written offer are one submission.</t>
        </is>
      </c>
    </row>
    <row r="48">
      <c r="A48" s="12" t="inlineStr">
        <is>
          <t>Bid rows</t>
        </is>
      </c>
      <c r="B48" s="12">
        <f>COUNTIFS('Deal ledger'!$D$2:$D$100,"Bid",'Deal ledger'!$P$2:$P$100,"Yes")</f>
        <v/>
      </c>
      <c r="C48" s="3" t="inlineStr">
        <is>
          <t>Equals 11 Bid rows (submissions, not unique bidders).</t>
        </is>
      </c>
    </row>
    <row r="49">
      <c r="A49" s="12" t="inlineStr">
        <is>
          <t>Bid reaffirmed rows</t>
        </is>
      </c>
      <c r="B49" s="12">
        <f>COUNTIFS('Deal ledger'!$D$2:$D$100,"Bid reaffirmed",'Deal ledger'!$P$2:$P$100,"Yes")</f>
        <v/>
      </c>
      <c r="C49" s="3" t="inlineStr">
        <is>
          <t>Equals 1: Party A best-and-final reiteration R038.</t>
        </is>
      </c>
    </row>
    <row r="50">
      <c r="A50" s="12" t="inlineStr">
        <is>
          <t>Per-stage balance</t>
        </is>
      </c>
      <c r="B50" s="3" t="inlineStr">
        <is>
          <t>Stage 1 (R1): 20 entrants − 0 stated exits − 16 inferred exits = 4 continuing. Stage 2 (R2): 4 − 0 − 0 = 4. Stage 3 (R3): 4 − 1 stated (Party C) − 0 = 3. Stage 4 (R4): 3 − 0 − 2 inferred (Party A, Party B) = 1 (winner). At signing: winner alone. Inferred share of exits: 18 of 19 affected units.</t>
        </is>
      </c>
    </row>
    <row r="51">
      <c r="A51" s="12" t="inlineStr">
        <is>
          <t>Outcome occurrences</t>
        </is>
      </c>
      <c r="B51" s="3" t="inlineStr">
        <is>
          <t>Did not submit: 2 rows covering 17 units (16 inferred residual + Party C stated). Dropped by target: 2 rows covering 2 units (Party A, Party B; Inferred: exclusivity). No Withdrew, Participation paused, Re-entered, Not selected at signing, or Joined group rows.</t>
        </is>
      </c>
    </row>
    <row r="52">
      <c r="A52" s="12" t="inlineStr">
        <is>
          <t>Auction screen</t>
        </is>
      </c>
      <c r="B52" s="3" t="inlineStr">
        <is>
          <t>MET — more than one independent prospective acquiring bidder unit executed bidder-target confidentiality agreements for the process: 20 signers, 2 strategic and 18 financial (p.32). Excluded from the count: no lender-only, adviser or rollover-holder agreements are identified. Sample eligibility remains a separate research decision.</t>
        </is>
      </c>
    </row>
    <row r="53">
      <c r="A53" s="12" t="inlineStr">
        <is>
          <t>Bounds and uncertainty</t>
        </is>
      </c>
      <c r="B53" s="3" t="inlineStr">
        <is>
          <t>The 16-residual base assumes all residual signers had signed by and were eligible for the 07/23/2013 solicitation; the filing gives only a two-month signing window. If any residual signer signed later, the inferred non-submission count would be lower by that number. Qualified quantities are stated in text, not forced into Count cells.</t>
        </is>
      </c>
    </row>
    <row r="54">
      <c r="A54" s="10" t="inlineStr">
        <is>
          <t>Comparability and inputs</t>
        </is>
      </c>
      <c r="B54" s="11" t="n"/>
    </row>
    <row r="55">
      <c r="A55" s="12" t="inlineStr">
        <is>
          <t>Currency and scope</t>
        </is>
      </c>
      <c r="B55" s="3" t="inlineStr">
        <is>
          <t>All prices in USD per share; all recorded offers are for the whole company (no Other-scope bids).</t>
        </is>
      </c>
    </row>
    <row r="56">
      <c r="A56" s="12" t="inlineStr">
        <is>
          <t>Non-cash consideration</t>
        </is>
      </c>
      <c r="B56" s="3" t="inlineStr">
        <is>
          <t>Party B 09/18/2013: $19.00 cash at closing plus options (10% of new equity; strike at Party B's initial cost basis; five-year vesting on base-case projections); Party B valued the options at $2.50/share for a stated package value of $21.50. Non-cash and not guaranteed; normalize before comparing with cash bids (see Q6).</t>
        </is>
      </c>
    </row>
    <row r="57">
      <c r="A57" s="12" t="inlineStr">
        <is>
          <t>Share count</t>
        </is>
      </c>
      <c r="B57" s="3" t="inlineStr">
        <is>
          <t>14,758,306 shares outstanding and entitled to vote at 11/27/2013; ≈104 holders of record; options/RSUs cashed out at closing — pp.20, 13.</t>
        </is>
      </c>
    </row>
    <row r="58">
      <c r="A58" s="12" t="inlineStr">
        <is>
          <t>Disclosed inputs not converted</t>
        </is>
      </c>
      <c r="B58" s="3" t="inlineStr">
        <is>
          <t>No net-debt, cash or enterprise-value per-share inputs are disclosed; no conversion performed. Rollover treatment: none (no rollover occurred).</t>
        </is>
      </c>
    </row>
    <row r="59">
      <c r="A59" s="12" t="inlineStr">
        <is>
          <t>Glossary</t>
        </is>
      </c>
      <c r="B59" s="3" t="inlineStr">
        <is>
          <t>NDA = confidentiality/non-disclosure agreement. Standstill/sunset: a standstill that lapsed or allowed confidential proposals on announcement of a business combination (p.32). IOI = indication of interest. Exclusivity = exclusive negotiation agreement. Reverse termination fee = fee payable by the buyer side on specified termination (here $15M if regulatory clearance is not obtained). Go-shop = post-signing solicitation period; none here. Rollover = a shareholder contributing shares into the buyer instead of cashing out; none occurred.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78" customWidth="1" min="3" max="3"/>
    <col width="78" customWidth="1" min="4" max="4"/>
    <col width="28" customWidth="1" min="5" max="5"/>
    <col width="60" customWidth="1" min="6" max="6"/>
    <col width="11" customWidth="1" min="7" max="7"/>
    <col width="20" customWidth="1" min="8" max="8"/>
  </cols>
  <sheetData>
    <row r="1">
      <c r="A1" s="13" t="inlineStr">
        <is>
          <t>Q</t>
        </is>
      </c>
      <c r="B1" s="13" t="inlineStr">
        <is>
          <t>Review topic</t>
        </is>
      </c>
      <c r="C1" s="13" t="inlineStr">
        <is>
          <t>Recommended answer</t>
        </is>
      </c>
      <c r="D1" s="13" t="inlineStr">
        <is>
          <t>Why and source</t>
        </is>
      </c>
      <c r="E1" s="13" t="inlineStr">
        <is>
          <t>Affected rows/fields</t>
        </is>
      </c>
      <c r="F1" s="13" t="inlineStr">
        <is>
          <t>Consequence of changing it</t>
        </is>
      </c>
      <c r="G1" s="13" t="inlineStr">
        <is>
          <t>Status</t>
        </is>
      </c>
      <c r="H1" s="13" t="inlineStr">
        <is>
          <t>Reviewer note</t>
        </is>
      </c>
    </row>
    <row r="2">
      <c r="A2" s="3" t="inlineStr">
        <is>
          <t>Q1</t>
        </is>
      </c>
      <c r="B2" s="3" t="inlineStr">
        <is>
          <t>Process and round map; round-1 anchor candidates; round-4 boundary</t>
        </is>
      </c>
      <c r="C2" s="3" t="inlineStr">
        <is>
          <t>Keep the single process and the four-round map as recorded. R1 anchored to the 06/24/2013 Special Committee decision to commence the sale process and approach 50 parties (first outreach executed within days; contacts reported 06/28). Keep R003 (04/08 single Party A contact) and R010 (06/21 unsigned inbound proposal) as round-0 rows, rejected as R1 anchors. R4 anchored to 09/21/2013 (selection and last-and-best price agreed), not the 09/19 authorization or the 09/24 exclusivity execution. The 2011-2012 Discussions stay context-only (target buy-side mandate), so there is no second process and no Process terminated/restarted row.</t>
        </is>
      </c>
      <c r="D2" s="3" t="inlineStr">
        <is>
          <t>Filing: “the Special Committee concluded that it would be in the best interests of stockholders to consider a potential sale of Mac-Gray” (p.31); “determined to approach a total of 50 parties” (p.32); contacts already reported 06/28 (p.32). Pre-opening status: Party A's 06/21 proposal was “submitted an unsolicited proposal to the Mac-Gray Board of Directors” (p.30) and was reviewed with the July indications on 07/25 (p.33). R4 evidence: “prepared to move forward with CSC/Pamplona on an exclusive basis for two weeks subject to CSC/Pamplona increasing their all-cash purchase price to $21.25 per share” (p.37). Multi-process test: the 2011-2012 Discussions concerned “the possible acquisition of CSC by Mac-Gray” (p.27).</t>
        </is>
      </c>
      <c r="E2" s="3" t="inlineStr">
        <is>
          <t>R011, R003, R010 (R1 anchor and rejected candidates); R034, R041, R042, R045 (round-4 boundary); Round and Round finality fields on all Round opened rows; Summary round map.</t>
        </is>
      </c>
      <c r="F2" s="3" t="inlineStr">
        <is>
          <t>Moving the R1 anchor to 06/28 or the July NDA wave would shift contact/NDA rows between round 0 and round 1 and change round-1 tallies. Moving R4 to 09/24 would place the $21.25 bid (R043) and the 09/23 authorization (R044) outside the round. Collapsing rounds 3–4 would merge the final-offer and definitive-negotiation stages.</t>
        </is>
      </c>
      <c r="G2" s="3" t="inlineStr">
        <is>
          <t>Pending</t>
        </is>
      </c>
      <c r="H2" s="3" t="inlineStr"/>
    </row>
    <row r="3">
      <c r="A3" s="3" t="inlineStr">
        <is>
          <t>Q2</t>
        </is>
      </c>
      <c r="B3" s="3" t="inlineStr">
        <is>
          <t>Deadlines, treatments and the exclusivity extension</t>
        </is>
      </c>
      <c r="C3" s="3" t="inlineStr">
        <is>
          <t>Keep: 07/23/2013 = Late bids accepted (Party B 07/24 and Party C 07/24–25 submissions were considered; no revision disclosed); 09/09/2013 = Late bids accepted (Party A and Party C submissions on 09/10 were considered; no revision disclosed); 09/18/2013 = Enforced (selection followed 09/19). The exclusivity expiry (10/12 5 p.m. ET; extended 10/12 to 10/15 11:59 p.m. ET) is recorded as Exclusivity changed — extended, not as a bid-submission deadline. The 07/23 deadline is carried on the R1 Round opened row (set with the process launch/informational package); no separate Deadline set row.</t>
        </is>
      </c>
      <c r="D3" s="3" t="inlineStr">
        <is>
          <t>Consideration evidence: “reviewed the preliminary indications of interest received from Party B, Party C and CSC/Pamplona as well as the Party A June 21 proposal” (p.33); “held a telephonic meeting to review the revised indications of interest submitted by Party A, Party B, Party C and CSC/Pamplona” (p.35). Exclusivity: “providing for exclusive negotiations until 5 p.m. ET on October 12, 2013” (p.38); “executed a letter agreement extending exclusivity until 11:59 p.m. ET on October 15, 2013” (p.41).</t>
        </is>
      </c>
      <c r="E3" s="3" t="inlineStr">
        <is>
          <t>R019 (07/23 treatment), R022/R023 (late submissions), R027/R028 (09/09 deadline set/treatment), R029–R032 (submissions), R036 (09/18 treatment), R045/R050 (exclusivity), R011 (Due date field).</t>
        </is>
      </c>
      <c r="F3" s="3" t="inlineStr">
        <is>
          <t>Treating a late-submission deadline as Enforced would misstate that the target acted only on on-time bids; treating the exclusivity extension as a Deadline revised would mix the bid clock with the negotiation clock; adding a Deadline set row would fabricate a communication date not stated.</t>
        </is>
      </c>
      <c r="G3" s="3" t="inlineStr">
        <is>
          <t>Pending</t>
        </is>
      </c>
      <c r="H3" s="3" t="inlineStr"/>
    </row>
    <row r="4">
      <c r="A4" s="3" t="inlineStr">
        <is>
          <t>Q3</t>
        </is>
      </c>
      <c r="B4" s="3" t="inlineStr">
        <is>
          <t>NDA population, the 16-signer residual cohort and its assigned date</t>
        </is>
      </c>
      <c r="C4" s="3" t="inlineStr">
        <is>
          <t>Keep the 20-signer population as 4 individually dated signers plus a 16-signer residual financial cohort (18 financial − Party B − Party C), Count 16, with terms on a Mac-Gray form individually negotiated without material variance. The residual row carries the reported two-month signing window (working date 06/24/2013, Assigned: bound — the first day of that series) as a display convention so the cohort's entry does not post-date its 07/23 inferred non-submission closing. No individual residual identity or date is inferred.</t>
        </is>
      </c>
      <c r="D4" s="3" t="inlineStr">
        <is>
          <t>Filing: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and “Over the next two months” (p.32).</t>
        </is>
      </c>
      <c r="E4" s="3" t="inlineStr">
        <is>
          <t>R014 (residual cohort; Count and dates), R015–R018 and R025 (individual NDAs), R021 (inferred non-submission depends on the base), Round 1 rows.</t>
        </is>
      </c>
      <c r="F4" s="3" t="inlineStr">
        <is>
          <t>If the reviewer knows residual signing dates (e.g., a later-dated signer was ineligible on 07/23), the residual non-submission count falls accordingly and the per-stage balance bound changes. If a residual signer is later identified as a submitter, its row must be added and the cohort reduced.</t>
        </is>
      </c>
      <c r="G4" s="3" t="inlineStr">
        <is>
          <t>Pending</t>
        </is>
      </c>
      <c r="H4" s="3" t="inlineStr"/>
    </row>
    <row r="5">
      <c r="A5" s="3" t="inlineStr">
        <is>
          <t>Q4</t>
        </is>
      </c>
      <c r="B5" s="3" t="inlineStr">
        <is>
          <t>Inferred closings and outcome agency</t>
        </is>
      </c>
      <c r="C5" s="3" t="inlineStr">
        <is>
          <t>Keep the three inferred closing rows: (1) R021 — 16 residual financial signers, Did not submit, Count 16, Inferred: residual, at the 07/23/2013 deadline; (2) R046 — Party A, Dropped by target, Count 1, Inferred: exclusivity, 09/24/2013; (3) R047 — Party B, same. Keep R040 (Party C, Did not submit, stated) as a stated outcome with agency Bidder and reason Not stated, and do not close Party C again at exclusivity (already closed). Arithmetic: 20 − 4 = 16; exclusivity displaced the two remaining live rivals.</t>
        </is>
      </c>
      <c r="D5" s="3" t="inlineStr">
        <is>
          <t>Inference basis: the four bidders are the only continuing participants after 07/25 (“each of the four interested bidders”, p.33–34); exclusivity with CSC/Pamplona executed 09/24 (p.38). Party C: “Party C did not submit a revised indication of interest or reiterate its prior indication ... nor did it specify any reasons” (p.36).</t>
        </is>
      </c>
      <c r="E5" s="3" t="inlineStr">
        <is>
          <t>R021, R040, R046, R047 (Outcome basis, Decided by, Exit reason, Count, dates); Summary per-stage balance.</t>
        </is>
      </c>
      <c r="F5" s="3" t="inlineStr">
        <is>
          <t>Raising Counts would double count; dropping an inferred row would leave a participant open at signing; assigning a motive (e.g., price) is not supported by the filing and would change Exit reason.</t>
        </is>
      </c>
      <c r="G5" s="3" t="inlineStr">
        <is>
          <t>Pending</t>
        </is>
      </c>
      <c r="H5" s="3" t="inlineStr"/>
    </row>
    <row r="6">
      <c r="A6" s="3" t="inlineStr">
        <is>
          <t>Q5</t>
        </is>
      </c>
      <c r="B6" s="3" t="inlineStr">
        <is>
          <t>Formality and conditions classifications</t>
        </is>
      </c>
      <c r="C6" s="3" t="inlineStr">
        <is>
          <t>Keep: the three later CSC/Pamplona bids Light (committed financing; no diligence condition reported; exclusivity requests do not change the level); all other party bids Heavy, with the round-1/early bids Heavy by context (no substantive diligence access before the indication) and later bids Heavy from the stated absence of a firm financing commitment (Party A, Party B, Party C). R1 final-round responses (CSC/Pamplona 09/18, Party A reaffirmation, Party B package) are Formal under signal 2 (response on the requested basis to the final-indications solicitation); CSC/Pamplona 09/21 is Formal under signal 3 (price confirmed as the parties moved to exclusivity and definitive negotiation). No Conditions level is None. No late-reconfirmation row is created: CSC/Pamplona's latest pre-signing priced row is Formal and sits in an Inferred-final round, so the §9.1(b) test fails; Kirkland's revised drafts are excluded legal/draft exchanges. The winner reaches signing with Formal rows.</t>
        </is>
      </c>
      <c r="D6" s="3" t="inlineStr">
        <is>
          <t>Filing: “request final indications of interest by September 18, 2013” (p.36); “Pamplona was committed to provide 100% of the capital” (p.35); “did not include a firm financing commitment” (p.35); “as a last and best offer, provided that Mac-Gray agree to a two week period of exclusive negotiations” (p.37); “would vest on the achievement of the base case management projections” (p.36).</t>
        </is>
      </c>
      <c r="E6" s="3" t="inlineStr">
        <is>
          <t>R010, R020, R022, R023 (Heavy by context), R029–R032 (Light/Heavy), R037–R039 (Formal final responses), R043 (Formal); Formality, Conditions level and Conditions detail fields.</t>
        </is>
      </c>
      <c r="F6" s="3" t="inlineStr">
        <is>
          <t>Reclassifying the 09/18 responses as Informal would remove the winner's formal standing before signing; treating context-Heavy bids as Light would understate the diligence dependence of pre-access indications; adopting Party B's $21.50 as an unqualified price would overstate comparability.</t>
        </is>
      </c>
      <c r="G6" s="3" t="inlineStr">
        <is>
          <t>Pending</t>
        </is>
      </c>
      <c r="H6" s="3" t="inlineStr"/>
    </row>
    <row r="7">
      <c r="A7" s="3" t="inlineStr">
        <is>
          <t>Q6</t>
        </is>
      </c>
      <c r="B7" s="3" t="inlineStr">
        <is>
          <t>Party B's option consideration and comparability</t>
        </is>
      </c>
      <c r="C7" s="3" t="inlineStr">
        <is>
          <t>Keep Party B's 09/18/2013 package as stated: $19.00 cash at closing plus options (10% of the new equity, strike at initial cost basis, five-year vesting on base-case projections) valued by Party B at $2.50/share for a stated $21.50 package value. Structured fields: Price kind Point 21.50 (Stated), All cash = No, Cash at closing $19.00; option mechanics and trigger remain in text. Do not treat the option value as guaranteed cash; the Special Committee itself discounted it for measurement risk (p.37).</t>
        </is>
      </c>
      <c r="D7" s="3" t="inlineStr">
        <is>
          <t>Filing: “a purchase price that Party B valued at $21.50 per share, including $19.00 of cash to be paid at closing and the remaining per share price to be paid in the form of options” (p.36); “the risks and complexities involved with measuring and achieving the performance required to vest the Party B options” (p.37).</t>
        </is>
      </c>
      <c r="E7" s="3" t="inlineStr">
        <is>
          <t>R039 (price fields, All cash, Cash at closing, terms), R041 (all-cash comparisons in the selection decision), Summary comparability block.</t>
        </is>
      </c>
      <c r="F7" s="3" t="inlineStr">
        <is>
          <t>Marking All cash = Yes or moving $21.50 into Cash at closing would misstate the consideration; ignoring the package would understate Party B's bid in the final round and the selection rationale.</t>
        </is>
      </c>
      <c r="G7" s="3" t="inlineStr">
        <is>
          <t>Pending</t>
        </is>
      </c>
      <c r="H7" s="3" t="inlineStr"/>
    </row>
    <row r="8">
      <c r="A8" s="3" t="inlineStr">
        <is>
          <t>Q7</t>
        </is>
      </c>
      <c r="B8" s="3" t="inlineStr">
        <is>
          <t>Dates, working-date conventions and source conflicts</t>
        </is>
      </c>
      <c r="C8" s="3" t="inlineStr">
        <is>
          <t>Keep the conventions recorded: residual NDA cohort working date 06/24/2013 (Assigned: bound, first day of the reported series; not an observed signing); inferred closing rows read 'by [date]' with Date to on the transition date and Date from blank; Party C's oral/written indications are one Bid row (working date 07/24/2013) spanning 07/24–07/25; the source typo “July 27, 2103” is retained with the proposed corrected reading 07/27/2013; the duplicated informational-package sentence at p.32 is retained as source layout; span paragraphs cite the printed page of the quoted passage. The Moab no-rollover determination is undated within 09/25–10/07 and uses the 10/07 report as Assigned: decision day.</t>
        </is>
      </c>
      <c r="D8" s="3" t="inlineStr">
        <is>
          <t>Filing: “Discussions with Party A resumed on July 27, 2103” (p.34, typo); “As a result of such discussions, it was determined that Moab would not rollover any Moab shares” (p.38) and the 10/07 report (p.39); Party C's two communications (p.33–34).</t>
        </is>
      </c>
      <c r="E8" s="3" t="inlineStr">
        <is>
          <t>R014 (cohort date), R023 (Party C span), R021/R040 (deadline-assigned closings), R046/R047 (decision-day closures), R049 (resolution window), source-note row.</t>
        </is>
      </c>
      <c r="F8" s="3" t="inlineStr">
        <is>
          <t>Changing these conventions changes only display order and bounds witness rows, not the underlying facts; mislabelling an assigned date as Reported would break the date-method checks.</t>
        </is>
      </c>
      <c r="G8" s="3" t="inlineStr">
        <is>
          <t>Pending</t>
        </is>
      </c>
      <c r="H8" s="3" t="inlineStr"/>
    </row>
    <row r="10">
      <c r="A10" s="14" t="inlineStr">
        <is>
          <t>Section 13 check results (delivered version; apply to this version and scope only)</t>
        </is>
      </c>
    </row>
    <row r="11">
      <c r="A11" s="13" t="inlineStr">
        <is>
          <t>Check</t>
        </is>
      </c>
      <c r="B11" s="13" t="inlineStr">
        <is>
          <t>Status</t>
        </is>
      </c>
      <c r="C11" s="13" t="inlineStr">
        <is>
          <t>Affected rows</t>
        </is>
      </c>
      <c r="D11" s="13" t="inlineStr">
        <is>
          <t>Notes and consequences</t>
        </is>
      </c>
    </row>
    <row r="12">
      <c r="A12" s="3" t="inlineStr">
        <is>
          <t>1. Coverage and materiality</t>
        </is>
      </c>
      <c r="B12" s="3" t="inlineStr">
        <is>
          <t>Qualified</t>
        </is>
      </c>
      <c r="C12" s="3" t="inlineStr">
        <is>
          <t>All ledger rows</t>
        </is>
      </c>
      <c r="D12" s="3" t="inlineStr">
        <is>
          <t>Full background and supporting sections read. All disclosed core offers (11 Bid rows + 1 reaffirmation), contacts/NDAs, information and selection decisions, participation outcomes, process transitions, signing and publicity are recorded; routine meetings, calls and draft exchanges are incorporated or omitted per materiality. Inferred closings and source limitations are explicit. Qualified: the supplied HTML duplicates one sentence and retains the '2103' typo (declared in Source text).</t>
        </is>
      </c>
    </row>
    <row r="13">
      <c r="A13" s="3" t="inlineStr">
        <is>
          <t>2. Counts and population</t>
        </is>
      </c>
      <c r="B13" s="3" t="inlineStr">
        <is>
          <t>Qualified</t>
        </is>
      </c>
      <c r="C13" s="3" t="inlineStr">
        <is>
          <t>R011–R021, R027–R032, R037–R040, Summary counts</t>
        </is>
      </c>
      <c r="D13" s="3" t="inlineStr">
        <is>
          <t>NDA sum formula = 20 matches the filing; contacts sum 51 with the explicit 04/08 Party A inclusion (unique 50); round tallies 4/4/3+1/1; per-stage balance 20−16=4, 4−0=4, 4−1=3, 3−2=1. Qualified: the 16-residual base depends on the undated signing window (stated as a bound in Summary and Q3).</t>
        </is>
      </c>
    </row>
    <row r="14">
      <c r="A14" s="3" t="inlineStr">
        <is>
          <t>3. Participation continuity</t>
        </is>
      </c>
      <c r="B14" s="3" t="inlineStr">
        <is>
          <t>Qualified</t>
        </is>
      </c>
      <c r="C14" s="3" t="inlineStr">
        <is>
          <t>All participant rows</t>
        </is>
      </c>
      <c r="D14" s="3" t="inlineStr">
        <is>
          <t>Each of Party A, Party B, Party C, CSC/Pamplona and the 16-signer cohort has a continuous history ending in a stated outcome, an inferred closing row or signing; no bid after a recorded outcome without a Re-entered row (none needed); participant stock never negative; at signing only the winner remains. Qualified: inferred rows state only that a participant was out by the transition, not how or why.</t>
        </is>
      </c>
    </row>
    <row r="15">
      <c r="A15" s="3" t="inlineStr">
        <is>
          <t>4. Dates and order</t>
        </is>
      </c>
      <c r="B15" s="3" t="inlineStr">
        <is>
          <t>Qualified</t>
        </is>
      </c>
      <c r="C15" s="3" t="inlineStr">
        <is>
          <t>All rows (Working date fields)</t>
        </is>
      </c>
      <c r="D15" s="3" t="inlineStr">
        <is>
          <t>Every row has a Working date and Date method; sorting by Working date with # as tie-breaker reproduces # (verified programmatically); no working date outside its own Date from/Date to; Reported/Inferred day pair with method Reported/Inferred exactly; assigned dates are labelled. Qualified: the '2103' typo and undated windows are preserved, not silently corrected.</t>
        </is>
      </c>
    </row>
    <row r="16">
      <c r="A16" s="3" t="inlineStr">
        <is>
          <t>5. Offers and classifications</t>
        </is>
      </c>
      <c r="B16" s="3" t="inlineStr">
        <is>
          <t>Qualified</t>
        </is>
      </c>
      <c r="C16" s="3" t="inlineStr">
        <is>
          <t>R010, R020–R023, R029–R032, R037–R040, R043, R051</t>
        </is>
      </c>
      <c r="D16" s="3" t="inlineStr">
        <is>
          <t>Every Bid and Bid reaffirmed row carries Formality, Conditions level and a fixed-format Conditions detail; the signing row leaves bid-price and formality/conditionality cells blank; price kinds/origins and scopes agree with text; no offer update, group envelope or signing row is presented as an extra priced submission. Qualified: borderline calls are grouped in Q5/Q6.</t>
        </is>
      </c>
    </row>
    <row r="17">
      <c r="A17" s="3" t="inlineStr">
        <is>
          <t>6. Structure and consistency</t>
        </is>
      </c>
      <c r="B17" s="3" t="inlineStr">
        <is>
          <t>Qualified</t>
        </is>
      </c>
      <c r="C17" s="3" t="inlineStr">
        <is>
          <t>All rows</t>
        </is>
      </c>
      <c r="D17" s="3" t="inlineStr">
        <is>
          <t>One Round opened row per numbered round (4) plus no round-0 opening; R1 carries the R1 anchor tag; each Deadline and Deadline-set row carries the stated treatment consistent with the Summary map; inferred rows open with their Outcome basis; Page filled wherever Source is filled; tags and structured fields agree. Qualified: Assigned dates are conventions, not observations.</t>
        </is>
      </c>
    </row>
    <row r="18">
      <c r="A18" s="3" t="inlineStr">
        <is>
          <t>7. Evidence</t>
        </is>
      </c>
      <c r="B18" s="3" t="inlineStr">
        <is>
          <t>Qualified</t>
        </is>
      </c>
      <c r="C18" s="3" t="inlineStr">
        <is>
          <t>All rows</t>
        </is>
      </c>
      <c r="D18" s="3" t="inlineStr">
        <is>
          <t>Programmatic substring check of every quotation against the Source text sheet passed after whitespace normalization; cross-paragraph premises (e.g., diligence access, standing proposals) cite both paragraphs. Qualified: declared layout normalization only (HTML entity decoding, whitespace, header/page-number removal); interpretation adds support beyond text matching and is reviewed in Q1–Q7.</t>
        </is>
      </c>
    </row>
    <row r="19">
      <c r="A19" s="3" t="inlineStr">
        <is>
          <t>8. Review and workbook operation</t>
        </is>
      </c>
      <c r="B19" s="3" t="inlineStr">
        <is>
          <t>Qualified</t>
        </is>
      </c>
      <c r="C19" s="3" t="inlineStr">
        <is>
          <t>Workbook-wide</t>
        </is>
      </c>
      <c r="D19" s="3" t="inlineStr">
        <is>
          <t>Row ids unique; Include = Yes throughout (no exclusions); data validations attached to the 15 controlled columns from the hidden Lists; internal hyperlinks built from Source cells to Source text paragraphs; AI original is a values-only baseline copy. Not tested in a spreadsheet application: conditional-formatting change highlighting (red bold vs AI original by Row id) is built but unverified in Excel; formulas (Summary counts) were computed programmatically, not recalculated by an application. Recheck status applies to this delivered version only.</t>
        </is>
      </c>
    </row>
  </sheetData>
  <autoFilter ref="A1:H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8"/>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9" customWidth="1" min="3" max="3"/>
    <col width="160" customWidth="1" min="4" max="4"/>
  </cols>
  <sheetData>
    <row r="1">
      <c r="A1" s="13" t="inlineStr">
        <is>
          <t>Paragraph</t>
        </is>
      </c>
      <c r="B1" s="13" t="inlineStr">
        <is>
          <t>Section</t>
        </is>
      </c>
      <c r="C1" s="13" t="inlineStr">
        <is>
          <t>Page</t>
        </is>
      </c>
      <c r="D1" s="13" t="inlineStr">
        <is>
          <t>Text</t>
        </is>
      </c>
    </row>
    <row r="2">
      <c r="A2" s="3" t="inlineStr">
        <is>
          <t>P-001</t>
        </is>
      </c>
      <c r="B2" s="3" t="inlineStr">
        <is>
          <t>The Merger — Background of the Merger</t>
        </is>
      </c>
      <c r="C2" s="3" t="inlineStr">
        <is>
          <t>27</t>
        </is>
      </c>
      <c r="D2" s="3" t="inlineStr">
        <is>
          <t>The Mac-Gray Board of Directors, whom we sometimes to refer to as the Board, and Mac-Gray's management have continually engaged in a review of Mac-Gray's business plans and other strategic alternatives as part of their ongoing activities. This process has included evaluating prospects and options pertaining to Mac-Gray's business, the markets in which it competes, organic initiatives, and possible strategic transactions, such as mergers, acquisitions and dispositions, in each case with a view towards enhancing value for Mac-Gray's stockholders.</t>
        </is>
      </c>
    </row>
    <row r="3">
      <c r="A3" s="3" t="inlineStr">
        <is>
          <t>P-002</t>
        </is>
      </c>
      <c r="B3" s="3" t="inlineStr">
        <is>
          <t>The Merger — Background of the Merger</t>
        </is>
      </c>
      <c r="C3" s="3" t="inlineStr">
        <is>
          <t>27</t>
        </is>
      </c>
      <c r="D3" s="3" t="inlineStr">
        <is>
          <t>Certain potential strategic transactions have been discussed from time to time between Mac-Gray and CSC and other participants in the laundry facilities management industry, including discussions between Mac-Gray and CSC in the winter of 2011 and into 2012 regarding the possible acquisition of CSC by Mac-Gray.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t>
        </is>
      </c>
    </row>
    <row r="4">
      <c r="A4" s="3" t="inlineStr">
        <is>
          <t>P-003</t>
        </is>
      </c>
      <c r="B4" s="3" t="inlineStr">
        <is>
          <t>The Merger — Background of the Merger</t>
        </is>
      </c>
      <c r="C4" s="3" t="inlineStr">
        <is>
          <t>27</t>
        </is>
      </c>
      <c r="D4" s="3" t="inlineStr">
        <is>
          <t>As part of its ongoing review of strategic alternatives, at an in-person meeting of the Board on April 5, 2013,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The Board also determined to further consider Mac-Gray's strategic alternatives at its meeting scheduled for May 9, 2013.</t>
        </is>
      </c>
    </row>
    <row r="5">
      <c r="A5" s="3" t="inlineStr">
        <is>
          <t>P-004</t>
        </is>
      </c>
      <c r="B5" s="3" t="inlineStr">
        <is>
          <t>The Merger — Background of the Merger</t>
        </is>
      </c>
      <c r="C5" s="3" t="inlineStr">
        <is>
          <t>27</t>
        </is>
      </c>
      <c r="D5" s="3" t="inlineStr">
        <is>
          <t>On April 8, 2013,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t>
        </is>
      </c>
    </row>
    <row r="6">
      <c r="A6" s="3" t="inlineStr">
        <is>
          <t>P-005</t>
        </is>
      </c>
      <c r="B6" s="3" t="inlineStr">
        <is>
          <t>The Merger — Background of the Merger</t>
        </is>
      </c>
      <c r="C6" s="3" t="inlineStr">
        <is>
          <t>27–28</t>
        </is>
      </c>
      <c r="D6" s="3" t="inlineStr">
        <is>
          <t>On May 9, 2013, the Mac-Gray Board of Directors held a regularly scheduled in-person meeting. By invitation of the Board, Stewart G. MacDonald, Jr., our chief executive officer, Michael J. Shea, our executive vice president and chief financial officer, Neil MacLellan and Phil Emma, executive vice presidents at Mac-Gray, Linda Serafini, our vice president, general counsel and secretary, and representatives from BofA Merrill Lynch and Goodwin Procter LLP, outside legal counsel to Mac-Gray, were also in attendance for all or portions of the meeting. At this meeting, BofA Merrill Lynch discussed CSC's sale process and the acquisition environment generally and provided an overview of strategic alternatives for Mac-Gray, including the continued pursuit of Mac-Gray's existing business plan, a significant stock repurchase program, acquisition opportunities and the possibility of a sale process. With respect to a potential sale process, BofA Merrill Lynch discussed the then-current merger and acquisition environment and Mac-Gray's potential attractiveness as an acquisition target, including a general overview of potential valuation parameters. BofA Merrill Lynch also reported on its conversation with the representative of Party A, who had expressed interest in pursuing a possible business combination with Mac-Gray. Management and BofA Merrill Lynch also reviewed with the Board potential opportunities if Mac-Gray were to remain independent,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In considering these alternatives, the Board considered the risks associated with executing and achieving Mac-Gray's short and long-term business and financial objectives,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t>
        </is>
      </c>
    </row>
    <row r="7">
      <c r="A7" s="3" t="inlineStr">
        <is>
          <t>P-006</t>
        </is>
      </c>
      <c r="B7" s="3" t="inlineStr">
        <is>
          <t>The Merger — Background of the Merger</t>
        </is>
      </c>
      <c r="C7" s="3" t="inlineStr">
        <is>
          <t>28</t>
        </is>
      </c>
      <c r="D7" s="3" t="inlineStr">
        <is>
          <t>After a review of these opportunities and risks, the Board engaged in a general discussion concerning whether it might be advisable to approach and discuss a potential sale transaction with third parties at this time as a means by which to deliver value to the stockholders of Mac-Gray. The Board discussed the potential risks and benefits of commencing a process in which parties would be invited to review confidential information and submit indications of interest with respect to a potential business combination involving Mac-Gray. In particular, the Board discussed the potential disruptions to Mac-Gray's business, the risk of leaks that might arise from approaching potential acquirors within the industry and the impact on Mac-Gray's business that could result from any such leaks, including the potential loss of customers, suppliers and employees resulting from uncertainty over the future of Mac-Gray. The Board also discussed the potential need to disclose during such process sensitive, proprietary and confidential information to competitors and potential competitors.</t>
        </is>
      </c>
    </row>
    <row r="8">
      <c r="A8" s="3" t="inlineStr">
        <is>
          <t>P-007</t>
        </is>
      </c>
      <c r="B8" s="3" t="inlineStr">
        <is>
          <t>The Merger — Background of the Merger</t>
        </is>
      </c>
      <c r="C8" s="3" t="inlineStr">
        <is>
          <t>28</t>
        </is>
      </c>
      <c r="D8" s="3" t="inlineStr">
        <is>
          <t>After BofA Merrill Lynch and management left the meeting, a representative of Goodwin Procter provided an overview of the Board's fiduciary duties and the Board discussed engaging a financial advisor to assist the Board in considering strategic alternatives, including a sale process. To assist in the administration of the strategic alternatives review, the Board formed a transaction committee at this meeting, which we refer to as the Transaction Committee, and appointed Thomas Bullock and Paul Daoust, both independent directors, to serve as its members. Mr. Daoust was appointed because of his knowledge of and experience with mergers and acquisitions, including as president, chief executive officer and board member of Salary.com when it was sold in 2010. Mr. Bullock was appointed because of his knowledge of Mac-Gray and our business, given his tenure on the Board (since November 2000) and his chairmanship role. Further, both Mr. Daoust and Mr. Bullock indicated that they would be able to commit sufficient time to undertake the responsibilities associated with membership on the Transaction Committee. The Transaction Committee was charged with recommending to the Board the selection and engagement of a financial advisor to assist the Board in seeking and considering strategic alternatives, including but not limited to a merger, consolidation, business combination, recapitalization, restructuring, going-private or other strategic transaction or alternative that might be available to Mac-Gray in lieu of pursuing any of the foregoing. The Board also delegated to the Transaction Committee authority to take any administrative actions in connection with the Board's exploration of strategic alternatives. The Board concluded that it would discuss the review of strategic alternatives, including engaging in a potential sale process, at its next meeting so that the Board would have additional time to consider the risks and benefits of the various alternatives discussed.</t>
        </is>
      </c>
    </row>
    <row r="9">
      <c r="A9" s="3" t="inlineStr">
        <is>
          <t>P-008</t>
        </is>
      </c>
      <c r="B9" s="3" t="inlineStr">
        <is>
          <t>The Merger — Background of the Merger</t>
        </is>
      </c>
      <c r="C9" s="3" t="inlineStr">
        <is>
          <t>28</t>
        </is>
      </c>
      <c r="D9" s="3" t="inlineStr">
        <is>
          <t>On May 10, 2013, the Transaction Committee and representatives of Goodwin Procter held a meeting by telephone conference call. The Transaction Committee discussed the process for hiring a financial advisor for a review of strategic alternatives and determined to invite three nationally recognized investment banks to submit proposals. The members of the Transaction Committee also discussed what role, if any, members of Mac-Gray management should have in connection with the Board's consideration of strategic alternatives. In this regard, the Transaction Committee considered the fact that, in view of the significant stock ownership of Mr. MacDonald and his family, coupled with the possibility that the strategic alternatives process might result in third parties who would be interested in partnering with Mr. MacDonald (either through continued employment and/or contribution of some or all of his existing equity, a so-called equity "rollover"), Mr. MacDonald could have interests that would not be aligned with other Mac-Gray stockholders. As such, the Transaction Committee determined to recommend to the Board at an upcoming meeting that, as a general matter, Mr. MacDonald should not be permitted to participate in the Board's evaluation of strategic alternatives or any negotiations with any interested parties in a sale process. The Transaction Committee noted, however, that Mr. MacDonald would be invited to provide perspectives to the Board on Mac-Gray's operations and business on an as-requested basis.</t>
        </is>
      </c>
    </row>
    <row r="10">
      <c r="A10" s="3" t="inlineStr">
        <is>
          <t>P-009</t>
        </is>
      </c>
      <c r="B10" s="3" t="inlineStr">
        <is>
          <t>The Merger — Background of the Merger</t>
        </is>
      </c>
      <c r="C10" s="3" t="inlineStr">
        <is>
          <t>29</t>
        </is>
      </c>
      <c r="D10" s="3" t="inlineStr">
        <is>
          <t>On May 14, 2013, the Transaction Committee and representatives of Goodwin Procter held a meeting by telephone conference call. The Transaction Committee discussed further the process for hiring a financial advisor for a review of strategic alternatives. Given that BofA Merrill Lynch was one of the investment banks to be invited to submit a proposal and that the CSC sale process had ended, the Transaction Committee determined to terminate BofA Merrill Lynch's engagement letter entered into for purposes of the 2011-2012 Discussions.</t>
        </is>
      </c>
    </row>
    <row r="11">
      <c r="A11" s="3" t="inlineStr">
        <is>
          <t>P-010</t>
        </is>
      </c>
      <c r="B11" s="3" t="inlineStr">
        <is>
          <t>The Merger — Background of the Merger</t>
        </is>
      </c>
      <c r="C11" s="3" t="inlineStr">
        <is>
          <t>29</t>
        </is>
      </c>
      <c r="D11" s="3" t="inlineStr">
        <is>
          <t>On May 15, 2013, Mac-Gray sent a letter to BofA Merrill Lynch terminating their engagement in connection with the 2011-2012 Discussions.</t>
        </is>
      </c>
    </row>
    <row r="12">
      <c r="A12" s="3" t="inlineStr">
        <is>
          <t>P-011</t>
        </is>
      </c>
      <c r="B12" s="3" t="inlineStr">
        <is>
          <t>The Merger — Background of the Merger</t>
        </is>
      </c>
      <c r="C12" s="3" t="inlineStr">
        <is>
          <t>29</t>
        </is>
      </c>
      <c r="D12" s="3" t="inlineStr">
        <is>
          <t>On May 22, 2013, the Mac-Gray Board of Directors held a regularly scheduled in-person meeting. By invitation of the Board, Mr. MacDonald, Mr. Shea, Mr. MacLellan, Mr. Emma, Ms. Serafini and representatives of Goodwin Procter were also present for all or portions of the meeting. At the request of the Board, at this meeting Mr. MacDonald provided an overview of Mac-Gray's acquisition strategy and recent acquisitions within the industry, and Mr. MacLellan reviewed Mac-Gray's recently completed acquisitions with the Board. Also at this meeting, in addition to routine and administrative matters and the approval of Mac-Gray's quarterly common stock dividend, the Board appointed Mr. Daoust as chairman of the Transaction Committee during an executive session that excluded all members of management.</t>
        </is>
      </c>
    </row>
    <row r="13">
      <c r="A13" s="3" t="inlineStr">
        <is>
          <t>P-012</t>
        </is>
      </c>
      <c r="B13" s="3" t="inlineStr">
        <is>
          <t>The Merger — Background of the Merger</t>
        </is>
      </c>
      <c r="C13" s="3" t="inlineStr">
        <is>
          <t>29</t>
        </is>
      </c>
      <c r="D13" s="3" t="inlineStr">
        <is>
          <t>Later on May 22, 2013, representatives from BofA Merrill Lynch presented to the members of the Transaction Committee for purposes of a potential engagement in connection with the Board's current review of strategic alternatives and the possibility of undertaking a sale process.</t>
        </is>
      </c>
    </row>
    <row r="14">
      <c r="A14" s="3" t="inlineStr">
        <is>
          <t>P-013</t>
        </is>
      </c>
      <c r="B14" s="3" t="inlineStr">
        <is>
          <t>The Merger — Background of the Merger</t>
        </is>
      </c>
      <c r="C14" s="3" t="inlineStr">
        <is>
          <t>29</t>
        </is>
      </c>
      <c r="D14" s="3" t="inlineStr">
        <is>
          <t>On May 29, 2013, each of the other two financial advisor candidates presented to the members of the Transaction Committee for purposes of a potential engagement in connection with the Board's current review of strategic alternatives and the possibility of undertaking a sale process.</t>
        </is>
      </c>
    </row>
    <row r="15">
      <c r="A15" s="3" t="inlineStr">
        <is>
          <t>P-014</t>
        </is>
      </c>
      <c r="B15" s="3" t="inlineStr">
        <is>
          <t>The Merger — Background of the Merger</t>
        </is>
      </c>
      <c r="C15" s="3" t="inlineStr">
        <is>
          <t>29</t>
        </is>
      </c>
      <c r="D15" s="3" t="inlineStr">
        <is>
          <t>On May 30, 2013, the Board held an in-person meeting. By invitation of the Board, Mr. MacDonald, Mr. Shea, Ms. Serafini and representatives of Goodwin Procter were also present for all or portions of the meeting. During the meeting, the members of the Transaction Committee presented their assessment of the relative capabilities, strengths, and possible weaknesses of the three financial advisor candidates. Mr. Shea also provided his perspective of each financial advisor candidate's capabilities, strengths, and possible weaknesses. The Transaction Committee recommended to the Board that Mac-Gray engage BofA Merrill Lynch as Mac-Gray's financial advisor for the Board's exploration of strategic alternatives, including a potential sale process. The Transaction Committee's endorsement of BofA Merrill Lynch was based on, among other things, BofA Merrill Lynch's knowledge of Mac-Gray, the industry generally, the current environment for mergers and acquisitions and potential strategic acquirors, as well as BofA Merrill Lynch's proposed process and strategy for maximizing value to Mac-Gray's stockholders should the Board determine that a sale of the company would be in the best interests of stockholders. Representatives of Goodwin Procter reviewed with the Board the terms of proposed BofA Merrill Lynch engagement. Based on the recommendation of the Transaction Committee, the Board unanimously approved the engagement of BofA Merrill Lynch on the terms discussed at this meeting.</t>
        </is>
      </c>
    </row>
    <row r="16">
      <c r="A16" s="3" t="inlineStr">
        <is>
          <t>P-015</t>
        </is>
      </c>
      <c r="B16" s="3" t="inlineStr">
        <is>
          <t>The Merger — Background of the Merger</t>
        </is>
      </c>
      <c r="C16" s="3" t="inlineStr">
        <is>
          <t>29</t>
        </is>
      </c>
      <c r="D16" s="3" t="inlineStr">
        <is>
          <t>Later on May 30, 2013, Mac-Gray held its annual stockholder meeting at which, among other actions, the Mac-Gray stockholders elected as directors Michael M. Rothenberg and James E. Hyman, candidates nominated by Mac-Gray's stockholder, Moab Partners, L.P. and certain of its affiliates, which we refer collectively to as Moab. Mac-Gray and Moab engaged in a proxy contest leading up to the annual meeting and Mr. Rothenberg and Mr. Hyman were elected in place of Mac-Gray's incumbent nominees, David W. Bryan and Mary Ann Tocio. Edward McCauley's term expired at the annual meeting, at which time the size of the Board was reduced to seven. Mr. Rothenberg is a co-founder and the General Partner of Moab and Mr. Hyman is president and chief executive officer of TestAmerica, Inc., the nation's largest provider of environmental testing services, a role he has held since 2011.</t>
        </is>
      </c>
    </row>
    <row r="17">
      <c r="A17" s="3" t="inlineStr">
        <is>
          <t>P-016</t>
        </is>
      </c>
      <c r="B17" s="3" t="inlineStr">
        <is>
          <t>The Merger — Background of the Merger</t>
        </is>
      </c>
      <c r="C17" s="3" t="inlineStr">
        <is>
          <t>30</t>
        </is>
      </c>
      <c r="D17" s="3" t="inlineStr">
        <is>
          <t>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t>
        </is>
      </c>
    </row>
    <row r="18">
      <c r="A18" s="3" t="inlineStr">
        <is>
          <t>P-017</t>
        </is>
      </c>
      <c r="B18" s="3" t="inlineStr">
        <is>
          <t>The Merger — Background of the Merger</t>
        </is>
      </c>
      <c r="C18" s="3" t="inlineStr">
        <is>
          <t>30</t>
        </is>
      </c>
      <c r="D18" s="3" t="inlineStr">
        <is>
          <t>On June 12, 2013, Mr. Rothenberg and Mr. Hyman met individually with Mr. Bullock, Mr. Daoust, Ms. Serafini and representatives from Goodwin Procter as part of their orientation as new members of the Board. Each was provided with an overview of the status of the Board's review of strategic alternatives and a potential sale process. At the meeting with Mr. Rothenberg, the participants discussed that,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t>
        </is>
      </c>
    </row>
    <row r="19">
      <c r="A19" s="3" t="inlineStr">
        <is>
          <t>P-018</t>
        </is>
      </c>
      <c r="B19" s="3" t="inlineStr">
        <is>
          <t>The Merger — Background of the Merger</t>
        </is>
      </c>
      <c r="C19" s="3" t="inlineStr">
        <is>
          <t>30</t>
        </is>
      </c>
      <c r="D19" s="3" t="inlineStr">
        <is>
          <t>On June 21, 2013, Party A submitted an unsolicited proposal to the Mac-Gray Board of Directors offering to purchase Mac-Gray for an all-cash purchase price of $17.00 to $19.00 per share, which we refer to as the Party A June 21 proposal.</t>
        </is>
      </c>
    </row>
    <row r="20">
      <c r="A20" s="3" t="inlineStr">
        <is>
          <t>P-019</t>
        </is>
      </c>
      <c r="B20" s="3" t="inlineStr">
        <is>
          <t>The Merger — Background of the Merger</t>
        </is>
      </c>
      <c r="C20" s="3" t="inlineStr">
        <is>
          <t>30</t>
        </is>
      </c>
      <c r="D20" s="3" t="inlineStr">
        <is>
          <t>On June 24, 2013, the Mac-Gray Board of Directors held a regularly scheduled meeting. By invitation of the Board, certain members of management, including Mr. MacDonald, Mr. Shea, Mr. MacLellan, Mr. Emma, Ms. Serafini and Sheff Halsey, our chief marketing officer and an executive vice president, and representatives from Goodwin Procter were also present for some or all of the meeting. During this meeting, representatives of Goodwin Procter reviewed for the Board its fiduciary duties in the context of considering strategic alternatives that might be available to Mac-Gray, including a potential sale of the company. The Board also discussed, with input from the members of the Transaction Committee, whether it would be appropriate for each of Mr. MacDonald and Mr. Rothenberg to be excluded from the Board's consideration of strategic alternatives in view of the possibility that Mr. MacDonald and/or Moab could be asked to partner with a potential acquiror given their respective equity stakes in Mac-Gray. Following this discussion, the Board decided, and Mr. MacDonald and Mr. Rothenberg agreed, that it would be appropriate to exclude Mr. MacDonald and Mr. Rothenberg from the Board's evaluation of strategic alternatives and any negotiations with third parties that might take place. Mr. MacDonald excused himself after such discussion. In furtherance of the conclusion to exclude Mr. MacDonald and Mr. Rothenberg from the Board's evaluation of strategic alternatives, the Board then established the Special Committee, comprised of the six independent and disinterested members of the Board (namely, Mr. Bullock, Mr. Daoust, Mr. Hyman, William F. Meagher, Bruce A. Percelay and Alastair G. Robinson), to, among other things, explore strategic alternatives to enhance value to Mac-Gray's stockholders and to recommend to the Board the advisability of any such strategic alternative. In connection with this delegation of authority, the Special Committee was further authorized to (a) consider and evaluate all proposals that might be received by Mac-Gray in connection with a possible sale or other significant business transaction, through any form of transaction, including, without limitation, merger, stock purchase, asset purchase, recapitalization, reorganization, going-private transaction, consolidation, amalgamation or other transaction, (b) participate in and direct the negotiation of the material terms and conditions of any such transaction, (c) consider any alternatives to any such transaction, including without limitation, Mac-Gray's continuing to operate as an independent company and (d) recommend to the Board the advisability of entering into a definitive agreement with respect to any such transaction. Mr. Bullock was appointed chairman of the Special Committee. It was also determined that the Transaction Committee would function as a sub-committee of the Special Committee for the purpose of taking any administrative actions to discharge the duties and responsibilities of the Special Committee.</t>
        </is>
      </c>
    </row>
    <row r="21">
      <c r="A21" s="3" t="inlineStr">
        <is>
          <t>P-020</t>
        </is>
      </c>
      <c r="B21" s="3" t="inlineStr">
        <is>
          <t>The Merger — Background of the Merger</t>
        </is>
      </c>
      <c r="C21" s="3" t="inlineStr">
        <is>
          <t>31</t>
        </is>
      </c>
      <c r="D21" s="3" t="inlineStr">
        <is>
          <t>Mr. Rothenberg was then excused and the Board meeting proceeded as a meeting of the Special Committee. By invitation of the Special Committee, Mr. Shea and Mr. Emma and representatives of BofA Merrill Lynch and Goodwin Procter were present for all or portions of the meeting. Mr. Shea and Mr. Emma presented Mac-Gray's five-year strategic business plan and projections, including the with acquisitions case and the without acquisitions case (see "—Projected Financial Information" below), which we refer to as the Projections. Following the management presentation, representatives of BofA Merrill Lynch discussed potential strategic alternatives and the structure and timing of a potential sale process. The Special Committee reviewed Mac-Gray's short and long-term business strategies and discussed the five-year strategic business plan,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discussed the risks involved if Mac-Gray did not execute on its strategic business plan, including the difficulties with increasing the Company's stock price without a significant or transformative transaction, such as a major acquisition or restructuring.</t>
        </is>
      </c>
    </row>
    <row r="22">
      <c r="A22" s="3" t="inlineStr">
        <is>
          <t>P-021</t>
        </is>
      </c>
      <c r="B22" s="3" t="inlineStr">
        <is>
          <t>The Merger — Background of the Merger</t>
        </is>
      </c>
      <c r="C22" s="3" t="inlineStr">
        <is>
          <t>31</t>
        </is>
      </c>
      <c r="D22" s="3" t="inlineStr">
        <is>
          <t>The Special Committee, in follow up to the considerations introduced at the May 9th Board meeting, then further considered whether it might be advisable to approach and discuss a potential sale transaction with third parties, including Party A, at this time. The Special Committee discussed the potential risks and benefits of commencing a process in which parties would be invited to review confidential information and submit indications of interest with respect to a potential business combination involving Mac-Gray, focusing again on the potential disruptions to Mac-Gray's business, the risk of leaks that might arise from approaching potential acquirors within the industry and the resulting impact on Mac-Gray's business and the need to disclose during such process sensitive, proprietary and confidential information to competitors and potential competitors. The members of the Special Committee also discussed with BofA Merrill Lynch the likelihood that strategic parties, including CSC and Party A, should be able to pay a higher price for Mac-Gray because of the benefit of synergies, and noted their collective belief that Party A would likely increase the Party A June 21 proposal in light of such synergies if Party A were given the opportunity to conduct business and legal due diligence on a potential acquisition of Mac-Gray. The Special Committee then discussed the other strategic alternatives, including a significant share repurchase program and an extraordinary dividend, and determined that these options were not likely to maximize value for Mac-Gray's stockholders as compared to execution of Mac-Gray's strategic business plan or undertaking a sale of the company. In light of the factors discussed at this meeting, the Special Committee concluded that it would be in the best interests of stockholders to consider a potential sale of Mac-Gray and to review this alternative as compared to Mac-Gray's continuing as a stand-alone company and the risks and opportunities associated with execution of Mac-Gray's strategic business plan.</t>
        </is>
      </c>
    </row>
    <row r="23">
      <c r="A23" s="3" t="inlineStr">
        <is>
          <t>P-022</t>
        </is>
      </c>
      <c r="B23" s="3" t="inlineStr">
        <is>
          <t>The Merger — Background of the Merger</t>
        </is>
      </c>
      <c r="C23" s="3" t="inlineStr">
        <is>
          <t>31–32</t>
        </is>
      </c>
      <c r="D23" s="3" t="inlineStr">
        <is>
          <t>The Special Committee, with the assistance of BofA Merrill Lynch and management, also discussed the general and specific universe of potential acquirors who might be contacted, including those parties the Special Committee believed had the strongest potential to have an interest in engaging in a strategic transaction with Mac-Gray. In its evaluation of potential likely acquirors, the Special Committee considered such parties' financial strength, their experience in acquiring companies in Mac-Gray's industry, such parties' perceived potential interest in Mac-Gray and potential synergies based on such parties' businesses and legal considerations. The Special Committee and BofA Merrill Lynch also discussed that although potential strategic buyers should be able to pay a higher purchase price because of synergies, it was important to solicit interest from financial buyers, including private equity firms, to maximize the competitive dynamics in the sale process. This perspective was based on the fact that many financial buyers had engaged in transactions with companies in industries similar to Mac-Gray and could be in a position to recognize value competitive with potential strategic buyers. Guided by the foregoing principles, the Special Committee determined to approach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t>
        </is>
      </c>
    </row>
    <row r="24">
      <c r="A24" s="3" t="inlineStr">
        <is>
          <t>P-023</t>
        </is>
      </c>
      <c r="B24" s="3" t="inlineStr">
        <is>
          <t>The Merger — Background of the Merger</t>
        </is>
      </c>
      <c r="C24" s="3" t="inlineStr">
        <is>
          <t>32</t>
        </is>
      </c>
      <c r="D24" s="3" t="inlineStr">
        <is>
          <t>During the next several weeks, in accordance with the directives of the Special Committee, BofA Merrill Lynch contacted the strategic and financial parties identified at the June 24th Special Committee meeting.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and, in some instances upon announcement of a change in control.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Parties that had entered into confidentiality and standstill agreements with Mac-Gray were furnished an informational package for the purpose of providing potential bidders with data to formulate a preliminary indication of interest, which they were instructed to submit by July 23, 2013. The letter requested that the proposals address, among other things, valuation, sources and structures of financing, material conditions, including required approvals, and focus areas for due diligence.</t>
        </is>
      </c>
    </row>
    <row r="25">
      <c r="A25" s="3" t="inlineStr">
        <is>
          <t>P-024</t>
        </is>
      </c>
      <c r="B25" s="3" t="inlineStr">
        <is>
          <t>The Merger — Background of the Merger</t>
        </is>
      </c>
      <c r="C25" s="3" t="inlineStr">
        <is>
          <t>32</t>
        </is>
      </c>
      <c r="D25" s="3" t="inlineStr">
        <is>
          <t>On June 28, 2013, the members of the Transaction Committee participated in a telephone conference call with representatives of BofA Merrill Lynch and Goodwin Procter. BofA Merrill Lynch summarized the contacts they had had with certain of the potential bidders. In particular, BofA Merrill Lynch reported that they had spoken with representatives of Party A, as instructed by the Special Committee, who had expressed the view that there would be considerable synergies if Party A were to acquire Mac-Gray and that Party A would be speaking with certain financing sources with respect to funding such a transaction. BofA Merrill Lynch also reported that they had spoken with representatives of Pamplona, as instructed by the Special Committee, who expressed interest in a transaction, including an acquisition of Mac-Gray by its portfolio company, CSC. Pamplona emphasized that business and legal due diligence would be minimal given its familiarity with Mac-Gray and the industry generally.</t>
        </is>
      </c>
    </row>
    <row r="26">
      <c r="A26" s="3" t="inlineStr">
        <is>
          <t>P-025</t>
        </is>
      </c>
      <c r="B26" s="3" t="inlineStr">
        <is>
          <t>The Merger — Background of the Merger</t>
        </is>
      </c>
      <c r="C26" s="3" t="inlineStr">
        <is>
          <t>32</t>
        </is>
      </c>
      <c r="D26" s="3" t="inlineStr">
        <is>
          <t>Later on June 28, 2013, Party B, entered into a confidentiality and standstill agreement with Mac-Gray and was provided with an informational package for the purpose of providing Party B with data to formulate a preliminary indication of interest.</t>
        </is>
      </c>
    </row>
    <row r="27">
      <c r="A27" s="3" t="inlineStr">
        <is>
          <t>P-026</t>
        </is>
      </c>
      <c r="B27" s="3" t="inlineStr">
        <is>
          <t>The Merger — Background of the Merger</t>
        </is>
      </c>
      <c r="C27" s="3" t="inlineStr">
        <is>
          <t>32</t>
        </is>
      </c>
      <c r="D27" s="3" t="inlineStr">
        <is>
          <t>On June 30, 2013, Party C entered into a confidentiality and standstill agreement with Mac-Gray and was provided with an informational package for the purpose of providing Party C with data to formulate a preliminary indication of interest.</t>
        </is>
      </c>
    </row>
    <row r="28">
      <c r="A28" s="3" t="inlineStr">
        <is>
          <t>P-027</t>
        </is>
      </c>
      <c r="B28" s="3" t="inlineStr">
        <is>
          <t>The Merger — Background of the Merger</t>
        </is>
      </c>
      <c r="C28" s="3" t="inlineStr">
        <is>
          <t>32</t>
        </is>
      </c>
      <c r="D28" s="3" t="inlineStr">
        <is>
          <t>On July 3, 2013, Mr. Rothenberg called a representative of Goodwin Procter to indicate that he had spoken with representatives of Pamplona about Moab's desire to maintain the flexibility to consider a possible equity rollover if Pamplona were to participate in a business combination with Mac-Gray. Mr. Rothenberg also informed Goodwin Procter that Pamplona would be requesting that any confidentiality agreement CSC/Pamplona execute with Mac-Gray permit CSC and Pamplona to discuss their bid and evaluation material with Moab, with Moab agreeing to exclusively engage with CSC/Pamplona.</t>
        </is>
      </c>
    </row>
    <row r="29">
      <c r="A29" s="3" t="inlineStr">
        <is>
          <t>P-028</t>
        </is>
      </c>
      <c r="B29" s="3" t="inlineStr">
        <is>
          <t>The Merger — Background of the Merger</t>
        </is>
      </c>
      <c r="C29" s="3" t="inlineStr">
        <is>
          <t>32–33</t>
        </is>
      </c>
      <c r="D29" s="3" t="inlineStr">
        <is>
          <t>On July 6, 2013, the Special Committee held a telephonic meeting for the purpose of receiving an update on the ongoing sale process. By invitation of the Special Committee, representatives from BofA Merrill Lynch and Goodwin Procter were also present throughout the meeting. The Special Committee discussed whether Moab should be permitted to partner exclusively with CSC/Pamplona. Because the objective of the sale process was to maximize value for Mac-Gray's stockholders,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t>
        </is>
      </c>
    </row>
    <row r="30">
      <c r="A30" s="3" t="inlineStr">
        <is>
          <t>P-029</t>
        </is>
      </c>
      <c r="B30" s="3" t="inlineStr">
        <is>
          <t>The Merger — Background of the Merger</t>
        </is>
      </c>
      <c r="C30" s="3" t="inlineStr">
        <is>
          <t>33</t>
        </is>
      </c>
      <c r="D30" s="3" t="inlineStr">
        <is>
          <t>On July 11, 2013, CSC/Pamplona entered into a confidentiality and standstill agreement with Mac-Gray and were provided with an informational package for the purpose of providing CSC/Pamplona with data to formulate a preliminary indication of interest.</t>
        </is>
      </c>
    </row>
    <row r="31">
      <c r="A31" s="3" t="inlineStr">
        <is>
          <t>P-030</t>
        </is>
      </c>
      <c r="B31" s="3" t="inlineStr">
        <is>
          <t>The Merger — Background of the Merger</t>
        </is>
      </c>
      <c r="C31" s="3" t="inlineStr">
        <is>
          <t>33</t>
        </is>
      </c>
      <c r="D31" s="3" t="inlineStr">
        <is>
          <t>Between July 11, 2013 and July 23, 2013, Party B, Party C and CSC/Pamplona engaged in a preliminary review of Mac-Gray and the potential acquisition opportunity. Also during this time, outside counsel to Party A and representatives of Goodwin Procter negotiated the terms of a confidentiality and standstill agreement, but did not come to agreement on the terms of the customer and employee non-solicitation provisions.</t>
        </is>
      </c>
    </row>
    <row r="32">
      <c r="A32" s="3" t="inlineStr">
        <is>
          <t>P-031</t>
        </is>
      </c>
      <c r="B32" s="3" t="inlineStr">
        <is>
          <t>The Merger — Background of the Merger</t>
        </is>
      </c>
      <c r="C32" s="3" t="inlineStr">
        <is>
          <t>33</t>
        </is>
      </c>
      <c r="D32" s="3" t="inlineStr">
        <is>
          <t>On July 23, 2013, CSC/Pamplona submitted a preliminary indication of interest at an all-cash purchase price of $18.50 per share.</t>
        </is>
      </c>
    </row>
    <row r="33">
      <c r="A33" s="3" t="inlineStr">
        <is>
          <t>P-032</t>
        </is>
      </c>
      <c r="B33" s="3" t="inlineStr">
        <is>
          <t>The Merger — Background of the Merger</t>
        </is>
      </c>
      <c r="C33" s="3" t="inlineStr">
        <is>
          <t>33</t>
        </is>
      </c>
      <c r="D33" s="3" t="inlineStr">
        <is>
          <t>On July 24, 2013, Party B submitted a preliminary indication of interest at an all-cash purchase price of $17.00 to $18.00 per share. Also on July 24, 2013, representatives from Party C called BofA Merrill Lynch and presented an oral preliminary indication of interest at an all-cash purchase price of $15.00 to $17.00 per share.</t>
        </is>
      </c>
    </row>
    <row r="34">
      <c r="A34" s="3" t="inlineStr">
        <is>
          <t>P-033</t>
        </is>
      </c>
      <c r="B34" s="3" t="inlineStr">
        <is>
          <t>The Merger — Background of the Merger</t>
        </is>
      </c>
      <c r="C34" s="3" t="inlineStr">
        <is>
          <t>33</t>
        </is>
      </c>
      <c r="D34" s="3" t="inlineStr">
        <is>
          <t>On July 25, 2013, the Board held a regularly scheduled in-person meeting. By invitation of the Board, Mr. Shea and representatives from BofA Merrill Lynch and Goodwin Procter were also present for all or portions of this meeting. Prior to the start of the meeting, because the Board expected to discuss matters related to the sale process, and in light of Moab's continuing interest in a potential equity rollover in any sale transaction, Mr. Rothenberg recused himself from the meeting and the meeting proceeded as a meeting of the Special Committee. At this meeting, representatives of BofA Merrill Lynch reviewed the preliminary indications of interest received from Party B, Party C and CSC/Pamplona as well as the Party A June 21 proposal, in each case from a financial point of view. The Board reviewed management's five-year strategic business plan and Projections. During this meeting, representatives of Goodwin Procter reviewed for the Special Committee its fiduciary duties in the context of considering a potential sale. The Special Committee then discussed the potential conflict of interest arising from Moab's continuing desire to consider an equity rollover and decided that Mr. Rothenberg should be asked to recuse himself from participating in Board meetings for the duration of the sale process so he would not be privy to confidential information about Mac-Gray and our business.</t>
        </is>
      </c>
    </row>
    <row r="35">
      <c r="A35" s="3" t="inlineStr">
        <is>
          <t>P-034</t>
        </is>
      </c>
      <c r="B35" s="3" t="inlineStr">
        <is>
          <t>The Merger — Background of the Merger</t>
        </is>
      </c>
      <c r="C35" s="3" t="inlineStr">
        <is>
          <t>33–34</t>
        </is>
      </c>
      <c r="D35" s="3" t="inlineStr">
        <is>
          <t>The Special Committee discussed that the preliminary indications of interest were lower than expected and suggested that additional due diligence, including with regard to the potential synergies, should result in improved offers by the strategic parties. The Special Committee then discussed the highly competitive nature of Mac-Gray's industry and expressed concern over permitting access to and the potential misuse of sensitive and competitive information, including customer terms and locations, especially by strategic bidders. Accordingly,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Based on this discussion, BofA Merrill Lynch discussed with the Special Committee a proposed process for the second stage of the on-going sale process. As part of this review, BofA Merrill Lynch recommended that management meetings be arranged between members of Mac-Gray management (other than Mr. MacDonald) and each of Party A (if Party A agreed to enter into a confidentiality agreement), Party B, Party C and CSC/Pamplona to provide these parties with access to high level information concerning Mac-Gray's technology, pipeline, management team, regional operations, contracts, operations and growth initiatives, and in the case of CSC/Pamplona and Party A, synergies, and to then request that each of these parties submit a revised indication of interest. After discussion and in an effort to drive offers with increased value, the Special Committee authorized and instructed BofA Merrill Lynch to proceed with the staged disclosure as discussed at this meeting and to reach out to each of the four interested bidders and arrange management meetings.</t>
        </is>
      </c>
    </row>
    <row r="36">
      <c r="A36" s="3" t="inlineStr">
        <is>
          <t>P-035</t>
        </is>
      </c>
      <c r="B36" s="3" t="inlineStr">
        <is>
          <t>The Merger — Background of the Merger</t>
        </is>
      </c>
      <c r="C36" s="3" t="inlineStr">
        <is>
          <t>34</t>
        </is>
      </c>
      <c r="D36" s="3" t="inlineStr">
        <is>
          <t>Later on July 25, 2013, Party C submitted a written indication of interest at an all-cash purchase price of $16.00 to $16.50 per share.</t>
        </is>
      </c>
    </row>
    <row r="37">
      <c r="A37" s="3" t="inlineStr">
        <is>
          <t>P-036</t>
        </is>
      </c>
      <c r="B37" s="3" t="inlineStr">
        <is>
          <t>The Merger — Background of the Merger</t>
        </is>
      </c>
      <c r="C37" s="3" t="inlineStr">
        <is>
          <t>34</t>
        </is>
      </c>
      <c r="D37" s="3" t="inlineStr">
        <is>
          <t>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t>
        </is>
      </c>
    </row>
    <row r="38">
      <c r="A38" s="3" t="inlineStr">
        <is>
          <t>P-037</t>
        </is>
      </c>
      <c r="B38" s="3" t="inlineStr">
        <is>
          <t>The Merger — Background of the Merger</t>
        </is>
      </c>
      <c r="C38" s="3" t="inlineStr">
        <is>
          <t>34</t>
        </is>
      </c>
      <c r="D38" s="3" t="inlineStr">
        <is>
          <t>On August 6, 2013, representatives of Party B attended a management presentation at the Boston office of Goodwin Procter with members of Mac-Gray management, representatives of BofA Merrill Lynch and a member of the Transaction Committee.</t>
        </is>
      </c>
    </row>
    <row r="39">
      <c r="A39" s="3" t="inlineStr">
        <is>
          <t>P-038</t>
        </is>
      </c>
      <c r="B39" s="3" t="inlineStr">
        <is>
          <t>The Merger — Background of the Merger</t>
        </is>
      </c>
      <c r="C39" s="3" t="inlineStr">
        <is>
          <t>34</t>
        </is>
      </c>
      <c r="D39" s="3" t="inlineStr">
        <is>
          <t>On August 8, 2013, representatives of Party C attended a management presentation at the Boston office of Goodwin Procter with members of Mac-Gray management, representatives of BofA Merrill Lynch and a member of the Transaction Committee.</t>
        </is>
      </c>
    </row>
    <row r="40">
      <c r="A40" s="3" t="inlineStr">
        <is>
          <t>P-039</t>
        </is>
      </c>
      <c r="B40" s="3" t="inlineStr">
        <is>
          <t>The Merger — Background of the Merger</t>
        </is>
      </c>
      <c r="C40" s="3" t="inlineStr">
        <is>
          <t>34</t>
        </is>
      </c>
      <c r="D40" s="3" t="inlineStr">
        <is>
          <t>On August 12, 2013, representatives of CSC and Pamplona attended a management presentation at the Boston office of Goodwin Procter with members of Mac-Gray management, representatives of BofA Merrill Lynch and the two members of the Transaction Committee.</t>
        </is>
      </c>
    </row>
    <row r="41">
      <c r="A41" s="3" t="inlineStr">
        <is>
          <t>P-040</t>
        </is>
      </c>
      <c r="B41" s="3" t="inlineStr">
        <is>
          <t>The Merger — Background of the Merger</t>
        </is>
      </c>
      <c r="C41" s="3" t="inlineStr">
        <is>
          <t>34</t>
        </is>
      </c>
      <c r="D41" s="3" t="inlineStr">
        <is>
          <t>On August 14, 2013, representatives of Party A attended a management presentation at the Boston office of Goodwin Procter with members of Mac-Gray management, representatives of BofA Merrill Lynch and the two members of the Transaction Committee.</t>
        </is>
      </c>
    </row>
    <row r="42">
      <c r="A42" s="3" t="inlineStr">
        <is>
          <t>P-041</t>
        </is>
      </c>
      <c r="B42" s="3" t="inlineStr">
        <is>
          <t>The Merger — Background of the Merger</t>
        </is>
      </c>
      <c r="C42" s="3" t="inlineStr">
        <is>
          <t>34</t>
        </is>
      </c>
      <c r="D42" s="3" t="inlineStr">
        <is>
          <t>On August 15, 2013, the Special Committee held a telephonic meeting for the purpose of reviewing the on-going strategic alternatives process. By invitation of the Special Committee, representatives from BofA Merrill Lynch and Goodwin Procter were also in attendance. BofA Merrill Lynch updated the Special Committee as to the current status of the strategic alternatives process, including the due diligence process and the management presentations with Party A, Party B, Party C and CSC/Pamplona. After discussion and as discussed at the July 25th Special Committee meeting,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including to engage in more in-depth and confirmatory due diligence of Mac-Gray.</t>
        </is>
      </c>
    </row>
    <row r="43">
      <c r="A43" s="3" t="inlineStr">
        <is>
          <t>P-042</t>
        </is>
      </c>
      <c r="B43" s="3" t="inlineStr">
        <is>
          <t>The Merger — Background of the Merger</t>
        </is>
      </c>
      <c r="C43" s="3" t="inlineStr">
        <is>
          <t>34</t>
        </is>
      </c>
      <c r="D43" s="3" t="inlineStr">
        <is>
          <t>Between August 6, 2013 and August 27, 2013, the four bidders conducted business and legal due diligence. During this time,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25th Special Committee meeting. During this time, both Party A and CSC/Pamplona participated in discussions with members of Mac-Gray management around synergies.</t>
        </is>
      </c>
    </row>
    <row r="44">
      <c r="A44" s="3" t="inlineStr">
        <is>
          <t>P-043</t>
        </is>
      </c>
      <c r="B44" s="3" t="inlineStr">
        <is>
          <t>The Merger — Background of the Merger</t>
        </is>
      </c>
      <c r="C44" s="3" t="inlineStr">
        <is>
          <t>35</t>
        </is>
      </c>
      <c r="D44" s="3" t="inlineStr">
        <is>
          <t>On August 27, 2013,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The letter requested that the revised proposals address, among other things, valuation, sources and structures of financing, regulatory approvals and other post-signing covenants and focus areas for due diligence.</t>
        </is>
      </c>
    </row>
    <row r="45">
      <c r="A45" s="3" t="inlineStr">
        <is>
          <t>P-044</t>
        </is>
      </c>
      <c r="B45" s="3" t="inlineStr">
        <is>
          <t>The Merger — Background of the Merger</t>
        </is>
      </c>
      <c r="C45" s="3" t="inlineStr">
        <is>
          <t>35</t>
        </is>
      </c>
      <c r="D45" s="3" t="inlineStr">
        <is>
          <t>Also on August 27, 2013, members of Mac-Gray management, representatives from BofA Merrill Lynch and representatives of Party B participated in a telephone conference call for Party B to conduct follow-up and confirmatory due diligence.</t>
        </is>
      </c>
    </row>
    <row r="46">
      <c r="A46" s="3" t="inlineStr">
        <is>
          <t>P-045</t>
        </is>
      </c>
      <c r="B46" s="3" t="inlineStr">
        <is>
          <t>The Merger — Background of the Merger</t>
        </is>
      </c>
      <c r="C46" s="3" t="inlineStr">
        <is>
          <t>35</t>
        </is>
      </c>
      <c r="D46" s="3" t="inlineStr">
        <is>
          <t>On August 29, 2013, members of Mac-Gray management, representatives from BofA Merrill Lynch and representatives of Party C participated in an in-person session for Party C to conduct follow-up and confirmatory due diligence.</t>
        </is>
      </c>
    </row>
    <row r="47">
      <c r="A47" s="3" t="inlineStr">
        <is>
          <t>P-046</t>
        </is>
      </c>
      <c r="B47" s="3" t="inlineStr">
        <is>
          <t>The Merger — Background of the Merger</t>
        </is>
      </c>
      <c r="C47" s="3" t="inlineStr">
        <is>
          <t>35</t>
        </is>
      </c>
      <c r="D47" s="3" t="inlineStr">
        <is>
          <t>On September 3, 2013, members of Mac-Gray management, representatives from BofA Merrill Lynch and representatives of Party A participated in a telephone conference call for Party A to conduct follow-up and confirmatory due diligence.</t>
        </is>
      </c>
    </row>
    <row r="48">
      <c r="A48" s="3" t="inlineStr">
        <is>
          <t>P-047</t>
        </is>
      </c>
      <c r="B48" s="3" t="inlineStr">
        <is>
          <t>The Merger — Background of the Merger</t>
        </is>
      </c>
      <c r="C48" s="3" t="inlineStr">
        <is>
          <t>35</t>
        </is>
      </c>
      <c r="D48" s="3" t="inlineStr">
        <is>
          <t>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On September 9, 2013,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t>
        </is>
      </c>
    </row>
    <row r="49">
      <c r="A49" s="3" t="inlineStr">
        <is>
          <t>P-048</t>
        </is>
      </c>
      <c r="B49" s="3" t="inlineStr">
        <is>
          <t>The Merger — Background of the Merger</t>
        </is>
      </c>
      <c r="C49" s="3" t="inlineStr">
        <is>
          <t>35</t>
        </is>
      </c>
      <c r="D49" s="3" t="inlineStr">
        <is>
          <t>On September 10, 2013, Party A submitted a revised indication of interest with an all-cash purchase price of $18.00 to $19.00 per share, to be financed by outstanding credit facilities or affiliated equity sources. Also on September 10, 2013,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t>
        </is>
      </c>
    </row>
    <row r="50">
      <c r="A50" s="3" t="inlineStr">
        <is>
          <t>P-049</t>
        </is>
      </c>
      <c r="B50" s="3" t="inlineStr">
        <is>
          <t>The Merger — Background of the Merger</t>
        </is>
      </c>
      <c r="C50" s="3" t="inlineStr">
        <is>
          <t>35</t>
        </is>
      </c>
      <c r="D50" s="3" t="inlineStr">
        <is>
          <t>On September 11, 2013, members of the Transaction Committee, in a telephone call, without identifying Party A, Party B, Party C or CSC/Pamplona and without indicating any proposed purchase prices,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t>
        </is>
      </c>
    </row>
    <row r="51">
      <c r="A51" s="3" t="inlineStr">
        <is>
          <t>P-050</t>
        </is>
      </c>
      <c r="B51" s="3" t="inlineStr">
        <is>
          <t>The Merger — Background of the Merger</t>
        </is>
      </c>
      <c r="C51" s="3" t="inlineStr">
        <is>
          <t>35–36</t>
        </is>
      </c>
      <c r="D51" s="3" t="inlineStr">
        <is>
          <t>Later on September 11, 2013, the Special Committee held a telephonic meeting to review the revised indications of interest submitted by Party A, Party B, Party C and CSC/Pamplona. By invitation of the Special Committee, Mr. Shea and Mr. Emma, as well as representatives from BofA Merrill Lynch and Goodwin Procter, were present for all or portions of the meeting. BofA Merrill Lynch reviewed with the Special Committee the current status of the revised indications of interest. The Special Committee also reviewed and discussed the Projections, including the risks and opportunities relating to Mac-Gray's ability to execute its strategic plan as an independent, stand-alone company. The Special Committee also considered the Projections in light of the revised indications of interest. BofA Merrill Lynch then indicated that, based on conversations with Party A, Party B, Party C and CSC/Pamplona, it was unlikely that any of these parties would move forward in the process without the express support of Mr. MacDonald. The Transaction Committee reported that Mr. MacDonald had decided that he was not interested in rolling over any of his shares in a transaction and recommended that Mr. MacDonald be fully briefed of the process to date. The Special Committee agreed, noting that Mr. MacDonald's perspective on the purchase price of a sale transaction was critical to the Special Committee's evaluation, as any potential acquiror would be unlikely to proceed without knowing that Mr. MacDonald would support the transaction. Based on the amount of due diligence conducted by Party A, Party B, Party C and CSC/Pamplona, and discussions with such parties to date, and in an effort to maximize value for Mac-Gray's stockholders,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As authorized and instructed by the Special Committee, representatives of BofA Merrill Lynch called each of Party A, Party B, Party C and CSC/Pamplona on September 11, 2013 with such instructions.</t>
        </is>
      </c>
    </row>
    <row r="52">
      <c r="A52" s="3" t="inlineStr">
        <is>
          <t>P-051</t>
        </is>
      </c>
      <c r="B52" s="3" t="inlineStr">
        <is>
          <t>The Merger — Background of the Merger</t>
        </is>
      </c>
      <c r="C52" s="3" t="inlineStr">
        <is>
          <t>36</t>
        </is>
      </c>
      <c r="D52" s="3" t="inlineStr">
        <is>
          <t>On September 12, 2013, at the instruction of the Transaction Committee,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t>
        </is>
      </c>
    </row>
    <row r="53">
      <c r="A53" s="3" t="inlineStr">
        <is>
          <t>P-052</t>
        </is>
      </c>
      <c r="B53" s="3" t="inlineStr">
        <is>
          <t>The Merger — Background of the Merger</t>
        </is>
      </c>
      <c r="C53" s="3" t="inlineStr">
        <is>
          <t>36</t>
        </is>
      </c>
      <c r="D53" s="3" t="inlineStr">
        <is>
          <t>Between September 11, 2013 and September 18, 2013, Party A, Party B, Party C and CSC/Pamplona continued to conduct business and legal due diligence.</t>
        </is>
      </c>
    </row>
    <row r="54">
      <c r="A54" s="3" t="inlineStr">
        <is>
          <t>P-053</t>
        </is>
      </c>
      <c r="B54" s="3" t="inlineStr">
        <is>
          <t>The Merger — Background of the Merger</t>
        </is>
      </c>
      <c r="C54" s="3" t="inlineStr">
        <is>
          <t>36</t>
        </is>
      </c>
      <c r="D54" s="3" t="inlineStr">
        <is>
          <t>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Also on September 18, 2013, Party A reiterated in a telephone call to a representative of BofA Merrill Lynch that its previous indication of interest with an all-cash purchase price of $18.00 to $19.00 per share was its best and final offer. On September 18, 2013,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(i.e., over five years), excluding any future acquisitions. Party B's proposal stated that it valued the Party B options at $2.50 of incremental value per share. Party C did not submit a revised indication of interest or reiterate its prior indication of interest of an all-cash purchase price of $16.00 to $17.00 per share nor did it specify any reasons in connection therewith.</t>
        </is>
      </c>
    </row>
    <row r="55">
      <c r="A55" s="3" t="inlineStr">
        <is>
          <t>P-054</t>
        </is>
      </c>
      <c r="B55" s="3" t="inlineStr">
        <is>
          <t>The Merger — Background of the Merger</t>
        </is>
      </c>
      <c r="C55" s="3" t="inlineStr">
        <is>
          <t>36–37</t>
        </is>
      </c>
      <c r="D55" s="3" t="inlineStr">
        <is>
          <t>On September 19, 2013, the Special Committee held an in-person meeting. By invitation of the Special Committee, Mr. MacDonald and Mr. Shea, as well as representatives from BofA Merrill Lynch and Goodwin Procter, were also present for all or portions of the meeting. At this meeting, BofA Merrill Lynch updated the Special Committee as to the current status of the revised indications of interest submitted by Party A, Party B and CSC/Pamplona and reported that Party C did not submit a revised indication of interest or reiterate its prior indication of interest. BofA Merrill Lynch also reported to the Special Committee on Mr. MacDonald's general support for continuing with the process and his view that Mac-Gray should continue to seek a higher value for stockholders. Mr. Shea again reviewed the Projections with the Special Committee and BofA Merrill Lynch. The Special Committee again discussed the Projections, including the risks relating to Mac-Gray's ability to execute its strategic plan as an independent, stand-alone company (including Mac-Gray's ability to identify, acquire and successfully integrate laundry facilities management businesses, establish new and/or renew existing laundry facility management leases and penetrate markets historically dominated by smaller local and regional operators, the impact of general economic and market trends on Mac-Gray's sales and the general risks of market conditions that could reduce Mac-Gray's stock price). The Special Committee also again discussed the potential opportunities if Mac-Gray were able to execute its strategic plan as an independent, stand-alone company (including the ability to improve profitability and EBITDA margins by increasing scale and density through organic growth and/or strategic acquisitions as well as the ability to increase revenue through vend increases and the conversion from coin-operated technology to card-based technology). The Special Committee also discussed the risks involved if Mac-Gray did not execute on its strategic business plan, including the difficulties with increasing the Company's stock price without a significant or transformative transaction, such as a major acquisition or restructuring. The Special Committee then considered the Projections in light of the revised indications of interest. Representatives from Goodwin Procter again reviewed the Special Committee's fiduciary duties in the context of a sale of the company. The Special Committee then discussed each of the three revised proposals, including their advantages and disadvantages. The Special Committee discussed the risks and complexities of the Party B options, including their contingent and deferred nature and the uncertainties associated with how Mac-Gray's performance would be measured, especially in light of the fact that current Mac-Gray management would not be in control of the surviving corporation to monitor or drive the growth necessary to trigger payment under the Party B options.</t>
        </is>
      </c>
    </row>
    <row r="56">
      <c r="A56" s="3" t="inlineStr">
        <is>
          <t>P-055</t>
        </is>
      </c>
      <c r="B56" s="3" t="inlineStr">
        <is>
          <t>The Merger — Background of the Merger</t>
        </is>
      </c>
      <c r="C56" s="3" t="inlineStr">
        <is>
          <t>37</t>
        </is>
      </c>
      <c r="D56" s="3" t="inlineStr">
        <is>
          <t>The representatives from BofA Merrill Lynch were then excused from the meeting and the Special Committee continued its discussion. The Special Committee noted that the indication of interest submitted by Party B, including the Party B options, was on its face higher than the CSC/Pamplona proposal but further discussed the risks and complexities involved with measuring and achieving the performance required to vest the Party B options. The Special Committee also noted that Party B would likely be financing the transaction with a combination of equity from affiliated funds and third party debt capital, which would involve more risk than the Pamplona-funded CSC/Pamplona proposal, which did not require any third party financing. Following a discussion,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and authorized the Transaction Committee and Goodwin Procter to negotiate the terms of such exclusivity based on guidance provided by the Special Committee. In addition, at this meeting Mr. MacDonald indicated that he would be supportive of a price of $21.25 per share.</t>
        </is>
      </c>
    </row>
    <row r="57">
      <c r="A57" s="3" t="inlineStr">
        <is>
          <t>P-056</t>
        </is>
      </c>
      <c r="B57" s="3" t="inlineStr">
        <is>
          <t>The Merger — Background of the Merger</t>
        </is>
      </c>
      <c r="C57" s="3" t="inlineStr">
        <is>
          <t>37</t>
        </is>
      </c>
      <c r="D57" s="3" t="inlineStr">
        <is>
          <t>On September 21, 2013,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The representative of CSC/Pamplona also requested that shares of Mac-Gray common stock owned beneficially and of record by Mr. MacDonald and his immediate family be subject to a customary voting agreement, which we refer to as the MacDonald voting agreements.</t>
        </is>
      </c>
    </row>
    <row r="58">
      <c r="A58" s="3" t="inlineStr">
        <is>
          <t>P-057</t>
        </is>
      </c>
      <c r="B58" s="3" t="inlineStr">
        <is>
          <t>The Merger — Background of the Merger</t>
        </is>
      </c>
      <c r="C58" s="3" t="inlineStr">
        <is>
          <t>37–38</t>
        </is>
      </c>
      <c r="D58" s="3" t="inlineStr">
        <is>
          <t>Between September 21, 2013 and September 23, 2013, the parties negotiated the terms of the exclusivity agreement, including an expiration date of October 12, 2013, the inclusion of a $15 million "reverse" termination fee payable by CSC/Pamplona to Mac-Gray in the event regulatory clearance is not obtained, which we refer to as the CSC reverse termination fee, agreements regarding certain post-signing covenants, the fact that there would be no financing contingency and that Pamplona was committing to fund 100% of the capital needed for closing, which, together with the all-cash per share purchase price of $21.25, we refer to as the CSC/Pamplona final proposal. The parties also agreed that the exclusivity agreement would automatically terminate if CSC or Pamplona adversely changed any of the terms of the CSC/Pamplona final proposal.</t>
        </is>
      </c>
    </row>
    <row r="59">
      <c r="A59" s="3" t="inlineStr">
        <is>
          <t>P-058</t>
        </is>
      </c>
      <c r="B59" s="3" t="inlineStr">
        <is>
          <t>The Merger — Background of the Merger</t>
        </is>
      </c>
      <c r="C59" s="3" t="inlineStr">
        <is>
          <t>38</t>
        </is>
      </c>
      <c r="D59" s="3" t="inlineStr">
        <is>
          <t>On September 23, 2013, representatives from Goodwin Procter participated in a telephone conference call with Mr. Rothenberg and his counsel to inform Mr. Rothenberg, on a limited basis, of the status of the Special Committee's review of strategic alternatives and the negotiations between Mac-Gray and CSC and Pamplona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and it was agreed that representatives of BofA Merrill Lynch would arrange and facilitate such a discussion.</t>
        </is>
      </c>
    </row>
    <row r="60">
      <c r="A60" s="3" t="inlineStr">
        <is>
          <t>P-059</t>
        </is>
      </c>
      <c r="B60" s="3" t="inlineStr">
        <is>
          <t>The Merger — Background of the Merger</t>
        </is>
      </c>
      <c r="C60" s="3" t="inlineStr">
        <is>
          <t>38</t>
        </is>
      </c>
      <c r="D60" s="3" t="inlineStr">
        <is>
          <t>Later on September 23, 2013, the Special Committee held a telephonic meeting, the purpose of which was to receive an update on the negotiations from the Transaction Committee and Goodwin Procter regarding the CSC/Pamplona final proposal and request for exclusivity. Representatives from Goodwin Procter reviewed the terms of the CSC/Pamplona final proposal with the Special Committee, including the $21.25 per share cash consideration, the $15 million CSC reverse termination fee, certain post-signing covenants, the fact that there would be no financing contingency and that Pamplona was committing to fund 100% of the capital needed for closing. After discussion,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based on guidance provided by the Special Committee at this meeting.</t>
        </is>
      </c>
    </row>
    <row r="61">
      <c r="A61" s="3" t="inlineStr">
        <is>
          <t>P-060</t>
        </is>
      </c>
      <c r="B61" s="3" t="inlineStr">
        <is>
          <t>The Merger — Background of the Merger</t>
        </is>
      </c>
      <c r="C61" s="3" t="inlineStr">
        <is>
          <t>38</t>
        </is>
      </c>
      <c r="D61" s="3" t="inlineStr">
        <is>
          <t>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t>
        </is>
      </c>
    </row>
    <row r="62">
      <c r="A62" s="3" t="inlineStr">
        <is>
          <t>P-061</t>
        </is>
      </c>
      <c r="B62" s="3" t="inlineStr">
        <is>
          <t>The Merger — Background of the Merger</t>
        </is>
      </c>
      <c r="C62" s="3" t="inlineStr">
        <is>
          <t>38</t>
        </is>
      </c>
      <c r="D62" s="3" t="inlineStr">
        <is>
          <t>On September 25, 2013, Goodwin Procter delivered to Kirkland &amp; Ellis LLP, outside legal counsel to CSC/Pamplona, whom we refer to as Kirkland, the initial draft of the merger agreement. Between September 25, 2013 and October 7, 2013, the Transaction Committee and representatives from CSC/Pamplona, Goodwin Procter and Kirkland negotiated the terms of the merger agreement (including our ability to respond to unsolicited inquiries following the announcement of the transaction and our right to terminate the merger agreement to accept a superior proposal) and the Pamplona commitment letter. The parties discussed various open points in the merger agreement and the Pamplona commitment letter, including the proposal by Mac-Gray that both Pamplona and CSC be responsible in the event CSC failed to consummate the merger, including liability for any and all damages resulting from a breach of the merger agreement, certain post-signing covenants and the parties' termination rights, including the amount of the termination fee payable by Mac-Gray to CSC under certain circumstances (which we refer to as the Mac-Gray termination fee), which Mac-Gray proposed should approximate 2.5% of the total equity value of the transaction. Also during this time, CSC and Pamplona were granted full access to the electronic data site and access to certain members of management and conducted confirmatory business and legal due diligence on Mac-Gray. Mr. Rothenberg engaged in various discussions with representatives of Pamplona during this time to discuss a possible rollover of Moab shares. As a result of such discussions, it was determined that Moab would not rollover any Moab shares in the transaction. Following such determination, BofA Merrill Lynch and the Transaction Committee provided Mr. Rothenberg with the details regarding the Special Committee's review of strategic alternatives and the negotiations between Mac-Gray and CSC/Pamplona.</t>
        </is>
      </c>
    </row>
    <row r="63">
      <c r="A63" s="3" t="inlineStr">
        <is>
          <t>P-062</t>
        </is>
      </c>
      <c r="B63" s="3" t="inlineStr">
        <is>
          <t>The Merger — Background of the Merger</t>
        </is>
      </c>
      <c r="C63" s="3" t="inlineStr">
        <is>
          <t>39</t>
        </is>
      </c>
      <c r="D63" s="3" t="inlineStr">
        <is>
          <t>Between September 24, 2013 and September 27, 2013, Kirkland and outside counsel to Mr. MacDonald negotiated the terms of the MacDonald voting agreements, which were entered into by Mr. MacDonald, his wife and one of his trusts on September 27, 2013, and which became effective upon entry into the merger agreement.</t>
        </is>
      </c>
    </row>
    <row r="64">
      <c r="A64" s="3" t="inlineStr">
        <is>
          <t>P-063</t>
        </is>
      </c>
      <c r="B64" s="3" t="inlineStr">
        <is>
          <t>The Merger — Background of the Merger</t>
        </is>
      </c>
      <c r="C64" s="3" t="inlineStr">
        <is>
          <t>39</t>
        </is>
      </c>
      <c r="D64" s="3" t="inlineStr">
        <is>
          <t>On October 1, 2013, representatives of Mac-Gray management, along with representatives from BofA Merrill Lynch and representatives from CSC/Pamplona attended a meeting at the Boston offices of Goodwin Procter for purposes of conducting confirmatory business due diligence. Representatives of Mac-Gray, Goodwin Procter, BofA Merrill Lynch and representatives of CSC/Pamplona and Kirkland participated in various telephone conference calls over the subsequent days to finalize business and legal due diligence.</t>
        </is>
      </c>
    </row>
    <row r="65">
      <c r="A65" s="3" t="inlineStr">
        <is>
          <t>P-064</t>
        </is>
      </c>
      <c r="B65" s="3" t="inlineStr">
        <is>
          <t>The Merger — Background of the Merger</t>
        </is>
      </c>
      <c r="C65" s="3" t="inlineStr">
        <is>
          <t>39</t>
        </is>
      </c>
      <c r="D65" s="3" t="inlineStr">
        <is>
          <t>On October 5, 2013,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t>
        </is>
      </c>
    </row>
    <row r="66">
      <c r="A66" s="3" t="inlineStr">
        <is>
          <t>P-065</t>
        </is>
      </c>
      <c r="B66" s="3" t="inlineStr">
        <is>
          <t>The Merger — Background of the Merger</t>
        </is>
      </c>
      <c r="C66" s="3" t="inlineStr">
        <is>
          <t>39</t>
        </is>
      </c>
      <c r="D66" s="3" t="inlineStr">
        <is>
          <t>On October 7, 2013, the Special Committee held a telephonic meeting, the purpose of which was to receive an update on the transaction negotiations from the Transaction Committee and Goodwin Procter. By invitation of the Special Committee, Mr. MacDonald was also present for a portion of the meeting. Mr. Daoust reported to the Special Committee that, after discussions between Moab and representatives of Pamplona, it was determined that Moab would not rollover any Moab shares in the transaction. Mr. Daoust also provided the Special Committee with an overview of the open business points and the progress the parties had made since the September 23rd Special Committee meeting. Representatives from Goodwin Procter then reported on the progress that had been made in diligence and summarized the open issues in the merger agreement and the Pamplona commitment letter, including to what extent Pamplona would be responsible in the event CSC failed to consummate the merger, including CSC's and Pamplona's liability for damages resulting from a breach of the merger agreement, certain post-signing covenants and the parties' termination rights, including the amounts of the Mac-Gray termination fee and the CSC reverse termination fee. The Special Committee authorized the Transaction Committee and Goodwin Procter to continue negotiations with CSC/Pamplona, and, among other things, provided guidance with respect to the open transaction issues discussed at the meeting.</t>
        </is>
      </c>
    </row>
    <row r="67">
      <c r="A67" s="3" t="inlineStr">
        <is>
          <t>P-066</t>
        </is>
      </c>
      <c r="B67" s="3" t="inlineStr">
        <is>
          <t>The Merger — Background of the Merger</t>
        </is>
      </c>
      <c r="C67" s="3" t="inlineStr">
        <is>
          <t>39</t>
        </is>
      </c>
      <c r="D67" s="3" t="inlineStr">
        <is>
          <t>Also on October 7, 2013, Kirkland delivered to Goodwin Procter a revised draft of the merger agreement which, among other things, proposed a $15 million Mac-Gray termination fee, which represented approximately 4.4% of the total equity value of the transaction, and certain positions on the scope of various post-signing covenants.</t>
        </is>
      </c>
    </row>
    <row r="68">
      <c r="A68" s="3" t="inlineStr">
        <is>
          <t>P-067</t>
        </is>
      </c>
      <c r="B68" s="3" t="inlineStr">
        <is>
          <t>The Merger — Background of the Merger</t>
        </is>
      </c>
      <c r="C68" s="3" t="inlineStr">
        <is>
          <t>39–40</t>
        </is>
      </c>
      <c r="D68" s="3" t="inlineStr">
        <is>
          <t>On October 8, 2013, representatives from Goodwin Procter and Kirkland participated in a telephone conference call to discuss the open points in the merger agreement and the Pamplona commitment letter, including to what extent Pamplona would also have liability in the event CSC failed to consummate the merger, which Kirkland proposed, at the direction of CSC/Pamplona, be capped at $50 million. Kirkland and Goodwin Procter also discussed CSC's and Pamplona's liability for damages resulting from a breach of the merger agreement, certain post-signing covenants and the parties' termination rights, including the amounts of the Mac-Gray termination fee and the CSC reverse termination fee. The parties also discussed potential compromises on the post-signing covenants. Goodwin Procter and Kirkland agreed to communicate these positions to their respective clients. Later that day, after various discussions among representatives from CSC/Pamplona, Kirkland, Goodwin Procter and the members of the Transaction Committee, and on behalf of the Special Committee, Goodwin Procter sent an e-mail to the representatives of Kirkland that proposed to accept the $50 million liability cap proposed by Pamplona and proposed a $10.5 million Mac-Gray termination fee, which represented approximately 3.0% of the total equity value of the transaction.</t>
        </is>
      </c>
    </row>
    <row r="69">
      <c r="A69" s="3" t="inlineStr">
        <is>
          <t>P-068</t>
        </is>
      </c>
      <c r="B69" s="3" t="inlineStr">
        <is>
          <t>The Merger — Background of the Merger</t>
        </is>
      </c>
      <c r="C69" s="3" t="inlineStr">
        <is>
          <t>40</t>
        </is>
      </c>
      <c r="D69" s="3" t="inlineStr">
        <is>
          <t>On October 9, 2013, in follow up to the October 8, 2013 negotiations and proposals made by Goodwin Procter, the members of the Transaction Committee participated in a telephone conference call with a representative from CSC/Pamplona to discuss the open issues in the merger agreement, including certain post-signing covenants and the parties' termination rights, including the amounts of the Mac-Gray termination fee and the CSC reverse termination fee, but did not reach agreement on these issues.</t>
        </is>
      </c>
    </row>
    <row r="70">
      <c r="A70" s="3" t="inlineStr">
        <is>
          <t>P-069</t>
        </is>
      </c>
      <c r="B70" s="3" t="inlineStr">
        <is>
          <t>The Merger — Background of the Merger</t>
        </is>
      </c>
      <c r="C70" s="3" t="inlineStr">
        <is>
          <t>40</t>
        </is>
      </c>
      <c r="D70" s="3" t="inlineStr">
        <is>
          <t>Later on October 9, 2013, the Special Committee held a telephonic meeting, the purpose of which was to receive an update on the transaction negotiations from the Transaction Committee and Goodwin Procter. By invitation of the Special Committee, Mr. MacDonald was also present at this meeting. The Transaction Committee reported to the Special Committee on the negotiations that had taken place since the meeting of the Special Committee held on October 7, 2013. The Transaction Committee reported that the parties had come to an agreement that Pamplona's liability for certain damages would be limited to $50 million, but that certain post-signing covenants and the amounts of the termination fees remained open issues. The Special Committee discussed various alternatives that could be proposed to CSC/Pamplona on the open issues. Goodwin Procter then reported that Kirkland had requested on behalf of CSC/Pamplona that the exclusivity agreement, due to expire at 5 p.m. ET on October 12, 2013, be extended to allow for continued negotiations of these open issues. After discussion, the Special Committee authorized the Transaction Committee to negotiate the open issues within certain parameters and in connection therewith to extend exclusivity to October 15, 2013. The Special Committee also determined to reconvene for an update telephone conference call on October 11, 2013.</t>
        </is>
      </c>
    </row>
    <row r="71">
      <c r="A71" s="3" t="inlineStr">
        <is>
          <t>P-070</t>
        </is>
      </c>
      <c r="B71" s="3" t="inlineStr">
        <is>
          <t>The Merger — Background of the Merger</t>
        </is>
      </c>
      <c r="C71" s="3" t="inlineStr">
        <is>
          <t>40</t>
        </is>
      </c>
      <c r="D71" s="3" t="inlineStr">
        <is>
          <t>On October 10, 2013, the members of the Transaction Committee and the representative of CSC/Pamplona engaged in various discussions regarding the open issues, including certain post-signing covenants and the amounts of the termination fees. While the parties reached a compromise on the post-signing covenants, no agreement was reached on the amount of the Mac-Gray termination fee. On October 11, 2013, the Special Committee held a telephonic meeting to discuss the proposed terms of the transaction and the status of discussions with CSC/Pamplona. By invitation of the Special Committee, Mr. Rothenberg and representatives of Goodwin Procter were also present. The members of the Transaction Committee reviewed with the Special Committee the negotiations that had taken place with representatives from CSC/Pamplona since the October 9th Special Committee meeting. The Transaction Committee reported that CSC/Pamplona, on the one hand, and the Transaction Committee (as authorized by the Special Committee at the October 9th meeting), on the other hand, had come to an agreement on certain post-signing covenants but that the parties had not reached agreement on the amount of the Mac-Gray termination fee. The Special Committee also discussed the fact that the exclusivity agreement would be expiring at 5 p.m. ET on October 12, 2013 and that CSC/Pamplona had requested an extension of exclusivity until the end of the day on October 15, 2013. After discussions, the Special Committee determined that the members of the Transaction Committee and representatives of Goodwin Procter should communicate to the representative of CSC/Pamplona and representatives at Kirkland, respectively, that the Special Committee continued to object to the $15 million Mac-Gray termination fee proposed by CSC/Pamplona and would not be willing to extend exclusivity unless a lower amount were agreed to. The Special Committee confirmed that the Transaction Committee and representatives of Mac-Gray were authorized to extend the exclusivity agreement until 11:59 p.m. on ET on October 15, 2013 if CSC/Pamplona would agree to a Mac-Gray termination fee of not more than $11 million, which represented approximately 3.2% of the total equity value of the transaction.</t>
        </is>
      </c>
    </row>
    <row r="72">
      <c r="A72" s="3" t="inlineStr">
        <is>
          <t>P-071</t>
        </is>
      </c>
      <c r="B72" s="3" t="inlineStr">
        <is>
          <t>The Merger — Background of the Merger</t>
        </is>
      </c>
      <c r="C72" s="3" t="inlineStr">
        <is>
          <t>40–41</t>
        </is>
      </c>
      <c r="D72" s="3" t="inlineStr">
        <is>
          <t>Later on October 11, 2013, the two members of the Transaction Committee telephoned CSC/Pamplona and communicated the Special Committee's position. Shortly following that conversation, the representative of CSC/Pamplona telephoned Mr. Daoust and agreed to the $11 million Mac-Gray termination fee. Following such agreement, Goodwin Procter delivered Kirkland revised drafts of the merger agreement and the Pamplona commitment letter.</t>
        </is>
      </c>
    </row>
    <row r="73">
      <c r="A73" s="3" t="inlineStr">
        <is>
          <t>P-072</t>
        </is>
      </c>
      <c r="B73" s="3" t="inlineStr">
        <is>
          <t>The Merger — Background of the Merger</t>
        </is>
      </c>
      <c r="C73" s="3" t="inlineStr">
        <is>
          <t>41</t>
        </is>
      </c>
      <c r="D73" s="3" t="inlineStr">
        <is>
          <t>On October 12, 2013, CSC, Pamplona and Mac-Gray executed a letter agreement extending exclusivity until 11:59 p.m. ET on October 15, 2013.</t>
        </is>
      </c>
    </row>
    <row r="74">
      <c r="A74" s="3" t="inlineStr">
        <is>
          <t>P-073</t>
        </is>
      </c>
      <c r="B74" s="3" t="inlineStr">
        <is>
          <t>The Merger — Background of the Merger</t>
        </is>
      </c>
      <c r="C74" s="3" t="inlineStr">
        <is>
          <t>41</t>
        </is>
      </c>
      <c r="D74" s="3" t="inlineStr">
        <is>
          <t>Between October 12, 2013 and October 14, 2013, Kirkland and Goodwin Procter finalized the remaining unresolved issues in the merger agreement and the Pamplona commitment letter.</t>
        </is>
      </c>
    </row>
    <row r="75">
      <c r="A75" s="3" t="inlineStr">
        <is>
          <t>P-074</t>
        </is>
      </c>
      <c r="B75" s="3" t="inlineStr">
        <is>
          <t>The Merger — Background of the Merger</t>
        </is>
      </c>
      <c r="C75" s="3" t="inlineStr">
        <is>
          <t>41</t>
        </is>
      </c>
      <c r="D75" s="3" t="inlineStr">
        <is>
          <t>Between October 8, 2013 and October 14, 2013, Kirkland and counsel for Moab negotiated the terms of a voting agreement for Moab.</t>
        </is>
      </c>
    </row>
    <row r="76">
      <c r="A76" s="3" t="inlineStr">
        <is>
          <t>P-075</t>
        </is>
      </c>
      <c r="B76" s="3" t="inlineStr">
        <is>
          <t>The Merger — Background of the Merger</t>
        </is>
      </c>
      <c r="C76" s="3" t="inlineStr">
        <is>
          <t>41</t>
        </is>
      </c>
      <c r="D76" s="3" t="inlineStr">
        <is>
          <t>On October 14, 2013, the Special Committee held a meeting via teleconference to discuss the final terms of the transaction and the proposed definitive merger agreement and related documents. By invitation of the Special Committee, Mr. Rothenberg and representatives of BofA Merrill Lynch and Goodwin Procter were also present for all or portions of the meeting. The members of the Transaction Committee reported to the Special Committee on the negotiations that had taken place since the meeting of the Special Committee held on October 11, 2013, and in particular that the Transaction Committee and CSC had come to an agreement on the remaining open business points, including the post-signing covenants and the termination fees. Goodwin Procter again reviewed with the Special Committee its fiduciary duties and provided a summary of the terms of the proposed merger agreement and the Pamplona capital commitment letter, copies of which were provided to the directors prior to the meeting. Also at this meeting, BofA Merrill Lynch reviewed with the Special Committee its financial analysis of the consideration and delivered to the Special Committee an oral opinion, which was confirmed by delivery of a written opinion dated, October 14, 2013, to the effect that, as of that date and based on and subject to the assumptions and limitations described in its opinion, the consideration to be received by holders of Mac-Gray common stock was fair, from a financial point of view, to such holders. Following these presentations, the Special Committee went into an executive session that excluded BofA Merrill Lynch and, after discussion, the Special Committee unanimously determined to recommend to the Board that the merger agreement and the merger were advisable and in the best interests of Mac-Gray's stockholders and that the Board approve the merger on the terms and subject to the conditions set forth in the merger agreement, adopt the merger agreement and recommend that the Mac-Gray stockholders adopt and approve the merger agreement. The Special Committee meeting then adjourned.</t>
        </is>
      </c>
    </row>
    <row r="77">
      <c r="A77" s="3" t="inlineStr">
        <is>
          <t>P-076</t>
        </is>
      </c>
      <c r="B77" s="3" t="inlineStr">
        <is>
          <t>The Merger — Background of the Merger</t>
        </is>
      </c>
      <c r="C77" s="3" t="inlineStr">
        <is>
          <t>41</t>
        </is>
      </c>
      <c r="D77" s="3" t="inlineStr">
        <is>
          <t>Following the adjournment of the Special Committee meeting, a meeting of the Mac-Gray Board of Directors convened. All members of the Board participated. Representatives from Goodwin Procter led a discussion on the terms of the merger agreement and advised the Board regarding the likely timing for execution of a definitive agreement and public announcement of the transaction and a projected closing timetable should the Board approve the merger. After discussion, the Board (upon the recommendation of the Special Committee) unanimously determined that the merger agreement and the merger were advisable and in the best interests of Mac-Gray's stockholders, approved the merger on the terms and subject to the conditions set forth in the merger agreement, adopted the merger agreement and recommended that the Mac-Gray stockholders adopt and approve the merger agreement.</t>
        </is>
      </c>
    </row>
    <row r="78">
      <c r="A78" s="3" t="inlineStr">
        <is>
          <t>P-077</t>
        </is>
      </c>
      <c r="B78" s="3" t="inlineStr">
        <is>
          <t>The Merger — Background of the Merger</t>
        </is>
      </c>
      <c r="C78" s="3" t="inlineStr">
        <is>
          <t>41</t>
        </is>
      </c>
      <c r="D78" s="3" t="inlineStr">
        <is>
          <t>Later in the day, on October 14, 2013, the merger agreement was executed, the Pamplona commitment letter was delivered, Moab and Parent executed the Moab voting agreement and the Mac-Donald voting agreements became effective.</t>
        </is>
      </c>
    </row>
    <row r="79">
      <c r="A79" s="3" t="inlineStr">
        <is>
          <t>P-078</t>
        </is>
      </c>
      <c r="B79" s="3" t="inlineStr">
        <is>
          <t>The Merger — Background of the Merger</t>
        </is>
      </c>
      <c r="C79" s="3" t="inlineStr">
        <is>
          <t>41</t>
        </is>
      </c>
      <c r="D79" s="3" t="inlineStr">
        <is>
          <t>On October 15, 2013, before the U.S. stock markets opened, Mac-Gray and CSC jointly announced the execution of the merger agreement.</t>
        </is>
      </c>
    </row>
    <row r="80">
      <c r="A80" s="3" t="inlineStr">
        <is>
          <t>X-001</t>
        </is>
      </c>
      <c r="B80" s="3" t="inlineStr">
        <is>
          <t>Summary Term Sheet — The Merger (structure and consideration)</t>
        </is>
      </c>
      <c r="C80" s="3" t="inlineStr">
        <is>
          <t>5</t>
        </is>
      </c>
      <c r="D80" s="3" t="inlineStr">
        <is>
          <t>If the merger is completed, at the effective time of the merger, each outstanding share of Mac-Gray common stock (other than shares held in treasury or held by the Buyer Entities or Merger Subsidiary (or their subsidiaries) or shares as to which dissenters' rights have been perfected and not withdrawn or lost) will be automatically converted into the right to receive $21.25 in cash, without interest and less applicable withholding taxes. We refer to this amount in this proxy statement as the merger consideration.</t>
        </is>
      </c>
    </row>
    <row r="81">
      <c r="A81" s="3" t="inlineStr">
        <is>
          <t>X-002</t>
        </is>
      </c>
      <c r="B81" s="3" t="inlineStr">
        <is>
          <t>Summary Term Sheet — Financing of the Merger</t>
        </is>
      </c>
      <c r="C81" s="3" t="inlineStr">
        <is>
          <t>6</t>
        </is>
      </c>
      <c r="D81" s="3" t="inlineStr">
        <is>
          <t>The merger agreement does not contain any condition to the obligations of the Buyer Entities or Merger Subsidiary relating to the receipt of financing by the Buyer Entities.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t>
        </is>
      </c>
    </row>
    <row r="82">
      <c r="A82" s="3" t="inlineStr">
        <is>
          <t>X-003</t>
        </is>
      </c>
      <c r="B82" s="3" t="inlineStr">
        <is>
          <t>Summary Term Sheet — Conditions to the Merger</t>
        </is>
      </c>
      <c r="C82" s="3" t="inlineStr">
        <is>
          <t>7</t>
        </is>
      </c>
      <c r="D82" s="3" t="inlineStr">
        <is>
          <t>the waiting period applicable to the merger under the Hart-Scott-Rodino Antitrust Improvements Act of 1976, as amended, and the rules and regulations promulgated thereunder, which we refer to as the HSR Act, will have expired or been terminated (which condition was satisfied following the expiration of the waiting period under the HSR Act on November 27, 2013).</t>
        </is>
      </c>
    </row>
    <row r="83">
      <c r="A83" s="3" t="inlineStr">
        <is>
          <t>X-004</t>
        </is>
      </c>
      <c r="B83" s="3" t="inlineStr">
        <is>
          <t>Summary Term Sheet — Non-Solicitation; Competing Acquisition Proposals</t>
        </is>
      </c>
      <c r="C83" s="3" t="inlineStr">
        <is>
          <t>8</t>
        </is>
      </c>
      <c r="D83" s="3" t="inlineStr">
        <is>
          <t>Notwithstanding the restrictions described above, prior to the adoption of the merger agreement by Mac-Gray stockholders, if Mac-Gray receives an unsolicited bona fide acquisition proposal in writing from a third party after the date of the merger agreement that did not, directly or indirectly, result from or arise out of a breach of the non-solicitation provisions of the merger agreement, and that the Mac-Gray Board of Directors (acting upon the recommendation of the Special Committee) determines in good faith, after consultation with its outside legal counsel and financial advisor, constitutes or would be reasonably likely to lead to a superior proposal (as defined in the section entitled The Merger Agreement—Non-Solicitation; Competing Acquisition Proposals) and that the failure to act would be reasonably likely to be inconsistent with the directors' fiduciary duties under applicable laws, then Mac-Gray may furnish to such third party non-public information relating to Mac-Gray pursuant to a confidentiality agreement meeting certain requirements as set forth in the merger agreement and afford such third party access to the businesses, properties, assets and personnel of Mac-Gray or any of its subsidiaries and enter into, maintain and participate in discussions or negotiations with such third party or otherwise cooperate with or assist or participate in, or facilitate, any such discussions or negotiations; provided Mac-Gray will promptly provide to Parent any material non-public information concerning Mac-Gray or its subsidiaries or access provided to such third party which was not previously provided to Parent. In addition, Mac-Gray will not provide to such third party commercially sensitive information except in a manner consistent with past practices and subject to any limitations placed on Parent and its representatives.</t>
        </is>
      </c>
    </row>
    <row r="84">
      <c r="A84" s="3" t="inlineStr">
        <is>
          <t>X-005</t>
        </is>
      </c>
      <c r="B84" s="3" t="inlineStr">
        <is>
          <t>Summary Term Sheet — Termination Fees and Expenses</t>
        </is>
      </c>
      <c r="C84" s="3" t="inlineStr">
        <is>
          <t>10</t>
        </is>
      </c>
      <c r="D84" s="3" t="inlineStr">
        <is>
          <t>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t>
        </is>
      </c>
    </row>
    <row r="85">
      <c r="A85" s="3" t="inlineStr">
        <is>
          <t>X-006</t>
        </is>
      </c>
      <c r="B85" s="3" t="inlineStr">
        <is>
          <t>Summary Term Sheet — The Voting Agreements</t>
        </is>
      </c>
      <c r="C85" s="3" t="inlineStr">
        <is>
          <t>11</t>
        </is>
      </c>
      <c r="D85" s="3" t="inlineStr">
        <is>
          <t>As of November 27, 2013, the record date for the special meeting, the stockholders of Mac-Gray that entered into the voting agreements collectively owned approximately 15% of the Mac-Gray common stock entitled to vote at the special meeting.</t>
        </is>
      </c>
    </row>
    <row r="86">
      <c r="A86" s="3" t="inlineStr">
        <is>
          <t>X-007</t>
        </is>
      </c>
      <c r="B86" s="3" t="inlineStr">
        <is>
          <t>Questions and Answers — expected completion</t>
        </is>
      </c>
      <c r="C86" s="3" t="inlineStr">
        <is>
          <t>14</t>
        </is>
      </c>
      <c r="D86" s="3" t="inlineStr">
        <is>
          <t>We currently expect the merger to be completed in January 2014. However, the merger is subject to various closing conditions, including Mac-Gray stockholder and regulatory approvals, and it is possible that the failure to timely meet these closing conditions or other factors outside of our control could delay the completion of the merger. We cannot assure you that we will complete the merger on this schedule or at all.</t>
        </is>
      </c>
    </row>
    <row r="87">
      <c r="A87" s="3" t="inlineStr">
        <is>
          <t>X-008</t>
        </is>
      </c>
      <c r="B87" s="3" t="inlineStr">
        <is>
          <t>The Companies — Mac-Gray Corporation</t>
        </is>
      </c>
      <c r="C87" s="3" t="inlineStr">
        <is>
          <t>26</t>
        </is>
      </c>
      <c r="D87" s="3" t="inlineStr">
        <is>
          <t>Mac-Gray Corporation is the second largest laundry facilities management contractor in the United States. Through our portfolio of card- and coin-operated laundry equipment located in laundry facilities across the country, we provide laundry convenience to residents of multi-unit housing such as apartment buildings, condominiums, colleges and university residence halls, public housing complexes, and hotels and motels. Based on our ongoing survey of colleges and universities, we believe that we are the largest provider of such services to the college and university market in the United States.</t>
        </is>
      </c>
    </row>
    <row r="88">
      <c r="A88" s="3" t="inlineStr">
        <is>
          <t>X-009</t>
        </is>
      </c>
      <c r="B88" s="3" t="inlineStr">
        <is>
          <t>The Companies — CSC ServiceWorks, Inc.</t>
        </is>
      </c>
      <c r="C88" s="3" t="inlineStr">
        <is>
          <t>26</t>
        </is>
      </c>
      <c r="D88" s="3" t="inlineStr">
        <is>
          <t>CSC ServiceWorks, Inc., with over one million machines in service, is the leading provider of multi-family housing and commercial laundry solutions as well as the industry leader in air vending services at convenience stores and gas stations. CSC's family of businesses includes: Coinmach Corp., ASI Campus Laundry Solutions, SDI Laundry Solutions, Sparkle Solutions Corp., Appliance Warehouse of America, AIR-serv, AirValet and Super Laundry. CSC has a workforce of over 2,250 dedicated professionals throughout the United States, Canada and Europe.</t>
        </is>
      </c>
    </row>
    <row r="89">
      <c r="A89" s="3" t="inlineStr">
        <is>
          <t>X-010</t>
        </is>
      </c>
      <c r="B89" s="3" t="inlineStr">
        <is>
          <t>The Companies — CSC ServiceWorks Holdings, Inc.</t>
        </is>
      </c>
      <c r="C89" s="3" t="inlineStr">
        <is>
          <t>26</t>
        </is>
      </c>
      <c r="D89" s="3" t="inlineStr">
        <is>
          <t>CSC ServiceWorks Holdings, Inc. is a Delaware corporation and the sole stockholder of CSC.</t>
        </is>
      </c>
    </row>
    <row r="90">
      <c r="A90" s="3" t="inlineStr">
        <is>
          <t>X-011</t>
        </is>
      </c>
      <c r="B90" s="3" t="inlineStr">
        <is>
          <t>The Companies — Spin Holdco Inc.</t>
        </is>
      </c>
      <c r="C90" s="3" t="inlineStr">
        <is>
          <t>26</t>
        </is>
      </c>
      <c r="D90" s="3" t="inlineStr">
        <is>
          <t>Spin Holdco Inc. is a Delaware corporation and a wholly-owned subsidiary of CSC.</t>
        </is>
      </c>
    </row>
    <row r="91">
      <c r="A91" s="3" t="inlineStr">
        <is>
          <t>X-012</t>
        </is>
      </c>
      <c r="B91" s="3" t="inlineStr">
        <is>
          <t>The Companies — CSC Fenway, Inc.</t>
        </is>
      </c>
      <c r="C91" s="3" t="inlineStr">
        <is>
          <t>26</t>
        </is>
      </c>
      <c r="D91" s="3" t="inlineStr">
        <is>
          <t>CSC Fenway, Inc. is a Delaware corporation and a wholly-owned subsidiary of Parent.</t>
        </is>
      </c>
    </row>
    <row r="92">
      <c r="A92" s="3" t="inlineStr">
        <is>
          <t>X-013</t>
        </is>
      </c>
      <c r="B92" s="3" t="inlineStr">
        <is>
          <t>Reasons for the Merger — premium</t>
        </is>
      </c>
      <c r="C92" s="3" t="inlineStr">
        <is>
          <t>43</t>
        </is>
      </c>
      <c r="D92" s="3" t="inlineStr">
        <is>
          <t>the fact that the $21.25 per share to be paid as the consideration in the merger represents a premium of approximately 36% over the high of $15.61 per share for the 52-week period ending October 11, 2013 and a premium of approximately 44% over the $14.72 closing trading price for the shares of our common stock on the NYSE on October 11, 2013, the last trading day prior to the date our Board of Directors approved the merger agreement;</t>
        </is>
      </c>
    </row>
    <row r="93">
      <c r="A93" s="3" t="inlineStr">
        <is>
          <t>X-014</t>
        </is>
      </c>
      <c r="B93" s="3" t="inlineStr">
        <is>
          <t>Reasons for the Merger — Pamplona commitment letter</t>
        </is>
      </c>
      <c r="C93" s="3" t="inlineStr">
        <is>
          <t>43</t>
        </is>
      </c>
      <c r="D93" s="3" t="inlineStr">
        <is>
          <t>the Pamplona commitment letter, pursuant to which Pamplona has committed to fund up to $594 million to the Buyer Entities to fund the payment of the merger consideration and other amounts payable pursuant to the merger agreement or to satisfy any damages (up to $50 million) awarded to Mac-Gray in certain circumstances involving litigation brought pursuant to the merger agreement;</t>
        </is>
      </c>
    </row>
    <row r="94">
      <c r="A94" s="3" t="inlineStr">
        <is>
          <t>X-015</t>
        </is>
      </c>
      <c r="B94" s="3" t="inlineStr">
        <is>
          <t>Reasons for the Merger — highest price obtainable</t>
        </is>
      </c>
      <c r="C94" s="3" t="inlineStr">
        <is>
          <t>43</t>
        </is>
      </c>
      <c r="D94" s="3" t="inlineStr">
        <is>
          <t>the belief of the Special Committee and the Mac-Gray Board of Directors that, after extensive negotiations with CSC/Pamplona and their representatives, we have obtained the highest price per share that CSC/Pamplona are willing to pay and the highest price obtainable on the date of signing of the merger agreement;</t>
        </is>
      </c>
    </row>
    <row r="95">
      <c r="A95" s="3" t="inlineStr">
        <is>
          <t>X-016</t>
        </is>
      </c>
      <c r="B95" s="3" t="inlineStr">
        <is>
          <t>Reasons for the Merger — fiduciary flexibility and termination fee</t>
        </is>
      </c>
      <c r="C95" s="3" t="inlineStr">
        <is>
          <t>43</t>
        </is>
      </c>
      <c r="D95" s="3" t="inlineStr">
        <is>
          <t>the merger agreement, subject to the limitations and requirements contained in the agreement, provides our Board of Directors (upon the recommendation of the Special Committee) with flexibility to furnish information to and conduct negotiations with third parties in certain circumstances and, upon payment to CSC of the Mac-Gray termination fee $11 million (which was heavily negotiated and which our Board of Directors believes is reasonable under the circumstances) to terminate the merger agreement, to accept a superior offer;</t>
        </is>
      </c>
    </row>
    <row r="96">
      <c r="A96" s="3" t="inlineStr">
        <is>
          <t>X-017</t>
        </is>
      </c>
      <c r="B96" s="3" t="inlineStr">
        <is>
          <t>Opinion of Mac-Gray's Financial Advisor — retention</t>
        </is>
      </c>
      <c r="C96" s="3" t="inlineStr">
        <is>
          <t>45</t>
        </is>
      </c>
      <c r="D96" s="3" t="inlineStr">
        <is>
          <t>Mac-Gray has retained BofA Merrill Lynch to act as Mac-Gray's financial advisor in connection with the merger. BofA Merrill Lynch is an internationally recognized investment banking firm which is regularly engaged in the valuation of businesses and securities in connection with mergers and acquisitions, negotiated underwritings, secondary distributions of listed and unlisted securities, private placements and valuations for corporate and other purposes. Mac-Gray selected BofA Merrill Lynch to act as Mac-Gray's financial advisor in connection with the merger on the basis of BofA Merrill Lynch's experience in transactions similar to the merger, its reputation in the investment community and its familiarity with the laundry facilities management industry and Mac-Gray and its business.</t>
        </is>
      </c>
    </row>
    <row r="97">
      <c r="A97" s="3" t="inlineStr">
        <is>
          <t>X-018</t>
        </is>
      </c>
      <c r="B97" s="3" t="inlineStr">
        <is>
          <t>Opinion of Mac-Gray's Financial Advisor — opinion delivered</t>
        </is>
      </c>
      <c r="C97" s="3" t="inlineStr">
        <is>
          <t>45</t>
        </is>
      </c>
      <c r="D97" s="3" t="inlineStr">
        <is>
          <t>On October 14, 2013, at a meeting of the Special Committee held to evaluate the merger, BofA Merrill Lynch delivered to the Special Committee an oral opinion, which was confirmed by delivery of a written opinion dated October 14, 2013, to the effect that, as of the date of the opinion and based on and subject to various assumptions and limitations described in its opinion, the merger consideration to be received by holders of Mac-Gray common stock was fair, from a financial point of view, to such holders.</t>
        </is>
      </c>
    </row>
    <row r="98">
      <c r="A98" s="3" t="inlineStr">
        <is>
          <t>X-019</t>
        </is>
      </c>
      <c r="B98" s="3" t="inlineStr">
        <is>
          <t>Projected Financial Information — preparation and recipients</t>
        </is>
      </c>
      <c r="C98" s="3" t="inlineStr">
        <is>
          <t>52</t>
        </is>
      </c>
      <c r="D98" s="3" t="inlineStr">
        <is>
          <t>Our senior management does not as a matter of course make public projections as to future performance or earnings beyond the current fiscal year and generally does not make public projections for extended periods due to the unpredictability of the underlying assumptions and estimates. However, in connection with the exploration of strategic alternatives as described in this proxy statement, management prepared a set of financial projections (the Projections) for the remainder of 2013 and calendar years 2014 through 2018, and these Projections were provided to the Special Committee and BofA Merrill Lynch. We have included below these Projections concerning our total revenue, EBITDA, GAAP earnings per share and capital expenditures. The first set of Projections below—Management Financial Projections without Acquisitions—assumes that Mac-Gray makes no acquisitions of facilities management businesses, which we refer to as the Without Acquisitions Case. The second set of Projections below—Management Financial Projections with Acquisitions—assumes that Mac-Gray acquires, each year commencing in 2013, laundry facilities management businesses operating a total of between 10,000 and 26,000 machines, at certain prices and within Mac-Gray's existing geographies, which we refer to as the With Acquisitions Case.</t>
        </is>
      </c>
    </row>
    <row r="99">
      <c r="A99" s="3" t="inlineStr">
        <is>
          <t>X-020</t>
        </is>
      </c>
      <c r="B99" s="3" t="inlineStr">
        <is>
          <t>Projected Financial Information — prepared June 2013</t>
        </is>
      </c>
      <c r="C99" s="3" t="inlineStr">
        <is>
          <t>53</t>
        </is>
      </c>
      <c r="D99" s="3" t="inlineStr">
        <is>
          <t>The Projections were prepared in June 2013 in the context of the business, economic, regulatory, market and financial conditions that existed at that time, and have not been updated to reflect revised prospects for our business, changes in general business, economic, regulatory, market and financial conditions, or any other transaction or event that has occurred or that may occur and that was not anticipated at the time the projections were prepared. The Projections are not necessarily indicative of future performance, which may be significantly more favorable or less favorable than as set forth below. The Projections cover multiple years, and such information by its nature becomes less reliable with each successive year. They should not be utilized as public guidance and will not be provided in the ordinary course of our business in the future.</t>
        </is>
      </c>
    </row>
    <row r="100">
      <c r="A100" s="3" t="inlineStr">
        <is>
          <t>X-021</t>
        </is>
      </c>
      <c r="B100" s="3" t="inlineStr">
        <is>
          <t>Regulatory Matters</t>
        </is>
      </c>
      <c r="C100" s="3" t="inlineStr">
        <is>
          <t>85</t>
        </is>
      </c>
      <c r="D100" s="3" t="inlineStr">
        <is>
          <t>Mergers and acquisitions that may have an impact in the United States are subject to review by the Antitrust Division and the FTC to determine whether they comply with applicable antitrust laws. Under the HSR Act, mergers and acquisitions that meet certain jurisdictional thresholds, such as the present transaction, may not be completed until the expiration of a waiting period that follows the filing of notification forms by both parties to the transaction with the Antitrust Division and the FTC. The initial waiting period is 30 days, but this period may be shortened if the reviewing agency grants "early termination" of the waiting period, or it may be lengthened if the reviewing agency determines that an in-depth investigation is required and issues a formal request, or "second request", for additional information and documentary material. Parent and Mac-Gray each filed pre-merger notifications with the U.S. antitrust authorities pursuant to the HSR Act on October 29, 2013, and, in accordance with the merger agreement, each requested "early termination" of the waiting period. While early termination was not granted, the waiting period expired on November 27, 2013.</t>
        </is>
      </c>
    </row>
    <row r="101">
      <c r="A101" s="3" t="inlineStr">
        <is>
          <t>X-022</t>
        </is>
      </c>
      <c r="B101" s="3" t="inlineStr">
        <is>
          <t>Litigation Related to the Merger</t>
        </is>
      </c>
      <c r="C101" s="3" t="inlineStr">
        <is>
          <t>85</t>
        </is>
      </c>
      <c r="D101" s="3" t="inlineStr">
        <is>
          <t>On November 21, 2013, a putative class action lawsuit was filed in the Superior Court of the Commonwealth of Massachusetts, County of Middlesex, captioned Star Partners Fund v. Bullock, et al., Civ. 13-5067. The complaint names as defendants Mac-Gray, the members of our Board of Directors, Holdings, CSC and Pamplona Capital Management LLC. The complaint alleges that the individual defendants breached their fiduciary duties by causing Mac-Gray to enter into the transaction and, together with Mac-Gray, by failing to disclose all material facts required to be disclosed. The complaint also alleges that Holdings, CSC and Pamplona Capital Management LLC aided and abetted the breaches of fiduciary duties. The complaint seeks, among other things, equitable relief that would enjoin the consummation of the proposed merger, rescission of the merger agreement (to the extent it has already been implemented), compensatory damages, and attorneys' and expert fees and costs.</t>
        </is>
      </c>
    </row>
    <row r="102">
      <c r="A102" s="3" t="inlineStr">
        <is>
          <t>X-023</t>
        </is>
      </c>
      <c r="B102" s="3" t="inlineStr">
        <is>
          <t>Current Market Price of Common Stock — table intro</t>
        </is>
      </c>
      <c r="C102" s="3" t="inlineStr">
        <is>
          <t>89</t>
        </is>
      </c>
      <c r="D102" s="3" t="inlineStr">
        <is>
          <t>Mac-Gray common stock has been listed on the New York Stock Exchange under the trading symbol "TUC" since October 16, 1997. The following table sets forth the closing sale prices per share of Mac-Gray common stock, as reported on the New York Stock Exchange on October 14, 2013, the last full trading day before the public announcement of the proposed merger, and on November 27, 2013, the latest practicable date before the printing of this proxy statement:</t>
        </is>
      </c>
    </row>
    <row r="103">
      <c r="A103" s="3" t="inlineStr">
        <is>
          <t>X-024</t>
        </is>
      </c>
      <c r="B103" s="3" t="inlineStr">
        <is>
          <t>Current Market Price of Common Stock — October 14, 2013 close</t>
        </is>
      </c>
      <c r="C103" s="3" t="inlineStr">
        <is>
          <t>89</t>
        </is>
      </c>
      <c r="D103" s="3" t="inlineStr">
        <is>
          <t>$ 14.93</t>
        </is>
      </c>
    </row>
    <row r="104">
      <c r="A104" s="3" t="inlineStr">
        <is>
          <t>X-025</t>
        </is>
      </c>
      <c r="B104" s="3" t="inlineStr">
        <is>
          <t>Current Market Price of Common Stock — November 27, 2013 close</t>
        </is>
      </c>
      <c r="C104" s="3" t="inlineStr">
        <is>
          <t>89</t>
        </is>
      </c>
      <c r="D104" s="3" t="inlineStr">
        <is>
          <t>$ 21.30</t>
        </is>
      </c>
    </row>
    <row r="105">
      <c r="A105" s="3" t="inlineStr">
        <is>
          <t>X-026</t>
        </is>
      </c>
      <c r="B105" s="3" t="inlineStr">
        <is>
          <t>Annex A — Section 5.08 Available Funds</t>
        </is>
      </c>
      <c r="C105" s="3" t="inlineStr">
        <is>
          <t>A-30</t>
        </is>
      </c>
      <c r="D105" s="3" t="inlineStr">
        <is>
          <t>Section 5.08 Available Funds. Parent will have available at Closing all funds necessary for the payment of the Aggregate Merger Consideration, and sufficient funds for the satisfaction of all of Parent's and Merger Sub's obligations at Closing under this Agreement, including any amounts required to repay or refinance Company Indebtedness and other amounts required to be paid in connection with the consummation of the transactions contemplated by this Agreement (including all related fees and expenses). Parent has delivered to the Company a true, correct and complete copy, as of the date of this Agreement, of an executed commitment letter (the "Capital Commitment Letter") from Pamplona Capital Partners III, L.P. ("Sponsor") to invest, subject to the terms and conditions therein, capital in the aggregate amount set forth therein (the "Capital Financing") in Holdings. The Capital Commitment Letter has not been amended or modified, nor does Parent have a present intention to amend or modify the Capital Commitment Letter, and the obligations and commitments contained in such letter have not been withdrawn or rescinded in any respect. Parent or Merger Sub has fully paid any and all commitment fees or other fees in connection with the Capital Commitment Letter that are due on or prior to the date hereof. The Capital Commitment Letter is in full force and effect. As of the date of this Agreement, no event has occurred which, with or without notice, lapse of time or both, would or would reasonably be expected to constitute a default or breach on the part of Parent, Merger Sub or Sponsor under the Capital Commitment Letter. There are no conditions or other contingencies relating to the funding of the full amount of the Capital Financing other than as expressly set forth in the Capital Commitment Letter. There are no side letters or other agreements, arrangements or understandings (including fee letters) to which Parent or any of its Affiliates is a party related to the funding or investing, as applicable, of the full amount of the Capital Financing other than as expressly set forth in the Capital Commitment Letter.</t>
        </is>
      </c>
    </row>
    <row r="106">
      <c r="A106" s="3" t="inlineStr">
        <is>
          <t>X-027</t>
        </is>
      </c>
      <c r="B106" s="3" t="inlineStr">
        <is>
          <t>Annex A — Section 6.17 Confidentiality</t>
        </is>
      </c>
      <c r="C106" s="3" t="inlineStr">
        <is>
          <t>A-46</t>
        </is>
      </c>
      <c r="D106" s="3" t="inlineStr">
        <is>
          <t>Section 6.17 Confidentiality. Parent and the Company hereby acknowledge and agree that they are and shall continue to be bound by that certain letter agreement dated as of July 11, 2013, among Pamplona Capital Management LLC, Parent and the Company (the "Confidentiality Agreement").</t>
        </is>
      </c>
    </row>
    <row r="107">
      <c r="A107" s="3" t="inlineStr">
        <is>
          <t>X-028</t>
        </is>
      </c>
      <c r="B107" s="3" t="inlineStr">
        <is>
          <t>Annex B — BofA Merrill Lynch fee</t>
        </is>
      </c>
      <c r="C107" s="3" t="inlineStr">
        <is>
          <t>B-2</t>
        </is>
      </c>
      <c r="D107" s="3" t="inlineStr">
        <is>
          <t>We have acted as financial advisor to MGC in connection with the Merger and will receive a fee for our services, a portion of which is payable upon the rendering of this opinion and a significant portion of which is contingent upon consummation of the Merger. In addition, MGC has agreed to reimburse our expenses and indemnify us against certain liabilities arising out of our engagement.</t>
        </is>
      </c>
    </row>
    <row r="108">
      <c r="A108" t="inlineStr">
        <is>
          <t>Note</t>
        </is>
      </c>
      <c r="B108" t="inlineStr">
        <is>
          <t>Layout normalization declaration</t>
        </is>
      </c>
      <c r="D108" s="15" t="inlineStr">
        <is>
          <t>Text extracted from the filing HTML: HTML entities decoded, whitespace collapsed, page headers ('Table of Contents') and printed page-number lines removed; paragraph text otherwise preserved verbatim, including the source duplication of the informational-package sentence at p.32 and the date typo 'July 27, 2103' at p.34. Pages for a paragraph split across a printed page boundary are shown as a range (start–end).</t>
        </is>
      </c>
    </row>
  </sheetData>
  <autoFilter ref="A1:D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53"/>
  <sheetViews>
    <sheetView workbookViewId="0">
      <selection activeCell="A1" sqref="A1"/>
    </sheetView>
  </sheetViews>
  <sheetFormatPr baseColWidth="8" defaultRowHeight="15"/>
  <sheetData>
    <row r="1">
      <c r="A1" s="16" t="inlineStr">
        <is>
          <t>#</t>
        </is>
      </c>
      <c r="B1" s="16" t="inlineStr">
        <is>
          <t>When</t>
        </is>
      </c>
      <c r="C1" s="16" t="inlineStr">
        <is>
          <t>Who</t>
        </is>
      </c>
      <c r="D1" s="16" t="inlineStr">
        <is>
          <t>What happened</t>
        </is>
      </c>
      <c r="E1" s="16" t="inlineStr">
        <is>
          <t>Process</t>
        </is>
      </c>
      <c r="F1" s="16" t="inlineStr">
        <is>
          <t>Round</t>
        </is>
      </c>
      <c r="G1" s="16" t="inlineStr">
        <is>
          <t>Type</t>
        </is>
      </c>
      <c r="H1" s="16" t="inlineStr">
        <is>
          <t>Terms or outcome</t>
        </is>
      </c>
      <c r="I1" s="16" t="inlineStr">
        <is>
          <t>Formality</t>
        </is>
      </c>
      <c r="J1" s="16" t="inlineStr">
        <is>
          <t>Conditions level</t>
        </is>
      </c>
      <c r="K1" s="16" t="inlineStr">
        <is>
          <t>Why and evidence</t>
        </is>
      </c>
      <c r="L1" s="16" t="inlineStr">
        <is>
          <t>Source</t>
        </is>
      </c>
      <c r="M1" s="16" t="inlineStr">
        <is>
          <t>Review</t>
        </is>
      </c>
      <c r="N1" s="16" t="inlineStr">
        <is>
          <t>Reviewer note</t>
        </is>
      </c>
      <c r="O1" s="16" t="inlineStr">
        <is>
          <t>Row id</t>
        </is>
      </c>
      <c r="P1" s="16" t="inlineStr">
        <is>
          <t>Include</t>
        </is>
      </c>
      <c r="Q1" s="16" t="inlineStr">
        <is>
          <t>Count</t>
        </is>
      </c>
      <c r="R1" s="16" t="inlineStr">
        <is>
          <t>Date from</t>
        </is>
      </c>
      <c r="S1" s="16" t="inlineStr">
        <is>
          <t>Date to</t>
        </is>
      </c>
      <c r="T1" s="16" t="inlineStr">
        <is>
          <t>Working date</t>
        </is>
      </c>
      <c r="U1" s="16" t="inlineStr">
        <is>
          <t>Date basis</t>
        </is>
      </c>
      <c r="V1" s="16" t="inlineStr">
        <is>
          <t>Date method</t>
        </is>
      </c>
      <c r="W1" s="16" t="inlineStr">
        <is>
          <t>Price low</t>
        </is>
      </c>
      <c r="X1" s="16" t="inlineStr">
        <is>
          <t>Price high</t>
        </is>
      </c>
      <c r="Y1" s="16" t="inlineStr">
        <is>
          <t>Price kind</t>
        </is>
      </c>
      <c r="Z1" s="16" t="inlineStr">
        <is>
          <t>Price origin</t>
        </is>
      </c>
      <c r="AA1" s="16" t="inlineStr">
        <is>
          <t>Currency</t>
        </is>
      </c>
      <c r="AB1" s="16" t="inlineStr">
        <is>
          <t>All cash</t>
        </is>
      </c>
      <c r="AC1" s="16" t="inlineStr">
        <is>
          <t>Cash at closing</t>
        </is>
      </c>
      <c r="AD1" s="16" t="inlineStr">
        <is>
          <t>Conditions detail</t>
        </is>
      </c>
      <c r="AE1" s="16" t="inlineStr">
        <is>
          <t>Due date</t>
        </is>
      </c>
      <c r="AF1" s="16" t="inlineStr">
        <is>
          <t>Deadline treatment</t>
        </is>
      </c>
      <c r="AG1" s="16" t="inlineStr">
        <is>
          <t>Round finality</t>
        </is>
      </c>
      <c r="AH1" s="16" t="inlineStr">
        <is>
          <t>Decided by</t>
        </is>
      </c>
      <c r="AI1" s="16" t="inlineStr">
        <is>
          <t>Exit reason</t>
        </is>
      </c>
      <c r="AJ1" s="16" t="inlineStr">
        <is>
          <t>Outcome basis</t>
        </is>
      </c>
      <c r="AK1" s="16" t="inlineStr">
        <is>
          <t>Page</t>
        </is>
      </c>
      <c r="AL1" s="16" t="inlineStr">
        <is>
          <t>Related rows</t>
        </is>
      </c>
      <c r="AM1" s="16" t="inlineStr">
        <is>
          <t>Deal</t>
        </is>
      </c>
    </row>
    <row r="2">
      <c r="A2" t="n">
        <v>1</v>
      </c>
      <c r="B2" t="inlineStr">
        <is>
          <t>10/23/2012</t>
        </is>
      </c>
      <c r="C2" t="inlineStr">
        <is>
          <t>BofA Merrill Lynch — Mac-Gray (client)</t>
        </is>
      </c>
      <c r="D2" t="inlineStr">
        <is>
          <t>Adviser engaged</t>
        </is>
      </c>
      <c r="E2" t="inlineStr">
        <is>
          <t>1</t>
        </is>
      </c>
      <c r="F2" t="inlineStr">
        <is>
          <t>0</t>
        </is>
      </c>
      <c r="G2" t="inlineStr"/>
      <c r="H2" t="inlineStr">
        <is>
          <t>Pre-process context (not a Mac-Gray sale attempt): engaged 10/23/2012 for the 2011-2012 Discussions — Mac-Gray's consideration of a possible acquisition of CSC. CSC was itself sold to Pamplona in May 2013. The mandate was terminated in May 2013 before the sale process (see R006).</t>
        </is>
      </c>
      <c r="I2" t="inlineStr"/>
      <c r="J2" t="inlineStr"/>
      <c r="K2" t="inlineStr">
        <is>
          <t>Stated. “In connection with Mac-Gray's consideration of a possible acquisition of CSC, which we refer to as the 2011-2012 Discussions, Mac-Gray engaged BofA Merrill Lynch on October 23, 2012.” “During the fall and winter of 2012, CSC engaged in a sale process and, ultimately, CSC was purchased by Pamplona in May 2013.” (both p.27)</t>
        </is>
      </c>
      <c r="L2" t="inlineStr">
        <is>
          <t>P-002</t>
        </is>
      </c>
      <c r="M2" t="inlineStr"/>
      <c r="N2" t="inlineStr"/>
      <c r="O2" t="inlineStr">
        <is>
          <t>R001</t>
        </is>
      </c>
      <c r="P2" t="inlineStr">
        <is>
          <t>Yes</t>
        </is>
      </c>
      <c r="R2" s="17" t="n">
        <v>41205</v>
      </c>
      <c r="S2" s="17" t="n">
        <v>41205</v>
      </c>
      <c r="T2" s="17" t="n">
        <v>41205</v>
      </c>
      <c r="U2" t="inlineStr">
        <is>
          <t>Reported day</t>
        </is>
      </c>
      <c r="V2" t="inlineStr">
        <is>
          <t>Reported</t>
        </is>
      </c>
      <c r="Y2" t="inlineStr"/>
      <c r="Z2" t="inlineStr"/>
      <c r="AA2" t="inlineStr"/>
      <c r="AB2" t="inlineStr"/>
      <c r="AD2" t="inlineStr"/>
      <c r="AF2" t="inlineStr"/>
      <c r="AG2" t="inlineStr"/>
      <c r="AH2" t="inlineStr"/>
      <c r="AI2" t="inlineStr"/>
      <c r="AJ2" t="inlineStr"/>
      <c r="AK2" t="n">
        <v>27</v>
      </c>
      <c r="AL2" t="inlineStr">
        <is>
          <t>R006</t>
        </is>
      </c>
      <c r="AM2" t="inlineStr">
        <is>
          <t>Mac-Gray</t>
        </is>
      </c>
    </row>
    <row r="3">
      <c r="A3" t="n">
        <v>2</v>
      </c>
      <c r="B3" t="inlineStr">
        <is>
          <t>04/05/2013</t>
        </is>
      </c>
      <c r="C3" t="inlineStr">
        <is>
          <t>Mac-Gray Board of Directors</t>
        </is>
      </c>
      <c r="D3" t="inlineStr">
        <is>
          <t>Target sale decision</t>
        </is>
      </c>
      <c r="E3" t="inlineStr">
        <is>
          <t>1</t>
        </is>
      </c>
      <c r="F3" t="inlineStr">
        <is>
          <t>0</t>
        </is>
      </c>
      <c r="G3" t="inlineStr"/>
      <c r="H3" t="inlineStr">
        <is>
          <t>Board discussed CSC's sale to Pamplona and industry M&amp;A activity and authorized Mac-Gray management to work with BofA Merrill Lynch to explore transactional opportunities, including with Party A (a laundry-industry strategic party); further consideration deferred to the May 9 meeting. An exploration authorization, not a commitment to sell.</t>
        </is>
      </c>
      <c r="I3" t="inlineStr"/>
      <c r="J3" t="inlineStr"/>
      <c r="K3" t="inlineStr">
        <is>
          <t>Stated. “the Board discussed the sale of CSC to Pamplona as well as industry-wide merger and acquisition activity and dynamics, and authorized Mac-Gray management to work with BofA Merrill Lynch to explore transactional opportunities that might be available to Mac-Gray, including opportunities with another strategic party, whom we refer to as Party A, in the laundry facilities management industry.” (p.27)</t>
        </is>
      </c>
      <c r="L3" t="inlineStr">
        <is>
          <t>P-003</t>
        </is>
      </c>
      <c r="M3" t="inlineStr"/>
      <c r="N3" t="inlineStr"/>
      <c r="O3" t="inlineStr">
        <is>
          <t>R002</t>
        </is>
      </c>
      <c r="P3" t="inlineStr">
        <is>
          <t>Yes</t>
        </is>
      </c>
      <c r="R3" s="17" t="n">
        <v>41369</v>
      </c>
      <c r="S3" s="17" t="n">
        <v>41369</v>
      </c>
      <c r="T3" s="17" t="n">
        <v>41369</v>
      </c>
      <c r="U3" t="inlineStr">
        <is>
          <t>Reported day</t>
        </is>
      </c>
      <c r="V3" t="inlineStr">
        <is>
          <t>Reported</t>
        </is>
      </c>
      <c r="Y3" t="inlineStr"/>
      <c r="Z3" t="inlineStr"/>
      <c r="AA3" t="inlineStr"/>
      <c r="AB3" t="inlineStr"/>
      <c r="AD3" t="inlineStr"/>
      <c r="AF3" t="inlineStr"/>
      <c r="AG3" t="inlineStr"/>
      <c r="AH3" t="inlineStr"/>
      <c r="AI3" t="inlineStr"/>
      <c r="AJ3" t="inlineStr"/>
      <c r="AK3" t="n">
        <v>27</v>
      </c>
      <c r="AL3" t="inlineStr">
        <is>
          <t>R003</t>
        </is>
      </c>
      <c r="AM3" t="inlineStr">
        <is>
          <t>Mac-Gray</t>
        </is>
      </c>
    </row>
    <row r="4">
      <c r="A4" t="n">
        <v>3</v>
      </c>
      <c r="B4" t="inlineStr">
        <is>
          <t>04/08/2013</t>
        </is>
      </c>
      <c r="C4" t="inlineStr">
        <is>
          <t>Party A (approached by BofA Merrill Lynch for Mac-Gray)</t>
        </is>
      </c>
      <c r="D4" t="inlineStr">
        <is>
          <t>Contact</t>
        </is>
      </c>
      <c r="E4" t="inlineStr">
        <is>
          <t>1</t>
        </is>
      </c>
      <c r="F4" t="inlineStr">
        <is>
          <t>0</t>
        </is>
      </c>
      <c r="G4" t="inlineStr">
        <is>
          <t>Strategic</t>
        </is>
      </c>
      <c r="H4" t="inlineStr">
        <is>
          <t>BofA Merrill Lynch telephoned Party A, as instructed by the Board, to discuss a possible business combination between Party A and Mac-Gray; Party A indicated it might consider one. Direction: Mac-Gray → Party A. First sale-related contact with Party A.</t>
        </is>
      </c>
      <c r="I4" t="inlineStr"/>
      <c r="J4" t="inlineStr"/>
      <c r="K4" t="inlineStr">
        <is>
          <t>Stated. “representatives of BofA Merrill Lynch, as instructed by the Board, telephoned a representative of Party A to discuss generally a possible business combination between Party A and Mac-Gray. During this call, the representative of Party A indicated that Party A might consider a business combination with Mac-Gray.” (p.27)</t>
        </is>
      </c>
      <c r="L4" t="inlineStr">
        <is>
          <t>P-004</t>
        </is>
      </c>
      <c r="M4" t="inlineStr">
        <is>
          <t>Q1</t>
        </is>
      </c>
      <c r="N4" t="inlineStr"/>
      <c r="O4" t="inlineStr">
        <is>
          <t>R003</t>
        </is>
      </c>
      <c r="P4" t="inlineStr">
        <is>
          <t>Yes</t>
        </is>
      </c>
      <c r="Q4" t="n">
        <v>1</v>
      </c>
      <c r="R4" s="17" t="n">
        <v>41372</v>
      </c>
      <c r="S4" s="17" t="n">
        <v>41372</v>
      </c>
      <c r="T4" s="17" t="n">
        <v>41372</v>
      </c>
      <c r="U4" t="inlineStr">
        <is>
          <t>Reported day</t>
        </is>
      </c>
      <c r="V4" t="inlineStr">
        <is>
          <t>Reported</t>
        </is>
      </c>
      <c r="Y4" t="inlineStr"/>
      <c r="Z4" t="inlineStr"/>
      <c r="AA4" t="inlineStr"/>
      <c r="AB4" t="inlineStr"/>
      <c r="AD4" t="inlineStr"/>
      <c r="AF4" t="inlineStr"/>
      <c r="AG4" t="inlineStr"/>
      <c r="AH4" t="inlineStr"/>
      <c r="AI4" t="inlineStr"/>
      <c r="AJ4" t="inlineStr"/>
      <c r="AK4" t="n">
        <v>27</v>
      </c>
      <c r="AL4" t="inlineStr">
        <is>
          <t>R010</t>
        </is>
      </c>
      <c r="AM4" t="inlineStr">
        <is>
          <t>Mac-Gray</t>
        </is>
      </c>
    </row>
    <row r="5">
      <c r="A5" t="n">
        <v>4</v>
      </c>
      <c r="B5" t="inlineStr">
        <is>
          <t>05/09/2013–05/10/2013</t>
        </is>
      </c>
      <c r="C5" t="inlineStr">
        <is>
          <t>Mac-Gray Board of Directors; Transaction Committee</t>
        </is>
      </c>
      <c r="D5" t="inlineStr">
        <is>
          <t>Material process update</t>
        </is>
      </c>
      <c r="E5" t="inlineStr">
        <is>
          <t>1</t>
        </is>
      </c>
      <c r="F5" t="inlineStr">
        <is>
          <t>0</t>
        </is>
      </c>
      <c r="G5" t="inlineStr"/>
      <c r="H5" t="inlineStr">
        <is>
          <t>Board reviewed strategic alternatives with BofA Merrill Lynch and Goodwin Procter and discussed whether to approach third parties about a potential sale; formed the Transaction Committee (Thomas Bullock and Paul Daoust) to recommend and engage a financial advisor and take administrative actions; deferred the sale-process decision to a later meeting. On 05/10/2013 the Transaction Committee decided to invite three nationally recognized investment banks to submit proposals and recommended that, given his significant family stock ownership and a possible equity rollover, Mr. MacDonald not participate in the Board's evaluation of strategic alternatives or negotiations (he could provide perspectives as requested).</t>
        </is>
      </c>
      <c r="I5" t="inlineStr"/>
      <c r="J5" t="inlineStr"/>
      <c r="K5" t="inlineStr">
        <is>
          <t>Stated. “the Board formed a transaction committee at this meeting, which we refer to as the Transaction Committee, and appointed Thomas Bullock and Paul Daoust, both independent directors, to serve as its members.” “The Transaction Committee was charged with recommending to the Board the selection and engagement of a financial advisor” (both p.28). “determined to invite three nationally recognized investment banks to submit proposals” (p.28). “Mr. MacDonald should not be permitted to participate in the Board's evaluation of strategic alternatives or any negotiations with any interested parties in a sale process” (p.28)</t>
        </is>
      </c>
      <c r="L5" t="inlineStr">
        <is>
          <t>P-005; P-006; P-007; P-008</t>
        </is>
      </c>
      <c r="M5" t="inlineStr"/>
      <c r="N5" t="inlineStr"/>
      <c r="O5" t="inlineStr">
        <is>
          <t>R004</t>
        </is>
      </c>
      <c r="P5" t="inlineStr">
        <is>
          <t>Yes</t>
        </is>
      </c>
      <c r="R5" s="17" t="n">
        <v>41403</v>
      </c>
      <c r="S5" s="17" t="n">
        <v>41404</v>
      </c>
      <c r="T5" s="17" t="n">
        <v>41403</v>
      </c>
      <c r="U5" t="inlineStr">
        <is>
          <t>Reported interval</t>
        </is>
      </c>
      <c r="V5" t="inlineStr">
        <is>
          <t>Assigned: midpoint</t>
        </is>
      </c>
      <c r="Y5" t="inlineStr"/>
      <c r="Z5" t="inlineStr"/>
      <c r="AA5" t="inlineStr"/>
      <c r="AB5" t="inlineStr"/>
      <c r="AD5" t="inlineStr"/>
      <c r="AF5" t="inlineStr"/>
      <c r="AG5" t="inlineStr"/>
      <c r="AH5" t="inlineStr"/>
      <c r="AI5" t="inlineStr"/>
      <c r="AJ5" t="inlineStr"/>
      <c r="AK5" t="n">
        <v>28</v>
      </c>
      <c r="AL5" t="inlineStr">
        <is>
          <t>R007; R009</t>
        </is>
      </c>
      <c r="AM5" t="inlineStr">
        <is>
          <t>Mac-Gray</t>
        </is>
      </c>
    </row>
    <row r="6">
      <c r="A6" t="n">
        <v>5</v>
      </c>
      <c r="B6" t="inlineStr">
        <is>
          <t>05/09/2013 (earliest observed service; commencement not disclosed)</t>
        </is>
      </c>
      <c r="C6" t="inlineStr">
        <is>
          <t>Goodwin Procter LLP — Mac-Gray (client)</t>
        </is>
      </c>
      <c r="D6" t="inlineStr">
        <is>
          <t>Adviser service observed</t>
        </is>
      </c>
      <c r="E6" t="inlineStr">
        <is>
          <t>1</t>
        </is>
      </c>
      <c r="F6" t="inlineStr">
        <is>
          <t>0</t>
        </is>
      </c>
      <c r="G6" t="inlineStr"/>
      <c r="H6" t="inlineStr">
        <is>
          <t>Outside legal counsel to Mac-Gray; first observed advising the Board at the 05/09/2013 Board meeting, then the Transaction Committee and Special Committee through signing (fiduciary reviews, process and agreement negotiation). Engagement or selection date not disclosed in the filing; no adviser row for a later re-engagement.</t>
        </is>
      </c>
      <c r="I6" t="inlineStr"/>
      <c r="J6" t="inlineStr"/>
      <c r="K6" t="inlineStr">
        <is>
          <t>Stated (service; no engagement date). “representatives from BofA Merrill Lynch and Goodwin Procter LLP, outside legal counsel to Mac-Gray, were also in attendance for all or portions of the meeting” (p.27) — first narrative mention of Goodwin Procter in the background (May 9, 2013 Board meeting). The filing does not state an engagement date; service observed from 05/09/2013.</t>
        </is>
      </c>
      <c r="L6" t="inlineStr">
        <is>
          <t>P-005</t>
        </is>
      </c>
      <c r="M6" t="inlineStr"/>
      <c r="N6" t="inlineStr"/>
      <c r="O6" t="inlineStr">
        <is>
          <t>R005</t>
        </is>
      </c>
      <c r="P6" t="inlineStr">
        <is>
          <t>Yes</t>
        </is>
      </c>
      <c r="R6" s="17" t="n">
        <v>41403</v>
      </c>
      <c r="T6" s="17" t="n">
        <v>41403</v>
      </c>
      <c r="U6" t="inlineStr">
        <is>
          <t>Relative only</t>
        </is>
      </c>
      <c r="V6" t="inlineStr">
        <is>
          <t>Assigned: bound</t>
        </is>
      </c>
      <c r="Y6" t="inlineStr"/>
      <c r="Z6" t="inlineStr"/>
      <c r="AA6" t="inlineStr"/>
      <c r="AB6" t="inlineStr"/>
      <c r="AD6" t="inlineStr"/>
      <c r="AF6" t="inlineStr"/>
      <c r="AG6" t="inlineStr"/>
      <c r="AH6" t="inlineStr"/>
      <c r="AI6" t="inlineStr"/>
      <c r="AJ6" t="inlineStr"/>
      <c r="AK6" t="n">
        <v>27</v>
      </c>
      <c r="AL6" t="inlineStr">
        <is>
          <t>R007</t>
        </is>
      </c>
      <c r="AM6" t="inlineStr">
        <is>
          <t>Mac-Gray</t>
        </is>
      </c>
    </row>
    <row r="7">
      <c r="A7" t="n">
        <v>6</v>
      </c>
      <c r="B7" t="inlineStr">
        <is>
          <t>05/14/2013–05/15/2013 (committee decision 05/14; letter sent 05/15)</t>
        </is>
      </c>
      <c r="C7" t="inlineStr">
        <is>
          <t>Transaction Committee / BofA Merrill Lynch</t>
        </is>
      </c>
      <c r="D7" t="inlineStr">
        <is>
          <t>Adviser ended</t>
        </is>
      </c>
      <c r="E7" t="inlineStr">
        <is>
          <t>1</t>
        </is>
      </c>
      <c r="F7" t="inlineStr">
        <is>
          <t>0</t>
        </is>
      </c>
      <c r="G7" t="inlineStr"/>
      <c r="H7" t="inlineStr">
        <is>
          <t>Transaction Committee determined to terminate BofA Merrill Lynch's engagement letter entered for the 2011-2012 Discussions; Mac-Gray sent the termination letter 05/15/2013. Reason disclosed: BofA was one of the banks invited to submit a proposal for the new mandate and the CSC sale process had ended.</t>
        </is>
      </c>
      <c r="I7" t="inlineStr"/>
      <c r="J7" t="inlineStr"/>
      <c r="K7" t="inlineStr">
        <is>
          <t>Stated. “Given that BofA Merrill Lynch was one of the investment banks to be invited to submit a proposal and that the CSC sale process had ended, the Transaction Committee determined to terminate BofA Merrill Lynch's engagement letter entered into for purposes of the 2011-2012 Discussions.” “On May 15, 2013, Mac-Gray sent a letter to BofA Merrill Lynch terminating their engagement in connection with the 2011-2012 Discussions.” (both p.29)</t>
        </is>
      </c>
      <c r="L7" t="inlineStr">
        <is>
          <t>P-009; P-010</t>
        </is>
      </c>
      <c r="M7" t="inlineStr"/>
      <c r="N7" t="inlineStr"/>
      <c r="O7" t="inlineStr">
        <is>
          <t>R006</t>
        </is>
      </c>
      <c r="P7" t="inlineStr">
        <is>
          <t>Yes</t>
        </is>
      </c>
      <c r="R7" s="17" t="n">
        <v>41408</v>
      </c>
      <c r="S7" s="17" t="n">
        <v>41409</v>
      </c>
      <c r="T7" s="17" t="n">
        <v>41408</v>
      </c>
      <c r="U7" t="inlineStr">
        <is>
          <t>Reported interval</t>
        </is>
      </c>
      <c r="V7" t="inlineStr">
        <is>
          <t>Assigned: bound</t>
        </is>
      </c>
      <c r="Y7" t="inlineStr"/>
      <c r="Z7" t="inlineStr"/>
      <c r="AA7" t="inlineStr"/>
      <c r="AB7" t="inlineStr"/>
      <c r="AD7" t="inlineStr"/>
      <c r="AF7" t="inlineStr"/>
      <c r="AG7" t="inlineStr"/>
      <c r="AH7" t="inlineStr"/>
      <c r="AI7" t="inlineStr"/>
      <c r="AJ7" t="inlineStr"/>
      <c r="AK7" t="n">
        <v>29</v>
      </c>
      <c r="AL7" t="inlineStr">
        <is>
          <t>R001; R007</t>
        </is>
      </c>
      <c r="AM7" t="inlineStr">
        <is>
          <t>Mac-Gray</t>
        </is>
      </c>
    </row>
    <row r="8">
      <c r="A8" t="n">
        <v>7</v>
      </c>
      <c r="B8" t="inlineStr">
        <is>
          <t>05/30/2013–05/31/2013 (Board approval 05/30; engagement letter 05/31)</t>
        </is>
      </c>
      <c r="C8" t="inlineStr">
        <is>
          <t>BofA Merrill Lynch — Mac-Gray (client)</t>
        </is>
      </c>
      <c r="D8" t="inlineStr">
        <is>
          <t>Adviser engaged</t>
        </is>
      </c>
      <c r="E8" t="inlineStr">
        <is>
          <t>1</t>
        </is>
      </c>
      <c r="F8" t="inlineStr">
        <is>
          <t>0</t>
        </is>
      </c>
      <c r="G8" t="inlineStr"/>
      <c r="H8" t="inlineStr">
        <is>
          <t>Board unanimously approved engaging BofA Merrill Lynch as Mac-Gray's financial advisor for the strategic-alternatives review and potential sale process; BofA had presented 05/22/2013, the other two invited candidates 05/29/2013. Engagement letter entered 05/31/2013; BofA agreed not to act as a source of new acquisition financing for potential buyers without Mac-Gray's prior written consent. BofA advised through signing and delivered its written fairness opinion dated 10/14/2013; its fee includes a portion payable on the opinion and a significant portion contingent on consummation.</t>
        </is>
      </c>
      <c r="I8" t="inlineStr"/>
      <c r="J8" t="inlineStr"/>
      <c r="K8" t="inlineStr">
        <is>
          <t>Stated. “Based on the recommendation of the Transaction Committee, the Board unanimously approved the engagement of BofA Merrill Lynch on the terms discussed at this meeting.” (p.29) “On May 31, 2013, Mac-Gray entered into an engagement letter with BofA Merrill Lynch with respect to the Board's undertaking a review of strategic alternatives, including a potential sale process, and in which BofA Merrill Lynch agreed not to engage as a possible source of new acquisition financing for any potential buyers in connection with any such sale process without Mac-Gray's prior written consent.” (p.30) “We have acted as financial advisor to MGC in connection with the Merger and will receive a fee for our services, a portion of which is payable upon the rendering of this opinion and a significant portion of which is contingent upon consummation of the Merger.” (Annex B, p. B-2)</t>
        </is>
      </c>
      <c r="L8" t="inlineStr">
        <is>
          <t>P-011; P-012; P-013; P-014; P-016; X-028</t>
        </is>
      </c>
      <c r="M8" t="inlineStr"/>
      <c r="N8" t="inlineStr"/>
      <c r="O8" t="inlineStr">
        <is>
          <t>R007</t>
        </is>
      </c>
      <c r="P8" t="inlineStr">
        <is>
          <t>Yes</t>
        </is>
      </c>
      <c r="R8" s="17" t="n">
        <v>41424</v>
      </c>
      <c r="S8" s="17" t="n">
        <v>41425</v>
      </c>
      <c r="T8" s="17" t="n">
        <v>41424</v>
      </c>
      <c r="U8" t="inlineStr">
        <is>
          <t>Reported interval</t>
        </is>
      </c>
      <c r="V8" t="inlineStr">
        <is>
          <t>Assigned: bound</t>
        </is>
      </c>
      <c r="Y8" t="inlineStr"/>
      <c r="Z8" t="inlineStr"/>
      <c r="AA8" t="inlineStr"/>
      <c r="AB8" t="inlineStr"/>
      <c r="AD8" t="inlineStr"/>
      <c r="AF8" t="inlineStr"/>
      <c r="AG8" t="inlineStr"/>
      <c r="AH8" t="inlineStr"/>
      <c r="AI8" t="inlineStr"/>
      <c r="AJ8" t="inlineStr"/>
      <c r="AK8" t="n">
        <v>30</v>
      </c>
      <c r="AL8" t="inlineStr">
        <is>
          <t>R006; R051</t>
        </is>
      </c>
      <c r="AM8" t="inlineStr">
        <is>
          <t>Mac-Gray</t>
        </is>
      </c>
    </row>
    <row r="9">
      <c r="A9" t="n">
        <v>8</v>
      </c>
      <c r="B9" t="inlineStr">
        <is>
          <t>05/30/2013</t>
        </is>
      </c>
      <c r="C9" t="inlineStr">
        <is>
          <t>Moab / Mac-Gray annual stockholder meeting</t>
        </is>
      </c>
      <c r="D9" t="inlineStr">
        <is>
          <t>Activist involvement</t>
        </is>
      </c>
      <c r="E9" t="inlineStr">
        <is>
          <t>1</t>
        </is>
      </c>
      <c r="F9" t="inlineStr">
        <is>
          <t>0</t>
        </is>
      </c>
      <c r="G9" t="inlineStr"/>
      <c r="H9" t="inlineStr">
        <is>
          <t>Moab-nominated candidates Michael M. Rothenberg (Moab co-founder and General Partner) and James E. Hyman were elected as directors in place of two incumbent nominees after a proxy contest; board size was reduced to seven. Context: the board change led to Mr. Rothenberg's exclusion from the sale process given Moab's possible equity rollover interest; Moab held approximately 9% (06/12/2013).</t>
        </is>
      </c>
      <c r="I9" t="inlineStr"/>
      <c r="J9" t="inlineStr"/>
      <c r="K9" t="inlineStr">
        <is>
          <t>Stated. “Mac-Gray and Moab engaged in a proxy contest leading up to the annual meeting and Mr. Rothenberg and Mr. Hyman were elected in place of Mac-Gray's incumbent nominees, David W. Bryan and Mary Ann Tocio.” “Mr. Rothenberg is a co-founder and the General Partner of Moab” (both p.29). “At the time of this meeting, Moab beneficially owned approximately 9% of Mac-Gray's outstanding common stock.” (p.30)</t>
        </is>
      </c>
      <c r="L9" t="inlineStr">
        <is>
          <t>P-015; P-017</t>
        </is>
      </c>
      <c r="M9" t="inlineStr"/>
      <c r="N9" t="inlineStr"/>
      <c r="O9" t="inlineStr">
        <is>
          <t>R008</t>
        </is>
      </c>
      <c r="P9" t="inlineStr">
        <is>
          <t>Yes</t>
        </is>
      </c>
      <c r="R9" s="17" t="n">
        <v>41424</v>
      </c>
      <c r="S9" s="17" t="n">
        <v>41424</v>
      </c>
      <c r="T9" s="17" t="n">
        <v>41424</v>
      </c>
      <c r="U9" t="inlineStr">
        <is>
          <t>Reported day</t>
        </is>
      </c>
      <c r="V9" t="inlineStr">
        <is>
          <t>Reported</t>
        </is>
      </c>
      <c r="Y9" t="inlineStr"/>
      <c r="Z9" t="inlineStr"/>
      <c r="AA9" t="inlineStr"/>
      <c r="AB9" t="inlineStr"/>
      <c r="AD9" t="inlineStr"/>
      <c r="AF9" t="inlineStr"/>
      <c r="AG9" t="inlineStr"/>
      <c r="AH9" t="inlineStr"/>
      <c r="AI9" t="inlineStr"/>
      <c r="AJ9" t="inlineStr"/>
      <c r="AK9" t="n">
        <v>29</v>
      </c>
      <c r="AL9" t="inlineStr">
        <is>
          <t>R009; R017; R049</t>
        </is>
      </c>
      <c r="AM9" t="inlineStr">
        <is>
          <t>Mac-Gray</t>
        </is>
      </c>
    </row>
    <row r="10">
      <c r="A10" t="n">
        <v>9</v>
      </c>
      <c r="B10" t="inlineStr">
        <is>
          <t>06/12/2013</t>
        </is>
      </c>
      <c r="C10" t="inlineStr">
        <is>
          <t>Mac-Gray / new directors (Rothenberg, Hyman)</t>
        </is>
      </c>
      <c r="D10" t="inlineStr">
        <is>
          <t>Material process update</t>
        </is>
      </c>
      <c r="E10" t="inlineStr">
        <is>
          <t>1</t>
        </is>
      </c>
      <c r="F10" t="inlineStr">
        <is>
          <t>0</t>
        </is>
      </c>
      <c r="G10" t="inlineStr"/>
      <c r="H10" t="inlineStr">
        <is>
          <t>Orientation of new directors: each received an overview of the strategic-alternatives review and potential sale process; with Mr. Rothenberg the participants discussed that if Moab might want an equity rollover in a sale transaction resulting from the process, he would need to be excluded from the process from the outset. Moab then held approximately 9% of Mac-Gray's outstanding stock.</t>
        </is>
      </c>
      <c r="I10" t="inlineStr"/>
      <c r="J10" t="inlineStr"/>
      <c r="K10" t="inlineStr">
        <is>
          <t>Stated. “to the extent Moab might have an interest in an equity rollover of all or a portion of Moab's shares of Mac-Gray common stock in connection with any sale transaction that might result from the Board's strategic alternatives process, Mr. Rothenberg would need to be excluded from the process from the outset. At the time of this meeting, Moab beneficially owned approximately 9% of Mac-Gray's outstanding common stock.” (p.30)</t>
        </is>
      </c>
      <c r="L10" t="inlineStr">
        <is>
          <t>P-017</t>
        </is>
      </c>
      <c r="M10" t="inlineStr"/>
      <c r="N10" t="inlineStr"/>
      <c r="O10" t="inlineStr">
        <is>
          <t>R009</t>
        </is>
      </c>
      <c r="P10" t="inlineStr">
        <is>
          <t>Yes</t>
        </is>
      </c>
      <c r="R10" s="17" t="n">
        <v>41437</v>
      </c>
      <c r="S10" s="17" t="n">
        <v>41437</v>
      </c>
      <c r="T10" s="17" t="n">
        <v>41437</v>
      </c>
      <c r="U10" t="inlineStr">
        <is>
          <t>Reported day</t>
        </is>
      </c>
      <c r="V10" t="inlineStr">
        <is>
          <t>Reported</t>
        </is>
      </c>
      <c r="Y10" t="inlineStr"/>
      <c r="Z10" t="inlineStr"/>
      <c r="AA10" t="inlineStr"/>
      <c r="AB10" t="inlineStr"/>
      <c r="AD10" t="inlineStr"/>
      <c r="AF10" t="inlineStr"/>
      <c r="AG10" t="inlineStr"/>
      <c r="AH10" t="inlineStr"/>
      <c r="AI10" t="inlineStr"/>
      <c r="AJ10" t="inlineStr"/>
      <c r="AK10" t="n">
        <v>30</v>
      </c>
      <c r="AL10" t="inlineStr">
        <is>
          <t>R008; R011</t>
        </is>
      </c>
      <c r="AM10" t="inlineStr">
        <is>
          <t>Mac-Gray</t>
        </is>
      </c>
    </row>
    <row r="11">
      <c r="A11" t="n">
        <v>10</v>
      </c>
      <c r="B11" t="inlineStr">
        <is>
          <t>06/21/2013</t>
        </is>
      </c>
      <c r="C11" t="inlineStr">
        <is>
          <t>Party A</t>
        </is>
      </c>
      <c r="D11" t="inlineStr">
        <is>
          <t>Bid</t>
        </is>
      </c>
      <c r="E11" t="inlineStr">
        <is>
          <t>1</t>
        </is>
      </c>
      <c r="F11" t="inlineStr">
        <is>
          <t>0</t>
        </is>
      </c>
      <c r="G11" t="inlineStr">
        <is>
          <t>Strategic</t>
        </is>
      </c>
      <c r="H11" t="inlineStr">
        <is>
          <t>Unsolicited proposal to the Board for a whole-company acquisition at an all-cash price of $17.00–$19.00 per share. Made before any substantive diligence access (no confidentiality agreement yet; Party A's NDA was executed 08/05/2013), so Heavy by context. Still standing when round 1 was evaluated (reviewed with the three preliminary indications at the 07/25/2013 Special Committee meeting).</t>
        </is>
      </c>
      <c r="I11" t="inlineStr">
        <is>
          <t>Informal</t>
        </is>
      </c>
      <c r="J11" t="inlineStr">
        <is>
          <t>Heavy</t>
        </is>
      </c>
      <c r="K11" t="inlineStr">
        <is>
          <t>Stated (price). “On June 21, 2013, Party A submitted an unsolicited proposal to the Mac-Gray Board of Directors offering to purchase Mac-Gray for an all-cash purchase price of $17.00 to $19.00 per share” (p.30). Context: no substantive access before the proposal — “outside counsel to Party A and representatives of Goodwin Procter negotiated the terms of a confidentiality and standstill agreement, but did not come to agreement on the terms of the customer and employee non-solicitation provisions” between 07/11 and 07/23 (P-030, p.33); reviewed as still standing on 07/25/2013 (P-033, p.33).</t>
        </is>
      </c>
      <c r="L11" t="inlineStr">
        <is>
          <t>P-018; P-030; P-033</t>
        </is>
      </c>
      <c r="M11" t="inlineStr">
        <is>
          <t>Q1; Q5</t>
        </is>
      </c>
      <c r="N11" t="inlineStr"/>
      <c r="O11" t="inlineStr">
        <is>
          <t>R010</t>
        </is>
      </c>
      <c r="P11" t="inlineStr">
        <is>
          <t>Yes</t>
        </is>
      </c>
      <c r="Q11" t="n">
        <v>1</v>
      </c>
      <c r="R11" s="17" t="n">
        <v>41446</v>
      </c>
      <c r="S11" s="17" t="n">
        <v>41446</v>
      </c>
      <c r="T11" s="17" t="n">
        <v>41446</v>
      </c>
      <c r="U11" t="inlineStr">
        <is>
          <t>Reported day</t>
        </is>
      </c>
      <c r="V11" t="inlineStr">
        <is>
          <t>Reported</t>
        </is>
      </c>
      <c r="W11" t="n">
        <v>17</v>
      </c>
      <c r="X11" t="n">
        <v>19</v>
      </c>
      <c r="Y11" t="inlineStr">
        <is>
          <t>Bidder range</t>
        </is>
      </c>
      <c r="Z11" t="inlineStr">
        <is>
          <t>Stated</t>
        </is>
      </c>
      <c r="AA11" t="inlineStr">
        <is>
          <t>USD</t>
        </is>
      </c>
      <c r="AB11" t="inlineStr">
        <is>
          <t>Yes</t>
        </is>
      </c>
      <c r="AC11" t="inlineStr"/>
      <c r="AD11" t="inlineStr">
        <is>
          <t>Fin: not stated; DD required: not stated; DD open: no; Excl: not stated</t>
        </is>
      </c>
      <c r="AF11" t="inlineStr"/>
      <c r="AG11" t="inlineStr"/>
      <c r="AH11" t="inlineStr"/>
      <c r="AI11" t="inlineStr"/>
      <c r="AJ11" t="inlineStr"/>
      <c r="AK11" t="n">
        <v>30</v>
      </c>
      <c r="AL11" t="inlineStr">
        <is>
          <t>R003; R011; R031</t>
        </is>
      </c>
      <c r="AM11" t="inlineStr">
        <is>
          <t>Mac-Gray</t>
        </is>
      </c>
    </row>
    <row r="12">
      <c r="A12" t="n">
        <v>11</v>
      </c>
      <c r="B12" t="inlineStr">
        <is>
          <t>06/24/2013</t>
        </is>
      </c>
      <c r="C12" t="inlineStr">
        <is>
          <t>Mac-Gray Board of Directors / Special Committee</t>
        </is>
      </c>
      <c r="D12" t="inlineStr">
        <is>
          <t>Round opened</t>
        </is>
      </c>
      <c r="E12" t="inlineStr">
        <is>
          <t>1</t>
        </is>
      </c>
      <c r="F12" t="inlineStr">
        <is>
          <t>1</t>
        </is>
      </c>
      <c r="G12" t="inlineStr"/>
      <c r="H12" t="inlineStr">
        <is>
          <t>R1 anchor: 06/24/2013 Special Committee determination to commence the sale process and approach 50 parties (15 strategic, 35 financial) — first outreach executed within days (contacts reported 06/28/2013). Rejected anchor candidates: R003 (04/08/2013 single Party A contact) and R010 (06/21/2013 unsolicited Party A proposal). The Board also excluded Mr. MacDonald and Mr. Rothenberg from evaluating strategic alternatives (possible rollovers) and established the Special Committee (Bullock chair; Daoust, Hyman, Meagher, Percelay, Robinson). Deadline set: preliminary indications of interest due 07/23/2013 (informational package issued to NDA signers). Round finality: Not final — initial solicitation for preliminary indications; no finality signal.</t>
        </is>
      </c>
      <c r="I12" t="inlineStr"/>
      <c r="J12" t="inlineStr"/>
      <c r="K12" t="inlineStr">
        <is>
          <t>Stated. “the Special Committee concluded that it would be in the best interests of stockholders to consider a potential sale of Mac-Gray” (p.31). “the Board decided, and Mr. MacDonald and Mr. Rothenberg agreed, that it would be appropriate to exclude Mr. MacDonald and Mr. Rothenberg from the Board's evaluation of strategic alternatives and any negotiations with third parties that might take place” (p.30).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(p.32). “furnished an informational package for the purpose of providing potential bidders with data to formulate a preliminary indication of interest, which they were instructed to submit by July 23, 2013” (p.32)</t>
        </is>
      </c>
      <c r="L12" t="inlineStr">
        <is>
          <t>P-019; P-021; P-022; P-023</t>
        </is>
      </c>
      <c r="M12" t="inlineStr">
        <is>
          <t>Q1</t>
        </is>
      </c>
      <c r="N12" t="inlineStr"/>
      <c r="O12" t="inlineStr">
        <is>
          <t>R011</t>
        </is>
      </c>
      <c r="P12" t="inlineStr">
        <is>
          <t>Yes</t>
        </is>
      </c>
      <c r="R12" s="17" t="n">
        <v>41449</v>
      </c>
      <c r="S12" s="17" t="n">
        <v>41449</v>
      </c>
      <c r="T12" s="17" t="n">
        <v>41449</v>
      </c>
      <c r="U12" t="inlineStr">
        <is>
          <t>Reported day</t>
        </is>
      </c>
      <c r="V12" t="inlineStr">
        <is>
          <t>Reported</t>
        </is>
      </c>
      <c r="Y12" t="inlineStr"/>
      <c r="Z12" t="inlineStr"/>
      <c r="AA12" t="inlineStr"/>
      <c r="AB12" t="inlineStr"/>
      <c r="AD12" t="inlineStr"/>
      <c r="AE12" s="17" t="n">
        <v>41478</v>
      </c>
      <c r="AF12" t="inlineStr"/>
      <c r="AG12" t="inlineStr">
        <is>
          <t>Not final</t>
        </is>
      </c>
      <c r="AH12" t="inlineStr"/>
      <c r="AI12" t="inlineStr"/>
      <c r="AJ12" t="inlineStr"/>
      <c r="AK12" t="n">
        <v>31</v>
      </c>
      <c r="AL12" t="inlineStr">
        <is>
          <t>R010; R003; R012; R019</t>
        </is>
      </c>
      <c r="AM12" t="inlineStr">
        <is>
          <t>Mac-Gray</t>
        </is>
      </c>
    </row>
    <row r="13">
      <c r="A13" t="n">
        <v>12</v>
      </c>
      <c r="B13" t="inlineStr">
        <is>
          <t>late June 2013 (after the 06/24/2013 decision; contacts reported by 06/28/2013)</t>
        </is>
      </c>
      <c r="C13" t="inlineStr">
        <is>
          <t>BofA Merrill Lynch (for Mac-Gray) — strategic parties</t>
        </is>
      </c>
      <c r="D13" t="inlineStr">
        <is>
          <t>Contact</t>
        </is>
      </c>
      <c r="E13" t="inlineStr">
        <is>
          <t>1</t>
        </is>
      </c>
      <c r="F13" t="inlineStr">
        <is>
          <t>1</t>
        </is>
      </c>
      <c r="G13" t="inlineStr">
        <is>
          <t>Strategic</t>
        </is>
      </c>
      <c r="H13" t="inlineStr">
        <is>
          <t>Outreach wave to the 15 potential strategic buyers identified at the 06/24/2013 meeting, including Party A and CSC/Pamplona; Party A was already in contact from 04/08/2013. Part of the 50-party universe; 2 of the 15 (Party A, CSC/Pamplona) ultimately executed confidentiality agreements.</t>
        </is>
      </c>
      <c r="I13" t="inlineStr"/>
      <c r="J13" t="inlineStr"/>
      <c r="K13" t="inlineStr">
        <is>
          <t>Stated. “BofA Merrill Lynch contacted the strategic and financial parties identified at the June 24th Special Committee meeting” (p.32); “a total of 50 parties, including CSC and Pamplona, who together we refer to as CSC/Pamplona, and Party A, to solicit potential interest in a transaction with Mac-Gray, 15 of which were potential strategic buyers and 35 of which were potential financial buyers, including private equity firms” (p.32); “including two strategic bidders (Party A and CSC/Pamplona)” signed confidentiality agreements (p.32).</t>
        </is>
      </c>
      <c r="L13" t="inlineStr">
        <is>
          <t>P-022; P-023</t>
        </is>
      </c>
      <c r="M13" t="inlineStr"/>
      <c r="N13" t="inlineStr"/>
      <c r="O13" t="inlineStr">
        <is>
          <t>R012</t>
        </is>
      </c>
      <c r="P13" t="inlineStr">
        <is>
          <t>Yes</t>
        </is>
      </c>
      <c r="Q13" t="n">
        <v>15</v>
      </c>
      <c r="R13" s="17" t="n">
        <v>41449</v>
      </c>
      <c r="T13" s="17" t="n">
        <v>41449</v>
      </c>
      <c r="U13" t="inlineStr">
        <is>
          <t>Relative only</t>
        </is>
      </c>
      <c r="V13" t="inlineStr">
        <is>
          <t>Assigned: bound</t>
        </is>
      </c>
      <c r="Y13" t="inlineStr"/>
      <c r="Z13" t="inlineStr"/>
      <c r="AA13" t="inlineStr"/>
      <c r="AB13" t="inlineStr"/>
      <c r="AD13" t="inlineStr"/>
      <c r="AF13" t="inlineStr"/>
      <c r="AG13" t="inlineStr"/>
      <c r="AH13" t="inlineStr"/>
      <c r="AI13" t="inlineStr"/>
      <c r="AJ13" t="inlineStr"/>
      <c r="AK13" t="n">
        <v>32</v>
      </c>
      <c r="AL13" t="inlineStr">
        <is>
          <t>R011; R003; R013</t>
        </is>
      </c>
      <c r="AM13" t="inlineStr">
        <is>
          <t>Mac-Gray</t>
        </is>
      </c>
    </row>
    <row r="14">
      <c r="A14" t="n">
        <v>13</v>
      </c>
      <c r="B14" t="inlineStr">
        <is>
          <t>late June 2013 (after the 06/24/2013 decision; contacts reported by 06/28/2013)</t>
        </is>
      </c>
      <c r="C14" t="inlineStr">
        <is>
          <t>BofA Merrill Lynch (for Mac-Gray) — financial parties</t>
        </is>
      </c>
      <c r="D14" t="inlineStr">
        <is>
          <t>Contact</t>
        </is>
      </c>
      <c r="E14" t="inlineStr">
        <is>
          <t>1</t>
        </is>
      </c>
      <c r="F14" t="inlineStr">
        <is>
          <t>1</t>
        </is>
      </c>
      <c r="G14" t="inlineStr">
        <is>
          <t>Financial</t>
        </is>
      </c>
      <c r="H14" t="inlineStr">
        <is>
          <t>Outreach wave to the 35 potential financial buyers identified at the 06/24/2013 meeting, including private equity firms (among them Party B and Party C); 18 of the 35 ultimately executed confidentiality agreements (including Party B and Party C).</t>
        </is>
      </c>
      <c r="I14" t="inlineStr"/>
      <c r="J14" t="inlineStr"/>
      <c r="K14" t="inlineStr">
        <is>
          <t>Stated. “BofA Merrill Lynch contacted the strategic and financial parties identified at the June 24th Special Committee meeting” (p.32); “35 of which were potential financial buyers, including private equity firms”; “18 financial bidders (including Party B and Party C)” signed confidentiality agreements (p.32).</t>
        </is>
      </c>
      <c r="L14" t="inlineStr">
        <is>
          <t>P-022; P-023</t>
        </is>
      </c>
      <c r="M14" t="inlineStr"/>
      <c r="N14" t="inlineStr"/>
      <c r="O14" t="inlineStr">
        <is>
          <t>R013</t>
        </is>
      </c>
      <c r="P14" t="inlineStr">
        <is>
          <t>Yes</t>
        </is>
      </c>
      <c r="Q14" t="n">
        <v>35</v>
      </c>
      <c r="R14" s="17" t="n">
        <v>41449</v>
      </c>
      <c r="T14" s="17" t="n">
        <v>41449</v>
      </c>
      <c r="U14" t="inlineStr">
        <is>
          <t>Relative only</t>
        </is>
      </c>
      <c r="V14" t="inlineStr">
        <is>
          <t>Assigned: bound</t>
        </is>
      </c>
      <c r="Y14" t="inlineStr"/>
      <c r="Z14" t="inlineStr"/>
      <c r="AA14" t="inlineStr"/>
      <c r="AB14" t="inlineStr"/>
      <c r="AD14" t="inlineStr"/>
      <c r="AF14" t="inlineStr"/>
      <c r="AG14" t="inlineStr"/>
      <c r="AH14" t="inlineStr"/>
      <c r="AI14" t="inlineStr"/>
      <c r="AJ14" t="inlineStr"/>
      <c r="AK14" t="n">
        <v>32</v>
      </c>
      <c r="AL14" t="inlineStr">
        <is>
          <t>R011; R012</t>
        </is>
      </c>
      <c r="AM14" t="inlineStr">
        <is>
          <t>Mac-Gray</t>
        </is>
      </c>
    </row>
    <row r="15">
      <c r="A15" t="n">
        <v>14</v>
      </c>
      <c r="B15" t="inlineStr">
        <is>
          <t>late June–August 2013 (two-month signing window; dates not individually disclosed)</t>
        </is>
      </c>
      <c r="C15" t="inlineStr">
        <is>
          <t>16 residual financial NDA signers</t>
        </is>
      </c>
      <c r="D15" t="inlineStr">
        <is>
          <t>NDA signed</t>
        </is>
      </c>
      <c r="E15" t="inlineStr">
        <is>
          <t>1</t>
        </is>
      </c>
      <c r="F15" t="inlineStr">
        <is>
          <t>1</t>
        </is>
      </c>
      <c r="G15" t="inlineStr">
        <is>
          <t>Financial</t>
        </is>
      </c>
      <c r="H15" t="inlineStr">
        <is>
          <t>Residual cohort: 18 financial NDA signers less the two individually recorded financial signers (Party B, Party C) = 16 financial NDA signers. The filing reports the 20 signers collectively over a two-month window and does not date them; the two strategic signers (Party A, CSC/Pamplona) are recorded individually. Agreements were on a form provided by Mac-Gray, individually negotiated but not materially varied; they included standstill provisions with sunset rights to make confidential proposals on announcement of a business combination. Working date is the first day of the reported signing window (display convention) — not an observed signing date. Count 16.</t>
        </is>
      </c>
      <c r="I15" t="inlineStr"/>
      <c r="J15" t="inlineStr"/>
      <c r="K15" t="inlineStr">
        <is>
          <t>Stated (population and window). “Over the next two months a total of 20 potential bidders, including two strategic bidders (Party A and CSC/Pamplona) and 18 financial bidders (including Party B and Party C), entered into confidentiality agreements with Mac-Gray on a form provided by Mac-Gray, the terms of which were individually negotiated with potential bidders, but did not vary materially from the form provided.” “The confidentiality agreements contained customary non-disclosure provisions and a customary standstill provision that either expired or permitted the potential bidder to make confidential proposals to Mac-Gray (a so-called "sunset" provision) upon announcement of a business combination between Mac-Gray and a third party” (both p.32).</t>
        </is>
      </c>
      <c r="L15" t="inlineStr">
        <is>
          <t>P-023</t>
        </is>
      </c>
      <c r="M15" t="inlineStr">
        <is>
          <t>Q3; Q7</t>
        </is>
      </c>
      <c r="N15" t="inlineStr"/>
      <c r="O15" t="inlineStr">
        <is>
          <t>R014</t>
        </is>
      </c>
      <c r="P15" t="inlineStr">
        <is>
          <t>Yes</t>
        </is>
      </c>
      <c r="Q15" t="n">
        <v>16</v>
      </c>
      <c r="R15" s="17" t="n">
        <v>41449</v>
      </c>
      <c r="S15" s="17" t="n">
        <v>41517</v>
      </c>
      <c r="T15" s="17" t="n">
        <v>41449</v>
      </c>
      <c r="U15" t="inlineStr">
        <is>
          <t>Approximate window</t>
        </is>
      </c>
      <c r="V15" t="inlineStr">
        <is>
          <t>Assigned: bound</t>
        </is>
      </c>
      <c r="Y15" t="inlineStr"/>
      <c r="Z15" t="inlineStr"/>
      <c r="AA15" t="inlineStr"/>
      <c r="AB15" t="inlineStr"/>
      <c r="AD15" t="inlineStr"/>
      <c r="AF15" t="inlineStr"/>
      <c r="AG15" t="inlineStr"/>
      <c r="AH15" t="inlineStr"/>
      <c r="AI15" t="inlineStr"/>
      <c r="AJ15" t="inlineStr"/>
      <c r="AK15" t="n">
        <v>32</v>
      </c>
      <c r="AL15" t="inlineStr">
        <is>
          <t>R021; R015; R016; R018; R025</t>
        </is>
      </c>
      <c r="AM15" t="inlineStr">
        <is>
          <t>Mac-Gray</t>
        </is>
      </c>
    </row>
    <row r="16">
      <c r="A16" t="n">
        <v>15</v>
      </c>
      <c r="B16" t="inlineStr">
        <is>
          <t>06/28/2013</t>
        </is>
      </c>
      <c r="C16" t="inlineStr">
        <is>
          <t>Party B</t>
        </is>
      </c>
      <c r="D16" t="inlineStr">
        <is>
          <t>NDA signed</t>
        </is>
      </c>
      <c r="E16" t="inlineStr">
        <is>
          <t>1</t>
        </is>
      </c>
      <c r="F16" t="inlineStr">
        <is>
          <t>1</t>
        </is>
      </c>
      <c r="G16" t="inlineStr">
        <is>
          <t>Financial</t>
        </is>
      </c>
      <c r="H16" t="inlineStr">
        <is>
          <t>Party B entered a confidentiality and standstill agreement with Mac-Gray and was provided the informational package (preliminary indication of interest due 07/23/2013). First observed participation by Party B.</t>
        </is>
      </c>
      <c r="I16" t="inlineStr"/>
      <c r="J16" t="inlineStr"/>
      <c r="K16" t="inlineStr">
        <is>
          <t>Stated. “Later on June 28, 2013, Party B, entered into a confidentiality and standstill agreement with Mac-Gray and was provided with an informational package for the purpose of providing Party B with data to formulate a preliminary indication of interest.” (p.32)</t>
        </is>
      </c>
      <c r="L16" t="inlineStr">
        <is>
          <t>P-025</t>
        </is>
      </c>
      <c r="M16" t="inlineStr">
        <is>
          <t>Q3</t>
        </is>
      </c>
      <c r="N16" t="inlineStr"/>
      <c r="O16" t="inlineStr">
        <is>
          <t>R015</t>
        </is>
      </c>
      <c r="P16" t="inlineStr">
        <is>
          <t>Yes</t>
        </is>
      </c>
      <c r="Q16" t="n">
        <v>1</v>
      </c>
      <c r="R16" s="17" t="n">
        <v>41453</v>
      </c>
      <c r="S16" s="17" t="n">
        <v>41453</v>
      </c>
      <c r="T16" s="17" t="n">
        <v>41453</v>
      </c>
      <c r="U16" t="inlineStr">
        <is>
          <t>Reported day</t>
        </is>
      </c>
      <c r="V16" t="inlineStr">
        <is>
          <t>Reported</t>
        </is>
      </c>
      <c r="Y16" t="inlineStr"/>
      <c r="Z16" t="inlineStr"/>
      <c r="AA16" t="inlineStr"/>
      <c r="AB16" t="inlineStr"/>
      <c r="AD16" t="inlineStr"/>
      <c r="AF16" t="inlineStr"/>
      <c r="AG16" t="inlineStr"/>
      <c r="AH16" t="inlineStr"/>
      <c r="AI16" t="inlineStr"/>
      <c r="AJ16" t="inlineStr"/>
      <c r="AK16" t="n">
        <v>32</v>
      </c>
      <c r="AL16" t="inlineStr">
        <is>
          <t>R022</t>
        </is>
      </c>
      <c r="AM16" t="inlineStr">
        <is>
          <t>Mac-Gray</t>
        </is>
      </c>
    </row>
    <row r="17">
      <c r="A17" t="n">
        <v>16</v>
      </c>
      <c r="B17" t="inlineStr">
        <is>
          <t>06/30/2013</t>
        </is>
      </c>
      <c r="C17" t="inlineStr">
        <is>
          <t>Party C</t>
        </is>
      </c>
      <c r="D17" t="inlineStr">
        <is>
          <t>NDA signed</t>
        </is>
      </c>
      <c r="E17" t="inlineStr">
        <is>
          <t>1</t>
        </is>
      </c>
      <c r="F17" t="inlineStr">
        <is>
          <t>1</t>
        </is>
      </c>
      <c r="G17" t="inlineStr">
        <is>
          <t>Financial</t>
        </is>
      </c>
      <c r="H17" t="inlineStr">
        <is>
          <t>Party C entered a confidentiality and standstill agreement with Mac-Gray and was provided the informational package (preliminary indication of interest due 07/23/2013). First observed participation by Party C.</t>
        </is>
      </c>
      <c r="I17" t="inlineStr"/>
      <c r="J17" t="inlineStr"/>
      <c r="K17" t="inlineStr">
        <is>
          <t>Stated. “On June 30, 2013, Party C entered into a confidentiality and standstill agreement with Mac-Gray and was provided with an informational package for the purpose of providing Party C with data to formulate a preliminary indication of interest.” (p.32)</t>
        </is>
      </c>
      <c r="L17" t="inlineStr">
        <is>
          <t>P-026</t>
        </is>
      </c>
      <c r="M17" t="inlineStr">
        <is>
          <t>Q3</t>
        </is>
      </c>
      <c r="N17" t="inlineStr"/>
      <c r="O17" t="inlineStr">
        <is>
          <t>R016</t>
        </is>
      </c>
      <c r="P17" t="inlineStr">
        <is>
          <t>Yes</t>
        </is>
      </c>
      <c r="Q17" t="n">
        <v>1</v>
      </c>
      <c r="R17" s="17" t="n">
        <v>41455</v>
      </c>
      <c r="S17" s="17" t="n">
        <v>41455</v>
      </c>
      <c r="T17" s="17" t="n">
        <v>41455</v>
      </c>
      <c r="U17" t="inlineStr">
        <is>
          <t>Reported day</t>
        </is>
      </c>
      <c r="V17" t="inlineStr">
        <is>
          <t>Reported</t>
        </is>
      </c>
      <c r="Y17" t="inlineStr"/>
      <c r="Z17" t="inlineStr"/>
      <c r="AA17" t="inlineStr"/>
      <c r="AB17" t="inlineStr"/>
      <c r="AD17" t="inlineStr"/>
      <c r="AF17" t="inlineStr"/>
      <c r="AG17" t="inlineStr"/>
      <c r="AH17" t="inlineStr"/>
      <c r="AI17" t="inlineStr"/>
      <c r="AJ17" t="inlineStr"/>
      <c r="AK17" t="n">
        <v>32</v>
      </c>
      <c r="AL17" t="inlineStr">
        <is>
          <t>R023</t>
        </is>
      </c>
      <c r="AM17" t="inlineStr">
        <is>
          <t>Mac-Gray</t>
        </is>
      </c>
    </row>
    <row r="18">
      <c r="A18" t="n">
        <v>17</v>
      </c>
      <c r="B18" t="inlineStr">
        <is>
          <t>07/06/2013</t>
        </is>
      </c>
      <c r="C18" t="inlineStr">
        <is>
          <t>Special Committee / Moab / CSC/Pamplona</t>
        </is>
      </c>
      <c r="D18" t="inlineStr">
        <is>
          <t>Material process update</t>
        </is>
      </c>
      <c r="E18" t="inlineStr">
        <is>
          <t>1</t>
        </is>
      </c>
      <c r="F18" t="inlineStr">
        <is>
          <t>1</t>
        </is>
      </c>
      <c r="G18" t="inlineStr"/>
      <c r="H18" t="inlineStr">
        <is>
          <t>Rollover (step 1 — exclusivity denied): the Special Committee denied the request that Moab be permitted to partner exclusively with CSC/Pamplona (including sharing under CSC/Pamplona's confidentiality agreement), so that Moab's potential equity rollover remained available as a source of capital for other bidders; the Committee told the parties it was premature and that rollover discussions would be permitted at a later stage. Mr. Rothenberg had raised Moab's interest with Goodwin Procter on 07/03/2013.</t>
        </is>
      </c>
      <c r="I18" t="inlineStr"/>
      <c r="J18" t="inlineStr"/>
      <c r="K18" t="inlineStr">
        <is>
          <t>Stated. “the Special Committee decided to deny the exclusivity request at this stage of the process so that the potential equity rollover of Moab's shares could be available as a source of capital for other potential bidders. The Special Committee instructed BofA Merrill Lynch and Goodwin Procter to communicate to CSC/Pamplona and Mr. Rothenberg, respectively, that it was premature for Mac-Gray to permit Moab to engage in equity rollover discussions with any party, including CSC/Pamplona, but that such discussions would be permitted at a later stage of the sale process.” (p.32–33)</t>
        </is>
      </c>
      <c r="L18" t="inlineStr">
        <is>
          <t>P-027; P-028</t>
        </is>
      </c>
      <c r="M18" t="inlineStr"/>
      <c r="N18" t="inlineStr"/>
      <c r="O18" t="inlineStr">
        <is>
          <t>R017</t>
        </is>
      </c>
      <c r="P18" t="inlineStr">
        <is>
          <t>Yes</t>
        </is>
      </c>
      <c r="R18" s="17" t="n">
        <v>41461</v>
      </c>
      <c r="S18" s="17" t="n">
        <v>41461</v>
      </c>
      <c r="T18" s="17" t="n">
        <v>41461</v>
      </c>
      <c r="U18" t="inlineStr">
        <is>
          <t>Reported day</t>
        </is>
      </c>
      <c r="V18" t="inlineStr">
        <is>
          <t>Reported</t>
        </is>
      </c>
      <c r="Y18" t="inlineStr"/>
      <c r="Z18" t="inlineStr"/>
      <c r="AA18" t="inlineStr"/>
      <c r="AB18" t="inlineStr"/>
      <c r="AD18" t="inlineStr"/>
      <c r="AF18" t="inlineStr"/>
      <c r="AG18" t="inlineStr"/>
      <c r="AH18" t="inlineStr"/>
      <c r="AI18" t="inlineStr"/>
      <c r="AJ18" t="inlineStr"/>
      <c r="AK18" t="n">
        <v>32</v>
      </c>
      <c r="AL18" t="inlineStr">
        <is>
          <t>R008; R049</t>
        </is>
      </c>
      <c r="AM18" t="inlineStr">
        <is>
          <t>Mac-Gray</t>
        </is>
      </c>
    </row>
    <row r="19">
      <c r="A19" t="n">
        <v>18</v>
      </c>
      <c r="B19" t="inlineStr">
        <is>
          <t>07/11/2013</t>
        </is>
      </c>
      <c r="C19" t="inlineStr">
        <is>
          <t>CSC/Pamplona</t>
        </is>
      </c>
      <c r="D19" t="inlineStr">
        <is>
          <t>NDA signed</t>
        </is>
      </c>
      <c r="E19" t="inlineStr">
        <is>
          <t>1</t>
        </is>
      </c>
      <c r="F19" t="inlineStr">
        <is>
          <t>1</t>
        </is>
      </c>
      <c r="G19" t="inlineStr">
        <is>
          <t>Strategic</t>
        </is>
      </c>
      <c r="H19" t="inlineStr">
        <is>
          <t>CSC/Pamplona entered a confidentiality and standstill agreement with Mac-Gray and was provided the informational package. The merger agreement later confirms the July 11, 2013 confidentiality letter agreement among Pamplona Capital Management LLC, Parent and Mac-Gray.</t>
        </is>
      </c>
      <c r="I19" t="inlineStr"/>
      <c r="J19" t="inlineStr"/>
      <c r="K19" t="inlineStr">
        <is>
          <t>Stated. “On July 11, 2013, CSC/Pamplona entered into a confidentiality and standstill agreement with Mac-Gray and were provided with an informational package for the purpose of providing CSC/Pamplona with data to formulate a preliminary indication of interest.” (p.33) “Parent and the Company hereby acknowledge and agree that they are and shall continue to be bound by that certain letter agreement dated as of July 11, 2013, among Pamplona Capital Management LLC, Parent and the Company (the "Confidentiality Agreement").” (Annex A, Section 6.17, p. A-46)</t>
        </is>
      </c>
      <c r="L19" t="inlineStr">
        <is>
          <t>P-029; X-027</t>
        </is>
      </c>
      <c r="M19" t="inlineStr">
        <is>
          <t>Q3</t>
        </is>
      </c>
      <c r="N19" t="inlineStr"/>
      <c r="O19" t="inlineStr">
        <is>
          <t>R018</t>
        </is>
      </c>
      <c r="P19" t="inlineStr">
        <is>
          <t>Yes</t>
        </is>
      </c>
      <c r="Q19" t="n">
        <v>1</v>
      </c>
      <c r="R19" s="17" t="n">
        <v>41466</v>
      </c>
      <c r="S19" s="17" t="n">
        <v>41466</v>
      </c>
      <c r="T19" s="17" t="n">
        <v>41466</v>
      </c>
      <c r="U19" t="inlineStr">
        <is>
          <t>Reported day</t>
        </is>
      </c>
      <c r="V19" t="inlineStr">
        <is>
          <t>Reported</t>
        </is>
      </c>
      <c r="Y19" t="inlineStr"/>
      <c r="Z19" t="inlineStr"/>
      <c r="AA19" t="inlineStr"/>
      <c r="AB19" t="inlineStr"/>
      <c r="AD19" t="inlineStr"/>
      <c r="AF19" t="inlineStr"/>
      <c r="AG19" t="inlineStr"/>
      <c r="AH19" t="inlineStr"/>
      <c r="AI19" t="inlineStr"/>
      <c r="AJ19" t="inlineStr"/>
      <c r="AK19" t="n">
        <v>33</v>
      </c>
      <c r="AL19" t="inlineStr">
        <is>
          <t>R020</t>
        </is>
      </c>
      <c r="AM19" t="inlineStr">
        <is>
          <t>Mac-Gray</t>
        </is>
      </c>
    </row>
    <row r="20">
      <c r="A20" t="n">
        <v>19</v>
      </c>
      <c r="B20" t="inlineStr">
        <is>
          <t>07/23/2013 (scheduled due date for preliminary indications)</t>
        </is>
      </c>
      <c r="C20" t="inlineStr">
        <is>
          <t>NDA signers (solicitation deadline)</t>
        </is>
      </c>
      <c r="D20" t="inlineStr">
        <is>
          <t>Deadline</t>
        </is>
      </c>
      <c r="E20" t="inlineStr">
        <is>
          <t>1</t>
        </is>
      </c>
      <c r="F20" t="inlineStr">
        <is>
          <t>1</t>
        </is>
      </c>
      <c r="G20" t="inlineStr"/>
      <c r="H20" t="inlineStr">
        <is>
          <t>Preliminary indications of interest were due 07/23/2013 (deadline set with the launch of the process; see R010). CSC/Pamplona submitted on the due date; Party B (07/24) and Party C (07/24–25) submitted after it and were considered (late bids accepted). No extension is disclosed.</t>
        </is>
      </c>
      <c r="I20" t="inlineStr"/>
      <c r="J20" t="inlineStr"/>
      <c r="K20" t="inlineStr">
        <is>
          <t>Stated (due date reached and operative). “furnished an informational package for the purpose of providing potential bidders with data to formulate a preliminary indication of interest, which they were instructed to submit by July 23, 2013” (p.32); submissions and later consideration documented at P-031, P-032, P-033, P-035.</t>
        </is>
      </c>
      <c r="L20" t="inlineStr">
        <is>
          <t>P-023; P-031; P-032; P-033; P-035</t>
        </is>
      </c>
      <c r="M20" t="inlineStr">
        <is>
          <t>Q2</t>
        </is>
      </c>
      <c r="N20" t="inlineStr"/>
      <c r="O20" t="inlineStr">
        <is>
          <t>R019</t>
        </is>
      </c>
      <c r="P20" t="inlineStr">
        <is>
          <t>Yes</t>
        </is>
      </c>
      <c r="R20" s="17" t="n">
        <v>41478</v>
      </c>
      <c r="S20" s="17" t="n">
        <v>41478</v>
      </c>
      <c r="T20" s="17" t="n">
        <v>41478</v>
      </c>
      <c r="U20" t="inlineStr">
        <is>
          <t>Reported day</t>
        </is>
      </c>
      <c r="V20" t="inlineStr">
        <is>
          <t>Reported</t>
        </is>
      </c>
      <c r="Y20" t="inlineStr"/>
      <c r="Z20" t="inlineStr"/>
      <c r="AA20" t="inlineStr"/>
      <c r="AB20" t="inlineStr"/>
      <c r="AD20" t="inlineStr"/>
      <c r="AE20" s="17" t="n">
        <v>41478</v>
      </c>
      <c r="AF20" t="inlineStr">
        <is>
          <t>Late bids accepted</t>
        </is>
      </c>
      <c r="AG20" t="inlineStr"/>
      <c r="AH20" t="inlineStr"/>
      <c r="AI20" t="inlineStr"/>
      <c r="AJ20" t="inlineStr"/>
      <c r="AK20" t="n">
        <v>32</v>
      </c>
      <c r="AL20" t="inlineStr">
        <is>
          <t>R011; R020; R021</t>
        </is>
      </c>
      <c r="AM20" t="inlineStr">
        <is>
          <t>Mac-Gray</t>
        </is>
      </c>
    </row>
    <row r="21">
      <c r="A21" t="n">
        <v>20</v>
      </c>
      <c r="B21" t="inlineStr">
        <is>
          <t>07/23/2013</t>
        </is>
      </c>
      <c r="C21" t="inlineStr">
        <is>
          <t>CSC/Pamplona</t>
        </is>
      </c>
      <c r="D21" t="inlineStr">
        <is>
          <t>Bid</t>
        </is>
      </c>
      <c r="E21" t="inlineStr">
        <is>
          <t>1</t>
        </is>
      </c>
      <c r="F21" t="inlineStr">
        <is>
          <t>1</t>
        </is>
      </c>
      <c r="G21" t="inlineStr">
        <is>
          <t>Strategic</t>
        </is>
      </c>
      <c r="H21" t="inlineStr">
        <is>
          <t>Preliminary indication of interest, all-cash $18.50 per share, submitted on the 07/23/2013 deadline. First bid by CSC/Pamplona (NDA 07/11/2013; preliminary review only — no substantive data-site or management access yet, so Heavy by context).</t>
        </is>
      </c>
      <c r="I21" t="inlineStr">
        <is>
          <t>Informal</t>
        </is>
      </c>
      <c r="J21" t="inlineStr">
        <is>
          <t>Heavy</t>
        </is>
      </c>
      <c r="K21" t="inlineStr">
        <is>
          <t>Stated. “On July 23, 2013, CSC/Pamplona submitted a preliminary indication of interest at an all-cash purchase price of $18.50 per share.” (p.33) Context: “Between July 11, 2013 and July 23, 2013, Party B, Party C and CSC/Pamplona engaged in a preliminary review of Mac-Gray and the potential acquisition opportunity.” (p.33); management presentations and data-site access came later (P-042, p.34).</t>
        </is>
      </c>
      <c r="L21" t="inlineStr">
        <is>
          <t>P-031; P-030; P-042</t>
        </is>
      </c>
      <c r="M21" t="inlineStr">
        <is>
          <t>Q5</t>
        </is>
      </c>
      <c r="N21" t="inlineStr"/>
      <c r="O21" t="inlineStr">
        <is>
          <t>R020</t>
        </is>
      </c>
      <c r="P21" t="inlineStr">
        <is>
          <t>Yes</t>
        </is>
      </c>
      <c r="Q21" t="n">
        <v>1</v>
      </c>
      <c r="R21" s="17" t="n">
        <v>41478</v>
      </c>
      <c r="S21" s="17" t="n">
        <v>41478</v>
      </c>
      <c r="T21" s="17" t="n">
        <v>41478</v>
      </c>
      <c r="U21" t="inlineStr">
        <is>
          <t>Reported day</t>
        </is>
      </c>
      <c r="V21" t="inlineStr">
        <is>
          <t>Reported</t>
        </is>
      </c>
      <c r="W21" t="n">
        <v>18.5</v>
      </c>
      <c r="X21" t="n">
        <v>18.5</v>
      </c>
      <c r="Y21" t="inlineStr">
        <is>
          <t>Point</t>
        </is>
      </c>
      <c r="Z21" t="inlineStr">
        <is>
          <t>Stated</t>
        </is>
      </c>
      <c r="AA21" t="inlineStr">
        <is>
          <t>USD</t>
        </is>
      </c>
      <c r="AB21" t="inlineStr">
        <is>
          <t>Yes</t>
        </is>
      </c>
      <c r="AC21" t="n">
        <v>18.5</v>
      </c>
      <c r="AD21" t="inlineStr">
        <is>
          <t>Fin: not stated; DD required: not stated; DD open: yes; Excl: not stated</t>
        </is>
      </c>
      <c r="AF21" t="inlineStr"/>
      <c r="AG21" t="inlineStr"/>
      <c r="AH21" t="inlineStr"/>
      <c r="AI21" t="inlineStr"/>
      <c r="AJ21" t="inlineStr"/>
      <c r="AK21" t="n">
        <v>33</v>
      </c>
      <c r="AL21" t="inlineStr">
        <is>
          <t>R018; R029</t>
        </is>
      </c>
      <c r="AM21" t="inlineStr">
        <is>
          <t>Mac-Gray</t>
        </is>
      </c>
    </row>
    <row r="22">
      <c r="A22" t="n">
        <v>21</v>
      </c>
      <c r="B22" t="inlineStr">
        <is>
          <t>by 07/23/2013</t>
        </is>
      </c>
      <c r="C22" t="inlineStr">
        <is>
          <t>16 residual financial NDA signers</t>
        </is>
      </c>
      <c r="D22" t="inlineStr">
        <is>
          <t>Did not submit</t>
        </is>
      </c>
      <c r="E22" t="inlineStr">
        <is>
          <t>1</t>
        </is>
      </c>
      <c r="F22" t="inlineStr">
        <is>
          <t>1</t>
        </is>
      </c>
      <c r="G22" t="inlineStr">
        <is>
          <t>Financial</t>
        </is>
      </c>
      <c r="H22" t="inlineStr">
        <is>
          <t>Inferred: residual — 20 NDA signers (2 strategic + 18 financial) − 4 individually recorded participants (Party A, Party B, Party C, CSC/Pamplona) = 16 residual financial signers with no preliminary indication of interest submitted by the 07/23/2013 deadline; the filing names no other submitters, and the 07/25/2013 Special Committee review addressed only Party B, Party C, CSC/Pamplona and the standing Party A proposal. Base assumes the residual signers had signed by and were eligible for the solicitation; the filing dates their signatures only as a two-month window. No motive, identity or voluntary withdrawal inferred.</t>
        </is>
      </c>
      <c r="I22" t="inlineStr"/>
      <c r="J22" t="inlineStr"/>
      <c r="K22" t="inlineStr">
        <is>
          <t>Inferred: residual. “a total of 20 potential bidders, including two strategic bidders (Party A and CSC/Pamplona) and 18 financial bidders (including Party B and Party C), entered into confidentiality agreements” (P-023, p.32); “representatives of BofA Merrill Lynch reviewed the preliminary indications of interest received from Party B, Party C and CSC/Pamplona as well as the Party A June 21 proposal” (P-033, p.33). Arithmetic: 20 − 4 = 16.</t>
        </is>
      </c>
      <c r="L22" t="inlineStr">
        <is>
          <t>P-023; P-033</t>
        </is>
      </c>
      <c r="M22" t="inlineStr">
        <is>
          <t>Q3; Q4</t>
        </is>
      </c>
      <c r="N22" t="inlineStr"/>
      <c r="O22" t="inlineStr">
        <is>
          <t>R021</t>
        </is>
      </c>
      <c r="P22" t="inlineStr">
        <is>
          <t>Yes</t>
        </is>
      </c>
      <c r="Q22" t="n">
        <v>16</v>
      </c>
      <c r="S22" s="17" t="n">
        <v>41478</v>
      </c>
      <c r="T22" s="17" t="n">
        <v>41478</v>
      </c>
      <c r="U22" t="inlineStr">
        <is>
          <t>Relative only</t>
        </is>
      </c>
      <c r="V22" t="inlineStr">
        <is>
          <t>Assigned: deadline</t>
        </is>
      </c>
      <c r="Y22" t="inlineStr"/>
      <c r="Z22" t="inlineStr"/>
      <c r="AA22" t="inlineStr"/>
      <c r="AB22" t="inlineStr"/>
      <c r="AD22" t="inlineStr"/>
      <c r="AF22" t="inlineStr"/>
      <c r="AG22" t="inlineStr"/>
      <c r="AH22" t="inlineStr">
        <is>
          <t>Unknown</t>
        </is>
      </c>
      <c r="AI22" t="inlineStr">
        <is>
          <t>Not stated</t>
        </is>
      </c>
      <c r="AJ22" t="inlineStr">
        <is>
          <t>Inferred: residual</t>
        </is>
      </c>
      <c r="AK22" t="n">
        <v>33</v>
      </c>
      <c r="AL22" t="inlineStr">
        <is>
          <t>R014; R019</t>
        </is>
      </c>
      <c r="AM22" t="inlineStr">
        <is>
          <t>Mac-Gray</t>
        </is>
      </c>
    </row>
    <row r="23">
      <c r="A23" t="n">
        <v>22</v>
      </c>
      <c r="B23" t="inlineStr">
        <is>
          <t>07/24/2013 (one day after the 07/23/2013 due date)</t>
        </is>
      </c>
      <c r="C23" t="inlineStr">
        <is>
          <t>Party B</t>
        </is>
      </c>
      <c r="D23" t="inlineStr">
        <is>
          <t>Bid</t>
        </is>
      </c>
      <c r="E23" t="inlineStr">
        <is>
          <t>1</t>
        </is>
      </c>
      <c r="F23" t="inlineStr">
        <is>
          <t>1</t>
        </is>
      </c>
      <c r="G23" t="inlineStr">
        <is>
          <t>Financial</t>
        </is>
      </c>
      <c r="H23" t="inlineStr">
        <is>
          <t>Preliminary indication of interest, all-cash $17.00–$18.00 per share, submitted after the 07/23/2013 due date and considered at the 07/25/2013 Special Committee meeting (late bid accepted). Preliminary review only; Heavy by context.</t>
        </is>
      </c>
      <c r="I23" t="inlineStr">
        <is>
          <t>Informal</t>
        </is>
      </c>
      <c r="J23" t="inlineStr">
        <is>
          <t>Heavy</t>
        </is>
      </c>
      <c r="K23" t="inlineStr">
        <is>
          <t>Stated. “On July 24, 2013, Party B submitted a preliminary indication of interest at an all-cash purchase price of $17.00 to $18.00 per share.” (p.33) Considered: “reviewed the preliminary indications of interest received from Party B, Party C and CSC/Pamplona” (p.33).</t>
        </is>
      </c>
      <c r="L23" t="inlineStr">
        <is>
          <t>P-032; P-033</t>
        </is>
      </c>
      <c r="M23" t="inlineStr">
        <is>
          <t>Q2; Q5</t>
        </is>
      </c>
      <c r="N23" t="inlineStr"/>
      <c r="O23" t="inlineStr">
        <is>
          <t>R022</t>
        </is>
      </c>
      <c r="P23" t="inlineStr">
        <is>
          <t>Yes</t>
        </is>
      </c>
      <c r="Q23" t="n">
        <v>1</v>
      </c>
      <c r="R23" s="17" t="n">
        <v>41479</v>
      </c>
      <c r="S23" s="17" t="n">
        <v>41479</v>
      </c>
      <c r="T23" s="17" t="n">
        <v>41479</v>
      </c>
      <c r="U23" t="inlineStr">
        <is>
          <t>Reported day</t>
        </is>
      </c>
      <c r="V23" t="inlineStr">
        <is>
          <t>Reported</t>
        </is>
      </c>
      <c r="W23" t="n">
        <v>17</v>
      </c>
      <c r="X23" t="n">
        <v>18</v>
      </c>
      <c r="Y23" t="inlineStr">
        <is>
          <t>Bidder range</t>
        </is>
      </c>
      <c r="Z23" t="inlineStr">
        <is>
          <t>Stated</t>
        </is>
      </c>
      <c r="AA23" t="inlineStr">
        <is>
          <t>USD</t>
        </is>
      </c>
      <c r="AB23" t="inlineStr">
        <is>
          <t>Yes</t>
        </is>
      </c>
      <c r="AC23" t="inlineStr"/>
      <c r="AD23" t="inlineStr">
        <is>
          <t>Fin: not stated; DD required: not stated; DD open: yes; Excl: not stated</t>
        </is>
      </c>
      <c r="AF23" t="inlineStr"/>
      <c r="AG23" t="inlineStr"/>
      <c r="AH23" t="inlineStr"/>
      <c r="AI23" t="inlineStr"/>
      <c r="AJ23" t="inlineStr"/>
      <c r="AK23" t="n">
        <v>33</v>
      </c>
      <c r="AL23" t="inlineStr">
        <is>
          <t>R015; R030</t>
        </is>
      </c>
      <c r="AM23" t="inlineStr">
        <is>
          <t>Mac-Gray</t>
        </is>
      </c>
    </row>
    <row r="24">
      <c r="A24" t="n">
        <v>23</v>
      </c>
      <c r="B24" t="inlineStr">
        <is>
          <t>07/24/2013–07/25/2013 (oral indication 07/24; written indication 07/25)</t>
        </is>
      </c>
      <c r="C24" t="inlineStr">
        <is>
          <t>Party C</t>
        </is>
      </c>
      <c r="D24" t="inlineStr">
        <is>
          <t>Bid</t>
        </is>
      </c>
      <c r="E24" t="inlineStr">
        <is>
          <t>1</t>
        </is>
      </c>
      <c r="F24" t="inlineStr">
        <is>
          <t>1</t>
        </is>
      </c>
      <c r="G24" t="inlineStr">
        <is>
          <t>Financial</t>
        </is>
      </c>
      <c r="H24" t="inlineStr">
        <is>
          <t>Oral preliminary indication of interest 07/24/2013 at $15.00–$17.00 per share, followed by a written indication of interest 07/25/2013 at $16.00–$16.50 per share; treated as one bid (an IOI and its written offer are one submission). The written indication came after the 07/23/2013 due date and was considered (late bid accepted). Preliminary review only; Heavy by context.</t>
        </is>
      </c>
      <c r="I24" t="inlineStr">
        <is>
          <t>Informal</t>
        </is>
      </c>
      <c r="J24" t="inlineStr">
        <is>
          <t>Heavy</t>
        </is>
      </c>
      <c r="K24" t="inlineStr">
        <is>
          <t>Stated. “representatives from Party C called BofA Merrill Lynch and presented an oral preliminary indication of interest at an all-cash purchase price of $15.00 to $17.00 per share” (p.33). “Later on July 25, 2013, Party C submitted a written indication of interest at an all-cash purchase price of $16.00 to $16.50 per share.” (p.34) Considered at the 07/25/2013 Special Committee meeting (P-033, p.33).</t>
        </is>
      </c>
      <c r="L24" t="inlineStr">
        <is>
          <t>P-032; P-033; P-035</t>
        </is>
      </c>
      <c r="M24" t="inlineStr">
        <is>
          <t>Q2; Q5; Q7</t>
        </is>
      </c>
      <c r="N24" t="inlineStr"/>
      <c r="O24" t="inlineStr">
        <is>
          <t>R023</t>
        </is>
      </c>
      <c r="P24" t="inlineStr">
        <is>
          <t>Yes</t>
        </is>
      </c>
      <c r="Q24" t="n">
        <v>1</v>
      </c>
      <c r="R24" s="17" t="n">
        <v>41479</v>
      </c>
      <c r="S24" s="17" t="n">
        <v>41480</v>
      </c>
      <c r="T24" s="17" t="n">
        <v>41479</v>
      </c>
      <c r="U24" t="inlineStr">
        <is>
          <t>Reported interval</t>
        </is>
      </c>
      <c r="V24" t="inlineStr">
        <is>
          <t>Assigned: bound</t>
        </is>
      </c>
      <c r="W24" t="n">
        <v>16</v>
      </c>
      <c r="X24" t="n">
        <v>16.5</v>
      </c>
      <c r="Y24" t="inlineStr">
        <is>
          <t>Bidder range</t>
        </is>
      </c>
      <c r="Z24" t="inlineStr">
        <is>
          <t>Stated</t>
        </is>
      </c>
      <c r="AA24" t="inlineStr">
        <is>
          <t>USD</t>
        </is>
      </c>
      <c r="AB24" t="inlineStr">
        <is>
          <t>Yes</t>
        </is>
      </c>
      <c r="AC24" t="inlineStr"/>
      <c r="AD24" t="inlineStr">
        <is>
          <t>Fin: not stated; DD required: not stated; DD open: yes; Excl: not stated</t>
        </is>
      </c>
      <c r="AF24" t="inlineStr"/>
      <c r="AG24" t="inlineStr"/>
      <c r="AH24" t="inlineStr"/>
      <c r="AI24" t="inlineStr"/>
      <c r="AJ24" t="inlineStr"/>
      <c r="AK24" t="n">
        <v>34</v>
      </c>
      <c r="AL24" t="inlineStr">
        <is>
          <t>R016; R032</t>
        </is>
      </c>
      <c r="AM24" t="inlineStr">
        <is>
          <t>Mac-Gray</t>
        </is>
      </c>
    </row>
    <row r="25">
      <c r="A25" t="n">
        <v>24</v>
      </c>
      <c r="B25" t="inlineStr">
        <is>
          <t>07/25/2013</t>
        </is>
      </c>
      <c r="C25" t="inlineStr">
        <is>
          <t>Special Committee</t>
        </is>
      </c>
      <c r="D25" t="inlineStr">
        <is>
          <t>Round opened</t>
        </is>
      </c>
      <c r="E25" t="inlineStr">
        <is>
          <t>1</t>
        </is>
      </c>
      <c r="F25" t="inlineStr">
        <is>
          <t>2</t>
        </is>
      </c>
      <c r="G25" t="inlineStr"/>
      <c r="H25" t="inlineStr">
        <is>
          <t>Round 2 opened: Special Committee reviewed the three preliminary indications (Party B, Party C, CSC/Pamplona) and the still-standing Party A June 21 proposal; indications were lower than expected; adopted staged disclosure of sensitive information for the second stage. Authorized BofA to arrange management presentations and high-level information access with the four interested bidders (Party A conditional on executing its NDA; synergies discussions for Party A and CSC/Pamplona) and thereafter to request revised indications. Mr. Rothenberg to recuse himself for the duration of the process (continuing rollover interest). Round finality: Not final — revised written proposals were sought only to continue in the process; no finality signal. Round-2 bidders: Party A, Party B, Party C, CSC/Pamplona (4 units).</t>
        </is>
      </c>
      <c r="I25" t="inlineStr"/>
      <c r="J25" t="inlineStr"/>
      <c r="K25" t="inlineStr">
        <is>
          <t>Stated. “the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“the Special Committee authorized and instructed BofA Merrill Lynch to proceed with the staged disclosure as discussed at this meeting and to reach out to each of the four interested bidders and arrange management meetings” (both p.33–34). “decided that Mr. Rothenberg should be asked to recuse himself from participating in Board meetings for the duration of the sale process” (p.33).</t>
        </is>
      </c>
      <c r="L25" t="inlineStr">
        <is>
          <t>P-033; P-034</t>
        </is>
      </c>
      <c r="M25" t="inlineStr">
        <is>
          <t>Q1</t>
        </is>
      </c>
      <c r="N25" t="inlineStr"/>
      <c r="O25" t="inlineStr">
        <is>
          <t>R024</t>
        </is>
      </c>
      <c r="P25" t="inlineStr">
        <is>
          <t>Yes</t>
        </is>
      </c>
      <c r="R25" s="17" t="n">
        <v>41480</v>
      </c>
      <c r="S25" s="17" t="n">
        <v>41480</v>
      </c>
      <c r="T25" s="17" t="n">
        <v>41480</v>
      </c>
      <c r="U25" t="inlineStr">
        <is>
          <t>Reported day</t>
        </is>
      </c>
      <c r="V25" t="inlineStr">
        <is>
          <t>Reported</t>
        </is>
      </c>
      <c r="Y25" t="inlineStr"/>
      <c r="Z25" t="inlineStr"/>
      <c r="AA25" t="inlineStr"/>
      <c r="AB25" t="inlineStr"/>
      <c r="AD25" t="inlineStr"/>
      <c r="AF25" t="inlineStr"/>
      <c r="AG25" t="inlineStr">
        <is>
          <t>Not final</t>
        </is>
      </c>
      <c r="AH25" t="inlineStr"/>
      <c r="AI25" t="inlineStr"/>
      <c r="AJ25" t="inlineStr"/>
      <c r="AK25" t="n">
        <v>34</v>
      </c>
      <c r="AL25" t="inlineStr">
        <is>
          <t>R011; R025; R026</t>
        </is>
      </c>
      <c r="AM25" t="inlineStr">
        <is>
          <t>Mac-Gray</t>
        </is>
      </c>
    </row>
    <row r="26">
      <c r="A26" t="n">
        <v>25</v>
      </c>
      <c r="B26" t="inlineStr">
        <is>
          <t>08/05/2013 (negotiations from 07/11–07/23; resumed 07/27)</t>
        </is>
      </c>
      <c r="C26" t="inlineStr">
        <is>
          <t>Party A</t>
        </is>
      </c>
      <c r="D26" t="inlineStr">
        <is>
          <t>NDA signed</t>
        </is>
      </c>
      <c r="E26" t="inlineStr">
        <is>
          <t>1</t>
        </is>
      </c>
      <c r="F26" t="inlineStr">
        <is>
          <t>2</t>
        </is>
      </c>
      <c r="G26" t="inlineStr">
        <is>
          <t>Strategic</t>
        </is>
      </c>
      <c r="H26" t="inlineStr">
        <is>
          <t>Party A entered a confidentiality and standstill agreement with Mac-Gray and received the informational package to potentially improve its June 21 proposal. Non-solicitation terms were agreed with the Transaction Committee on 07/27/2013 (the filing prints “July 27, 2103” — a typo retained; the supported reading is 07/27/2013). Party A's standing round-0 proposal remained under consideration.</t>
        </is>
      </c>
      <c r="I26" t="inlineStr"/>
      <c r="J26" t="inlineStr"/>
      <c r="K26" t="inlineStr">
        <is>
          <t>Stated. “Discussions with Party A resumed on July 27, 2103 and Party A and the Transaction Committee agreed to the terms of the customer and employee non-solicitation provisions. On August 5, 2013, Party A entered into a confidentiality and standstill agreement with Mac-Gray and was provided with an informational package for the purpose of providing Party A with data to potentially improve the terms of the Party A June 21 proposal.” (p.34) Wording of the source typo preserved; proposed corrected date 07/27/2013 (see Q7).</t>
        </is>
      </c>
      <c r="L26" t="inlineStr">
        <is>
          <t>P-030; P-036</t>
        </is>
      </c>
      <c r="M26" t="inlineStr">
        <is>
          <t>Q3; Q7</t>
        </is>
      </c>
      <c r="N26" t="inlineStr"/>
      <c r="O26" t="inlineStr">
        <is>
          <t>R025</t>
        </is>
      </c>
      <c r="P26" t="inlineStr">
        <is>
          <t>Yes</t>
        </is>
      </c>
      <c r="Q26" t="n">
        <v>1</v>
      </c>
      <c r="R26" s="17" t="n">
        <v>41491</v>
      </c>
      <c r="S26" s="17" t="n">
        <v>41491</v>
      </c>
      <c r="T26" s="17" t="n">
        <v>41491</v>
      </c>
      <c r="U26" t="inlineStr">
        <is>
          <t>Reported day</t>
        </is>
      </c>
      <c r="V26" t="inlineStr">
        <is>
          <t>Reported</t>
        </is>
      </c>
      <c r="Y26" t="inlineStr"/>
      <c r="Z26" t="inlineStr"/>
      <c r="AA26" t="inlineStr"/>
      <c r="AB26" t="inlineStr"/>
      <c r="AD26" t="inlineStr"/>
      <c r="AF26" t="inlineStr"/>
      <c r="AG26" t="inlineStr"/>
      <c r="AH26" t="inlineStr"/>
      <c r="AI26" t="inlineStr"/>
      <c r="AJ26" t="inlineStr"/>
      <c r="AK26" t="n">
        <v>34</v>
      </c>
      <c r="AL26" t="inlineStr">
        <is>
          <t>R010; R026</t>
        </is>
      </c>
      <c r="AM26" t="inlineStr">
        <is>
          <t>Mac-Gray</t>
        </is>
      </c>
    </row>
    <row r="27">
      <c r="A27" t="n">
        <v>26</v>
      </c>
      <c r="B27" t="inlineStr">
        <is>
          <t>08/06/2013–08/27/2013 (staged access during diligence)</t>
        </is>
      </c>
      <c r="C27" t="inlineStr">
        <is>
          <t>Mac-Gray/BofA Merrill Lynch → Party A, Party B, Party C, CSC/Pamplona</t>
        </is>
      </c>
      <c r="D27" t="inlineStr">
        <is>
          <t>Information access changed</t>
        </is>
      </c>
      <c r="E27" t="inlineStr">
        <is>
          <t>1</t>
        </is>
      </c>
      <c r="F27" t="inlineStr">
        <is>
          <t>2</t>
        </is>
      </c>
      <c r="G27" t="inlineStr"/>
      <c r="H27" t="inlineStr">
        <is>
          <t>Differentiated, staged access among the four live bidders: Party B and Party C (financial bidders) received broad access to the electronic data site; Party A and CSC/Pamplona (strategic bidders) received somewhat limited access, with customer data (including locations) reserved until later in the process. Stated rationale: risk of misuse of sensitive competitive information by strategic bidders (07/25/2013 staging decision). Management presentations were held for each advanced bidder (B 08/06; C 08/08; CSC/Pamplona 08/12; A 08/14); Party A and CSC/Pamplona also held synergies discussions with management.</t>
        </is>
      </c>
      <c r="I27" t="inlineStr"/>
      <c r="J27" t="inlineStr"/>
      <c r="K27" t="inlineStr">
        <is>
          <t>Stated.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25th Special Committee meeting.” “both Party A and CSC/Pamplona participated in discussions with members of Mac-Gray management around synergies.” (both p.34) Presentations at P-037–P-040 (p.34).</t>
        </is>
      </c>
      <c r="L27" t="inlineStr">
        <is>
          <t>P-033; P-034; P-037; P-038; P-039; P-040; P-041; P-042</t>
        </is>
      </c>
      <c r="M27" t="inlineStr"/>
      <c r="N27" t="inlineStr"/>
      <c r="O27" t="inlineStr">
        <is>
          <t>R026</t>
        </is>
      </c>
      <c r="P27" t="inlineStr">
        <is>
          <t>Yes</t>
        </is>
      </c>
      <c r="R27" s="17" t="n">
        <v>41492</v>
      </c>
      <c r="S27" s="17" t="n">
        <v>41513</v>
      </c>
      <c r="T27" s="17" t="n">
        <v>41492</v>
      </c>
      <c r="U27" t="inlineStr">
        <is>
          <t>Reported interval</t>
        </is>
      </c>
      <c r="V27" t="inlineStr">
        <is>
          <t>Assigned: bound</t>
        </is>
      </c>
      <c r="Y27" t="inlineStr"/>
      <c r="Z27" t="inlineStr"/>
      <c r="AA27" t="inlineStr"/>
      <c r="AB27" t="inlineStr"/>
      <c r="AD27" t="inlineStr"/>
      <c r="AF27" t="inlineStr"/>
      <c r="AG27" t="inlineStr"/>
      <c r="AH27" t="inlineStr"/>
      <c r="AI27" t="inlineStr"/>
      <c r="AJ27" t="inlineStr"/>
      <c r="AK27" t="n">
        <v>34</v>
      </c>
      <c r="AL27" t="inlineStr">
        <is>
          <t>R024</t>
        </is>
      </c>
      <c r="AM27" t="inlineStr">
        <is>
          <t>Mac-Gray</t>
        </is>
      </c>
    </row>
    <row r="28">
      <c r="A28" t="n">
        <v>27</v>
      </c>
      <c r="B28" t="inlineStr">
        <is>
          <t>08/27/2013</t>
        </is>
      </c>
      <c r="C28" t="inlineStr">
        <is>
          <t>BofA Merrill Lynch (for the Special Committee)</t>
        </is>
      </c>
      <c r="D28" t="inlineStr">
        <is>
          <t>Deadline set</t>
        </is>
      </c>
      <c r="E28" t="inlineStr">
        <is>
          <t>1</t>
        </is>
      </c>
      <c r="F28" t="inlineStr">
        <is>
          <t>2</t>
        </is>
      </c>
      <c r="G28" t="inlineStr"/>
      <c r="H28" t="inlineStr">
        <is>
          <t>Following the 08/15/2013 Special Committee authorization, BofA sent a letter to each of Party A, Party B, Party C and CSC/Pamplona requesting revised written proposals no later than 09/09/2013 to continue in the process and pursue in-depth confirmatory diligence; the letter asked for valuation, financing sources/structure, regulatory approvals, post-signing covenants and diligence focus areas.</t>
        </is>
      </c>
      <c r="I28" t="inlineStr"/>
      <c r="J28" t="inlineStr"/>
      <c r="K28" t="inlineStr">
        <is>
          <t>Stated. “BofA Merrill Lynch, as instructed by the Special Committee, sent a letter to each of Party A, Party B, Party C and CSC/Pamplona instructing such bidders to submit revised written proposals no later than September 9, 2013 if such bidders wished to proceed further in the process to pursue an in-depth evaluation of Mac-Gray with the objective of making a revised offer.” (p.35) Authorization: “the Special Committee authorized and instructed BofA Merrill Lynch to send a letter to each of Party A, Party B, Party C and CSC/Pamplona once all four of the bidders' due diligence was substantially complete requesting that, in light of the results of the respective party's due diligence, such party submit a revised written proposal in order to continue in the process” (p.34).</t>
        </is>
      </c>
      <c r="L28" t="inlineStr">
        <is>
          <t>P-041; P-043</t>
        </is>
      </c>
      <c r="M28" t="inlineStr">
        <is>
          <t>Q2</t>
        </is>
      </c>
      <c r="N28" t="inlineStr"/>
      <c r="O28" t="inlineStr">
        <is>
          <t>R027</t>
        </is>
      </c>
      <c r="P28" t="inlineStr">
        <is>
          <t>Yes</t>
        </is>
      </c>
      <c r="R28" s="17" t="n">
        <v>41513</v>
      </c>
      <c r="S28" s="17" t="n">
        <v>41513</v>
      </c>
      <c r="T28" s="17" t="n">
        <v>41513</v>
      </c>
      <c r="U28" t="inlineStr">
        <is>
          <t>Reported day</t>
        </is>
      </c>
      <c r="V28" t="inlineStr">
        <is>
          <t>Reported</t>
        </is>
      </c>
      <c r="Y28" t="inlineStr"/>
      <c r="Z28" t="inlineStr"/>
      <c r="AA28" t="inlineStr"/>
      <c r="AB28" t="inlineStr"/>
      <c r="AD28" t="inlineStr"/>
      <c r="AE28" s="17" t="n">
        <v>41526</v>
      </c>
      <c r="AF28" t="inlineStr"/>
      <c r="AG28" t="inlineStr"/>
      <c r="AH28" t="inlineStr"/>
      <c r="AI28" t="inlineStr"/>
      <c r="AJ28" t="inlineStr"/>
      <c r="AK28" t="n">
        <v>35</v>
      </c>
      <c r="AL28" t="inlineStr">
        <is>
          <t>R028</t>
        </is>
      </c>
      <c r="AM28" t="inlineStr">
        <is>
          <t>Mac-Gray</t>
        </is>
      </c>
    </row>
    <row r="29">
      <c r="A29" t="n">
        <v>28</v>
      </c>
      <c r="B29" t="inlineStr">
        <is>
          <t>09/09/2013 (scheduled due date for revised written proposals)</t>
        </is>
      </c>
      <c r="C29" t="inlineStr">
        <is>
          <t>Party A, Party B, Party C, CSC/Pamplona (solicitation deadline)</t>
        </is>
      </c>
      <c r="D29" t="inlineStr">
        <is>
          <t>Deadline</t>
        </is>
      </c>
      <c r="E29" t="inlineStr">
        <is>
          <t>1</t>
        </is>
      </c>
      <c r="F29" t="inlineStr">
        <is>
          <t>2</t>
        </is>
      </c>
      <c r="G29" t="inlineStr"/>
      <c r="H29" t="inlineStr">
        <is>
          <t>Revised written proposals were due 09/09/2013. CSC/Pamplona and Party B submitted on the due date; Party A and Party C submitted on 09/10/2013 and were considered at the 09/11/2013 Special Committee meeting (late bids accepted; no extension disclosed).</t>
        </is>
      </c>
      <c r="I29" t="inlineStr"/>
      <c r="J29" t="inlineStr"/>
      <c r="K29" t="inlineStr">
        <is>
          <t>Stated (due date reached and operative). “instructing such bidders to submit revised written proposals no later than September 9, 2013” (p.35); submissions at P-047 and P-048; considered: “the Special Committee held a telephonic meeting to review the revised indications of interest submitted by Party A, Party B, Party C and CSC/Pamplona” on 09/11/2013 (P-050, p.35).</t>
        </is>
      </c>
      <c r="L29" t="inlineStr">
        <is>
          <t>P-043; P-047; P-048; P-050</t>
        </is>
      </c>
      <c r="M29" t="inlineStr">
        <is>
          <t>Q2</t>
        </is>
      </c>
      <c r="N29" t="inlineStr"/>
      <c r="O29" t="inlineStr">
        <is>
          <t>R028</t>
        </is>
      </c>
      <c r="P29" t="inlineStr">
        <is>
          <t>Yes</t>
        </is>
      </c>
      <c r="R29" s="17" t="n">
        <v>41526</v>
      </c>
      <c r="S29" s="17" t="n">
        <v>41526</v>
      </c>
      <c r="T29" s="17" t="n">
        <v>41526</v>
      </c>
      <c r="U29" t="inlineStr">
        <is>
          <t>Reported day</t>
        </is>
      </c>
      <c r="V29" t="inlineStr">
        <is>
          <t>Reported</t>
        </is>
      </c>
      <c r="Y29" t="inlineStr"/>
      <c r="Z29" t="inlineStr"/>
      <c r="AA29" t="inlineStr"/>
      <c r="AB29" t="inlineStr"/>
      <c r="AD29" t="inlineStr"/>
      <c r="AE29" s="17" t="n">
        <v>41526</v>
      </c>
      <c r="AF29" t="inlineStr">
        <is>
          <t>Late bids accepted</t>
        </is>
      </c>
      <c r="AG29" t="inlineStr"/>
      <c r="AH29" t="inlineStr"/>
      <c r="AI29" t="inlineStr"/>
      <c r="AJ29" t="inlineStr"/>
      <c r="AK29" t="n">
        <v>35</v>
      </c>
      <c r="AL29" t="inlineStr">
        <is>
          <t>R027; R029; R030</t>
        </is>
      </c>
      <c r="AM29" t="inlineStr">
        <is>
          <t>Mac-Gray</t>
        </is>
      </c>
    </row>
    <row r="30">
      <c r="A30" t="n">
        <v>29</v>
      </c>
      <c r="B30" t="inlineStr">
        <is>
          <t>09/09/2013</t>
        </is>
      </c>
      <c r="C30" t="inlineStr">
        <is>
          <t>CSC/Pamplona</t>
        </is>
      </c>
      <c r="D30" t="inlineStr">
        <is>
          <t>Bid</t>
        </is>
      </c>
      <c r="E30" t="inlineStr">
        <is>
          <t>1</t>
        </is>
      </c>
      <c r="F30" t="inlineStr">
        <is>
          <t>2</t>
        </is>
      </c>
      <c r="G30" t="inlineStr">
        <is>
          <t>Strategic</t>
        </is>
      </c>
      <c r="H30" t="inlineStr">
        <is>
          <t>Revised indication of interest: all-cash $19.50 per share; Pamplona committed to provide 100% of the capital required to consummate the transaction; requested two weeks of exclusive negotiations. Light: committed financing, no diligence condition reported (exclusivity request does not change the level).</t>
        </is>
      </c>
      <c r="I30" t="inlineStr">
        <is>
          <t>Informal</t>
        </is>
      </c>
      <c r="J30" t="inlineStr">
        <is>
          <t>Light</t>
        </is>
      </c>
      <c r="K30" t="inlineStr">
        <is>
          <t>Stated. “On September 9, 2013, CSC/Pamplona submitted a revised indication of interest with an all-cash purchase price of $19.50 per share, indicating that Pamplona was committed to provide 100% of the capital required to consummate the transaction and requesting that CSC/Pamplona and Mac-Gray agree to exclusive negotiations for two weeks.” (p.35)</t>
        </is>
      </c>
      <c r="L30" t="inlineStr">
        <is>
          <t>P-047</t>
        </is>
      </c>
      <c r="M30" t="inlineStr">
        <is>
          <t>Q5</t>
        </is>
      </c>
      <c r="N30" t="inlineStr"/>
      <c r="O30" t="inlineStr">
        <is>
          <t>R029</t>
        </is>
      </c>
      <c r="P30" t="inlineStr">
        <is>
          <t>Yes</t>
        </is>
      </c>
      <c r="Q30" t="n">
        <v>1</v>
      </c>
      <c r="R30" s="17" t="n">
        <v>41526</v>
      </c>
      <c r="S30" s="17" t="n">
        <v>41526</v>
      </c>
      <c r="T30" s="17" t="n">
        <v>41526</v>
      </c>
      <c r="U30" t="inlineStr">
        <is>
          <t>Reported day</t>
        </is>
      </c>
      <c r="V30" t="inlineStr">
        <is>
          <t>Reported</t>
        </is>
      </c>
      <c r="W30" t="n">
        <v>19.5</v>
      </c>
      <c r="X30" t="n">
        <v>19.5</v>
      </c>
      <c r="Y30" t="inlineStr">
        <is>
          <t>Point</t>
        </is>
      </c>
      <c r="Z30" t="inlineStr">
        <is>
          <t>Stated</t>
        </is>
      </c>
      <c r="AA30" t="inlineStr">
        <is>
          <t>USD</t>
        </is>
      </c>
      <c r="AB30" t="inlineStr">
        <is>
          <t>Yes</t>
        </is>
      </c>
      <c r="AC30" t="n">
        <v>19.5</v>
      </c>
      <c r="AD30" t="inlineStr">
        <is>
          <t>Fin: committed; DD required: not stated; DD open: yes; Excl: requested (2 wks)</t>
        </is>
      </c>
      <c r="AF30" t="inlineStr"/>
      <c r="AG30" t="inlineStr"/>
      <c r="AH30" t="inlineStr"/>
      <c r="AI30" t="inlineStr"/>
      <c r="AJ30" t="inlineStr"/>
      <c r="AK30" t="n">
        <v>35</v>
      </c>
      <c r="AL30" t="inlineStr">
        <is>
          <t>R020; R037</t>
        </is>
      </c>
      <c r="AM30" t="inlineStr">
        <is>
          <t>Mac-Gray</t>
        </is>
      </c>
    </row>
    <row r="31">
      <c r="A31" t="n">
        <v>30</v>
      </c>
      <c r="B31" t="inlineStr">
        <is>
          <t>09/09/2013</t>
        </is>
      </c>
      <c r="C31" t="inlineStr">
        <is>
          <t>Party B</t>
        </is>
      </c>
      <c r="D31" t="inlineStr">
        <is>
          <t>Bid</t>
        </is>
      </c>
      <c r="E31" t="inlineStr">
        <is>
          <t>1</t>
        </is>
      </c>
      <c r="F31" t="inlineStr">
        <is>
          <t>2</t>
        </is>
      </c>
      <c r="G31" t="inlineStr">
        <is>
          <t>Financial</t>
        </is>
      </c>
      <c r="H31" t="inlineStr">
        <is>
          <t>Revised indication of interest: all-cash $18.50 per share; proposed financing from a combination of affiliated-fund equity and third-party debt; no firm financing commitment (stated) — Heavy.</t>
        </is>
      </c>
      <c r="I31" t="inlineStr">
        <is>
          <t>Informal</t>
        </is>
      </c>
      <c r="J31" t="inlineStr">
        <is>
          <t>Heavy</t>
        </is>
      </c>
      <c r="K31" t="inlineStr">
        <is>
          <t>Stated. “Party B also submitted a revised indication of interest with an all-cash purchase price of $18.50 per share and proposed to finance the transaction with a combination of equity from affiliated funds and third party debt. Party B's revised indication of interest did not include a firm financing commitment.” (p.35)</t>
        </is>
      </c>
      <c r="L31" t="inlineStr">
        <is>
          <t>P-047</t>
        </is>
      </c>
      <c r="M31" t="inlineStr">
        <is>
          <t>Q5</t>
        </is>
      </c>
      <c r="N31" t="inlineStr"/>
      <c r="O31" t="inlineStr">
        <is>
          <t>R030</t>
        </is>
      </c>
      <c r="P31" t="inlineStr">
        <is>
          <t>Yes</t>
        </is>
      </c>
      <c r="Q31" t="n">
        <v>1</v>
      </c>
      <c r="R31" s="17" t="n">
        <v>41526</v>
      </c>
      <c r="S31" s="17" t="n">
        <v>41526</v>
      </c>
      <c r="T31" s="17" t="n">
        <v>41526</v>
      </c>
      <c r="U31" t="inlineStr">
        <is>
          <t>Reported day</t>
        </is>
      </c>
      <c r="V31" t="inlineStr">
        <is>
          <t>Reported</t>
        </is>
      </c>
      <c r="W31" t="n">
        <v>18.5</v>
      </c>
      <c r="X31" t="n">
        <v>18.5</v>
      </c>
      <c r="Y31" t="inlineStr">
        <is>
          <t>Point</t>
        </is>
      </c>
      <c r="Z31" t="inlineStr">
        <is>
          <t>Stated</t>
        </is>
      </c>
      <c r="AA31" t="inlineStr">
        <is>
          <t>USD</t>
        </is>
      </c>
      <c r="AB31" t="inlineStr">
        <is>
          <t>Yes</t>
        </is>
      </c>
      <c r="AC31" t="n">
        <v>18.5</v>
      </c>
      <c r="AD31" t="inlineStr">
        <is>
          <t>Fin: not committed; DD required: not stated; DD open: yes; Excl: not stated</t>
        </is>
      </c>
      <c r="AF31" t="inlineStr"/>
      <c r="AG31" t="inlineStr"/>
      <c r="AH31" t="inlineStr"/>
      <c r="AI31" t="inlineStr"/>
      <c r="AJ31" t="inlineStr"/>
      <c r="AK31" t="n">
        <v>35</v>
      </c>
      <c r="AL31" t="inlineStr">
        <is>
          <t>R022; R039</t>
        </is>
      </c>
      <c r="AM31" t="inlineStr">
        <is>
          <t>Mac-Gray</t>
        </is>
      </c>
    </row>
    <row r="32">
      <c r="A32" t="n">
        <v>31</v>
      </c>
      <c r="B32" t="inlineStr">
        <is>
          <t>09/10/2013</t>
        </is>
      </c>
      <c r="C32" t="inlineStr">
        <is>
          <t>Party A</t>
        </is>
      </c>
      <c r="D32" t="inlineStr">
        <is>
          <t>Bid</t>
        </is>
      </c>
      <c r="E32" t="inlineStr">
        <is>
          <t>1</t>
        </is>
      </c>
      <c r="F32" t="inlineStr">
        <is>
          <t>2</t>
        </is>
      </c>
      <c r="G32" t="inlineStr">
        <is>
          <t>Strategic</t>
        </is>
      </c>
      <c r="H32" t="inlineStr">
        <is>
          <t>Revised indication of interest: all-cash $18.00–$19.00 per share, to be financed by outstanding credit facilities or affiliated equity sources; no firm financing commitment (stated) — Heavy.</t>
        </is>
      </c>
      <c r="I32" t="inlineStr">
        <is>
          <t>Informal</t>
        </is>
      </c>
      <c r="J32" t="inlineStr">
        <is>
          <t>Heavy</t>
        </is>
      </c>
      <c r="K32" t="inlineStr">
        <is>
          <t>Stated. “On September 10, 2013, Party A submitted a revised indication of interest with an all-cash purchase price of $18.00 to $19.00 per share, to be financed by outstanding credit facilities or affiliated equity sources.” “Neither Party A's nor Party C's revised indication of interest included a firm financing commitment.” (both p.35)</t>
        </is>
      </c>
      <c r="L32" t="inlineStr">
        <is>
          <t>P-048</t>
        </is>
      </c>
      <c r="M32" t="inlineStr">
        <is>
          <t>Q5</t>
        </is>
      </c>
      <c r="N32" t="inlineStr"/>
      <c r="O32" t="inlineStr">
        <is>
          <t>R031</t>
        </is>
      </c>
      <c r="P32" t="inlineStr">
        <is>
          <t>Yes</t>
        </is>
      </c>
      <c r="Q32" t="n">
        <v>1</v>
      </c>
      <c r="R32" s="17" t="n">
        <v>41527</v>
      </c>
      <c r="S32" s="17" t="n">
        <v>41527</v>
      </c>
      <c r="T32" s="17" t="n">
        <v>41527</v>
      </c>
      <c r="U32" t="inlineStr">
        <is>
          <t>Reported day</t>
        </is>
      </c>
      <c r="V32" t="inlineStr">
        <is>
          <t>Reported</t>
        </is>
      </c>
      <c r="W32" t="n">
        <v>18</v>
      </c>
      <c r="X32" t="n">
        <v>19</v>
      </c>
      <c r="Y32" t="inlineStr">
        <is>
          <t>Bidder range</t>
        </is>
      </c>
      <c r="Z32" t="inlineStr">
        <is>
          <t>Stated</t>
        </is>
      </c>
      <c r="AA32" t="inlineStr">
        <is>
          <t>USD</t>
        </is>
      </c>
      <c r="AB32" t="inlineStr">
        <is>
          <t>Yes</t>
        </is>
      </c>
      <c r="AC32" t="inlineStr"/>
      <c r="AD32" t="inlineStr">
        <is>
          <t>Fin: not committed; DD required: not stated; DD open: yes; Excl: not stated</t>
        </is>
      </c>
      <c r="AF32" t="inlineStr"/>
      <c r="AG32" t="inlineStr"/>
      <c r="AH32" t="inlineStr"/>
      <c r="AI32" t="inlineStr"/>
      <c r="AJ32" t="inlineStr"/>
      <c r="AK32" t="n">
        <v>35</v>
      </c>
      <c r="AL32" t="inlineStr">
        <is>
          <t>R010; R038</t>
        </is>
      </c>
      <c r="AM32" t="inlineStr">
        <is>
          <t>Mac-Gray</t>
        </is>
      </c>
    </row>
    <row r="33">
      <c r="A33" t="n">
        <v>32</v>
      </c>
      <c r="B33" t="inlineStr">
        <is>
          <t>09/10/2013</t>
        </is>
      </c>
      <c r="C33" t="inlineStr">
        <is>
          <t>Party C</t>
        </is>
      </c>
      <c r="D33" t="inlineStr">
        <is>
          <t>Bid</t>
        </is>
      </c>
      <c r="E33" t="inlineStr">
        <is>
          <t>1</t>
        </is>
      </c>
      <c r="F33" t="inlineStr">
        <is>
          <t>2</t>
        </is>
      </c>
      <c r="G33" t="inlineStr">
        <is>
          <t>Financial</t>
        </is>
      </c>
      <c r="H33" t="inlineStr">
        <is>
          <t>Revised oral indication of interest (telephone call to BofA Merrill Lynch): all-cash $16.00–$17.00 per share; no firm financing commitment (stated) — Heavy.</t>
        </is>
      </c>
      <c r="I33" t="inlineStr">
        <is>
          <t>Informal</t>
        </is>
      </c>
      <c r="J33" t="inlineStr">
        <is>
          <t>Heavy</t>
        </is>
      </c>
      <c r="K33" t="inlineStr">
        <is>
          <t>Stated. “in a telephone call to a representative of BofA Merrill Lynch, a representative of Party C indicated that it was submitting a revised oral indication of interest with an all-cash purchase price of $16.00 to $17.00 per share. Neither Party A's nor Party C's revised indication of interest included a firm financing commitment.” (p.35)</t>
        </is>
      </c>
      <c r="L33" t="inlineStr">
        <is>
          <t>P-048</t>
        </is>
      </c>
      <c r="M33" t="inlineStr">
        <is>
          <t>Q5</t>
        </is>
      </c>
      <c r="N33" t="inlineStr"/>
      <c r="O33" t="inlineStr">
        <is>
          <t>R032</t>
        </is>
      </c>
      <c r="P33" t="inlineStr">
        <is>
          <t>Yes</t>
        </is>
      </c>
      <c r="Q33" t="n">
        <v>1</v>
      </c>
      <c r="R33" s="17" t="n">
        <v>41527</v>
      </c>
      <c r="S33" s="17" t="n">
        <v>41527</v>
      </c>
      <c r="T33" s="17" t="n">
        <v>41527</v>
      </c>
      <c r="U33" t="inlineStr">
        <is>
          <t>Reported day</t>
        </is>
      </c>
      <c r="V33" t="inlineStr">
        <is>
          <t>Reported</t>
        </is>
      </c>
      <c r="W33" t="n">
        <v>16</v>
      </c>
      <c r="X33" t="n">
        <v>17</v>
      </c>
      <c r="Y33" t="inlineStr">
        <is>
          <t>Bidder range</t>
        </is>
      </c>
      <c r="Z33" t="inlineStr">
        <is>
          <t>Stated</t>
        </is>
      </c>
      <c r="AA33" t="inlineStr">
        <is>
          <t>USD</t>
        </is>
      </c>
      <c r="AB33" t="inlineStr">
        <is>
          <t>Yes</t>
        </is>
      </c>
      <c r="AC33" t="inlineStr"/>
      <c r="AD33" t="inlineStr">
        <is>
          <t>Fin: not committed; DD required: not stated; DD open: yes; Excl: not stated</t>
        </is>
      </c>
      <c r="AF33" t="inlineStr"/>
      <c r="AG33" t="inlineStr"/>
      <c r="AH33" t="inlineStr"/>
      <c r="AI33" t="inlineStr"/>
      <c r="AJ33" t="inlineStr"/>
      <c r="AK33" t="n">
        <v>35</v>
      </c>
      <c r="AL33" t="inlineStr">
        <is>
          <t>R023; R040</t>
        </is>
      </c>
      <c r="AM33" t="inlineStr">
        <is>
          <t>Mac-Gray</t>
        </is>
      </c>
    </row>
    <row r="34">
      <c r="A34" t="n">
        <v>33</v>
      </c>
      <c r="B34" t="inlineStr">
        <is>
          <t>09/11/2013</t>
        </is>
      </c>
      <c r="C34" t="inlineStr">
        <is>
          <t>Transaction Committee → Mr. MacDonald (rollover)</t>
        </is>
      </c>
      <c r="D34" t="inlineStr">
        <is>
          <t>Material process update</t>
        </is>
      </c>
      <c r="E34" t="inlineStr">
        <is>
          <t>1</t>
        </is>
      </c>
      <c r="F34" t="inlineStr">
        <is>
          <t>2</t>
        </is>
      </c>
      <c r="G34" t="inlineStr"/>
      <c r="H34" t="inlineStr">
        <is>
          <t>Rollover (declined): the Transaction Committee gave Mr. MacDonald, without identifying bidders or prices, a limited overview of the process status so he could consider whether he remained interested in a possible rollover of his Mac-Gray shares; he stated he had decided he was not interested in rolling over any shares in any transaction.</t>
        </is>
      </c>
      <c r="I34" t="inlineStr"/>
      <c r="J34" t="inlineStr"/>
      <c r="K34" t="inlineStr">
        <is>
          <t>Stated. “provided Mr. MacDonald with a limited overview of the status of the Special Committee's review of strategic alternatives, including the decision to engage in strategic alternatives process, and the negotiations between Mac-Gray and CSC/Pamplona so that Mr. MacDonald could consider whether he continued to have an interest in potentially rolling over any of his Mac-Gray shares in a transaction. During this call, Mr. MacDonald indicated that he had decided that he was not interested in rolling over any of his shares in any transaction.” (p.35)</t>
        </is>
      </c>
      <c r="L34" t="inlineStr">
        <is>
          <t>P-049</t>
        </is>
      </c>
      <c r="M34" t="inlineStr"/>
      <c r="N34" t="inlineStr"/>
      <c r="O34" t="inlineStr">
        <is>
          <t>R033</t>
        </is>
      </c>
      <c r="P34" t="inlineStr">
        <is>
          <t>Yes</t>
        </is>
      </c>
      <c r="R34" s="17" t="n">
        <v>41528</v>
      </c>
      <c r="S34" s="17" t="n">
        <v>41528</v>
      </c>
      <c r="T34" s="17" t="n">
        <v>41528</v>
      </c>
      <c r="U34" t="inlineStr">
        <is>
          <t>Reported day</t>
        </is>
      </c>
      <c r="V34" t="inlineStr">
        <is>
          <t>Reported</t>
        </is>
      </c>
      <c r="Y34" t="inlineStr"/>
      <c r="Z34" t="inlineStr"/>
      <c r="AA34" t="inlineStr"/>
      <c r="AB34" t="inlineStr"/>
      <c r="AD34" t="inlineStr"/>
      <c r="AF34" t="inlineStr"/>
      <c r="AG34" t="inlineStr"/>
      <c r="AH34" t="inlineStr"/>
      <c r="AI34" t="inlineStr"/>
      <c r="AJ34" t="inlineStr"/>
      <c r="AK34" t="n">
        <v>35</v>
      </c>
      <c r="AL34" t="inlineStr">
        <is>
          <t>R034; R035</t>
        </is>
      </c>
      <c r="AM34" t="inlineStr">
        <is>
          <t>Mac-Gray</t>
        </is>
      </c>
    </row>
    <row r="35">
      <c r="A35" t="n">
        <v>34</v>
      </c>
      <c r="B35" t="inlineStr">
        <is>
          <t>09/11/2013</t>
        </is>
      </c>
      <c r="C35" t="inlineStr">
        <is>
          <t>Special Committee</t>
        </is>
      </c>
      <c r="D35" t="inlineStr">
        <is>
          <t>Round opened</t>
        </is>
      </c>
      <c r="E35" t="inlineStr">
        <is>
          <t>1</t>
        </is>
      </c>
      <c r="F35" t="inlineStr">
        <is>
          <t>3</t>
        </is>
      </c>
      <c r="G35" t="inlineStr"/>
      <c r="H35" t="inlineStr">
        <is>
          <t>Round 3 opened: after BofA reported it was unlikely any bidder would proceed without Mr. MacDonald's express support and the Committee agreed his perspective on price was critical, the Special Committee instructed BofA to call Party A, Party B, Party C and CSC/Pamplona to request final indications of interest by 09/18/2013 and to indicate that Mac-Gray would consider a short period of exclusive negotiations with one bidder depending on price and deal certainty. Deadline set: final indications due 09/18/2013. Round finality: Announced as final — bidders were told this was the final indications stage. Round-3 bidders: Party A, Party B, Party C, CSC/Pamplona (4 invited).</t>
        </is>
      </c>
      <c r="I35" t="inlineStr"/>
      <c r="J35" t="inlineStr"/>
      <c r="K35" t="inlineStr">
        <is>
          <t>Stated. “the Special Committee instructed BofA Merrill Lynch to call each of Party A, Party B, Party C and CSC/Pamplona to request final indications of interest by September 18, 2013 and to indicate that Mac-Gray would consider engaging in a short period of exclusive negotiations with one of the bidders depending upon, among other things, the proposed purchase price and the level of deal certainty indicated in the bidder's final proposal.” “any potential acquiror would be unlikely to proceed without knowing that Mr. MacDonald would support the transaction.” (both p.36)</t>
        </is>
      </c>
      <c r="L35" t="inlineStr">
        <is>
          <t>P-050</t>
        </is>
      </c>
      <c r="M35" t="inlineStr">
        <is>
          <t>Q1</t>
        </is>
      </c>
      <c r="N35" t="inlineStr"/>
      <c r="O35" t="inlineStr">
        <is>
          <t>R034</t>
        </is>
      </c>
      <c r="P35" t="inlineStr">
        <is>
          <t>Yes</t>
        </is>
      </c>
      <c r="R35" s="17" t="n">
        <v>41528</v>
      </c>
      <c r="S35" s="17" t="n">
        <v>41528</v>
      </c>
      <c r="T35" s="17" t="n">
        <v>41528</v>
      </c>
      <c r="U35" t="inlineStr">
        <is>
          <t>Reported day</t>
        </is>
      </c>
      <c r="V35" t="inlineStr">
        <is>
          <t>Reported</t>
        </is>
      </c>
      <c r="Y35" t="inlineStr"/>
      <c r="Z35" t="inlineStr"/>
      <c r="AA35" t="inlineStr"/>
      <c r="AB35" t="inlineStr"/>
      <c r="AD35" t="inlineStr"/>
      <c r="AE35" s="17" t="n">
        <v>41535</v>
      </c>
      <c r="AF35" t="inlineStr"/>
      <c r="AG35" t="inlineStr">
        <is>
          <t>Announced as final</t>
        </is>
      </c>
      <c r="AH35" t="inlineStr"/>
      <c r="AI35" t="inlineStr"/>
      <c r="AJ35" t="inlineStr"/>
      <c r="AK35" t="n">
        <v>36</v>
      </c>
      <c r="AL35" t="inlineStr">
        <is>
          <t>R033; R035; R036</t>
        </is>
      </c>
      <c r="AM35" t="inlineStr">
        <is>
          <t>Mac-Gray</t>
        </is>
      </c>
    </row>
    <row r="36">
      <c r="A36" t="n">
        <v>35</v>
      </c>
      <c r="B36" t="inlineStr">
        <is>
          <t>09/12/2013</t>
        </is>
      </c>
      <c r="C36" t="inlineStr">
        <is>
          <t>BofA Merrill Lynch → Mr. MacDonald</t>
        </is>
      </c>
      <c r="D36" t="inlineStr">
        <is>
          <t>Material process update</t>
        </is>
      </c>
      <c r="E36" t="inlineStr">
        <is>
          <t>1</t>
        </is>
      </c>
      <c r="F36" t="inlineStr">
        <is>
          <t>3</t>
        </is>
      </c>
      <c r="G36" t="inlineStr"/>
      <c r="H36" t="inlineStr">
        <is>
          <t>Mr. MacDonald received a detailed overview of the process, the status of negotiations and the identities of Party A, Party B, Party C and CSC/Pamplona; he voiced general support for continuing the process but expressed the view that Mac-Gray should continue to seek a higher value for stockholders.</t>
        </is>
      </c>
      <c r="I36" t="inlineStr"/>
      <c r="J36" t="inlineStr"/>
      <c r="K36" t="inlineStr">
        <is>
          <t>Stated. “representatives of BofA Merrill Lynch participated in a telephone conference call with Mr. MacDonald and provided him with a detailed overview of the strategic alternatives process, including the status of negotiations with and the identity of Party A, Party B, Party C and CSC/Pamplona. Although Mr. MacDonald voiced his general support for continuing with the process, he expressed his view that Mac-Gray should continue to seek a higher value for stockholders.” (p.36)</t>
        </is>
      </c>
      <c r="L36" t="inlineStr">
        <is>
          <t>P-051</t>
        </is>
      </c>
      <c r="M36" t="inlineStr"/>
      <c r="N36" t="inlineStr"/>
      <c r="O36" t="inlineStr">
        <is>
          <t>R035</t>
        </is>
      </c>
      <c r="P36" t="inlineStr">
        <is>
          <t>Yes</t>
        </is>
      </c>
      <c r="R36" s="17" t="n">
        <v>41529</v>
      </c>
      <c r="S36" s="17" t="n">
        <v>41529</v>
      </c>
      <c r="T36" s="17" t="n">
        <v>41529</v>
      </c>
      <c r="U36" t="inlineStr">
        <is>
          <t>Reported day</t>
        </is>
      </c>
      <c r="V36" t="inlineStr">
        <is>
          <t>Reported</t>
        </is>
      </c>
      <c r="Y36" t="inlineStr"/>
      <c r="Z36" t="inlineStr"/>
      <c r="AA36" t="inlineStr"/>
      <c r="AB36" t="inlineStr"/>
      <c r="AD36" t="inlineStr"/>
      <c r="AF36" t="inlineStr"/>
      <c r="AG36" t="inlineStr"/>
      <c r="AH36" t="inlineStr"/>
      <c r="AI36" t="inlineStr"/>
      <c r="AJ36" t="inlineStr"/>
      <c r="AK36" t="n">
        <v>36</v>
      </c>
      <c r="AL36" t="inlineStr">
        <is>
          <t>R034; R041</t>
        </is>
      </c>
      <c r="AM36" t="inlineStr">
        <is>
          <t>Mac-Gray</t>
        </is>
      </c>
    </row>
    <row r="37">
      <c r="A37" t="n">
        <v>36</v>
      </c>
      <c r="B37" t="inlineStr">
        <is>
          <t>09/18/2013 (scheduled due date for final indications)</t>
        </is>
      </c>
      <c r="C37" t="inlineStr">
        <is>
          <t>Party A, Party B, Party C, CSC/Pamplona (solicitation deadline)</t>
        </is>
      </c>
      <c r="D37" t="inlineStr">
        <is>
          <t>Deadline</t>
        </is>
      </c>
      <c r="E37" t="inlineStr">
        <is>
          <t>1</t>
        </is>
      </c>
      <c r="F37" t="inlineStr">
        <is>
          <t>3</t>
        </is>
      </c>
      <c r="G37" t="inlineStr"/>
      <c r="H37" t="inlineStr">
        <is>
          <t>Final indications of interest were due 09/18/2013. CSC/Pamplona and Party B submitted, Party A reiterated its prior offer, and Party C did not submit. The Special Committee evaluated the proposals on 09/19/2013 (enforced: the date passed with no extension and the target took its next step on the bids in hand).</t>
        </is>
      </c>
      <c r="I37" t="inlineStr"/>
      <c r="J37" t="inlineStr"/>
      <c r="K37" t="inlineStr">
        <is>
          <t>Stated (due date reached and operative). “request final indications of interest by September 18, 2013” (p.36); submissions and evaluation at P-053 and P-054. No extension disclosed; selection followed 09/19/2013 (P-055, p.37).</t>
        </is>
      </c>
      <c r="L37" t="inlineStr">
        <is>
          <t>P-050; P-053; P-054; P-055</t>
        </is>
      </c>
      <c r="M37" t="inlineStr">
        <is>
          <t>Q2</t>
        </is>
      </c>
      <c r="N37" t="inlineStr"/>
      <c r="O37" t="inlineStr">
        <is>
          <t>R036</t>
        </is>
      </c>
      <c r="P37" t="inlineStr">
        <is>
          <t>Yes</t>
        </is>
      </c>
      <c r="R37" s="17" t="n">
        <v>41535</v>
      </c>
      <c r="S37" s="17" t="n">
        <v>41535</v>
      </c>
      <c r="T37" s="17" t="n">
        <v>41535</v>
      </c>
      <c r="U37" t="inlineStr">
        <is>
          <t>Reported day</t>
        </is>
      </c>
      <c r="V37" t="inlineStr">
        <is>
          <t>Reported</t>
        </is>
      </c>
      <c r="Y37" t="inlineStr"/>
      <c r="Z37" t="inlineStr"/>
      <c r="AA37" t="inlineStr"/>
      <c r="AB37" t="inlineStr"/>
      <c r="AD37" t="inlineStr"/>
      <c r="AE37" s="17" t="n">
        <v>41535</v>
      </c>
      <c r="AF37" t="inlineStr">
        <is>
          <t>Enforced</t>
        </is>
      </c>
      <c r="AG37" t="inlineStr"/>
      <c r="AH37" t="inlineStr"/>
      <c r="AI37" t="inlineStr"/>
      <c r="AJ37" t="inlineStr"/>
      <c r="AK37" t="n">
        <v>36</v>
      </c>
      <c r="AL37" t="inlineStr">
        <is>
          <t>R034; R037; R040</t>
        </is>
      </c>
      <c r="AM37" t="inlineStr">
        <is>
          <t>Mac-Gray</t>
        </is>
      </c>
    </row>
    <row r="38">
      <c r="A38" t="n">
        <v>37</v>
      </c>
      <c r="B38" t="inlineStr">
        <is>
          <t>09/18/2013</t>
        </is>
      </c>
      <c r="C38" t="inlineStr">
        <is>
          <t>CSC/Pamplona</t>
        </is>
      </c>
      <c r="D38" t="inlineStr">
        <is>
          <t>Bid</t>
        </is>
      </c>
      <c r="E38" t="inlineStr">
        <is>
          <t>1</t>
        </is>
      </c>
      <c r="F38" t="inlineStr">
        <is>
          <t>3</t>
        </is>
      </c>
      <c r="G38" t="inlineStr">
        <is>
          <t>Strategic</t>
        </is>
      </c>
      <c r="H38" t="inlineStr">
        <is>
          <t>Final-round proposal: all-cash $20.75 per share; Pamplona committed to provide 100% of the capital required; requested two weeks of exclusive negotiations. Formal as a response on the requested basis to the target's final-indications solicitation (signal 2). Light: committed financing and no diligence condition reported.</t>
        </is>
      </c>
      <c r="I38" t="inlineStr">
        <is>
          <t>Formal</t>
        </is>
      </c>
      <c r="J38" t="inlineStr">
        <is>
          <t>Light</t>
        </is>
      </c>
      <c r="K38" t="inlineStr">
        <is>
          <t>Stated. “On September 18, 2013, CSC/Pamplona submitted a proposal for an all-cash purchase price of $20.75 per share, reiterating that Pamplona was committed to provide 100% of the capital required to consummate the transaction and requesting that CSC/Pamplona and Mac-Gray agree to engage in exclusive negotiations for two weeks.” (p.36) Final solicitation: “request final indications of interest by September 18, 2013” (P-050, p.36).</t>
        </is>
      </c>
      <c r="L38" t="inlineStr">
        <is>
          <t>P-053; P-050</t>
        </is>
      </c>
      <c r="M38" t="inlineStr">
        <is>
          <t>Q5</t>
        </is>
      </c>
      <c r="N38" t="inlineStr"/>
      <c r="O38" t="inlineStr">
        <is>
          <t>R037</t>
        </is>
      </c>
      <c r="P38" t="inlineStr">
        <is>
          <t>Yes</t>
        </is>
      </c>
      <c r="Q38" t="n">
        <v>1</v>
      </c>
      <c r="R38" s="17" t="n">
        <v>41535</v>
      </c>
      <c r="S38" s="17" t="n">
        <v>41535</v>
      </c>
      <c r="T38" s="17" t="n">
        <v>41535</v>
      </c>
      <c r="U38" t="inlineStr">
        <is>
          <t>Reported day</t>
        </is>
      </c>
      <c r="V38" t="inlineStr">
        <is>
          <t>Reported</t>
        </is>
      </c>
      <c r="W38" t="n">
        <v>20.75</v>
      </c>
      <c r="X38" t="n">
        <v>20.75</v>
      </c>
      <c r="Y38" t="inlineStr">
        <is>
          <t>Point</t>
        </is>
      </c>
      <c r="Z38" t="inlineStr">
        <is>
          <t>Stated</t>
        </is>
      </c>
      <c r="AA38" t="inlineStr">
        <is>
          <t>USD</t>
        </is>
      </c>
      <c r="AB38" t="inlineStr">
        <is>
          <t>Yes</t>
        </is>
      </c>
      <c r="AC38" t="n">
        <v>20.75</v>
      </c>
      <c r="AD38" t="inlineStr">
        <is>
          <t>Fin: committed; DD required: not stated; DD open: yes; Excl: requested (2 wks)</t>
        </is>
      </c>
      <c r="AF38" t="inlineStr"/>
      <c r="AG38" t="inlineStr"/>
      <c r="AH38" t="inlineStr"/>
      <c r="AI38" t="inlineStr"/>
      <c r="AJ38" t="inlineStr"/>
      <c r="AK38" t="n">
        <v>36</v>
      </c>
      <c r="AL38" t="inlineStr">
        <is>
          <t>R029; R041; R043</t>
        </is>
      </c>
      <c r="AM38" t="inlineStr">
        <is>
          <t>Mac-Gray</t>
        </is>
      </c>
    </row>
    <row r="39">
      <c r="A39" t="n">
        <v>38</v>
      </c>
      <c r="B39" t="inlineStr">
        <is>
          <t>09/18/2013</t>
        </is>
      </c>
      <c r="C39" t="inlineStr">
        <is>
          <t>Party A</t>
        </is>
      </c>
      <c r="D39" t="inlineStr">
        <is>
          <t>Bid reaffirmed</t>
        </is>
      </c>
      <c r="E39" t="inlineStr">
        <is>
          <t>1</t>
        </is>
      </c>
      <c r="F39" t="inlineStr">
        <is>
          <t>3</t>
        </is>
      </c>
      <c r="G39" t="inlineStr">
        <is>
          <t>Strategic</t>
        </is>
      </c>
      <c r="H39" t="inlineStr">
        <is>
          <t>Party A reiterated by telephone that its previous $18.00–$19.00 all-cash indication was its best and final offer; no new price. Formal as a supported best-and-final response to the target's final-indications solicitation (signal 2). Heavy: no firm financing commitment was ever reported.</t>
        </is>
      </c>
      <c r="I39" t="inlineStr">
        <is>
          <t>Formal</t>
        </is>
      </c>
      <c r="J39" t="inlineStr">
        <is>
          <t>Heavy</t>
        </is>
      </c>
      <c r="K39" t="inlineStr">
        <is>
          <t>Stated (reaffirmation). “Party A reiterated in a telephone call to a representative of BofA Merrill Lynch that its previous indication of interest with an all-cash purchase price of $18.00 to $19.00 per share was its best and final offer.” (p.36) Financing position carried: “Neither Party A's nor Party C's revised indication of interest included a firm financing commitment.” (P-048, p.35)</t>
        </is>
      </c>
      <c r="L39" t="inlineStr">
        <is>
          <t>P-053; P-048</t>
        </is>
      </c>
      <c r="M39" t="inlineStr">
        <is>
          <t>Q5</t>
        </is>
      </c>
      <c r="N39" t="inlineStr"/>
      <c r="O39" t="inlineStr">
        <is>
          <t>R038</t>
        </is>
      </c>
      <c r="P39" t="inlineStr">
        <is>
          <t>Yes</t>
        </is>
      </c>
      <c r="Q39" t="n">
        <v>1</v>
      </c>
      <c r="R39" s="17" t="n">
        <v>41535</v>
      </c>
      <c r="S39" s="17" t="n">
        <v>41535</v>
      </c>
      <c r="T39" s="17" t="n">
        <v>41535</v>
      </c>
      <c r="U39" t="inlineStr">
        <is>
          <t>Reported day</t>
        </is>
      </c>
      <c r="V39" t="inlineStr">
        <is>
          <t>Reported</t>
        </is>
      </c>
      <c r="W39" t="n">
        <v>18</v>
      </c>
      <c r="X39" t="n">
        <v>19</v>
      </c>
      <c r="Y39" t="inlineStr">
        <is>
          <t>Bidder range</t>
        </is>
      </c>
      <c r="Z39" t="inlineStr">
        <is>
          <t>Carried forward</t>
        </is>
      </c>
      <c r="AA39" t="inlineStr">
        <is>
          <t>USD</t>
        </is>
      </c>
      <c r="AB39" t="inlineStr">
        <is>
          <t>Yes</t>
        </is>
      </c>
      <c r="AC39" t="inlineStr"/>
      <c r="AD39" t="inlineStr">
        <is>
          <t>Fin: not committed; DD required: not stated; DD open: yes; Excl: not stated</t>
        </is>
      </c>
      <c r="AF39" t="inlineStr"/>
      <c r="AG39" t="inlineStr"/>
      <c r="AH39" t="inlineStr"/>
      <c r="AI39" t="inlineStr"/>
      <c r="AJ39" t="inlineStr"/>
      <c r="AK39" t="n">
        <v>36</v>
      </c>
      <c r="AL39" t="inlineStr">
        <is>
          <t>R031; R041</t>
        </is>
      </c>
      <c r="AM39" t="inlineStr">
        <is>
          <t>Mac-Gray</t>
        </is>
      </c>
    </row>
    <row r="40">
      <c r="A40" t="n">
        <v>39</v>
      </c>
      <c r="B40" t="inlineStr">
        <is>
          <t>09/18/2013</t>
        </is>
      </c>
      <c r="C40" t="inlineStr">
        <is>
          <t>Party B</t>
        </is>
      </c>
      <c r="D40" t="inlineStr">
        <is>
          <t>Bid</t>
        </is>
      </c>
      <c r="E40" t="inlineStr">
        <is>
          <t>1</t>
        </is>
      </c>
      <c r="F40" t="inlineStr">
        <is>
          <t>3</t>
        </is>
      </c>
      <c r="G40" t="inlineStr">
        <is>
          <t>Financial</t>
        </is>
      </c>
      <c r="H40" t="inlineStr">
        <is>
          <t>Revised final-round indication: a price Party B valued at $21.50 per share, comprising $19.00 cash at closing plus options representing 10% of the new equity (strike equal to Party B's initial cost basis; vesting over five years on achievement of the base-case management projections excluding future acquisitions), which Party B valued at $2.50 of incremental value per share. Bidder-valued package — the option component is non-cash and not guaranteed; All cash = No. Formal as a response to the final-indications solicitation (signal 2). Heavy: financing not committed (09/09) and the Committee later noted the third-party debt financing risk.</t>
        </is>
      </c>
      <c r="I40" t="inlineStr">
        <is>
          <t>Formal</t>
        </is>
      </c>
      <c r="J40" t="inlineStr">
        <is>
          <t>Heavy</t>
        </is>
      </c>
      <c r="K40" t="inlineStr">
        <is>
          <t>Stated. “Party B also submitted a revised indication of interest with a purchase price that Party B valued at $21.50 per share, including $19.00 of cash to be paid at closing and the remaining per share price to be paid in the form of options to be issued to Mac-Gray stockholders, representing 10% of the new equity with a strike price equal to Party B's initial cost basis.” “These options, which we refer to as the Party B options, would vest on the achievement of the base case management projections (i.e., over five years), excluding any future acquisitions. Party B's proposal stated that it valued the Party B options at $2.50 of incremental value per share.” (p.36) “Party B would likely be financing the transaction with a combination of equity from affiliated funds and third party debt capital, which would involve more risk than the Pamplona-funded CSC/Pamplona proposal” (P-055, p.37).</t>
        </is>
      </c>
      <c r="L40" t="inlineStr">
        <is>
          <t>P-053; P-047; P-055</t>
        </is>
      </c>
      <c r="M40" t="inlineStr">
        <is>
          <t>Q5; Q6</t>
        </is>
      </c>
      <c r="N40" t="inlineStr"/>
      <c r="O40" t="inlineStr">
        <is>
          <t>R039</t>
        </is>
      </c>
      <c r="P40" t="inlineStr">
        <is>
          <t>Yes</t>
        </is>
      </c>
      <c r="Q40" t="n">
        <v>1</v>
      </c>
      <c r="R40" s="17" t="n">
        <v>41535</v>
      </c>
      <c r="S40" s="17" t="n">
        <v>41535</v>
      </c>
      <c r="T40" s="17" t="n">
        <v>41535</v>
      </c>
      <c r="U40" t="inlineStr">
        <is>
          <t>Reported day</t>
        </is>
      </c>
      <c r="V40" t="inlineStr">
        <is>
          <t>Reported</t>
        </is>
      </c>
      <c r="W40" t="n">
        <v>21.5</v>
      </c>
      <c r="X40" t="n">
        <v>21.5</v>
      </c>
      <c r="Y40" t="inlineStr">
        <is>
          <t>Point</t>
        </is>
      </c>
      <c r="Z40" t="inlineStr">
        <is>
          <t>Stated</t>
        </is>
      </c>
      <c r="AA40" t="inlineStr">
        <is>
          <t>USD</t>
        </is>
      </c>
      <c r="AB40" t="inlineStr">
        <is>
          <t>No</t>
        </is>
      </c>
      <c r="AC40" t="n">
        <v>19</v>
      </c>
      <c r="AD40" t="inlineStr">
        <is>
          <t>Fin: not committed; DD required: not stated; DD open: yes; Excl: not stated</t>
        </is>
      </c>
      <c r="AF40" t="inlineStr"/>
      <c r="AG40" t="inlineStr"/>
      <c r="AH40" t="inlineStr"/>
      <c r="AI40" t="inlineStr"/>
      <c r="AJ40" t="inlineStr"/>
      <c r="AK40" t="n">
        <v>36</v>
      </c>
      <c r="AL40" t="inlineStr">
        <is>
          <t>R030; R041</t>
        </is>
      </c>
      <c r="AM40" t="inlineStr">
        <is>
          <t>Mac-Gray</t>
        </is>
      </c>
    </row>
    <row r="41">
      <c r="A41" t="n">
        <v>40</v>
      </c>
      <c r="B41" t="inlineStr">
        <is>
          <t>by 09/18/2013</t>
        </is>
      </c>
      <c r="C41" t="inlineStr">
        <is>
          <t>Party C</t>
        </is>
      </c>
      <c r="D41" t="inlineStr">
        <is>
          <t>Did not submit</t>
        </is>
      </c>
      <c r="E41" t="inlineStr">
        <is>
          <t>1</t>
        </is>
      </c>
      <c r="F41" t="inlineStr">
        <is>
          <t>3</t>
        </is>
      </c>
      <c r="G41" t="inlineStr">
        <is>
          <t>Financial</t>
        </is>
      </c>
      <c r="H41" t="inlineStr">
        <is>
          <t>Party C did not submit a revised indication of interest and did not reiterate its prior $16.00–$17.00 indication in the final-indications solicitation; the filing states it specified no reasons. Stated non-submission; decided by the bidder; no reason given.</t>
        </is>
      </c>
      <c r="I41" t="inlineStr"/>
      <c r="J41" t="inlineStr"/>
      <c r="K41" t="inlineStr">
        <is>
          <t>Stated. “Party C did not submit a revised indication of interest or reiterate its prior indication of interest of an all-cash purchase price of $16.00 to $17.00 per share nor did it specify any reasons in connection therewith.” (p.36) “reported that Party C did not submit a revised indication of interest or reiterate its prior indication of interest” (P-054, p.36).</t>
        </is>
      </c>
      <c r="L41" t="inlineStr">
        <is>
          <t>P-053; P-054</t>
        </is>
      </c>
      <c r="M41" t="inlineStr">
        <is>
          <t>Q4</t>
        </is>
      </c>
      <c r="N41" t="inlineStr"/>
      <c r="O41" t="inlineStr">
        <is>
          <t>R040</t>
        </is>
      </c>
      <c r="P41" t="inlineStr">
        <is>
          <t>Yes</t>
        </is>
      </c>
      <c r="Q41" t="n">
        <v>1</v>
      </c>
      <c r="S41" s="17" t="n">
        <v>41535</v>
      </c>
      <c r="T41" s="17" t="n">
        <v>41535</v>
      </c>
      <c r="U41" t="inlineStr">
        <is>
          <t>Relative only</t>
        </is>
      </c>
      <c r="V41" t="inlineStr">
        <is>
          <t>Assigned: deadline</t>
        </is>
      </c>
      <c r="Y41" t="inlineStr"/>
      <c r="Z41" t="inlineStr"/>
      <c r="AA41" t="inlineStr"/>
      <c r="AB41" t="inlineStr"/>
      <c r="AD41" t="inlineStr"/>
      <c r="AF41" t="inlineStr"/>
      <c r="AG41" t="inlineStr"/>
      <c r="AH41" t="inlineStr">
        <is>
          <t>Bidder</t>
        </is>
      </c>
      <c r="AI41" t="inlineStr">
        <is>
          <t>Not stated</t>
        </is>
      </c>
      <c r="AJ41" t="inlineStr">
        <is>
          <t>Stated</t>
        </is>
      </c>
      <c r="AK41" t="n">
        <v>36</v>
      </c>
      <c r="AL41" t="inlineStr">
        <is>
          <t>R032; R036</t>
        </is>
      </c>
      <c r="AM41" t="inlineStr">
        <is>
          <t>Mac-Gray</t>
        </is>
      </c>
    </row>
    <row r="42">
      <c r="A42" t="n">
        <v>41</v>
      </c>
      <c r="B42" t="inlineStr">
        <is>
          <t>09/19/2013</t>
        </is>
      </c>
      <c r="C42" t="inlineStr">
        <is>
          <t>Special Committee</t>
        </is>
      </c>
      <c r="D42" t="inlineStr">
        <is>
          <t>Target decision</t>
        </is>
      </c>
      <c r="E42" t="inlineStr">
        <is>
          <t>1</t>
        </is>
      </c>
      <c r="F42" t="inlineStr">
        <is>
          <t>3</t>
        </is>
      </c>
      <c r="G42" t="inlineStr"/>
      <c r="H42" t="inlineStr">
        <is>
          <t>After reviewing the three final proposals and the Projections, the Committee considered CSC/Pamplona the most value with greater certainty and less risk (Party B's package was higher on its face but carried option-measurement risk and third-party debt financing), concluded CSC/Pamplona should be able to raise above $20.75, and authorized the Transaction Committee to inform CSC/Pamplona that the Special Committee was prepared to move into exclusivity at $21.25 per share. Mr. MacDonald indicated he would be supportive of $21.25.</t>
        </is>
      </c>
      <c r="I42" t="inlineStr"/>
      <c r="J42" t="inlineStr"/>
      <c r="K42" t="inlineStr">
        <is>
          <t>Stated. “the Special Committee concluded that the revised indication of interest submitted by CSC/Pamplona had the potential of delivering the most value to stockholders, provided greater certainty and involved less potential risk than the other indications. However, the Special Committee also concluded that, primarily in view of potential synergies between Mac-Gray and CSC, CSC/Pamplona should be in a position to increase their offer price above $20.75. The Special Committee then authorized the Transaction Committee to inform CSC/Pamplona that the Special Committee would be prepared to move into exclusivity at a price of $21.25 per share” “at this meeting Mr. MacDonald indicated that he would be supportive of a price of $21.25 per share” (both p.37).</t>
        </is>
      </c>
      <c r="L42" t="inlineStr">
        <is>
          <t>P-054; P-055</t>
        </is>
      </c>
      <c r="M42" t="inlineStr">
        <is>
          <t>Q1</t>
        </is>
      </c>
      <c r="N42" t="inlineStr"/>
      <c r="O42" t="inlineStr">
        <is>
          <t>R041</t>
        </is>
      </c>
      <c r="P42" t="inlineStr">
        <is>
          <t>Yes</t>
        </is>
      </c>
      <c r="R42" s="17" t="n">
        <v>41536</v>
      </c>
      <c r="S42" s="17" t="n">
        <v>41536</v>
      </c>
      <c r="T42" s="17" t="n">
        <v>41536</v>
      </c>
      <c r="U42" t="inlineStr">
        <is>
          <t>Reported day</t>
        </is>
      </c>
      <c r="V42" t="inlineStr">
        <is>
          <t>Reported</t>
        </is>
      </c>
      <c r="Y42" t="inlineStr"/>
      <c r="Z42" t="inlineStr"/>
      <c r="AA42" t="inlineStr"/>
      <c r="AB42" t="inlineStr"/>
      <c r="AD42" t="inlineStr"/>
      <c r="AF42" t="inlineStr"/>
      <c r="AG42" t="inlineStr"/>
      <c r="AH42" t="inlineStr"/>
      <c r="AI42" t="inlineStr"/>
      <c r="AJ42" t="inlineStr"/>
      <c r="AK42" t="n">
        <v>37</v>
      </c>
      <c r="AL42" t="inlineStr">
        <is>
          <t>R037; R038; R039; R042</t>
        </is>
      </c>
      <c r="AM42" t="inlineStr">
        <is>
          <t>Mac-Gray</t>
        </is>
      </c>
    </row>
    <row r="43">
      <c r="A43" t="n">
        <v>42</v>
      </c>
      <c r="B43" t="inlineStr">
        <is>
          <t>09/21/2013</t>
        </is>
      </c>
      <c r="C43" t="inlineStr">
        <is>
          <t>Transaction Committee / CSC/Pamplona</t>
        </is>
      </c>
      <c r="D43" t="inlineStr">
        <is>
          <t>Round opened</t>
        </is>
      </c>
      <c r="E43" t="inlineStr">
        <is>
          <t>1</t>
        </is>
      </c>
      <c r="F43" t="inlineStr">
        <is>
          <t>4</t>
        </is>
      </c>
      <c r="G43" t="inlineStr"/>
      <c r="H43" t="inlineStr">
        <is>
          <t>Round 4 opened: the Transaction Committee proposed moving forward with CSC/Pamplona exclusively for two weeks subject to an increase to $21.25 per share; CSC/Pamplona confirmed the same day that it would increase its all-cash price to $21.25 as a last and best offer provided Mac-Gray agreed to a two-week exclusive negotiation (exclusivity agreement executed 09/24/2013, R044). Round finality: Inferred final — the target moved to definitive negotiation with the selected bidder; no finality announcement to the other bidders. Round-4 bidder: CSC/Pamplona (1 unit).</t>
        </is>
      </c>
      <c r="I43" t="inlineStr"/>
      <c r="J43" t="inlineStr"/>
      <c r="K43" t="inlineStr">
        <is>
          <t>Stated. “the members of the Transaction Committee called the representative of CSC/Pamplona to propose that Mac-Gray was prepared to move forward with CSC/Pamplona on an exclusive basis for two weeks subject to CSC/Pamplona increasing their all-cash purchase price to $21.25 per share. Later that same day, the representative of CSC/Pamplona called the members of the Transaction Committee to confirm that CSC/Pamplona were willing to increase their all-cash purchase price to $21.25 per share as a last and best offer, provided that Mac-Gray agree to a two week period of exclusive negotiations.” (p.37)</t>
        </is>
      </c>
      <c r="L43" t="inlineStr">
        <is>
          <t>P-056</t>
        </is>
      </c>
      <c r="M43" t="inlineStr">
        <is>
          <t>Q1</t>
        </is>
      </c>
      <c r="N43" t="inlineStr"/>
      <c r="O43" t="inlineStr">
        <is>
          <t>R042</t>
        </is>
      </c>
      <c r="P43" t="inlineStr">
        <is>
          <t>Yes</t>
        </is>
      </c>
      <c r="R43" s="17" t="n">
        <v>41538</v>
      </c>
      <c r="S43" s="17" t="n">
        <v>41538</v>
      </c>
      <c r="T43" s="17" t="n">
        <v>41538</v>
      </c>
      <c r="U43" t="inlineStr">
        <is>
          <t>Reported day</t>
        </is>
      </c>
      <c r="V43" t="inlineStr">
        <is>
          <t>Reported</t>
        </is>
      </c>
      <c r="Y43" t="inlineStr"/>
      <c r="Z43" t="inlineStr"/>
      <c r="AA43" t="inlineStr"/>
      <c r="AB43" t="inlineStr"/>
      <c r="AD43" t="inlineStr"/>
      <c r="AF43" t="inlineStr"/>
      <c r="AG43" t="inlineStr">
        <is>
          <t>Inferred final</t>
        </is>
      </c>
      <c r="AH43" t="inlineStr"/>
      <c r="AI43" t="inlineStr"/>
      <c r="AJ43" t="inlineStr"/>
      <c r="AK43" t="n">
        <v>37</v>
      </c>
      <c r="AL43" t="inlineStr">
        <is>
          <t>R041; R043; R045</t>
        </is>
      </c>
      <c r="AM43" t="inlineStr">
        <is>
          <t>Mac-Gray</t>
        </is>
      </c>
    </row>
    <row r="44">
      <c r="A44" t="n">
        <v>43</v>
      </c>
      <c r="B44" t="inlineStr">
        <is>
          <t>09/21/2013</t>
        </is>
      </c>
      <c r="C44" t="inlineStr">
        <is>
          <t>CSC/Pamplona</t>
        </is>
      </c>
      <c r="D44" t="inlineStr">
        <is>
          <t>Bid</t>
        </is>
      </c>
      <c r="E44" t="inlineStr">
        <is>
          <t>1</t>
        </is>
      </c>
      <c r="F44" t="inlineStr">
        <is>
          <t>4</t>
        </is>
      </c>
      <c r="G44" t="inlineStr">
        <is>
          <t>Strategic</t>
        </is>
      </c>
      <c r="H44" t="inlineStr">
        <is>
          <t>All-cash $21.25 per share last and best offer, conditioned on a two-week exclusive negotiation. Part of the CSC/Pamplona final proposal, which also included no financing contingency, Pamplona's commitment to fund 100% of the capital needed for closing, a $15 million reverse termination fee payable if regulatory clearance is not obtained, and post-signing covenants; exclusivity would automatically terminate if CSC/Pamplona adversely changed the proposal terms. Formal: price confirmed as the parties moved to exclusivity and definitive negotiation (signal 3; the same price was carried into the signed merger agreement).</t>
        </is>
      </c>
      <c r="I44" t="inlineStr">
        <is>
          <t>Formal</t>
        </is>
      </c>
      <c r="J44" t="inlineStr">
        <is>
          <t>Light</t>
        </is>
      </c>
      <c r="K44" t="inlineStr">
        <is>
          <t>Stated. “CSC/Pamplona were willing to increase their all-cash purchase price to $21.25 per share as a last and best offer, provided that Mac-Gray agree to a two week period of exclusive negotiations.” (p.37) “the inclusion of a $15 million "reverse" termination fee payable by CSC/Pamplona to Mac-Gray in the event regulatory clearance is not obtained” “the fact that there would be no financing contingency and that Pamplona was committing to fund 100% of the capital needed for closing, which, together with the all-cash per share purchase price of $21.25, we refer to as the CSC/Pamplona final proposal” (p.37–38).</t>
        </is>
      </c>
      <c r="L44" t="inlineStr">
        <is>
          <t>P-056; P-057; P-059</t>
        </is>
      </c>
      <c r="M44" t="inlineStr">
        <is>
          <t>Q5</t>
        </is>
      </c>
      <c r="N44" t="inlineStr"/>
      <c r="O44" t="inlineStr">
        <is>
          <t>R043</t>
        </is>
      </c>
      <c r="P44" t="inlineStr">
        <is>
          <t>Yes</t>
        </is>
      </c>
      <c r="Q44" t="n">
        <v>1</v>
      </c>
      <c r="R44" s="17" t="n">
        <v>41538</v>
      </c>
      <c r="S44" s="17" t="n">
        <v>41538</v>
      </c>
      <c r="T44" s="17" t="n">
        <v>41538</v>
      </c>
      <c r="U44" t="inlineStr">
        <is>
          <t>Reported day</t>
        </is>
      </c>
      <c r="V44" t="inlineStr">
        <is>
          <t>Reported</t>
        </is>
      </c>
      <c r="W44" t="n">
        <v>21.25</v>
      </c>
      <c r="X44" t="n">
        <v>21.25</v>
      </c>
      <c r="Y44" t="inlineStr">
        <is>
          <t>Point</t>
        </is>
      </c>
      <c r="Z44" t="inlineStr">
        <is>
          <t>Stated</t>
        </is>
      </c>
      <c r="AA44" t="inlineStr">
        <is>
          <t>USD</t>
        </is>
      </c>
      <c r="AB44" t="inlineStr">
        <is>
          <t>Yes</t>
        </is>
      </c>
      <c r="AC44" t="n">
        <v>21.25</v>
      </c>
      <c r="AD44" t="inlineStr">
        <is>
          <t>Fin: committed; DD required: not stated; DD open: yes; Excl: requested (2 wks)</t>
        </is>
      </c>
      <c r="AF44" t="inlineStr"/>
      <c r="AG44" t="inlineStr"/>
      <c r="AH44" t="inlineStr"/>
      <c r="AI44" t="inlineStr"/>
      <c r="AJ44" t="inlineStr"/>
      <c r="AK44" t="n">
        <v>37</v>
      </c>
      <c r="AL44" t="inlineStr">
        <is>
          <t>R037; R042; R044; R051</t>
        </is>
      </c>
      <c r="AM44" t="inlineStr">
        <is>
          <t>Mac-Gray</t>
        </is>
      </c>
    </row>
    <row r="45">
      <c r="A45" t="n">
        <v>44</v>
      </c>
      <c r="B45" t="inlineStr">
        <is>
          <t>09/23/2013</t>
        </is>
      </c>
      <c r="C45" t="inlineStr">
        <is>
          <t>Special Committee</t>
        </is>
      </c>
      <c r="D45" t="inlineStr">
        <is>
          <t>Exclusivity changed</t>
        </is>
      </c>
      <c r="E45" t="inlineStr">
        <is>
          <t>1</t>
        </is>
      </c>
      <c r="F45" t="inlineStr">
        <is>
          <t>4</t>
        </is>
      </c>
      <c r="G45" t="inlineStr"/>
      <c r="H45" t="inlineStr">
        <is>
          <t>Exclusivity authorized: the Special Committee authorized Mac-Gray to enter into an exclusivity agreement providing for exclusive negotiations until 5 p.m. ET on 10/12/2013 on the terms of the CSC/Pamplona final proposal ($21.25 cash; $15 million CSC reverse termination fee if regulatory clearance not obtained; no financing contingency; Pamplona funding 100% of closing capital; automatic termination on adverse change). This followed negotiation of the agreement's terms 09/21–09/23/2013.</t>
        </is>
      </c>
      <c r="I45" t="inlineStr"/>
      <c r="J45" t="inlineStr"/>
      <c r="K45" t="inlineStr">
        <is>
          <t>Stated. “the Special Committee authorized Mac-Gray to enter into an exclusivity agreement providing for exclusive negotiations until 5 p.m. ET on October 12, 2013 on the terms included in the CSC/Pamplona final proposal and authorized the Transaction Committee and Goodwin Procter to continue negotiations with CSC/Pamplona” (p.38). Terms: P-057 (p.37–38).</t>
        </is>
      </c>
      <c r="L45" t="inlineStr">
        <is>
          <t>P-057; P-059</t>
        </is>
      </c>
      <c r="M45" t="inlineStr"/>
      <c r="N45" t="inlineStr"/>
      <c r="O45" t="inlineStr">
        <is>
          <t>R044</t>
        </is>
      </c>
      <c r="P45" t="inlineStr">
        <is>
          <t>Yes</t>
        </is>
      </c>
      <c r="R45" s="17" t="n">
        <v>41540</v>
      </c>
      <c r="S45" s="17" t="n">
        <v>41540</v>
      </c>
      <c r="T45" s="17" t="n">
        <v>41540</v>
      </c>
      <c r="U45" t="inlineStr">
        <is>
          <t>Reported day</t>
        </is>
      </c>
      <c r="V45" t="inlineStr">
        <is>
          <t>Reported</t>
        </is>
      </c>
      <c r="Y45" t="inlineStr"/>
      <c r="Z45" t="inlineStr"/>
      <c r="AA45" t="inlineStr"/>
      <c r="AB45" t="inlineStr"/>
      <c r="AD45" t="inlineStr"/>
      <c r="AF45" t="inlineStr"/>
      <c r="AG45" t="inlineStr"/>
      <c r="AH45" t="inlineStr"/>
      <c r="AI45" t="inlineStr"/>
      <c r="AJ45" t="inlineStr"/>
      <c r="AK45" t="n">
        <v>38</v>
      </c>
      <c r="AL45" t="inlineStr">
        <is>
          <t>R043; R045</t>
        </is>
      </c>
      <c r="AM45" t="inlineStr">
        <is>
          <t>Mac-Gray</t>
        </is>
      </c>
    </row>
    <row r="46">
      <c r="A46" t="n">
        <v>45</v>
      </c>
      <c r="B46" t="inlineStr">
        <is>
          <t>09/24/2013</t>
        </is>
      </c>
      <c r="C46" t="inlineStr">
        <is>
          <t>CSC, Pamplona and Mac-Gray</t>
        </is>
      </c>
      <c r="D46" t="inlineStr">
        <is>
          <t>Exclusivity changed</t>
        </is>
      </c>
      <c r="E46" t="inlineStr">
        <is>
          <t>1</t>
        </is>
      </c>
      <c r="F46" t="inlineStr">
        <is>
          <t>4</t>
        </is>
      </c>
      <c r="G46" t="inlineStr"/>
      <c r="H46" t="inlineStr">
        <is>
          <t>Exclusivity granted: CSC, Pamplona and Mac-Gray executed the exclusivity agreement providing exclusive negotiations until 5 p.m. ET on 10/12/2013, subject to CSC/Pamplona not adversely changing or modifying the CSC/Pamplona final proposal terms. During exclusivity (09/25–10/07/2013) CSC and Pamplona received full access to the electronic data site and to certain management and conducted confirmatory business and legal diligence.</t>
        </is>
      </c>
      <c r="I46" t="inlineStr"/>
      <c r="J46" t="inlineStr"/>
      <c r="K46" t="inlineStr">
        <is>
          <t>Stated. “On September 24, 2013, CSC, Pamplona and Mac-Gray executed the exclusivity agreement providing for exclusive negotiations until 5 p.m. ET on October 12, 2013, subject to certain conditions, including that CSC and Pamplona not adversely change or modify the terms of the CSC/Pamplona final proposal.” “CSC and Pamplona were granted full access to the electronic data site and access to certain members of management and conducted confirmatory business and legal due diligence on Mac-Gray.” (both p.38)</t>
        </is>
      </c>
      <c r="L46" t="inlineStr">
        <is>
          <t>P-060; P-061</t>
        </is>
      </c>
      <c r="M46" t="inlineStr"/>
      <c r="N46" t="inlineStr"/>
      <c r="O46" t="inlineStr">
        <is>
          <t>R045</t>
        </is>
      </c>
      <c r="P46" t="inlineStr">
        <is>
          <t>Yes</t>
        </is>
      </c>
      <c r="R46" s="17" t="n">
        <v>41541</v>
      </c>
      <c r="S46" s="17" t="n">
        <v>41541</v>
      </c>
      <c r="T46" s="17" t="n">
        <v>41541</v>
      </c>
      <c r="U46" t="inlineStr">
        <is>
          <t>Reported day</t>
        </is>
      </c>
      <c r="V46" t="inlineStr">
        <is>
          <t>Reported</t>
        </is>
      </c>
      <c r="Y46" t="inlineStr"/>
      <c r="Z46" t="inlineStr"/>
      <c r="AA46" t="inlineStr"/>
      <c r="AB46" t="inlineStr"/>
      <c r="AD46" t="inlineStr"/>
      <c r="AF46" t="inlineStr"/>
      <c r="AG46" t="inlineStr"/>
      <c r="AH46" t="inlineStr"/>
      <c r="AI46" t="inlineStr"/>
      <c r="AJ46" t="inlineStr"/>
      <c r="AK46" t="n">
        <v>38</v>
      </c>
      <c r="AL46" t="inlineStr">
        <is>
          <t>R044; R046; R047; R050</t>
        </is>
      </c>
      <c r="AM46" t="inlineStr">
        <is>
          <t>Mac-Gray</t>
        </is>
      </c>
    </row>
    <row r="47">
      <c r="A47" t="n">
        <v>46</v>
      </c>
      <c r="B47" t="inlineStr">
        <is>
          <t>by 09/24/2013</t>
        </is>
      </c>
      <c r="C47" t="inlineStr">
        <is>
          <t>Party A</t>
        </is>
      </c>
      <c r="D47" t="inlineStr">
        <is>
          <t>Dropped by target</t>
        </is>
      </c>
      <c r="E47" t="inlineStr">
        <is>
          <t>1</t>
        </is>
      </c>
      <c r="F47" t="inlineStr">
        <is>
          <t>4</t>
        </is>
      </c>
      <c r="G47" t="inlineStr">
        <is>
          <t>Strategic</t>
        </is>
      </c>
      <c r="H47" t="inlineStr">
        <is>
          <t>Inferred: exclusivity — with exclusivity executed with CSC/Pamplona on 09/24/2013, Party A was displaced from the process; no notice to Party A is reported and no earlier outcome is recorded. Count 1.</t>
        </is>
      </c>
      <c r="I47" t="inlineStr"/>
      <c r="J47" t="inlineStr"/>
      <c r="K47" t="inlineStr">
        <is>
          <t>Inferred: exclusivity. “On September 24, 2013, CSC, Pamplona and Mac-Gray executed the exclusivity agreement providing for exclusive negotiations until 5 p.m. ET on October 12, 2013” (P-060, p.38); Party A was live with its best-and-final offer when CSC/Pamplona was selected (P-053, p.36; P-055, p.37).</t>
        </is>
      </c>
      <c r="L47" t="inlineStr">
        <is>
          <t>P-060; P-053; P-055</t>
        </is>
      </c>
      <c r="M47" t="inlineStr">
        <is>
          <t>Q4</t>
        </is>
      </c>
      <c r="N47" t="inlineStr"/>
      <c r="O47" t="inlineStr">
        <is>
          <t>R046</t>
        </is>
      </c>
      <c r="P47" t="inlineStr">
        <is>
          <t>Yes</t>
        </is>
      </c>
      <c r="Q47" t="n">
        <v>1</v>
      </c>
      <c r="S47" s="17" t="n">
        <v>41541</v>
      </c>
      <c r="T47" s="17" t="n">
        <v>41541</v>
      </c>
      <c r="U47" t="inlineStr">
        <is>
          <t>Relative only</t>
        </is>
      </c>
      <c r="V47" t="inlineStr">
        <is>
          <t>Assigned: decision day</t>
        </is>
      </c>
      <c r="Y47" t="inlineStr"/>
      <c r="Z47" t="inlineStr"/>
      <c r="AA47" t="inlineStr"/>
      <c r="AB47" t="inlineStr"/>
      <c r="AD47" t="inlineStr"/>
      <c r="AF47" t="inlineStr"/>
      <c r="AG47" t="inlineStr"/>
      <c r="AH47" t="inlineStr">
        <is>
          <t>Target</t>
        </is>
      </c>
      <c r="AI47" t="inlineStr">
        <is>
          <t>Not stated</t>
        </is>
      </c>
      <c r="AJ47" t="inlineStr">
        <is>
          <t>Inferred: exclusivity</t>
        </is>
      </c>
      <c r="AK47" t="n">
        <v>38</v>
      </c>
      <c r="AL47" t="inlineStr">
        <is>
          <t>R045; R038</t>
        </is>
      </c>
      <c r="AM47" t="inlineStr">
        <is>
          <t>Mac-Gray</t>
        </is>
      </c>
    </row>
    <row r="48">
      <c r="A48" t="n">
        <v>47</v>
      </c>
      <c r="B48" t="inlineStr">
        <is>
          <t>by 09/24/2013</t>
        </is>
      </c>
      <c r="C48" t="inlineStr">
        <is>
          <t>Party B</t>
        </is>
      </c>
      <c r="D48" t="inlineStr">
        <is>
          <t>Dropped by target</t>
        </is>
      </c>
      <c r="E48" t="inlineStr">
        <is>
          <t>1</t>
        </is>
      </c>
      <c r="F48" t="inlineStr">
        <is>
          <t>4</t>
        </is>
      </c>
      <c r="G48" t="inlineStr">
        <is>
          <t>Financial</t>
        </is>
      </c>
      <c r="H48" t="inlineStr">
        <is>
          <t>Inferred: exclusivity — with exclusivity executed with CSC/Pamplona on 09/24/2013, Party B was displaced from the process; no notice to Party B is reported and no earlier outcome is recorded. Count 1.</t>
        </is>
      </c>
      <c r="I48" t="inlineStr"/>
      <c r="J48" t="inlineStr"/>
      <c r="K48" t="inlineStr">
        <is>
          <t>Inferred: exclusivity. “On September 24, 2013, CSC, Pamplona and Mac-Gray executed the exclusivity agreement providing for exclusive negotiations until 5 p.m. ET on October 12, 2013” (P-060, p.38); Party B was live with its $21.50-valued package when CSC/Pamplona was selected (P-053, p.36; P-055, p.37).</t>
        </is>
      </c>
      <c r="L48" t="inlineStr">
        <is>
          <t>P-060; P-053; P-055</t>
        </is>
      </c>
      <c r="M48" t="inlineStr">
        <is>
          <t>Q4</t>
        </is>
      </c>
      <c r="N48" t="inlineStr"/>
      <c r="O48" t="inlineStr">
        <is>
          <t>R047</t>
        </is>
      </c>
      <c r="P48" t="inlineStr">
        <is>
          <t>Yes</t>
        </is>
      </c>
      <c r="Q48" t="n">
        <v>1</v>
      </c>
      <c r="S48" s="17" t="n">
        <v>41541</v>
      </c>
      <c r="T48" s="17" t="n">
        <v>41541</v>
      </c>
      <c r="U48" t="inlineStr">
        <is>
          <t>Relative only</t>
        </is>
      </c>
      <c r="V48" t="inlineStr">
        <is>
          <t>Assigned: decision day</t>
        </is>
      </c>
      <c r="Y48" t="inlineStr"/>
      <c r="Z48" t="inlineStr"/>
      <c r="AA48" t="inlineStr"/>
      <c r="AB48" t="inlineStr"/>
      <c r="AD48" t="inlineStr"/>
      <c r="AF48" t="inlineStr"/>
      <c r="AG48" t="inlineStr"/>
      <c r="AH48" t="inlineStr">
        <is>
          <t>Target</t>
        </is>
      </c>
      <c r="AI48" t="inlineStr">
        <is>
          <t>Not stated</t>
        </is>
      </c>
      <c r="AJ48" t="inlineStr">
        <is>
          <t>Inferred: exclusivity</t>
        </is>
      </c>
      <c r="AK48" t="n">
        <v>38</v>
      </c>
      <c r="AL48" t="inlineStr">
        <is>
          <t>R045; R039</t>
        </is>
      </c>
      <c r="AM48" t="inlineStr">
        <is>
          <t>Mac-Gray</t>
        </is>
      </c>
    </row>
    <row r="49">
      <c r="A49" t="n">
        <v>48</v>
      </c>
      <c r="B49" t="inlineStr">
        <is>
          <t>09/25/2013 (earliest observed service; commencement not disclosed)</t>
        </is>
      </c>
      <c r="C49" t="inlineStr">
        <is>
          <t>Kirkland &amp; Ellis LLP — CSC/Pamplona (client)</t>
        </is>
      </c>
      <c r="D49" t="inlineStr">
        <is>
          <t>Adviser service observed</t>
        </is>
      </c>
      <c r="E49" t="inlineStr">
        <is>
          <t>1</t>
        </is>
      </c>
      <c r="F49" t="inlineStr">
        <is>
          <t>4</t>
        </is>
      </c>
      <c r="G49" t="inlineStr"/>
      <c r="H49" t="inlineStr">
        <is>
          <t>Outside legal counsel to CSC/Pamplona; first observed receiving the initial draft merger agreement from Goodwin Procter on 09/25/2013. Thereafter negotiated the merger agreement, the Pamplona commitment letter (including Pamplona's liability cap) and the voting agreements with Goodwin Procter and counsel for the stockholders through signing. Engagement or selection date not disclosed.</t>
        </is>
      </c>
      <c r="I49" t="inlineStr"/>
      <c r="J49" t="inlineStr"/>
      <c r="K49" t="inlineStr">
        <is>
          <t>Stated (service; no engagement date). “On September 25, 2013, Goodwin Procter delivered to Kirkland &amp; Ellis LLP, outside legal counsel to CSC/Pamplona, whom we refer to as Kirkland, the initial draft of the merger agreement.” (p.38) “Kirkland delivered to Goodwin Procter a revised draft of the Pamplona commitment letter which, among other things, proposed that, in addition to CSC, Pamplona would be responsible in the event CSC failed to consummate the merger, but that Pamplona's liability for damages resulting from a breach of the merger agreement would be limited to an unspecified dollar amount.” (p.39)</t>
        </is>
      </c>
      <c r="L49" t="inlineStr">
        <is>
          <t>P-061; P-064</t>
        </is>
      </c>
      <c r="M49" t="inlineStr"/>
      <c r="N49" t="inlineStr"/>
      <c r="O49" t="inlineStr">
        <is>
          <t>R048</t>
        </is>
      </c>
      <c r="P49" t="inlineStr">
        <is>
          <t>Yes</t>
        </is>
      </c>
      <c r="R49" s="17" t="n">
        <v>41542</v>
      </c>
      <c r="T49" s="17" t="n">
        <v>41542</v>
      </c>
      <c r="U49" t="inlineStr">
        <is>
          <t>Relative only</t>
        </is>
      </c>
      <c r="V49" t="inlineStr">
        <is>
          <t>Assigned: bound</t>
        </is>
      </c>
      <c r="Y49" t="inlineStr"/>
      <c r="Z49" t="inlineStr"/>
      <c r="AA49" t="inlineStr"/>
      <c r="AB49" t="inlineStr"/>
      <c r="AD49" t="inlineStr"/>
      <c r="AF49" t="inlineStr"/>
      <c r="AG49" t="inlineStr"/>
      <c r="AH49" t="inlineStr"/>
      <c r="AI49" t="inlineStr"/>
      <c r="AJ49" t="inlineStr"/>
      <c r="AK49" t="n">
        <v>38</v>
      </c>
      <c r="AL49" t="inlineStr">
        <is>
          <t>R045; R051</t>
        </is>
      </c>
      <c r="AM49" t="inlineStr">
        <is>
          <t>Mac-Gray</t>
        </is>
      </c>
    </row>
    <row r="50">
      <c r="A50" t="n">
        <v>49</v>
      </c>
      <c r="B50" t="inlineStr">
        <is>
          <t>09/23/2013–10/07/2013 (discussions through early October; no rollover determined by 10/07/2013)</t>
        </is>
      </c>
      <c r="C50" t="inlineStr">
        <is>
          <t>Moab (Mr. Rothenberg) / CSC-Pamplona</t>
        </is>
      </c>
      <c r="D50" t="inlineStr">
        <is>
          <t>Material process update</t>
        </is>
      </c>
      <c r="E50" t="inlineStr">
        <is>
          <t>1</t>
        </is>
      </c>
      <c r="F50" t="inlineStr">
        <is>
          <t>4</t>
        </is>
      </c>
      <c r="G50" t="inlineStr"/>
      <c r="H50" t="inlineStr">
        <is>
          <t>Rollover (step 2 — permitted, then resolved without a rollover): Mac-Gray told Mr. Rothenberg on a limited basis of the process status and the CSC/Pamplona negotiations so Moab could resume rollover discussions with CSC/Pamplona; he indicated interest and BofA agreed to arrange and facilitate. Mr. Rothenberg then held discussions with Pamplona; as a result it was determined that Moab would not roll over any shares in the transaction (reported to the Special Committee on 10/07/2013).</t>
        </is>
      </c>
      <c r="I50" t="inlineStr"/>
      <c r="J50" t="inlineStr"/>
      <c r="K50" t="inlineStr">
        <is>
          <t>Stated. “to provide Moab with the opportunity to resume discussions with CSC/Pamplona regarding a possible equity rollover of Moab's shares in the transaction if Moab still had an interest in such a rollover. Mr. Rothenberg indicated he would like to discuss the possibility of an equity rollover with CSC/Pamplona” (p.38). “Mr. Rothenberg engaged in various discussions with representatives of Pamplona during this time to discuss a possible rollover of Moab shares. As a result of such discussions, it was determined that Moab would not rollover any Moab shares in the transaction.” (p.38) “Mr. Daoust reported to the Special Committee that, after discussions between Moab and representatives of Pamplona, it was determined that Moab would not rollover any Moab shares in the transaction.” (p.39)</t>
        </is>
      </c>
      <c r="L50" t="inlineStr">
        <is>
          <t>P-058; P-061; P-065</t>
        </is>
      </c>
      <c r="M50" t="inlineStr"/>
      <c r="N50" t="inlineStr"/>
      <c r="O50" t="inlineStr">
        <is>
          <t>R049</t>
        </is>
      </c>
      <c r="P50" t="inlineStr">
        <is>
          <t>Yes</t>
        </is>
      </c>
      <c r="R50" s="17" t="n">
        <v>41540</v>
      </c>
      <c r="S50" s="17" t="n">
        <v>41554</v>
      </c>
      <c r="T50" s="17" t="n">
        <v>41554</v>
      </c>
      <c r="U50" t="inlineStr">
        <is>
          <t>Reported interval</t>
        </is>
      </c>
      <c r="V50" t="inlineStr">
        <is>
          <t>Assigned: decision day</t>
        </is>
      </c>
      <c r="Y50" t="inlineStr"/>
      <c r="Z50" t="inlineStr"/>
      <c r="AA50" t="inlineStr"/>
      <c r="AB50" t="inlineStr"/>
      <c r="AD50" t="inlineStr"/>
      <c r="AF50" t="inlineStr"/>
      <c r="AG50" t="inlineStr"/>
      <c r="AH50" t="inlineStr"/>
      <c r="AI50" t="inlineStr"/>
      <c r="AJ50" t="inlineStr"/>
      <c r="AK50" t="n">
        <v>39</v>
      </c>
      <c r="AL50" t="inlineStr">
        <is>
          <t>R017; R008</t>
        </is>
      </c>
      <c r="AM50" t="inlineStr">
        <is>
          <t>Mac-Gray</t>
        </is>
      </c>
    </row>
    <row r="51">
      <c r="A51" t="n">
        <v>50</v>
      </c>
      <c r="B51" t="inlineStr">
        <is>
          <t>10/12/2013 (letter agreement; extension sought 10/09–10/11)</t>
        </is>
      </c>
      <c r="C51" t="inlineStr">
        <is>
          <t>CSC, Pamplona and Mac-Gray</t>
        </is>
      </c>
      <c r="D51" t="inlineStr">
        <is>
          <t>Exclusivity changed</t>
        </is>
      </c>
      <c r="E51" t="inlineStr">
        <is>
          <t>1</t>
        </is>
      </c>
      <c r="F51" t="inlineStr">
        <is>
          <t>4</t>
        </is>
      </c>
      <c r="G51" t="inlineStr"/>
      <c r="H51" t="inlineStr">
        <is>
          <t>Exclusivity extended: with exclusivity due to expire at 5 p.m. ET on 10/12/2013 and open issues remaining, CSC/Pamplona requested an extension; the Special Committee objected to the $15 million Mac-Gray termination fee and would not extend unless a lower amount was agreed; CSC/Pamplona agreed to the $11 million fee, and the parties executed a letter agreement extending exclusivity until 11:59 p.m. ET on 10/15/2013. Scheduled (not observed) end: the merger agreement was signed 10/14/2013.</t>
        </is>
      </c>
      <c r="I51" t="inlineStr"/>
      <c r="J51" t="inlineStr"/>
      <c r="K51" t="inlineStr">
        <is>
          <t>Stated. “On October 12, 2013, CSC, Pamplona and Mac-Gray executed a letter agreement extending exclusivity until 11:59 p.m. ET on October 15, 2013.” (p.41) “the Special Committee continued to object to the $15 million Mac-Gray termination fee proposed by CSC/Pamplona and would not be willing to extend exclusivity unless a lower amount were agreed to” “authorized to extend the exclusivity agreement until 11:59 p.m. on ET on October 15, 2013 if CSC/Pamplona would agree to a Mac-Gray termination fee of not more than $11 million” (p.40) — “Shortly following that conversation, the representative of CSC/Pamplona telephoned Mr. Daoust and agreed to the $11 million Mac-Gray termination fee.” (p.40–41)</t>
        </is>
      </c>
      <c r="L51" t="inlineStr">
        <is>
          <t>P-069; P-070; P-071; P-072</t>
        </is>
      </c>
      <c r="M51" t="inlineStr"/>
      <c r="N51" t="inlineStr"/>
      <c r="O51" t="inlineStr">
        <is>
          <t>R050</t>
        </is>
      </c>
      <c r="P51" t="inlineStr">
        <is>
          <t>Yes</t>
        </is>
      </c>
      <c r="R51" s="17" t="n">
        <v>41559</v>
      </c>
      <c r="S51" s="17" t="n">
        <v>41559</v>
      </c>
      <c r="T51" s="17" t="n">
        <v>41559</v>
      </c>
      <c r="U51" t="inlineStr">
        <is>
          <t>Reported day</t>
        </is>
      </c>
      <c r="V51" t="inlineStr">
        <is>
          <t>Reported</t>
        </is>
      </c>
      <c r="Y51" t="inlineStr"/>
      <c r="Z51" t="inlineStr"/>
      <c r="AA51" t="inlineStr"/>
      <c r="AB51" t="inlineStr"/>
      <c r="AD51" t="inlineStr"/>
      <c r="AF51" t="inlineStr"/>
      <c r="AG51" t="inlineStr"/>
      <c r="AH51" t="inlineStr"/>
      <c r="AI51" t="inlineStr"/>
      <c r="AJ51" t="inlineStr"/>
      <c r="AK51" t="n">
        <v>41</v>
      </c>
      <c r="AL51" t="inlineStr">
        <is>
          <t>R045; R051</t>
        </is>
      </c>
      <c r="AM51" t="inlineStr">
        <is>
          <t>Mac-Gray</t>
        </is>
      </c>
    </row>
    <row r="52">
      <c r="A52" t="n">
        <v>51</v>
      </c>
      <c r="B52" t="inlineStr">
        <is>
          <t>10/14/2013</t>
        </is>
      </c>
      <c r="C52" t="inlineStr">
        <is>
          <t>Mac-Gray / Special Committee / Board of Directors / CSC-Pamplona</t>
        </is>
      </c>
      <c r="D52" t="inlineStr">
        <is>
          <t>Merger agreement signed</t>
        </is>
      </c>
      <c r="E52" t="inlineStr">
        <is>
          <t>1</t>
        </is>
      </c>
      <c r="F52" t="inlineStr">
        <is>
          <t>4</t>
        </is>
      </c>
      <c r="G52" t="inlineStr"/>
      <c r="H52" t="inlineStr">
        <is>
          <t>Agreed consideration: $21.25 per share in cash, without interest and less applicable withholding (whole-company merger; Mac-Gray survives as a wholly-owned subsidiary of Parent). The Special Committee unanimously recommended and the Board unanimously approved and adopted the merger agreement; BofA Merrill Lynch delivered its oral fairness opinion, confirmed in writing dated 10/14/2013. The merger agreement was executed later that day; the Pamplona commitment letter was delivered ($594 million committed by Pamplona Capital Partners III, L.P.; no financing condition; Pamplona and the Buyer Entities jointly and severally liable for damages, with Pamplona's liability capped at $50 million and the Buyer Entities' liability unlimited); Moab and Parent executed the Moab voting agreement and the MacDonald voting agreements (entered 09/27/2013) became effective — approximately 15% of shares subject to voting agreements. Mac-Gray termination fee $11 million; CSC reverse termination fee $15 million. Signing is not an extra submitted bid: numeric bid-price cells and formality/conditionality cells are blank on this row.</t>
        </is>
      </c>
      <c r="I52" t="inlineStr"/>
      <c r="J52" t="inlineStr"/>
      <c r="K52" t="inlineStr">
        <is>
          <t>Stated. “the Special Committee unanimously determined to recommend to the Board that the merger agreement and the merger were advisable and in the best interests of Mac-Gray's stockholders” (p.41). “the merger agreement was executed, the Pamplona commitment letter was delivered, Moab and Parent executed the Moab voting agreement and the Mac-Donald voting agreements became effective.” (p.41) “Parent will fund the merger consideration from an aggregate of $594 million of capital, which we refer to as the Pamplona commitment amount and which is committed pursuant to a commitment letter delivered to the Buyer Entities by Pamplona Capital Partners III, L.P. dated as of October 14, 2013, which we refer to as the Pamplona commitment letter.” (p.6; also Annex A Section 5.08, p. A-30). “Mac-Gray has agreed to pay Parent $11 million upon the termination of the merger agreement under certain circumstances, which we refer to as the Mac-Gray termination fee. Parent has agreed to pay Mac-Gray $15 million upon the termination of the merger agreement under certain circumstances, which we refer to as the Parent termination fee.” (p.10; also p.80–81).</t>
        </is>
      </c>
      <c r="L52" t="inlineStr">
        <is>
          <t>P-075; P-076; P-077; X-002; X-005; X-026; X-017; X-018; X-006</t>
        </is>
      </c>
      <c r="M52" t="inlineStr">
        <is>
          <t>Q5</t>
        </is>
      </c>
      <c r="N52" t="inlineStr"/>
      <c r="O52" t="inlineStr">
        <is>
          <t>R051</t>
        </is>
      </c>
      <c r="P52" t="inlineStr">
        <is>
          <t>Yes</t>
        </is>
      </c>
      <c r="R52" s="17" t="n">
        <v>41561</v>
      </c>
      <c r="S52" s="17" t="n">
        <v>41561</v>
      </c>
      <c r="T52" s="17" t="n">
        <v>41561</v>
      </c>
      <c r="U52" t="inlineStr">
        <is>
          <t>Reported day</t>
        </is>
      </c>
      <c r="V52" t="inlineStr">
        <is>
          <t>Reported</t>
        </is>
      </c>
      <c r="Y52" t="inlineStr"/>
      <c r="Z52" t="inlineStr"/>
      <c r="AA52" t="inlineStr"/>
      <c r="AB52" t="inlineStr"/>
      <c r="AD52" t="inlineStr"/>
      <c r="AF52" t="inlineStr"/>
      <c r="AG52" t="inlineStr"/>
      <c r="AH52" t="inlineStr"/>
      <c r="AI52" t="inlineStr"/>
      <c r="AJ52" t="inlineStr"/>
      <c r="AK52" t="n">
        <v>41</v>
      </c>
      <c r="AL52" t="inlineStr">
        <is>
          <t>R043; R050; R052; R007</t>
        </is>
      </c>
      <c r="AM52" t="inlineStr">
        <is>
          <t>Mac-Gray</t>
        </is>
      </c>
    </row>
    <row r="53">
      <c r="A53" t="n">
        <v>52</v>
      </c>
      <c r="B53" t="inlineStr">
        <is>
          <t>10/15/2013</t>
        </is>
      </c>
      <c r="C53" t="inlineStr">
        <is>
          <t>Mac-Gray and CSC</t>
        </is>
      </c>
      <c r="D53" t="inlineStr">
        <is>
          <t>Merger announced</t>
        </is>
      </c>
      <c r="E53" t="inlineStr">
        <is>
          <t>1</t>
        </is>
      </c>
      <c r="F53" t="inlineStr">
        <is>
          <t>4</t>
        </is>
      </c>
      <c r="G53" t="inlineStr"/>
      <c r="H53" t="inlineStr">
        <is>
          <t>Joint public announcement of the execution of the merger agreement, made before the U.S. stock markets opened. Public disclosure of the transaction; no earlier public sale-process announcement or leak is reported. No go-shop is provided; no post-signing competing proposal is disclosed in the proxy statement.</t>
        </is>
      </c>
      <c r="I53" t="inlineStr"/>
      <c r="J53" t="inlineStr"/>
      <c r="K53" t="inlineStr">
        <is>
          <t>Stated. “On October 15, 2013, before the U.S. stock markets opened, Mac-Gray and CSC jointly announced the execution of the merger agreement.” (p.41). Absence of a go-shop: the merger agreement prohibits solicitation subject to a fiduciary out — “prior to the adoption of the merger agreement by Mac-Gray stockholders, if Mac-Gray receives an unsolicited bona fide acquisition proposal in writing from a third party after the date of the merger agreement” “then Mac-Gray may furnish to such third party non-public information relating to Mac-Gray pursuant to a confidentiality agreement meeting certain requirements as set forth in the merger agreement and afford such third party access to the businesses, properties, assets and personnel of Mac-Gray or any of its subsidiaries and enter into, maintain and participate in discussions or negotiations with such third party or otherwise cooperate with or assist or participate in, or facilitate, any such discussions or negotiations” (p.8); no go-shop provision is described.</t>
        </is>
      </c>
      <c r="L53" t="inlineStr">
        <is>
          <t>P-078; X-004</t>
        </is>
      </c>
      <c r="M53" t="inlineStr"/>
      <c r="N53" t="inlineStr"/>
      <c r="O53" t="inlineStr">
        <is>
          <t>R052</t>
        </is>
      </c>
      <c r="P53" t="inlineStr">
        <is>
          <t>Yes</t>
        </is>
      </c>
      <c r="R53" s="17" t="n">
        <v>41562</v>
      </c>
      <c r="S53" s="17" t="n">
        <v>41562</v>
      </c>
      <c r="T53" s="17" t="n">
        <v>41562</v>
      </c>
      <c r="U53" t="inlineStr">
        <is>
          <t>Reported day</t>
        </is>
      </c>
      <c r="V53" t="inlineStr">
        <is>
          <t>Reported</t>
        </is>
      </c>
      <c r="Y53" t="inlineStr"/>
      <c r="Z53" t="inlineStr"/>
      <c r="AA53" t="inlineStr"/>
      <c r="AB53" t="inlineStr"/>
      <c r="AD53" t="inlineStr"/>
      <c r="AF53" t="inlineStr"/>
      <c r="AG53" t="inlineStr"/>
      <c r="AH53" t="inlineStr"/>
      <c r="AI53" t="inlineStr"/>
      <c r="AJ53" t="inlineStr"/>
      <c r="AK53" t="n">
        <v>41</v>
      </c>
      <c r="AL53" t="inlineStr">
        <is>
          <t>R051</t>
        </is>
      </c>
      <c r="AM53" t="inlineStr">
        <is>
          <t>Mac-Gray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s>
  <sheetData>
    <row r="1">
      <c r="A1" s="16" t="inlineStr">
        <is>
          <t>List A</t>
        </is>
      </c>
      <c r="B1" s="16" t="inlineStr">
        <is>
          <t>List B</t>
        </is>
      </c>
      <c r="C1" s="16" t="inlineStr">
        <is>
          <t>List C</t>
        </is>
      </c>
      <c r="D1" s="16" t="inlineStr">
        <is>
          <t>List D</t>
        </is>
      </c>
      <c r="E1" s="16" t="inlineStr">
        <is>
          <t>List E</t>
        </is>
      </c>
      <c r="F1" s="16" t="inlineStr">
        <is>
          <t>List F</t>
        </is>
      </c>
      <c r="G1" s="16" t="inlineStr">
        <is>
          <t>List G</t>
        </is>
      </c>
      <c r="H1" s="16" t="inlineStr">
        <is>
          <t>List H</t>
        </is>
      </c>
      <c r="I1" s="16" t="inlineStr">
        <is>
          <t>List I</t>
        </is>
      </c>
      <c r="J1" s="16" t="inlineStr">
        <is>
          <t>List J</t>
        </is>
      </c>
      <c r="K1" s="16" t="inlineStr">
        <is>
          <t>List K</t>
        </is>
      </c>
      <c r="L1" s="16" t="inlineStr">
        <is>
          <t>List L</t>
        </is>
      </c>
      <c r="M1" s="16" t="inlineStr">
        <is>
          <t>List M</t>
        </is>
      </c>
      <c r="N1" s="16" t="inlineStr">
        <is>
          <t>List N</t>
        </is>
      </c>
      <c r="O1" s="16" t="inlineStr">
        <is>
          <t>List O</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2026-09-19T13:38:56Z</dcterms:created>
  <dcterms:modified xmlns:dcterms="http://purl.org/dc/terms/" xmlns:xsi="http://www.w3.org/2001/XMLSchema-instance" xsi:type="dcterms:W3CDTF">2026-09-19T13:38:56Z</dcterms:modified>
</cp:coreProperties>
</file>