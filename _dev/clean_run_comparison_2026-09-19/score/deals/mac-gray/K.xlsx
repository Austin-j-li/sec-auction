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Lists" sheetId="5" state="hidden" r:id="rId5"/>
  </sheets>
  <definedNames>
    <definedName name="_xlnm._FilterDatabase" localSheetId="0" hidden="1">'Deal ledger'!$A$1:$AM$50</definedName>
    <definedName name="_xlnm._FilterDatabase" localSheetId="2" hidden="1">'Questions'!$A$1:$H$9</definedName>
    <definedName name="_xlnm._FilterDatabase" localSheetId="3" hidden="1">'Source text'!$A$1:$D$121</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5">
    <font>
      <name val="Calibri"/>
      <family val="2"/>
      <color theme="1"/>
      <sz val="11"/>
      <scheme val="minor"/>
    </font>
    <font>
      <b val="1"/>
    </font>
    <font>
      <color rgb="000563C1"/>
      <u val="single"/>
    </font>
    <font>
      <b val="1"/>
      <sz val="14"/>
    </font>
    <font>
      <b val="1"/>
      <sz val="12"/>
    </font>
  </fonts>
  <fills count="3">
    <fill>
      <patternFill/>
    </fill>
    <fill>
      <patternFill patternType="gray125"/>
    </fill>
    <fill>
      <patternFill patternType="solid">
        <f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1" fontId="0"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165" fontId="0" fillId="0" borderId="1" applyAlignment="1" pivotButton="0" quotePrefix="0" xfId="0">
      <alignment vertical="top" wrapText="1"/>
    </xf>
    <xf numFmtId="0" fontId="3" fillId="0" borderId="0" pivotButton="0" quotePrefix="0" xfId="0"/>
    <xf numFmtId="0" fontId="4"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6" customWidth="1" min="3" max="3"/>
    <col width="20" customWidth="1" min="4" max="4"/>
    <col width="8" customWidth="1" min="5" max="5"/>
    <col width="7" customWidth="1" min="6" max="6"/>
    <col width="10" customWidth="1" min="7" max="7"/>
    <col width="70" customWidth="1" min="8" max="8"/>
    <col width="11" customWidth="1" min="9" max="9"/>
    <col width="13" customWidth="1" min="10" max="10"/>
    <col width="90" customWidth="1" min="11" max="11"/>
    <col width="18" customWidth="1" min="12" max="12"/>
    <col width="8" customWidth="1" min="13" max="13"/>
    <col width="22" customWidth="1" min="14" max="14"/>
    <col hidden="1" outlineLevel="1" width="9" customWidth="1" min="15" max="15"/>
    <col hidden="1" outlineLevel="1" width="9" customWidth="1" min="16" max="16"/>
    <col hidden="1" outlineLevel="1" width="7" customWidth="1" min="17" max="17"/>
    <col hidden="1" outlineLevel="1" width="11" customWidth="1" min="18" max="18"/>
    <col hidden="1" outlineLevel="1" width="11" customWidth="1" min="19" max="19"/>
    <col hidden="1" outlineLevel="1" width="12" customWidth="1" min="20" max="20"/>
    <col hidden="1" outlineLevel="1" width="16" customWidth="1" min="21" max="21"/>
    <col hidden="1" outlineLevel="1" width="18" customWidth="1" min="22" max="22"/>
    <col hidden="1" outlineLevel="1" width="10" customWidth="1" min="23" max="23"/>
    <col hidden="1" outlineLevel="1" width="10" customWidth="1" min="24" max="24"/>
    <col hidden="1" outlineLevel="1" width="13" customWidth="1" min="25" max="25"/>
    <col hidden="1" outlineLevel="1" width="14" customWidth="1" min="26" max="26"/>
    <col hidden="1" outlineLevel="1" width="9" customWidth="1" min="27" max="27"/>
    <col hidden="1" outlineLevel="1" width="9" customWidth="1" min="28" max="28"/>
    <col hidden="1" outlineLevel="1" width="14" customWidth="1" min="29" max="29"/>
    <col hidden="1" outlineLevel="1" width="60" customWidth="1" min="30" max="30"/>
    <col hidden="1" outlineLevel="1" width="11" customWidth="1" min="31" max="31"/>
    <col hidden="1" outlineLevel="1" width="18" customWidth="1" min="32" max="32"/>
    <col hidden="1" outlineLevel="1" width="18" customWidth="1" min="33" max="33"/>
    <col hidden="1" outlineLevel="1" width="11" customWidth="1" min="34" max="34"/>
    <col hidden="1" outlineLevel="1" width="26" customWidth="1" min="35" max="35"/>
    <col hidden="1" outlineLevel="1" width="18" customWidth="1" min="36" max="36"/>
    <col hidden="1" outlineLevel="1" width="7" customWidth="1" min="37" max="37"/>
    <col hidden="1" outlineLevel="1" width="34" customWidth="1" min="38" max="38"/>
    <col hidden="1" outlineLevel="1" width="10" customWidth="1" min="39" max="39"/>
  </cols>
  <sheetData>
    <row r="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c r="A2" s="2" t="n">
        <v>1</v>
      </c>
      <c r="B2" s="3" t="inlineStr">
        <is>
          <t>10/23/2012</t>
        </is>
      </c>
      <c r="C2" s="3" t="inlineStr">
        <is>
          <t>BofA Merrill Lynch</t>
        </is>
      </c>
      <c r="D2" s="3" t="inlineStr">
        <is>
          <t>Adviser engaged</t>
        </is>
      </c>
      <c r="E2" s="3" t="n">
        <v>1</v>
      </c>
      <c r="F2" s="3" t="n">
        <v>0</v>
      </c>
      <c r="G2" s="3" t="n"/>
      <c r="H2" s="3" t="inlineStr">
        <is>
          <t>Engaged by Mac-Gray as financial advisor for its consideration of a possible acquisition of CSC (the 2011-2012 Discussions - an attempted purchase by Mac-Gray, not its own sale). Mandate later terminated (Adviser ended row); the same bank is re-engaged for this sale process.</t>
        </is>
      </c>
      <c r="I2" s="3" t="n"/>
      <c r="J2" s="3" t="n"/>
      <c r="K2" s="3" t="inlineStr">
        <is>
          <t>Stated: “Mac-Gray engaged BofA Merrill Lynch on October 23, 2012.” Context only, per the instruction that a target's attempt to buy another company is not its own sale process; the engagement explains the adviser's later re-engagement for this sale process (R006).</t>
        </is>
      </c>
      <c r="L2" s="4" t="inlineStr">
        <is>
          <t>P-003</t>
        </is>
      </c>
      <c r="M2" s="3" t="inlineStr">
        <is>
          <t>Q8</t>
        </is>
      </c>
      <c r="N2" s="3" t="n"/>
      <c r="O2" s="3" t="inlineStr">
        <is>
          <t>R001</t>
        </is>
      </c>
      <c r="P2" s="3" t="inlineStr">
        <is>
          <t>Yes</t>
        </is>
      </c>
      <c r="Q2" s="3" t="n"/>
      <c r="R2" s="5" t="n">
        <v>41205</v>
      </c>
      <c r="S2" s="5" t="n">
        <v>41205</v>
      </c>
      <c r="T2" s="5" t="n">
        <v>41205</v>
      </c>
      <c r="U2" s="3" t="inlineStr">
        <is>
          <t>Reported day</t>
        </is>
      </c>
      <c r="V2" s="3" t="inlineStr">
        <is>
          <t>Reported</t>
        </is>
      </c>
      <c r="W2" s="3" t="n"/>
      <c r="X2" s="3" t="n"/>
      <c r="Y2" s="3" t="n"/>
      <c r="Z2" s="3" t="n"/>
      <c r="AA2" s="3" t="n"/>
      <c r="AB2" s="3" t="n"/>
      <c r="AC2" s="3" t="n"/>
      <c r="AD2" s="3" t="n"/>
      <c r="AE2" s="5" t="n"/>
      <c r="AF2" s="3" t="n"/>
      <c r="AG2" s="3" t="n"/>
      <c r="AH2" s="3" t="n"/>
      <c r="AI2" s="3" t="n"/>
      <c r="AJ2" s="3" t="n"/>
      <c r="AK2" s="3" t="n">
        <v>27</v>
      </c>
      <c r="AL2" s="3" t="inlineStr">
        <is>
          <t>terminated by R005; re-engaged in R006</t>
        </is>
      </c>
      <c r="AM2" s="3" t="inlineStr">
        <is>
          <t>Mac-Gray</t>
        </is>
      </c>
    </row>
    <row r="3">
      <c r="A3" s="2" t="n">
        <v>2</v>
      </c>
      <c r="B3" s="3" t="inlineStr">
        <is>
          <t>04/05/2013</t>
        </is>
      </c>
      <c r="C3" s="3" t="inlineStr">
        <is>
          <t>Mac-Gray Board of Directors</t>
        </is>
      </c>
      <c r="D3" s="3" t="inlineStr">
        <is>
          <t>Target sale decision</t>
        </is>
      </c>
      <c r="E3" s="3" t="n">
        <v>1</v>
      </c>
      <c r="F3" s="3" t="n">
        <v>0</v>
      </c>
      <c r="G3" s="3" t="n"/>
      <c r="H3" s="3" t="inlineStr">
        <is>
          <t>Board authorized management to work with BofA Merrill Lynch to explore transactional opportunities, including opportunities with Party A; discussed the sale of CSC to Pamplona and industry M&amp;A activity; to revisit strategic alternatives on 05/09/2013. An exploration authorization, not the sale-process launch (see R009).</t>
        </is>
      </c>
      <c r="I3" s="3" t="n"/>
      <c r="J3" s="3" t="n"/>
      <c r="K3" s="3" t="inlineStr">
        <is>
          <t>Stated: “authorized Mac-Gray management to work with BofA Merrill Lynch to explore transactional opportunities that might be available to Mac-Gray, including opportunities with another strategic party, whom we refer to as Party A, in the laundry facilities management industry” Qualification: the Board only “determined to further consider Mac-Gray's strategic alternatives at its meeting scheduled for May 9, 2013.” Counting: no tally contribution (process-wide decision row).</t>
        </is>
      </c>
      <c r="L3" s="4" t="inlineStr">
        <is>
          <t>P-004</t>
        </is>
      </c>
      <c r="M3" s="3" t="inlineStr">
        <is>
          <t>Q1</t>
        </is>
      </c>
      <c r="N3" s="3" t="n"/>
      <c r="O3" s="3" t="inlineStr">
        <is>
          <t>R002</t>
        </is>
      </c>
      <c r="P3" s="3" t="inlineStr">
        <is>
          <t>Yes</t>
        </is>
      </c>
      <c r="Q3" s="3" t="n"/>
      <c r="R3" s="5" t="n">
        <v>41369</v>
      </c>
      <c r="S3" s="5" t="n">
        <v>41369</v>
      </c>
      <c r="T3" s="5" t="n">
        <v>41369</v>
      </c>
      <c r="U3" s="3" t="inlineStr">
        <is>
          <t>Reported day</t>
        </is>
      </c>
      <c r="V3" s="3" t="inlineStr">
        <is>
          <t>Reported</t>
        </is>
      </c>
      <c r="W3" s="3" t="n"/>
      <c r="X3" s="3" t="n"/>
      <c r="Y3" s="3" t="n"/>
      <c r="Z3" s="3" t="n"/>
      <c r="AA3" s="3" t="n"/>
      <c r="AB3" s="3" t="n"/>
      <c r="AC3" s="3" t="n"/>
      <c r="AD3" s="3" t="n"/>
      <c r="AE3" s="5" t="n"/>
      <c r="AF3" s="3" t="n"/>
      <c r="AG3" s="3" t="n"/>
      <c r="AH3" s="3" t="n"/>
      <c r="AI3" s="3" t="n"/>
      <c r="AJ3" s="3" t="n"/>
      <c r="AK3" s="3" t="n">
        <v>27</v>
      </c>
      <c r="AL3" s="3" t="inlineStr">
        <is>
          <t>followed by R003 contact and R009 sale-process opening</t>
        </is>
      </c>
      <c r="AM3" s="3" t="inlineStr">
        <is>
          <t>Mac-Gray</t>
        </is>
      </c>
    </row>
    <row r="4">
      <c r="A4" s="2" t="n">
        <v>3</v>
      </c>
      <c r="B4" s="3" t="inlineStr">
        <is>
          <t>04/08/2013</t>
        </is>
      </c>
      <c r="C4" s="3" t="inlineStr">
        <is>
          <t>Party A</t>
        </is>
      </c>
      <c r="D4" s="3" t="inlineStr">
        <is>
          <t>Contact</t>
        </is>
      </c>
      <c r="E4" s="3" t="n">
        <v>1</v>
      </c>
      <c r="F4" s="3" t="n">
        <v>0</v>
      </c>
      <c r="G4" s="3" t="inlineStr">
        <is>
          <t>Strategic</t>
        </is>
      </c>
      <c r="H4" s="3" t="inlineStr">
        <is>
          <t>Direction: target-initiated (BofA Merrill Lynch telephoned, as instructed by the Board). First sale-related contact; Party A indicated it might consider a business combination with Mac-Gray. Pre-process (round 0).</t>
        </is>
      </c>
      <c r="I4" s="3" t="n"/>
      <c r="J4" s="3" t="n"/>
      <c r="K4" s="3" t="inlineStr">
        <is>
          <t>Stated: “representatives of BofA Merrill Lynch, as instructed by the Board, telephoned a representative of Party A to discuss generally a possible business combination between Party A and Mac-Gray.” Count 1 = the newly represented bidder unit for the contact step; the same bidder's 06/21/2013 Bid row (R008) adds no second contact count.</t>
        </is>
      </c>
      <c r="L4" s="4" t="inlineStr">
        <is>
          <t>P-005</t>
        </is>
      </c>
      <c r="M4" s="3" t="inlineStr">
        <is>
          <t>Q1</t>
        </is>
      </c>
      <c r="N4" s="3" t="n"/>
      <c r="O4" s="3" t="inlineStr">
        <is>
          <t>R003</t>
        </is>
      </c>
      <c r="P4" s="3" t="inlineStr">
        <is>
          <t>Yes</t>
        </is>
      </c>
      <c r="Q4" s="3" t="n">
        <v>1</v>
      </c>
      <c r="R4" s="5" t="n">
        <v>41372</v>
      </c>
      <c r="S4" s="5" t="n">
        <v>41372</v>
      </c>
      <c r="T4" s="5" t="n">
        <v>41372</v>
      </c>
      <c r="U4" s="3" t="inlineStr">
        <is>
          <t>Reported day</t>
        </is>
      </c>
      <c r="V4" s="3" t="inlineStr">
        <is>
          <t>Reported</t>
        </is>
      </c>
      <c r="W4" s="3" t="n"/>
      <c r="X4" s="3" t="n"/>
      <c r="Y4" s="3" t="n"/>
      <c r="Z4" s="3" t="n"/>
      <c r="AA4" s="3" t="n"/>
      <c r="AB4" s="3" t="n"/>
      <c r="AC4" s="3" t="n"/>
      <c r="AD4" s="3" t="n"/>
      <c r="AE4" s="5" t="n"/>
      <c r="AF4" s="3" t="n"/>
      <c r="AG4" s="3" t="n"/>
      <c r="AH4" s="3" t="n"/>
      <c r="AI4" s="3" t="n"/>
      <c r="AJ4" s="3" t="n"/>
      <c r="AK4" s="3" t="n">
        <v>27</v>
      </c>
      <c r="AL4" s="3" t="inlineStr">
        <is>
          <t>same bidder later bids (R008) and signs NDA (R024)</t>
        </is>
      </c>
      <c r="AM4" s="3" t="inlineStr">
        <is>
          <t>Mac-Gray</t>
        </is>
      </c>
    </row>
    <row r="5">
      <c r="A5" s="2" t="n">
        <v>4</v>
      </c>
      <c r="B5" s="3" t="inlineStr">
        <is>
          <t>05/09/2013</t>
        </is>
      </c>
      <c r="C5" s="3" t="inlineStr">
        <is>
          <t>Mac-Gray Board of Directors</t>
        </is>
      </c>
      <c r="D5" s="3" t="inlineStr">
        <is>
          <t>Material process update</t>
        </is>
      </c>
      <c r="E5" s="3" t="n">
        <v>1</v>
      </c>
      <c r="F5" s="3" t="n">
        <v>0</v>
      </c>
      <c r="G5" s="3" t="n"/>
      <c r="H5" s="3" t="inlineStr">
        <is>
          <t>Board reviewed the sale-process option (risks/benefits, potential disruption, leak risk, disclosure to competitors) alongside standalone alternatives; formed a Transaction Committee (Thomas Bullock and Paul Daoust) to administer the strategic-alternatives review and recommend a financial adviser; deferred a decision to the next meeting.</t>
        </is>
      </c>
      <c r="I5" s="3" t="n"/>
      <c r="J5" s="3" t="n"/>
      <c r="K5" s="3" t="inlineStr">
        <is>
          <t>Stated: “the Board formed a transaction committee at this meeting, which we refer to as the Transaction Committee, and appointed Thomas Bullock and Paul Daoust, both independent directors, to serve as its members.” No sale decision or outreach yet; recorded because the governance step structures the process that follows.</t>
        </is>
      </c>
      <c r="L5" s="4" t="inlineStr">
        <is>
          <t>P-009; P-006</t>
        </is>
      </c>
      <c r="M5" s="3" t="inlineStr">
        <is>
          <t>Q1</t>
        </is>
      </c>
      <c r="N5" s="3" t="n"/>
      <c r="O5" s="3" t="inlineStr">
        <is>
          <t>R004</t>
        </is>
      </c>
      <c r="P5" s="3" t="inlineStr">
        <is>
          <t>Yes</t>
        </is>
      </c>
      <c r="Q5" s="3" t="n"/>
      <c r="R5" s="5" t="n">
        <v>41403</v>
      </c>
      <c r="S5" s="5" t="n">
        <v>41403</v>
      </c>
      <c r="T5" s="5" t="n">
        <v>41403</v>
      </c>
      <c r="U5" s="3" t="inlineStr">
        <is>
          <t>Reported day</t>
        </is>
      </c>
      <c r="V5" s="3" t="inlineStr">
        <is>
          <t>Reported</t>
        </is>
      </c>
      <c r="W5" s="3" t="n"/>
      <c r="X5" s="3" t="n"/>
      <c r="Y5" s="3" t="n"/>
      <c r="Z5" s="3" t="n"/>
      <c r="AA5" s="3" t="n"/>
      <c r="AB5" s="3" t="n"/>
      <c r="AC5" s="3" t="n"/>
      <c r="AD5" s="3" t="n"/>
      <c r="AE5" s="5" t="n"/>
      <c r="AF5" s="3" t="n"/>
      <c r="AG5" s="3" t="n"/>
      <c r="AH5" s="3" t="n"/>
      <c r="AI5" s="3" t="n"/>
      <c r="AJ5" s="3" t="n"/>
      <c r="AK5" s="3" t="n">
        <v>28</v>
      </c>
      <c r="AL5" s="3" t="inlineStr">
        <is>
          <t>leads to adviser selection (R006) and sale decision (R009)</t>
        </is>
      </c>
      <c r="AM5" s="3" t="inlineStr">
        <is>
          <t>Mac-Gray</t>
        </is>
      </c>
    </row>
    <row r="6">
      <c r="A6" s="2" t="n">
        <v>5</v>
      </c>
      <c r="B6" s="3" t="inlineStr">
        <is>
          <t>05/15/2013</t>
        </is>
      </c>
      <c r="C6" s="3" t="inlineStr">
        <is>
          <t>BofA Merrill Lynch</t>
        </is>
      </c>
      <c r="D6" s="3" t="inlineStr">
        <is>
          <t>Adviser ended</t>
        </is>
      </c>
      <c r="E6" s="3" t="n">
        <v>1</v>
      </c>
      <c r="F6" s="3" t="n">
        <v>0</v>
      </c>
      <c r="G6" s="3" t="n"/>
      <c r="H6" s="3" t="inlineStr">
        <is>
          <t>Termination of the 2011-2012 Discussions engagement: the Transaction Committee determined on 05/14/2013 to terminate; Mac-Gray sent the termination letter 05/15/2013. Not a termination of the sale process (which had not begun).</t>
        </is>
      </c>
      <c r="I6" s="3" t="n"/>
      <c r="J6" s="3" t="n"/>
      <c r="K6" s="3" t="inlineStr">
        <is>
          <t>Stated: “On May 15, 2013, Mac-Gray sent a letter to BofA Merrill Lynch terminating their engagement in connection with the 2011-2012 Discussions.” Determination: “the Transaction Committee determined to terminate BofA Merrill Lynch's engagement letter entered into for purposes of the 2011-2012 Discussions.” Adviser rows carry no Count.</t>
        </is>
      </c>
      <c r="L6" s="4" t="inlineStr">
        <is>
          <t>P-012; P-011</t>
        </is>
      </c>
      <c r="M6" s="3" t="inlineStr">
        <is>
          <t>Q8</t>
        </is>
      </c>
      <c r="N6" s="3" t="n"/>
      <c r="O6" s="3" t="inlineStr">
        <is>
          <t>R005</t>
        </is>
      </c>
      <c r="P6" s="3" t="inlineStr">
        <is>
          <t>Yes</t>
        </is>
      </c>
      <c r="Q6" s="3" t="n"/>
      <c r="R6" s="5" t="n">
        <v>41409</v>
      </c>
      <c r="S6" s="5" t="n">
        <v>41409</v>
      </c>
      <c r="T6" s="5" t="n">
        <v>41409</v>
      </c>
      <c r="U6" s="3" t="inlineStr">
        <is>
          <t>Reported day</t>
        </is>
      </c>
      <c r="V6" s="3" t="inlineStr">
        <is>
          <t>Reported</t>
        </is>
      </c>
      <c r="W6" s="3" t="n"/>
      <c r="X6" s="3" t="n"/>
      <c r="Y6" s="3" t="n"/>
      <c r="Z6" s="3" t="n"/>
      <c r="AA6" s="3" t="n"/>
      <c r="AB6" s="3" t="n"/>
      <c r="AC6" s="3" t="n"/>
      <c r="AD6" s="3" t="n"/>
      <c r="AE6" s="5" t="n"/>
      <c r="AF6" s="3" t="n"/>
      <c r="AG6" s="3" t="n"/>
      <c r="AH6" s="3" t="n"/>
      <c r="AI6" s="3" t="n"/>
      <c r="AJ6" s="3" t="n"/>
      <c r="AK6" s="3" t="n">
        <v>29</v>
      </c>
      <c r="AL6" s="3" t="inlineStr">
        <is>
          <t>ends the R001 mandate; new mandate in R006</t>
        </is>
      </c>
      <c r="AM6" s="3" t="inlineStr">
        <is>
          <t>Mac-Gray</t>
        </is>
      </c>
    </row>
    <row r="7">
      <c r="A7" s="2" t="n">
        <v>6</v>
      </c>
      <c r="B7" s="3" t="inlineStr">
        <is>
          <t>05/30/2013</t>
        </is>
      </c>
      <c r="C7" s="3" t="inlineStr">
        <is>
          <t>BofA Merrill Lynch</t>
        </is>
      </c>
      <c r="D7" s="3" t="inlineStr">
        <is>
          <t>Adviser engaged</t>
        </is>
      </c>
      <c r="E7" s="3" t="n">
        <v>1</v>
      </c>
      <c r="F7" s="3" t="n">
        <v>0</v>
      </c>
      <c r="G7" s="3" t="n"/>
      <c r="H7" s="3" t="inlineStr">
        <is>
          <t>Mac-Gray's financial advisor for the strategic-alternatives review and sale process; Board unanimously approved the engagement on 05/30/2013; engagement letter entered 05/31/2013; BofA agreed not to engage as a possible source of new acquisition financing for any potential buyer without Mac-Gray's prior written consent. Three nationally recognized banks were invited to submit proposals; the other two presented 05/29/2013.</t>
        </is>
      </c>
      <c r="I7" s="3" t="n"/>
      <c r="J7" s="3" t="n"/>
      <c r="K7" s="3" t="inlineStr">
        <is>
          <t>Stated: “the Board unanimously approved the engagement of BofA Merrill Lynch on the terms discussed at this meeting.” Engagement letter: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Adviser rows carry no Count.</t>
        </is>
      </c>
      <c r="L7" s="4" t="inlineStr">
        <is>
          <t>P-016; P-018</t>
        </is>
      </c>
      <c r="M7" s="3" t="inlineStr">
        <is>
          <t>Q8</t>
        </is>
      </c>
      <c r="N7" s="3" t="n"/>
      <c r="O7" s="3" t="inlineStr">
        <is>
          <t>R006</t>
        </is>
      </c>
      <c r="P7" s="3" t="inlineStr">
        <is>
          <t>Yes</t>
        </is>
      </c>
      <c r="Q7" s="3" t="n"/>
      <c r="R7" s="5" t="n">
        <v>41424</v>
      </c>
      <c r="S7" s="5" t="n">
        <v>41424</v>
      </c>
      <c r="T7" s="5" t="n">
        <v>41424</v>
      </c>
      <c r="U7" s="3" t="inlineStr">
        <is>
          <t>Reported day</t>
        </is>
      </c>
      <c r="V7" s="3" t="inlineStr">
        <is>
          <t>Reported</t>
        </is>
      </c>
      <c r="W7" s="3" t="n"/>
      <c r="X7" s="3" t="n"/>
      <c r="Y7" s="3" t="n"/>
      <c r="Z7" s="3" t="n"/>
      <c r="AA7" s="3" t="n"/>
      <c r="AB7" s="3" t="n"/>
      <c r="AC7" s="3" t="n"/>
      <c r="AD7" s="3" t="n"/>
      <c r="AE7" s="5" t="n"/>
      <c r="AF7" s="3" t="n"/>
      <c r="AG7" s="3" t="n"/>
      <c r="AH7" s="3" t="n"/>
      <c r="AI7" s="3" t="n"/>
      <c r="AJ7" s="3" t="n"/>
      <c r="AK7" s="3" t="n">
        <v>29</v>
      </c>
      <c r="AL7" s="3" t="inlineStr">
        <is>
          <t>replaces the terminated R001 mandate</t>
        </is>
      </c>
      <c r="AM7" s="3" t="inlineStr">
        <is>
          <t>Mac-Gray</t>
        </is>
      </c>
    </row>
    <row r="8">
      <c r="A8" s="2" t="n">
        <v>7</v>
      </c>
      <c r="B8" s="3" t="inlineStr">
        <is>
          <t>05/30/2013</t>
        </is>
      </c>
      <c r="C8" s="3" t="inlineStr">
        <is>
          <t>Moab Partners, L.P. and affiliates</t>
        </is>
      </c>
      <c r="D8" s="3" t="inlineStr">
        <is>
          <t>Activist involvement</t>
        </is>
      </c>
      <c r="E8" s="3" t="n">
        <v>1</v>
      </c>
      <c r="F8" s="3" t="n">
        <v>0</v>
      </c>
      <c r="G8" s="3" t="n"/>
      <c r="H8" s="3" t="inlineStr">
        <is>
          <t>Proxy contest led to the election of Moab's nominees Michael M. Rothenberg and James E. Hyman at the annual meeting later on 05/30/2013 (in place of two incumbent nominees); Board reduced to seven; Moab beneficially owned approximately 9% of Mac-Gray's outstanding stock as of 06/12/2013. Mr. Rothenberg was later excluded from sale-process deliberations and engaged over a possible equity rollover (R014, R046).</t>
        </is>
      </c>
      <c r="I8" s="3" t="n"/>
      <c r="J8" s="3" t="n"/>
      <c r="K8" s="3" t="inlineStr">
        <is>
          <t>Stated: “Mac-Gray and Moab engaged in a proxy contest leading up to the annual meeting and Mr. Rothenberg and Mr. Hyman were elected in place of Mac-Gray's incumbent nominees” Ownership: “At the time of this meeting, Moab beneficially owned approximately 9% of Mac-Gray's outstanding common stock.” Activist rows carry no Count.</t>
        </is>
      </c>
      <c r="L8" s="4" t="inlineStr">
        <is>
          <t>P-017; P-019</t>
        </is>
      </c>
      <c r="M8" s="3" t="inlineStr">
        <is>
          <t>Q1</t>
        </is>
      </c>
      <c r="N8" s="3" t="n"/>
      <c r="O8" s="3" t="inlineStr">
        <is>
          <t>R007</t>
        </is>
      </c>
      <c r="P8" s="3" t="inlineStr">
        <is>
          <t>Yes</t>
        </is>
      </c>
      <c r="Q8" s="3" t="n"/>
      <c r="R8" s="5" t="n">
        <v>41424</v>
      </c>
      <c r="S8" s="5" t="n">
        <v>41424</v>
      </c>
      <c r="T8" s="5" t="n">
        <v>41424</v>
      </c>
      <c r="U8" s="3" t="inlineStr">
        <is>
          <t>Reported day</t>
        </is>
      </c>
      <c r="V8" s="3" t="inlineStr">
        <is>
          <t>Reported</t>
        </is>
      </c>
      <c r="W8" s="3" t="n"/>
      <c r="X8" s="3" t="n"/>
      <c r="Y8" s="3" t="n"/>
      <c r="Z8" s="3" t="n"/>
      <c r="AA8" s="3" t="n"/>
      <c r="AB8" s="3" t="n"/>
      <c r="AC8" s="3" t="n"/>
      <c r="AD8" s="3" t="n"/>
      <c r="AE8" s="5" t="n"/>
      <c r="AF8" s="3" t="n"/>
      <c r="AG8" s="3" t="n"/>
      <c r="AH8" s="3" t="n"/>
      <c r="AI8" s="3" t="n"/>
      <c r="AJ8" s="3" t="n"/>
      <c r="AK8" s="3" t="n">
        <v>29</v>
      </c>
      <c r="AL8" s="3" t="inlineStr">
        <is>
          <t>context for R014 and R046 rollover rows</t>
        </is>
      </c>
      <c r="AM8" s="3" t="inlineStr">
        <is>
          <t>Mac-Gray</t>
        </is>
      </c>
    </row>
    <row r="9">
      <c r="A9" s="2" t="n">
        <v>8</v>
      </c>
      <c r="B9" s="3" t="inlineStr">
        <is>
          <t>06/21/2013</t>
        </is>
      </c>
      <c r="C9" s="3" t="inlineStr">
        <is>
          <t>Party A</t>
        </is>
      </c>
      <c r="D9" s="3" t="inlineStr">
        <is>
          <t>Bid</t>
        </is>
      </c>
      <c r="E9" s="3" t="n">
        <v>1</v>
      </c>
      <c r="F9" s="3" t="n">
        <v>0</v>
      </c>
      <c r="G9" s="3" t="inlineStr">
        <is>
          <t>Strategic</t>
        </is>
      </c>
      <c r="H9" s="3" t="inlineStr">
        <is>
          <t>Unsolicited all-cash proposal to purchase Mac-Gray at $17.00-$19.00 per share, submitted to the Board before any confidentiality agreement. Pre-process (round 0); retained as a genuine pre-NDA offer and shown as a standing round-1 proposal (see R009). No formal documentation signal; financing not stated.</t>
        </is>
      </c>
      <c r="I9" s="3" t="inlineStr">
        <is>
          <t>Informal</t>
        </is>
      </c>
      <c r="J9" s="3" t="inlineStr">
        <is>
          <t>Heavy</t>
        </is>
      </c>
      <c r="K9" s="3" t="inlineStr">
        <is>
          <t>“On June 21, 2013, Party A submitted an unsolicited proposal to the Mac-Gray Board of Directors offering to purchase Mac-Gray for an all-cash purchase price of $17.00 to $19.00 per share” Formality: preliminary pre-NDA indication without a supported formal signal. Conditions: preliminary non-binding indication before any substantive diligence access (no data-room or management access before 08/2013), so Heavy by context; financing not addressed. Price Stated; range endpoints retained, not averaged.</t>
        </is>
      </c>
      <c r="L9" s="4" t="inlineStr">
        <is>
          <t>P-020</t>
        </is>
      </c>
      <c r="M9" s="3" t="inlineStr">
        <is>
          <t>Q1; Q5; Q6</t>
        </is>
      </c>
      <c r="N9" s="3" t="n"/>
      <c r="O9" s="3" t="inlineStr">
        <is>
          <t>R008</t>
        </is>
      </c>
      <c r="P9" s="3" t="inlineStr">
        <is>
          <t>Yes</t>
        </is>
      </c>
      <c r="Q9" s="3" t="n">
        <v>1</v>
      </c>
      <c r="R9" s="5" t="n">
        <v>41446</v>
      </c>
      <c r="S9" s="5" t="n">
        <v>41446</v>
      </c>
      <c r="T9" s="5" t="n">
        <v>41446</v>
      </c>
      <c r="U9" s="3" t="inlineStr">
        <is>
          <t>Reported day</t>
        </is>
      </c>
      <c r="V9" s="3" t="inlineStr">
        <is>
          <t>Reported</t>
        </is>
      </c>
      <c r="W9" s="3" t="n">
        <v>17</v>
      </c>
      <c r="X9" s="3" t="n">
        <v>19</v>
      </c>
      <c r="Y9" s="3" t="inlineStr">
        <is>
          <t>Bidder range</t>
        </is>
      </c>
      <c r="Z9" s="3" t="inlineStr">
        <is>
          <t>Stated</t>
        </is>
      </c>
      <c r="AA9" s="3" t="inlineStr">
        <is>
          <t>USD</t>
        </is>
      </c>
      <c r="AB9" s="3" t="inlineStr">
        <is>
          <t>Yes</t>
        </is>
      </c>
      <c r="AC9" s="3" t="n"/>
      <c r="AD9" s="3" t="inlineStr">
        <is>
          <t>Fin: not stated; DD required: not stated; DD open: no; Excl: none</t>
        </is>
      </c>
      <c r="AE9" s="5" t="n"/>
      <c r="AF9" s="3" t="n"/>
      <c r="AG9" s="3" t="n"/>
      <c r="AH9" s="3" t="n"/>
      <c r="AI9" s="3" t="n"/>
      <c r="AJ9" s="3" t="n"/>
      <c r="AK9" s="3" t="n">
        <v>30</v>
      </c>
      <c r="AL9" s="3" t="inlineStr">
        <is>
          <t>first contact R003; revised by R030; standing proposal counted in R1 (R009)</t>
        </is>
      </c>
      <c r="AM9" s="3" t="inlineStr">
        <is>
          <t>Mac-Gray</t>
        </is>
      </c>
    </row>
    <row r="10">
      <c r="A10" s="2" t="n">
        <v>9</v>
      </c>
      <c r="B10" s="3" t="inlineStr">
        <is>
          <t>06/24/2013</t>
        </is>
      </c>
      <c r="C10" s="3" t="inlineStr">
        <is>
          <t>Mac-Gray Board of Directors; Special Committee</t>
        </is>
      </c>
      <c r="D10" s="3" t="inlineStr">
        <is>
          <t>Round opened</t>
        </is>
      </c>
      <c r="E10" s="3" t="n">
        <v>1</v>
      </c>
      <c r="F10" s="3" t="n">
        <v>1</v>
      </c>
      <c r="G10" s="3" t="n"/>
      <c r="H10" s="3" t="inlineStr">
        <is>
          <t>R1 anchor: 06/24/2013 Special Committee decision to consider a sale and authorize solicitation of 50 parties — outreach followed within about a week (first reported NDA 06/28/2013); other candidate anchors rejected: R008 (06/21/2013 Party A proposal), R012 (06/28/2013 first NDA); first outreach-wave date itself not disclosed. Sale consideration concluded in stockholders' best interests; Special Committee of six independent directors established (Bullock, Daoust, Hyman, Meagher, Percelay, Robinson; Mr. Bullock chairman); Mr. MacDonald and Mr. Rothenberg excluded from sale-process evaluation and negotiations; the Transaction Committee became the Special Committee's sub-committee. Round finality: Not final (preliminary IOI solicitation; no finality signal).</t>
        </is>
      </c>
      <c r="I10" s="3" t="n"/>
      <c r="J10" s="3" t="n"/>
      <c r="K10" s="3" t="inlineStr">
        <is>
          <t>Stated: “the Special Committee concluded that it would be in the best interests of stockholders to consider a potential sale of Mac-Gray” Scope: “the Special Committee determined to approach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 Convention: anchor chosen under instruction rule 2 (the first outreach wave is undated; the filing reports the outreach as direct execution of the 06/24/2013 decision beginning within days). Special Committee formation: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Exclusions: “the Board decided, and Mr. MacDonald and Mr. Rothenberg agreed, that it would be appropriate to exclude Mr. MacDonald and Mr. Rothenberg from the Board's evaluation of strategic alternatives and any negotiations with third parties that might take place.”</t>
        </is>
      </c>
      <c r="L10" s="4" t="inlineStr">
        <is>
          <t>P-021; P-022; P-023; P-024; P-025</t>
        </is>
      </c>
      <c r="M10" s="3" t="inlineStr">
        <is>
          <t>Q1</t>
        </is>
      </c>
      <c r="N10" s="3" t="n"/>
      <c r="O10" s="3" t="inlineStr">
        <is>
          <t>R009</t>
        </is>
      </c>
      <c r="P10" s="3" t="inlineStr">
        <is>
          <t>Yes</t>
        </is>
      </c>
      <c r="Q10" s="3" t="n"/>
      <c r="R10" s="5" t="n">
        <v>41449</v>
      </c>
      <c r="S10" s="5" t="n">
        <v>41449</v>
      </c>
      <c r="T10" s="5" t="n">
        <v>41449</v>
      </c>
      <c r="U10" s="3" t="inlineStr">
        <is>
          <t>Reported day</t>
        </is>
      </c>
      <c r="V10" s="3" t="inlineStr">
        <is>
          <t>Reported</t>
        </is>
      </c>
      <c r="W10" s="3" t="n"/>
      <c r="X10" s="3" t="n"/>
      <c r="Y10" s="3" t="n"/>
      <c r="Z10" s="3" t="n"/>
      <c r="AA10" s="3" t="n"/>
      <c r="AB10" s="3" t="n"/>
      <c r="AC10" s="3" t="n"/>
      <c r="AD10" s="3" t="n"/>
      <c r="AE10" s="5" t="n"/>
      <c r="AF10" s="3" t="n"/>
      <c r="AG10" s="3" t="inlineStr">
        <is>
          <t>Not final</t>
        </is>
      </c>
      <c r="AH10" s="3" t="n"/>
      <c r="AI10" s="3" t="n"/>
      <c r="AJ10" s="3" t="n"/>
      <c r="AK10" s="3" t="n">
        <v>30</v>
      </c>
      <c r="AL10" s="3" t="inlineStr">
        <is>
          <t>candidate anchors R008, R012; deadline set R010</t>
        </is>
      </c>
      <c r="AM10" s="3" t="inlineStr">
        <is>
          <t>Mac-Gray</t>
        </is>
      </c>
    </row>
    <row r="11">
      <c r="A11" s="2" t="n">
        <v>10</v>
      </c>
      <c r="B11" s="3" t="inlineStr">
        <is>
          <t>by 07/23/2013; communication day not disclosed (packages furnished from 06/28/2013)</t>
        </is>
      </c>
      <c r="C11" s="3" t="inlineStr">
        <is>
          <t>Mac-Gray / BofA Merrill Lynch</t>
        </is>
      </c>
      <c r="D11" s="3" t="inlineStr">
        <is>
          <t>Deadline set</t>
        </is>
      </c>
      <c r="E11" s="3" t="n">
        <v>1</v>
      </c>
      <c r="F11" s="3" t="n">
        <v>1</v>
      </c>
      <c r="G11" s="3" t="n"/>
      <c r="H11" s="3" t="inlineStr">
        <is>
          <t>Preliminary indications of interest due 07/23/2013; parties signing confidentiality and standstill agreements were furnished an informational package and instructed to submit by that date. The letter asked proposals to address valuation, sources and structures of financing, material conditions (including required approvals) and due-diligence focus areas.</t>
        </is>
      </c>
      <c r="I11" s="3" t="n"/>
      <c r="J11" s="3" t="n"/>
      <c r="K11" s="3" t="inlineStr">
        <is>
          <t>Stated: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Date: the communication day is not disclosed; Working date assigned by sequence (this row follows the 06/24/2013 round opening, R009). Due date is the only bid-submission clock recorded here.</t>
        </is>
      </c>
      <c r="L11" s="4" t="inlineStr">
        <is>
          <t>P-026</t>
        </is>
      </c>
      <c r="M11" s="3" t="inlineStr">
        <is>
          <t>Q2; Q8</t>
        </is>
      </c>
      <c r="N11" s="3" t="n"/>
      <c r="O11" s="3" t="inlineStr">
        <is>
          <t>R010</t>
        </is>
      </c>
      <c r="P11" s="3" t="inlineStr">
        <is>
          <t>Yes</t>
        </is>
      </c>
      <c r="Q11" s="3" t="n"/>
      <c r="R11" s="5" t="n"/>
      <c r="S11" s="5" t="n"/>
      <c r="T11" s="5" t="n">
        <v>41449</v>
      </c>
      <c r="U11" s="3" t="inlineStr">
        <is>
          <t>Undated</t>
        </is>
      </c>
      <c r="V11" s="3" t="inlineStr">
        <is>
          <t>Assigned: sequence</t>
        </is>
      </c>
      <c r="W11" s="3" t="n"/>
      <c r="X11" s="3" t="n"/>
      <c r="Y11" s="3" t="n"/>
      <c r="Z11" s="3" t="n"/>
      <c r="AA11" s="3" t="n"/>
      <c r="AB11" s="3" t="n"/>
      <c r="AC11" s="3" t="n"/>
      <c r="AD11" s="3" t="n"/>
      <c r="AE11" s="5" t="n">
        <v>41478</v>
      </c>
      <c r="AF11" s="3" t="n"/>
      <c r="AG11" s="3" t="n"/>
      <c r="AH11" s="3" t="n"/>
      <c r="AI11" s="3" t="n"/>
      <c r="AJ11" s="3" t="n"/>
      <c r="AK11" s="3" t="n">
        <v>32</v>
      </c>
      <c r="AL11" s="3" t="inlineStr">
        <is>
          <t>milestone R017</t>
        </is>
      </c>
      <c r="AM11" s="3" t="inlineStr">
        <is>
          <t>Mac-Gray</t>
        </is>
      </c>
    </row>
    <row r="12">
      <c r="A12" s="2" t="n">
        <v>11</v>
      </c>
      <c r="B12" s="3" t="inlineStr">
        <is>
          <t>06/28/2013</t>
        </is>
      </c>
      <c r="C12" s="3" t="inlineStr">
        <is>
          <t>CSC/Pamplona</t>
        </is>
      </c>
      <c r="D12" s="3" t="inlineStr">
        <is>
          <t>Contact</t>
        </is>
      </c>
      <c r="E12" s="3" t="n">
        <v>1</v>
      </c>
      <c r="F12" s="3" t="n">
        <v>1</v>
      </c>
      <c r="G12" s="3" t="inlineStr">
        <is>
          <t>Strategic</t>
        </is>
      </c>
      <c r="H12" s="3" t="inlineStr">
        <is>
          <t>Direction: target-initiated (BofA Merrill Lynch spoke with Pamplona as instructed by the Special Committee). Pamplona expressed interest in a transaction, including an acquisition by portfolio company CSC; said business and legal due diligence would be minimal given familiarity with Mac-Gray and the industry. First reported contact with the winning bidder unit.</t>
        </is>
      </c>
      <c r="I12" s="3" t="n"/>
      <c r="J12" s="3" t="n"/>
      <c r="K12" s="3" t="inlineStr">
        <is>
          <t>Stated: “BofA Merrill Lynch also reported that they had spoken with representatives of Pamplona, as instructed by the Special Committee, who expressed interest in a transaction, including an acquisition of Mac-Gray by its portfolio company, CSC.” “Pamplona emphasized that business and legal due diligence would be minimal given its familiarity with Mac-Gray and the industry generally.” Count 1 = the newly represented bidder unit for the contact step.</t>
        </is>
      </c>
      <c r="L12" s="4" t="inlineStr">
        <is>
          <t>P-027</t>
        </is>
      </c>
      <c r="M12" s="3" t="inlineStr">
        <is>
          <t>Q1</t>
        </is>
      </c>
      <c r="N12" s="3" t="n"/>
      <c r="O12" s="3" t="inlineStr">
        <is>
          <t>R011</t>
        </is>
      </c>
      <c r="P12" s="3" t="inlineStr">
        <is>
          <t>Yes</t>
        </is>
      </c>
      <c r="Q12" s="3" t="n">
        <v>1</v>
      </c>
      <c r="R12" s="5" t="n">
        <v>41453</v>
      </c>
      <c r="S12" s="5" t="n">
        <v>41453</v>
      </c>
      <c r="T12" s="5" t="n">
        <v>41453</v>
      </c>
      <c r="U12" s="3" t="inlineStr">
        <is>
          <t>Reported day</t>
        </is>
      </c>
      <c r="V12" s="3" t="inlineStr">
        <is>
          <t>Reported</t>
        </is>
      </c>
      <c r="W12" s="3" t="n"/>
      <c r="X12" s="3" t="n"/>
      <c r="Y12" s="3" t="n"/>
      <c r="Z12" s="3" t="n"/>
      <c r="AA12" s="3" t="n"/>
      <c r="AB12" s="3" t="n"/>
      <c r="AC12" s="3" t="n"/>
      <c r="AD12" s="3" t="n"/>
      <c r="AE12" s="5" t="n"/>
      <c r="AF12" s="3" t="n"/>
      <c r="AG12" s="3" t="n"/>
      <c r="AH12" s="3" t="n"/>
      <c r="AI12" s="3" t="n"/>
      <c r="AJ12" s="3" t="n"/>
      <c r="AK12" s="3" t="n">
        <v>32</v>
      </c>
      <c r="AL12" s="3" t="inlineStr">
        <is>
          <t>NDA R015; bidding through R040; winner</t>
        </is>
      </c>
      <c r="AM12" s="3" t="inlineStr">
        <is>
          <t>Mac-Gray</t>
        </is>
      </c>
    </row>
    <row r="13">
      <c r="A13" s="2" t="n">
        <v>12</v>
      </c>
      <c r="B13" s="3" t="inlineStr">
        <is>
          <t>06/28/2013</t>
        </is>
      </c>
      <c r="C13" s="3" t="inlineStr">
        <is>
          <t>Party B</t>
        </is>
      </c>
      <c r="D13" s="3" t="inlineStr">
        <is>
          <t>NDA signed</t>
        </is>
      </c>
      <c r="E13" s="3" t="n">
        <v>1</v>
      </c>
      <c r="F13" s="3" t="n">
        <v>1</v>
      </c>
      <c r="G13" s="3" t="inlineStr">
        <is>
          <t>Financial</t>
        </is>
      </c>
      <c r="H13" s="3" t="inlineStr">
        <is>
          <t>Confidentiality and standstill agreement with Mac-Gray (Mac-Gray form; terms individually negotiated but not materially varied); furnished the informational package to formulate a preliminary indication of interest. New signer; NDA count 1.</t>
        </is>
      </c>
      <c r="I13" s="3" t="n"/>
      <c r="J13" s="3" t="n"/>
      <c r="K13" s="3" t="inlineStr">
        <is>
          <t>Stated: “Later on June 28, 2013, Party B, entered into a confidentiality and standstill agreement with Mac-Gray and was provided with an informational package for the purpose of providing Party B with data to formulate a preliminary indication of interest.” Form and standstill terms: “entered into confidentiality agreements with Mac-Gray on a form provided by Mac-Gray, the terms of which were individually negotiated with potential bidders, but did not vary materially from the form provided.” Count 1 = newly represented signer.</t>
        </is>
      </c>
      <c r="L13" s="4" t="inlineStr">
        <is>
          <t>P-028; P-026</t>
        </is>
      </c>
      <c r="M13" s="3" t="inlineStr">
        <is>
          <t>Q3</t>
        </is>
      </c>
      <c r="N13" s="3" t="n"/>
      <c r="O13" s="3" t="inlineStr">
        <is>
          <t>R012</t>
        </is>
      </c>
      <c r="P13" s="3" t="inlineStr">
        <is>
          <t>Yes</t>
        </is>
      </c>
      <c r="Q13" s="3" t="n">
        <v>1</v>
      </c>
      <c r="R13" s="5" t="n">
        <v>41453</v>
      </c>
      <c r="S13" s="5" t="n">
        <v>41453</v>
      </c>
      <c r="T13" s="5" t="n">
        <v>41453</v>
      </c>
      <c r="U13" s="3" t="inlineStr">
        <is>
          <t>Reported day</t>
        </is>
      </c>
      <c r="V13" s="3" t="inlineStr">
        <is>
          <t>Reported</t>
        </is>
      </c>
      <c r="W13" s="3" t="n"/>
      <c r="X13" s="3" t="n"/>
      <c r="Y13" s="3" t="n"/>
      <c r="Z13" s="3" t="n"/>
      <c r="AA13" s="3" t="n"/>
      <c r="AB13" s="3" t="n"/>
      <c r="AC13" s="3" t="n"/>
      <c r="AD13" s="3" t="n"/>
      <c r="AE13" s="5" t="n"/>
      <c r="AF13" s="3" t="n"/>
      <c r="AG13" s="3" t="n"/>
      <c r="AH13" s="3" t="n"/>
      <c r="AI13" s="3" t="n"/>
      <c r="AJ13" s="3" t="n"/>
      <c r="AK13" s="3" t="n">
        <v>32</v>
      </c>
      <c r="AL13" s="3" t="inlineStr">
        <is>
          <t>bid R020, R029, R037</t>
        </is>
      </c>
      <c r="AM13" s="3" t="inlineStr">
        <is>
          <t>Mac-Gray</t>
        </is>
      </c>
    </row>
    <row r="14">
      <c r="A14" s="2" t="n">
        <v>13</v>
      </c>
      <c r="B14" s="3" t="inlineStr">
        <is>
          <t>06/30/2013</t>
        </is>
      </c>
      <c r="C14" s="3" t="inlineStr">
        <is>
          <t>Party C</t>
        </is>
      </c>
      <c r="D14" s="3" t="inlineStr">
        <is>
          <t>NDA signed</t>
        </is>
      </c>
      <c r="E14" s="3" t="n">
        <v>1</v>
      </c>
      <c r="F14" s="3" t="n">
        <v>1</v>
      </c>
      <c r="G14" s="3" t="inlineStr">
        <is>
          <t>Financial</t>
        </is>
      </c>
      <c r="H14" s="3" t="inlineStr">
        <is>
          <t>Confidentiality and standstill agreement with Mac-Gray; furnished the informational package to formulate a preliminary indication of interest. New signer; NDA count 1.</t>
        </is>
      </c>
      <c r="I14" s="3" t="n"/>
      <c r="J14" s="3" t="n"/>
      <c r="K14" s="3" t="inlineStr">
        <is>
          <t>Stated: “On June 30, 2013, Party C entered into a confidentiality and standstill agreement with Mac-Gray and was provided with an informational package for the purpose of providing Party C with data to formulate a preliminary indication of interest.” Count 1 = newly represented signer.</t>
        </is>
      </c>
      <c r="L14" s="4" t="inlineStr">
        <is>
          <t>P-029; P-026</t>
        </is>
      </c>
      <c r="M14" s="3" t="inlineStr">
        <is>
          <t>Q3</t>
        </is>
      </c>
      <c r="N14" s="3" t="n"/>
      <c r="O14" s="3" t="inlineStr">
        <is>
          <t>R013</t>
        </is>
      </c>
      <c r="P14" s="3" t="inlineStr">
        <is>
          <t>Yes</t>
        </is>
      </c>
      <c r="Q14" s="3" t="n">
        <v>1</v>
      </c>
      <c r="R14" s="5" t="n">
        <v>41455</v>
      </c>
      <c r="S14" s="5" t="n">
        <v>41455</v>
      </c>
      <c r="T14" s="5" t="n">
        <v>41455</v>
      </c>
      <c r="U14" s="3" t="inlineStr">
        <is>
          <t>Reported day</t>
        </is>
      </c>
      <c r="V14" s="3" t="inlineStr">
        <is>
          <t>Reported</t>
        </is>
      </c>
      <c r="W14" s="3" t="n"/>
      <c r="X14" s="3" t="n"/>
      <c r="Y14" s="3" t="n"/>
      <c r="Z14" s="3" t="n"/>
      <c r="AA14" s="3" t="n"/>
      <c r="AB14" s="3" t="n"/>
      <c r="AC14" s="3" t="n"/>
      <c r="AD14" s="3" t="n"/>
      <c r="AE14" s="5" t="n"/>
      <c r="AF14" s="3" t="n"/>
      <c r="AG14" s="3" t="n"/>
      <c r="AH14" s="3" t="n"/>
      <c r="AI14" s="3" t="n"/>
      <c r="AJ14" s="3" t="n"/>
      <c r="AK14" s="3" t="n">
        <v>32</v>
      </c>
      <c r="AL14" s="3" t="inlineStr">
        <is>
          <t>bids R021, R023, R031; exit R038</t>
        </is>
      </c>
      <c r="AM14" s="3" t="inlineStr">
        <is>
          <t>Mac-Gray</t>
        </is>
      </c>
    </row>
    <row r="15">
      <c r="A15" s="2" t="n">
        <v>14</v>
      </c>
      <c r="B15" s="3" t="inlineStr">
        <is>
          <t>07/06/2013</t>
        </is>
      </c>
      <c r="C15" s="3" t="inlineStr">
        <is>
          <t>Moab (with Mac-Gray Special Committee)</t>
        </is>
      </c>
      <c r="D15" s="3" t="inlineStr">
        <is>
          <t>Material process update</t>
        </is>
      </c>
      <c r="E15" s="3" t="n">
        <v>1</v>
      </c>
      <c r="F15" s="3" t="n">
        <v>1</v>
      </c>
      <c r="G15" s="3" t="n"/>
      <c r="H15" s="3" t="inlineStr">
        <is>
          <t>Rollover: Special Committee denied, at this stage, Moab's request to partner exclusively with CSC/Pamplona and to discuss an equity rollover; instructed BofA Merrill Lynch and Goodwin Procter to communicate that rollover discussions were premature but would be permitted at a later stage, so Moab's shares could remain available as a capital source for other bidders. Denial step of this rollover relationship (resolution in R046).</t>
        </is>
      </c>
      <c r="I15" s="3" t="n"/>
      <c r="J15" s="3" t="n"/>
      <c r="K15" s="3" t="inlineStr">
        <is>
          <t>Stated: “The Special Committee discussed whether Moab should be permitted to partner exclusively with CSC/Pamplona.” Decision: “the Special Committee decided to deny the exclusivity request at this stage of the process so that the potential equity rollover of Moab's shares could be available as a source of capital for other potential bidders.” One row permitted for the denied step of a rollover relationship; no Count.</t>
        </is>
      </c>
      <c r="L15" s="4" t="inlineStr">
        <is>
          <t>P-031; P-030; P-032</t>
        </is>
      </c>
      <c r="M15" s="3" t="inlineStr">
        <is>
          <t>Q8</t>
        </is>
      </c>
      <c r="N15" s="3" t="n"/>
      <c r="O15" s="3" t="inlineStr">
        <is>
          <t>R014</t>
        </is>
      </c>
      <c r="P15" s="3" t="inlineStr">
        <is>
          <t>Yes</t>
        </is>
      </c>
      <c r="Q15" s="3" t="n"/>
      <c r="R15" s="5" t="n">
        <v>41461</v>
      </c>
      <c r="S15" s="5" t="n">
        <v>41461</v>
      </c>
      <c r="T15" s="5" t="n">
        <v>41461</v>
      </c>
      <c r="U15" s="3" t="inlineStr">
        <is>
          <t>Reported day</t>
        </is>
      </c>
      <c r="V15" s="3" t="inlineStr">
        <is>
          <t>Reported</t>
        </is>
      </c>
      <c r="W15" s="3" t="n"/>
      <c r="X15" s="3" t="n"/>
      <c r="Y15" s="3" t="n"/>
      <c r="Z15" s="3" t="n"/>
      <c r="AA15" s="3" t="n"/>
      <c r="AB15" s="3" t="n"/>
      <c r="AC15" s="3" t="n"/>
      <c r="AD15" s="3" t="n"/>
      <c r="AE15" s="5" t="n"/>
      <c r="AF15" s="3" t="n"/>
      <c r="AG15" s="3" t="n"/>
      <c r="AH15" s="3" t="n"/>
      <c r="AI15" s="3" t="n"/>
      <c r="AJ15" s="3" t="n"/>
      <c r="AK15" s="3" t="n">
        <v>32</v>
      </c>
      <c r="AL15" s="3" t="inlineStr">
        <is>
          <t>resolved by R046; Moab voting agreement at signing (R048)</t>
        </is>
      </c>
      <c r="AM15" s="3" t="inlineStr">
        <is>
          <t>Mac-Gray</t>
        </is>
      </c>
    </row>
    <row r="16">
      <c r="A16" s="2" t="n">
        <v>15</v>
      </c>
      <c r="B16" s="3" t="inlineStr">
        <is>
          <t>07/11/2013</t>
        </is>
      </c>
      <c r="C16" s="3" t="inlineStr">
        <is>
          <t>CSC/Pamplona</t>
        </is>
      </c>
      <c r="D16" s="3" t="inlineStr">
        <is>
          <t>NDA signed</t>
        </is>
      </c>
      <c r="E16" s="3" t="n">
        <v>1</v>
      </c>
      <c r="F16" s="3" t="n">
        <v>1</v>
      </c>
      <c r="G16" s="3" t="inlineStr">
        <is>
          <t>Strategic</t>
        </is>
      </c>
      <c r="H16" s="3" t="inlineStr">
        <is>
          <t>Confidentiality and standstill agreement with Mac-Gray; furnished the informational package to formulate a preliminary indication of interest. New signer; NDA count 1.</t>
        </is>
      </c>
      <c r="I16" s="3" t="n"/>
      <c r="J16" s="3" t="n"/>
      <c r="K16" s="3" t="inlineStr">
        <is>
          <t>Stated: “On July 11, 2013, CSC/Pamplona entered into a confidentiality and standstill agreement with Mac-Gray and were provided with an informational package for the purpose of providing CSC/Pamplona with data to formulate a preliminary indication of interest.” First bid follows 07/23/2013 (R018). Count 1 = newly represented signer.</t>
        </is>
      </c>
      <c r="L16" s="4" t="inlineStr">
        <is>
          <t>P-033; P-026</t>
        </is>
      </c>
      <c r="M16" s="3" t="inlineStr">
        <is>
          <t>Q3</t>
        </is>
      </c>
      <c r="N16" s="3" t="n"/>
      <c r="O16" s="3" t="inlineStr">
        <is>
          <t>R015</t>
        </is>
      </c>
      <c r="P16" s="3" t="inlineStr">
        <is>
          <t>Yes</t>
        </is>
      </c>
      <c r="Q16" s="3" t="n">
        <v>1</v>
      </c>
      <c r="R16" s="5" t="n">
        <v>41466</v>
      </c>
      <c r="S16" s="5" t="n">
        <v>41466</v>
      </c>
      <c r="T16" s="5" t="n">
        <v>41466</v>
      </c>
      <c r="U16" s="3" t="inlineStr">
        <is>
          <t>Reported day</t>
        </is>
      </c>
      <c r="V16" s="3" t="inlineStr">
        <is>
          <t>Reported</t>
        </is>
      </c>
      <c r="W16" s="3" t="n"/>
      <c r="X16" s="3" t="n"/>
      <c r="Y16" s="3" t="n"/>
      <c r="Z16" s="3" t="n"/>
      <c r="AA16" s="3" t="n"/>
      <c r="AB16" s="3" t="n"/>
      <c r="AC16" s="3" t="n"/>
      <c r="AD16" s="3" t="n"/>
      <c r="AE16" s="5" t="n"/>
      <c r="AF16" s="3" t="n"/>
      <c r="AG16" s="3" t="n"/>
      <c r="AH16" s="3" t="n"/>
      <c r="AI16" s="3" t="n"/>
      <c r="AJ16" s="3" t="n"/>
      <c r="AK16" s="3" t="n">
        <v>33</v>
      </c>
      <c r="AL16" s="3" t="inlineStr">
        <is>
          <t>winning bidder unit; signing R048</t>
        </is>
      </c>
      <c r="AM16" s="3" t="inlineStr">
        <is>
          <t>Mac-Gray</t>
        </is>
      </c>
    </row>
    <row r="17">
      <c r="A17" s="2" t="n">
        <v>16</v>
      </c>
      <c r="B17" s="3" t="inlineStr">
        <is>
          <t>between 06/28/2013 and 08/05/2013 (individuated signings; the filing reports the 20 signings only in aggregate over the two months following the 06/24/2013 directive)</t>
        </is>
      </c>
      <c r="C17" s="3" t="inlineStr">
        <is>
          <t>16 remaining NDA signers (financial; residual cohort)</t>
        </is>
      </c>
      <c r="D17" s="3" t="inlineStr">
        <is>
          <t>NDA signed</t>
        </is>
      </c>
      <c r="E17" s="3" t="n">
        <v>1</v>
      </c>
      <c r="F17" s="3" t="n">
        <v>1</v>
      </c>
      <c r="G17" s="3" t="inlineStr">
        <is>
          <t>Financial</t>
        </is>
      </c>
      <c r="H17" s="3" t="inlineStr">
        <is>
          <t>Disjoint residual cohort: 20 NDA signers reported in total minus the four individually recorded signers (Party A, Party B, Party C, CSC/Pamplona) = 16 remaining financial signers. No individual dates, names or terms; signing window bounded by the first and last individually recorded signings (06/28/2013 to 08/05/2013).</t>
        </is>
      </c>
      <c r="I17" s="3" t="n"/>
      <c r="J17" s="3" t="n"/>
      <c r="K17" s="3" t="inlineStr">
        <is>
          <t>Stated base and split: “a total of 20 potential bidders, including two strategic bidders (Party A and CSC/Pamplona) and 18 financial bidders (including Party B and Party C), entered into confidentiality agreements with Mac-Gray” Arithmetic: 20 - 4 individually recorded = 16 financial signers. Date: individual dates not disclosed; window bounded by R012 (06/28/2013) and R024 (08/05/2013); Working date by midpoint convention. Count 16 is the residual tally contribution for the NDA step, not a new population.</t>
        </is>
      </c>
      <c r="L17" s="4" t="inlineStr">
        <is>
          <t>P-026; P-028; P-029; P-033; P-041</t>
        </is>
      </c>
      <c r="M17" s="3" t="inlineStr">
        <is>
          <t>Q3; Q8</t>
        </is>
      </c>
      <c r="N17" s="3" t="n"/>
      <c r="O17" s="3" t="inlineStr">
        <is>
          <t>R016</t>
        </is>
      </c>
      <c r="P17" s="3" t="inlineStr">
        <is>
          <t>Yes</t>
        </is>
      </c>
      <c r="Q17" s="3" t="n">
        <v>16</v>
      </c>
      <c r="R17" s="5" t="n">
        <v>41453</v>
      </c>
      <c r="S17" s="5" t="n">
        <v>41491</v>
      </c>
      <c r="T17" s="5" t="n">
        <v>41472</v>
      </c>
      <c r="U17" s="3" t="inlineStr">
        <is>
          <t>Reported interval</t>
        </is>
      </c>
      <c r="V17" s="3" t="inlineStr">
        <is>
          <t>Assigned: midpoint</t>
        </is>
      </c>
      <c r="W17" s="3" t="n"/>
      <c r="X17" s="3" t="n"/>
      <c r="Y17" s="3" t="n"/>
      <c r="Z17" s="3" t="n"/>
      <c r="AA17" s="3" t="n"/>
      <c r="AB17" s="3" t="n"/>
      <c r="AC17" s="3" t="n"/>
      <c r="AD17" s="3" t="n"/>
      <c r="AE17" s="5" t="n"/>
      <c r="AF17" s="3" t="n"/>
      <c r="AG17" s="3" t="n"/>
      <c r="AH17" s="3" t="n"/>
      <c r="AI17" s="3" t="n"/>
      <c r="AJ17" s="3" t="n"/>
      <c r="AK17" s="3" t="n">
        <v>32</v>
      </c>
      <c r="AL17" s="3" t="inlineStr">
        <is>
          <t>covered individually by R012, R013, R015, R024; closed in R019</t>
        </is>
      </c>
      <c r="AM17" s="3" t="inlineStr">
        <is>
          <t>Mac-Gray</t>
        </is>
      </c>
    </row>
    <row r="18">
      <c r="A18" s="2" t="n">
        <v>17</v>
      </c>
      <c r="B18" s="3" t="inlineStr">
        <is>
          <t>07/23/2013</t>
        </is>
      </c>
      <c r="C18" s="3" t="inlineStr">
        <is>
          <t>Mac-Gray / BofA Merrill Lynch</t>
        </is>
      </c>
      <c r="D18" s="3" t="inlineStr">
        <is>
          <t>Deadline</t>
        </is>
      </c>
      <c r="E18" s="3" t="n">
        <v>1</v>
      </c>
      <c r="F18" s="3" t="n">
        <v>1</v>
      </c>
      <c r="G18" s="3" t="n"/>
      <c r="H18" s="3" t="inlineStr">
        <is>
          <t>Scheduled due date for preliminary indications of interest. CSC/Pamplona submitted on 07/23/2013; Party B submitted 07/24/2013 and Party C orally 07/24/2013 (written 07/25/2013). The Special Committee reviewed Party B's, Party C's and CSC/Pamplona's submissions plus Party A's standing 06/21/2013 proposal on 07/25/2013 with no disclosed revision or extension: Late bids accepted.</t>
        </is>
      </c>
      <c r="I18" s="3" t="n"/>
      <c r="J18" s="3" t="n"/>
      <c r="K18" s="3" t="inlineStr">
        <is>
          <t>Stated: “instructed to submit by July 23, 2013.” Late bids: “On July 24, 2013, Party B submitted a preliminary indication of interest at an all-cash purchase price of $17.00 to $18.00 per share.” Considered: “reviewed the preliminary indications of interest received from Party B, Party C and CSC/Pamplona as well as the Party A June 21 proposal” Convention: treatment is Late bids accepted - the target considered post-due-date bids without any revision; continuation without a disclosed extension is not a revised due date.</t>
        </is>
      </c>
      <c r="L18" s="4" t="inlineStr">
        <is>
          <t>P-026; P-035; P-036; P-037</t>
        </is>
      </c>
      <c r="M18" s="3" t="inlineStr">
        <is>
          <t>Q2</t>
        </is>
      </c>
      <c r="N18" s="3" t="n"/>
      <c r="O18" s="3" t="inlineStr">
        <is>
          <t>R017</t>
        </is>
      </c>
      <c r="P18" s="3" t="inlineStr">
        <is>
          <t>Yes</t>
        </is>
      </c>
      <c r="Q18" s="3" t="n"/>
      <c r="R18" s="5" t="n">
        <v>41478</v>
      </c>
      <c r="S18" s="5" t="n">
        <v>41478</v>
      </c>
      <c r="T18" s="5" t="n">
        <v>41478</v>
      </c>
      <c r="U18" s="3" t="inlineStr">
        <is>
          <t>Reported day</t>
        </is>
      </c>
      <c r="V18" s="3" t="inlineStr">
        <is>
          <t>Reported</t>
        </is>
      </c>
      <c r="W18" s="3" t="n"/>
      <c r="X18" s="3" t="n"/>
      <c r="Y18" s="3" t="n"/>
      <c r="Z18" s="3" t="n"/>
      <c r="AA18" s="3" t="n"/>
      <c r="AB18" s="3" t="n"/>
      <c r="AC18" s="3" t="n"/>
      <c r="AD18" s="3" t="n"/>
      <c r="AE18" s="5" t="n">
        <v>41478</v>
      </c>
      <c r="AF18" s="3" t="inlineStr">
        <is>
          <t>Late bids accepted</t>
        </is>
      </c>
      <c r="AG18" s="3" t="n"/>
      <c r="AH18" s="3" t="n"/>
      <c r="AI18" s="3" t="n"/>
      <c r="AJ18" s="3" t="n"/>
      <c r="AK18" s="3" t="n">
        <v>32</v>
      </c>
      <c r="AL18" s="3" t="inlineStr">
        <is>
          <t>on-time bid R018; later bids R020, R021</t>
        </is>
      </c>
      <c r="AM18" s="3" t="inlineStr">
        <is>
          <t>Mac-Gray</t>
        </is>
      </c>
    </row>
    <row r="19">
      <c r="A19" s="2" t="n">
        <v>18</v>
      </c>
      <c r="B19" s="3" t="inlineStr">
        <is>
          <t>07/23/2013</t>
        </is>
      </c>
      <c r="C19" s="3" t="inlineStr">
        <is>
          <t>CSC/Pamplona</t>
        </is>
      </c>
      <c r="D19" s="3" t="inlineStr">
        <is>
          <t>Bid</t>
        </is>
      </c>
      <c r="E19" s="3" t="n">
        <v>1</v>
      </c>
      <c r="F19" s="3" t="n">
        <v>1</v>
      </c>
      <c r="G19" s="3" t="inlineStr">
        <is>
          <t>Strategic</t>
        </is>
      </c>
      <c r="H19" s="3" t="inlineStr">
        <is>
          <t>All-cash preliminary indication of interest at $18.50 per share; submitted after NDA (07/11/2013), before substantive diligence access; no financing commitment stated at this date.</t>
        </is>
      </c>
      <c r="I19" s="3" t="inlineStr">
        <is>
          <t>Informal</t>
        </is>
      </c>
      <c r="J19" s="3" t="inlineStr">
        <is>
          <t>Heavy</t>
        </is>
      </c>
      <c r="K19" s="3" t="inlineStr">
        <is>
          <t>Stated: “On July 23, 2013, CSC/Pamplona submitted a preliminary indication of interest at an all-cash purchase price of $18.50 per share.” Formality: preliminary IOI without a formal documentation or solicitation signal. Conditions: preliminary non-binding indication before data-room or management access, Heavy by context; financing not stated. Count 1 = first R1 submission by this unit.</t>
        </is>
      </c>
      <c r="L19" s="4" t="inlineStr">
        <is>
          <t>P-035</t>
        </is>
      </c>
      <c r="M19" s="3" t="inlineStr">
        <is>
          <t>Q6</t>
        </is>
      </c>
      <c r="N19" s="3" t="n"/>
      <c r="O19" s="3" t="inlineStr">
        <is>
          <t>R018</t>
        </is>
      </c>
      <c r="P19" s="3" t="inlineStr">
        <is>
          <t>Yes</t>
        </is>
      </c>
      <c r="Q19" s="3" t="n">
        <v>1</v>
      </c>
      <c r="R19" s="5" t="n">
        <v>41478</v>
      </c>
      <c r="S19" s="5" t="n">
        <v>41478</v>
      </c>
      <c r="T19" s="5" t="n">
        <v>41478</v>
      </c>
      <c r="U19" s="3" t="inlineStr">
        <is>
          <t>Reported day</t>
        </is>
      </c>
      <c r="V19" s="3" t="inlineStr">
        <is>
          <t>Reported</t>
        </is>
      </c>
      <c r="W19" s="3" t="n">
        <v>18.5</v>
      </c>
      <c r="X19" s="3" t="n">
        <v>18.5</v>
      </c>
      <c r="Y19" s="3" t="inlineStr">
        <is>
          <t>Point</t>
        </is>
      </c>
      <c r="Z19" s="3" t="inlineStr">
        <is>
          <t>Stated</t>
        </is>
      </c>
      <c r="AA19" s="3" t="inlineStr">
        <is>
          <t>USD</t>
        </is>
      </c>
      <c r="AB19" s="3" t="inlineStr">
        <is>
          <t>Yes</t>
        </is>
      </c>
      <c r="AC19" s="3" t="n">
        <v>18.5</v>
      </c>
      <c r="AD19" s="3" t="inlineStr">
        <is>
          <t>Fin: not stated; DD required: not stated; DD open: no; Excl: none</t>
        </is>
      </c>
      <c r="AE19" s="5" t="n"/>
      <c r="AF19" s="3" t="n"/>
      <c r="AG19" s="3" t="n"/>
      <c r="AH19" s="3" t="n"/>
      <c r="AI19" s="3" t="n"/>
      <c r="AJ19" s="3" t="n"/>
      <c r="AK19" s="3" t="n">
        <v>33</v>
      </c>
      <c r="AL19" s="3" t="inlineStr">
        <is>
          <t>revised by R028; on-time for R017</t>
        </is>
      </c>
      <c r="AM19" s="3" t="inlineStr">
        <is>
          <t>Mac-Gray</t>
        </is>
      </c>
    </row>
    <row r="20">
      <c r="A20" s="2" t="n">
        <v>19</v>
      </c>
      <c r="B20" s="3" t="inlineStr">
        <is>
          <t>by 07/23/2013</t>
        </is>
      </c>
      <c r="C20" s="3" t="inlineStr">
        <is>
          <t>16 remaining NDA signers (financial; residual cohort)</t>
        </is>
      </c>
      <c r="D20" s="3" t="inlineStr">
        <is>
          <t>Did not submit</t>
        </is>
      </c>
      <c r="E20" s="3" t="n">
        <v>1</v>
      </c>
      <c r="F20" s="3" t="n">
        <v>1</v>
      </c>
      <c r="G20" s="3" t="inlineStr">
        <is>
          <t>Financial</t>
        </is>
      </c>
      <c r="H20" s="3" t="inlineStr">
        <is>
          <t>Inferred: residual (base assumes all 20 NDA signers were eligible for the 07/23/2013 preliminary solicitation; signers whose NDAs post-date that date would reduce the residual; flagged Q3) — 20 signers - 3 submitters (Party B, Party C, CSC/Pamplona) - 1 continuing standing proposal (Party A) = 16 non-submitters. No identities, notices or motives inferred.</t>
        </is>
      </c>
      <c r="I20" s="3" t="n"/>
      <c r="J20" s="3" t="n"/>
      <c r="K20" s="3" t="inlineStr">
        <is>
          <t>Stated base: “a total of 20 potential bidders, including two strategic bidders (Party A and CSC/Pamplona) and 18 financial bidders (including Party B and Party C), entered into confidentiality agreements with Mac-Gray” Accounting at the first transition: “reviewed the preliminary indications of interest received from Party B, Party C and CSC/Pamplona as well as the Party A June 21 proposal” Convention: residual close-out row (Count = stated base - participants accounted for). Agency is not inferred from an arithmetic non-submission; a participant closed here is not closed again unless it re-entered.</t>
        </is>
      </c>
      <c r="L20" s="4" t="inlineStr">
        <is>
          <t>P-037; P-026; P-035; P-036</t>
        </is>
      </c>
      <c r="M20" s="3" t="inlineStr">
        <is>
          <t>Q3; Q4</t>
        </is>
      </c>
      <c r="N20" s="3" t="n"/>
      <c r="O20" s="3" t="inlineStr">
        <is>
          <t>R019</t>
        </is>
      </c>
      <c r="P20" s="3" t="inlineStr">
        <is>
          <t>Yes</t>
        </is>
      </c>
      <c r="Q20" s="3" t="n">
        <v>16</v>
      </c>
      <c r="R20" s="5" t="n"/>
      <c r="S20" s="5" t="n">
        <v>41478</v>
      </c>
      <c r="T20" s="5" t="n">
        <v>41478</v>
      </c>
      <c r="U20" s="3" t="inlineStr">
        <is>
          <t>Relative only</t>
        </is>
      </c>
      <c r="V20" s="3" t="inlineStr">
        <is>
          <t>Assigned: deadline</t>
        </is>
      </c>
      <c r="W20" s="3" t="n"/>
      <c r="X20" s="3" t="n"/>
      <c r="Y20" s="3" t="n"/>
      <c r="Z20" s="3" t="n"/>
      <c r="AA20" s="3" t="n"/>
      <c r="AB20" s="3" t="n"/>
      <c r="AC20" s="3" t="n"/>
      <c r="AD20" s="3" t="n"/>
      <c r="AE20" s="5" t="n"/>
      <c r="AF20" s="3" t="n"/>
      <c r="AG20" s="3" t="n"/>
      <c r="AH20" s="3" t="inlineStr">
        <is>
          <t>Unknown</t>
        </is>
      </c>
      <c r="AI20" s="3" t="inlineStr">
        <is>
          <t>Not stated</t>
        </is>
      </c>
      <c r="AJ20" s="3" t="inlineStr">
        <is>
          <t>Inferred: residual</t>
        </is>
      </c>
      <c r="AK20" s="3" t="n">
        <v>33</v>
      </c>
      <c r="AL20" s="3" t="inlineStr">
        <is>
          <t>exit for the R016 cohort; same 16 persons as R016 (different step)</t>
        </is>
      </c>
      <c r="AM20" s="3" t="inlineStr">
        <is>
          <t>Mac-Gray</t>
        </is>
      </c>
    </row>
    <row r="21">
      <c r="A21" s="2" t="n">
        <v>20</v>
      </c>
      <c r="B21" s="3" t="inlineStr">
        <is>
          <t>07/24/2013</t>
        </is>
      </c>
      <c r="C21" s="3" t="inlineStr">
        <is>
          <t>Party B</t>
        </is>
      </c>
      <c r="D21" s="3" t="inlineStr">
        <is>
          <t>Bid</t>
        </is>
      </c>
      <c r="E21" s="3" t="n">
        <v>1</v>
      </c>
      <c r="F21" s="3" t="n">
        <v>1</v>
      </c>
      <c r="G21" s="3" t="inlineStr">
        <is>
          <t>Financial</t>
        </is>
      </c>
      <c r="H21" s="3" t="inlineStr">
        <is>
          <t>Preliminary indication of interest, all cash, $17.00-$18.00 per share; submitted one day after the due date (accepted; see R017); before data-room or management access.</t>
        </is>
      </c>
      <c r="I21" s="3" t="inlineStr">
        <is>
          <t>Informal</t>
        </is>
      </c>
      <c r="J21" s="3" t="inlineStr">
        <is>
          <t>Heavy</t>
        </is>
      </c>
      <c r="K21" s="3" t="inlineStr">
        <is>
          <t>Stated: “On July 24, 2013, Party B submitted a preliminary indication of interest at an all-cash purchase price of $17.00 to $18.00 per share.” Formality: preliminary IOI, no formal signal. Conditions: before substantive diligence access, Heavy by context; financing not stated. Count 1 = first R1 submission by this unit.</t>
        </is>
      </c>
      <c r="L21" s="4" t="inlineStr">
        <is>
          <t>P-036</t>
        </is>
      </c>
      <c r="M21" s="3" t="inlineStr">
        <is>
          <t>Q6</t>
        </is>
      </c>
      <c r="N21" s="3" t="n"/>
      <c r="O21" s="3" t="inlineStr">
        <is>
          <t>R020</t>
        </is>
      </c>
      <c r="P21" s="3" t="inlineStr">
        <is>
          <t>Yes</t>
        </is>
      </c>
      <c r="Q21" s="3" t="n">
        <v>1</v>
      </c>
      <c r="R21" s="5" t="n">
        <v>41479</v>
      </c>
      <c r="S21" s="5" t="n">
        <v>41479</v>
      </c>
      <c r="T21" s="5" t="n">
        <v>41479</v>
      </c>
      <c r="U21" s="3" t="inlineStr">
        <is>
          <t>Reported day</t>
        </is>
      </c>
      <c r="V21" s="3" t="inlineStr">
        <is>
          <t>Reported</t>
        </is>
      </c>
      <c r="W21" s="3" t="n">
        <v>17</v>
      </c>
      <c r="X21" s="3" t="n">
        <v>18</v>
      </c>
      <c r="Y21" s="3" t="inlineStr">
        <is>
          <t>Bidder range</t>
        </is>
      </c>
      <c r="Z21" s="3" t="inlineStr">
        <is>
          <t>Stated</t>
        </is>
      </c>
      <c r="AA21" s="3" t="inlineStr">
        <is>
          <t>USD</t>
        </is>
      </c>
      <c r="AB21" s="3" t="inlineStr">
        <is>
          <t>Yes</t>
        </is>
      </c>
      <c r="AC21" s="3" t="n"/>
      <c r="AD21" s="3" t="inlineStr">
        <is>
          <t>Fin: not stated; DD required: not stated; DD open: no; Excl: none</t>
        </is>
      </c>
      <c r="AE21" s="5" t="n"/>
      <c r="AF21" s="3" t="n"/>
      <c r="AG21" s="3" t="n"/>
      <c r="AH21" s="3" t="n"/>
      <c r="AI21" s="3" t="n"/>
      <c r="AJ21" s="3" t="n"/>
      <c r="AK21" s="3" t="n">
        <v>33</v>
      </c>
      <c r="AL21" s="3" t="inlineStr">
        <is>
          <t>revised by R029; later package R037</t>
        </is>
      </c>
      <c r="AM21" s="3" t="inlineStr">
        <is>
          <t>Mac-Gray</t>
        </is>
      </c>
    </row>
    <row r="22">
      <c r="A22" s="2" t="n">
        <v>21</v>
      </c>
      <c r="B22" s="3" t="inlineStr">
        <is>
          <t>07/24/2013</t>
        </is>
      </c>
      <c r="C22" s="3" t="inlineStr">
        <is>
          <t>Party C</t>
        </is>
      </c>
      <c r="D22" s="3" t="inlineStr">
        <is>
          <t>Bid</t>
        </is>
      </c>
      <c r="E22" s="3" t="n">
        <v>1</v>
      </c>
      <c r="F22" s="3" t="n">
        <v>1</v>
      </c>
      <c r="G22" s="3" t="inlineStr">
        <is>
          <t>Financial</t>
        </is>
      </c>
      <c r="H22" s="3" t="inlineStr">
        <is>
          <t>Oral preliminary indication of interest, all cash, $15.00-$17.00 per share; submitted one day after the due date (accepted; see R017); before data-room or management access. Superseded by its written IOI the next day (R023).</t>
        </is>
      </c>
      <c r="I22" s="3" t="inlineStr">
        <is>
          <t>Informal</t>
        </is>
      </c>
      <c r="J22" s="3" t="inlineStr">
        <is>
          <t>Heavy</t>
        </is>
      </c>
      <c r="K22" s="3" t="inlineStr">
        <is>
          <t>Stated: “representatives from Party C called BofA Merrill Lynch and presented an oral preliminary indication of interest at an all-cash purchase price of $15.00 to $17.00 per share.” Formality: preliminary oral IOI, no formal signal. Conditions: before substantive diligence access, Heavy by context; financing not stated. Count 1 = first R1 submission by this unit.</t>
        </is>
      </c>
      <c r="L22" s="4" t="inlineStr">
        <is>
          <t>P-036</t>
        </is>
      </c>
      <c r="M22" s="3" t="inlineStr">
        <is>
          <t>Q6</t>
        </is>
      </c>
      <c r="N22" s="3" t="n"/>
      <c r="O22" s="3" t="inlineStr">
        <is>
          <t>R021</t>
        </is>
      </c>
      <c r="P22" s="3" t="inlineStr">
        <is>
          <t>Yes</t>
        </is>
      </c>
      <c r="Q22" s="3" t="n">
        <v>1</v>
      </c>
      <c r="R22" s="5" t="n">
        <v>41479</v>
      </c>
      <c r="S22" s="5" t="n">
        <v>41479</v>
      </c>
      <c r="T22" s="5" t="n">
        <v>41479</v>
      </c>
      <c r="U22" s="3" t="inlineStr">
        <is>
          <t>Reported day</t>
        </is>
      </c>
      <c r="V22" s="3" t="inlineStr">
        <is>
          <t>Reported</t>
        </is>
      </c>
      <c r="W22" s="3" t="n">
        <v>15</v>
      </c>
      <c r="X22" s="3" t="n">
        <v>17</v>
      </c>
      <c r="Y22" s="3" t="inlineStr">
        <is>
          <t>Bidder range</t>
        </is>
      </c>
      <c r="Z22" s="3" t="inlineStr">
        <is>
          <t>Stated</t>
        </is>
      </c>
      <c r="AA22" s="3" t="inlineStr">
        <is>
          <t>USD</t>
        </is>
      </c>
      <c r="AB22" s="3" t="inlineStr">
        <is>
          <t>Yes</t>
        </is>
      </c>
      <c r="AC22" s="3" t="n"/>
      <c r="AD22" s="3" t="inlineStr">
        <is>
          <t>Fin: not stated; DD required: not stated; DD open: no; Excl: none</t>
        </is>
      </c>
      <c r="AE22" s="5" t="n"/>
      <c r="AF22" s="3" t="n"/>
      <c r="AG22" s="3" t="n"/>
      <c r="AH22" s="3" t="n"/>
      <c r="AI22" s="3" t="n"/>
      <c r="AJ22" s="3" t="n"/>
      <c r="AK22" s="3" t="n">
        <v>33</v>
      </c>
      <c r="AL22" s="3" t="inlineStr">
        <is>
          <t>revised by R023; later bid R031</t>
        </is>
      </c>
      <c r="AM22" s="3" t="inlineStr">
        <is>
          <t>Mac-Gray</t>
        </is>
      </c>
    </row>
    <row r="23">
      <c r="A23" s="2" t="n">
        <v>22</v>
      </c>
      <c r="B23" s="3" t="inlineStr">
        <is>
          <t>07/25/2013</t>
        </is>
      </c>
      <c r="C23" s="3" t="inlineStr">
        <is>
          <t>Mac-Gray Special Committee</t>
        </is>
      </c>
      <c r="D23" s="3" t="inlineStr">
        <is>
          <t>Round opened</t>
        </is>
      </c>
      <c r="E23" s="3" t="n">
        <v>1</v>
      </c>
      <c r="F23" s="3" t="n">
        <v>2</v>
      </c>
      <c r="G23" s="3" t="n"/>
      <c r="H23" s="3" t="inlineStr">
        <is>
          <t>Round 2: staged information access and management meetings for the four interested bidders (Party A conditional on signing a confidentiality agreement), then revised indications of interest. Preliminary IOIs judged lower than expected; Special Committee directed staged disclosure keyed to demonstrated seriousness; customer data withheld because of concern over strategic-bidder misuse; Mr. Rothenberg asked to recuse himself from Board meetings for the duration of the process. Round finality: Not final (revised-IOI stage; no finality signal). Alternative anchor candidates (rejected): R026 (08/27/2013 letter; due 09/09/2013) and the 08/15/2013 authorization.</t>
        </is>
      </c>
      <c r="I23" s="3" t="n"/>
      <c r="J23" s="3" t="n"/>
      <c r="K23" s="3" t="inlineStr">
        <is>
          <t>Stated: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Authorization: “the Special Committee authorized and instructed BofA Merrill Lynch to proceed with the staged disclosure as discussed at this meeting and to reach out to each of the four interested bidders and arrange management meetings.” Convention: round opens where the target selects advancing participants and opens a distinct information stage linked to new offers.</t>
        </is>
      </c>
      <c r="L23" s="4" t="inlineStr">
        <is>
          <t>P-039; P-037; P-038</t>
        </is>
      </c>
      <c r="M23" s="3" t="inlineStr">
        <is>
          <t>Q1</t>
        </is>
      </c>
      <c r="N23" s="3" t="n"/>
      <c r="O23" s="3" t="inlineStr">
        <is>
          <t>R022</t>
        </is>
      </c>
      <c r="P23" s="3" t="inlineStr">
        <is>
          <t>Yes</t>
        </is>
      </c>
      <c r="Q23" s="3" t="n"/>
      <c r="R23" s="5" t="n">
        <v>41480</v>
      </c>
      <c r="S23" s="5" t="n">
        <v>41480</v>
      </c>
      <c r="T23" s="5" t="n">
        <v>41480</v>
      </c>
      <c r="U23" s="3" t="inlineStr">
        <is>
          <t>Reported day</t>
        </is>
      </c>
      <c r="V23" s="3" t="inlineStr">
        <is>
          <t>Reported</t>
        </is>
      </c>
      <c r="W23" s="3" t="n"/>
      <c r="X23" s="3" t="n"/>
      <c r="Y23" s="3" t="n"/>
      <c r="Z23" s="3" t="n"/>
      <c r="AA23" s="3" t="n"/>
      <c r="AB23" s="3" t="n"/>
      <c r="AC23" s="3" t="n"/>
      <c r="AD23" s="3" t="n"/>
      <c r="AE23" s="5" t="n"/>
      <c r="AF23" s="3" t="n"/>
      <c r="AG23" s="3" t="inlineStr">
        <is>
          <t>Not final</t>
        </is>
      </c>
      <c r="AH23" s="3" t="n"/>
      <c r="AI23" s="3" t="n"/>
      <c r="AJ23" s="3" t="n"/>
      <c r="AK23" s="3" t="n">
        <v>34</v>
      </c>
      <c r="AL23" s="3" t="inlineStr">
        <is>
          <t>rejected anchor candidates R026 and 08/15 authorization; access R025; deadline set R026</t>
        </is>
      </c>
      <c r="AM23" s="3" t="inlineStr">
        <is>
          <t>Mac-Gray</t>
        </is>
      </c>
    </row>
    <row r="24">
      <c r="A24" s="2" t="n">
        <v>23</v>
      </c>
      <c r="B24" s="3" t="inlineStr">
        <is>
          <t>07/25/2013</t>
        </is>
      </c>
      <c r="C24" s="3" t="inlineStr">
        <is>
          <t>Party C</t>
        </is>
      </c>
      <c r="D24" s="3" t="inlineStr">
        <is>
          <t>Bid</t>
        </is>
      </c>
      <c r="E24" s="3" t="n">
        <v>1</v>
      </c>
      <c r="F24" s="3" t="n">
        <v>2</v>
      </c>
      <c r="G24" s="3" t="inlineStr">
        <is>
          <t>Financial</t>
        </is>
      </c>
      <c r="H24" s="3" t="inlineStr">
        <is>
          <t>Written indication of interest, all cash, $16.00-$16.50 per share (replaces the $15.00-$17.00 oral range); submitted later on 07/25/2013. Count 0: same bidder and round as R021 - the written IOI is the same bid, not a second unit.</t>
        </is>
      </c>
      <c r="I24" s="3" t="inlineStr">
        <is>
          <t>Informal</t>
        </is>
      </c>
      <c r="J24" s="3" t="inlineStr">
        <is>
          <t>Heavy</t>
        </is>
      </c>
      <c r="K24" s="3" t="inlineStr">
        <is>
          <t>Stated: “Later on July 25, 2013, Party C submitted a written indication of interest at an all-cash purchase price of $16.00 to $16.50 per share.” Formality: preliminary IOI, no formal signal. Conditions: before substantive diligence access (management presentation 08/08/2013), Heavy by context; financing not stated.</t>
        </is>
      </c>
      <c r="L24" s="4" t="inlineStr">
        <is>
          <t>P-040</t>
        </is>
      </c>
      <c r="M24" s="3" t="inlineStr">
        <is>
          <t>Q6</t>
        </is>
      </c>
      <c r="N24" s="3" t="n"/>
      <c r="O24" s="3" t="inlineStr">
        <is>
          <t>R023</t>
        </is>
      </c>
      <c r="P24" s="3" t="inlineStr">
        <is>
          <t>Yes</t>
        </is>
      </c>
      <c r="Q24" s="3" t="n">
        <v>0</v>
      </c>
      <c r="R24" s="5" t="n">
        <v>41480</v>
      </c>
      <c r="S24" s="5" t="n">
        <v>41480</v>
      </c>
      <c r="T24" s="5" t="n">
        <v>41480</v>
      </c>
      <c r="U24" s="3" t="inlineStr">
        <is>
          <t>Reported day</t>
        </is>
      </c>
      <c r="V24" s="3" t="inlineStr">
        <is>
          <t>Reported</t>
        </is>
      </c>
      <c r="W24" s="3" t="n">
        <v>16</v>
      </c>
      <c r="X24" s="3" t="n">
        <v>16.5</v>
      </c>
      <c r="Y24" s="3" t="inlineStr">
        <is>
          <t>Bidder range</t>
        </is>
      </c>
      <c r="Z24" s="3" t="inlineStr">
        <is>
          <t>Stated</t>
        </is>
      </c>
      <c r="AA24" s="3" t="inlineStr">
        <is>
          <t>USD</t>
        </is>
      </c>
      <c r="AB24" s="3" t="inlineStr">
        <is>
          <t>Yes</t>
        </is>
      </c>
      <c r="AC24" s="3" t="n"/>
      <c r="AD24" s="3" t="inlineStr">
        <is>
          <t>Fin: not stated; DD required: not stated; DD open: no; Excl: none</t>
        </is>
      </c>
      <c r="AE24" s="5" t="n"/>
      <c r="AF24" s="3" t="n"/>
      <c r="AG24" s="3" t="n"/>
      <c r="AH24" s="3" t="n"/>
      <c r="AI24" s="3" t="n"/>
      <c r="AJ24" s="3" t="n"/>
      <c r="AK24" s="3" t="n">
        <v>34</v>
      </c>
      <c r="AL24" s="3" t="inlineStr">
        <is>
          <t>revises R021; later bid R031</t>
        </is>
      </c>
      <c r="AM24" s="3" t="inlineStr">
        <is>
          <t>Mac-Gray</t>
        </is>
      </c>
    </row>
    <row r="25">
      <c r="A25" s="2" t="n">
        <v>24</v>
      </c>
      <c r="B25" s="3" t="inlineStr">
        <is>
          <t>08/05/2013</t>
        </is>
      </c>
      <c r="C25" s="3" t="inlineStr">
        <is>
          <t>Party A</t>
        </is>
      </c>
      <c r="D25" s="3" t="inlineStr">
        <is>
          <t>NDA signed</t>
        </is>
      </c>
      <c r="E25" s="3" t="n">
        <v>1</v>
      </c>
      <c r="F25" s="3" t="n">
        <v>2</v>
      </c>
      <c r="G25" s="3" t="inlineStr">
        <is>
          <t>Strategic</t>
        </is>
      </c>
      <c r="H25" s="3" t="inlineStr">
        <is>
          <t>Confidentiality and standstill agreement after extended negotiation of the customer and employee non-solicitation provisions (negotiations from 07/11/2013; impasse reported 07/23/2013; resumed 07/27/2013); furnished the informational package to potentially improve the Party A June 21 proposal. New signer; NDA count 1.</t>
        </is>
      </c>
      <c r="I25" s="3" t="n"/>
      <c r="J25" s="3" t="n"/>
      <c r="K25" s="3" t="inlineStr">
        <is>
          <t>Stated: “Discussions with Party A resumed on July 27, 2103 and Party A and the Transaction Committee agreed to the terms of the customer and employee non-solicitation provisions. On August 5, 2013, Party A entered into a confidentiality and standstill agreement with Mac-Gray” Impasse detail: “outside counsel to Party A and representatives of Goodwin Procter negotiated the terms of a confidentiality and standstill agreement, but did not come to agreement on the terms of the customer and employee non-solicitation provisions.” Source typo '2103' retained; proposed corrected date 2013 (context 07/11/2013 - 08/05/2013, flagged Q8). Count 1 = newly represented signer.</t>
        </is>
      </c>
      <c r="L25" s="4" t="inlineStr">
        <is>
          <t>P-041; P-034</t>
        </is>
      </c>
      <c r="M25" s="3" t="inlineStr">
        <is>
          <t>Q3; Q8</t>
        </is>
      </c>
      <c r="N25" s="3" t="n"/>
      <c r="O25" s="3" t="inlineStr">
        <is>
          <t>R024</t>
        </is>
      </c>
      <c r="P25" s="3" t="inlineStr">
        <is>
          <t>Yes</t>
        </is>
      </c>
      <c r="Q25" s="3" t="n">
        <v>1</v>
      </c>
      <c r="R25" s="5" t="n">
        <v>41491</v>
      </c>
      <c r="S25" s="5" t="n">
        <v>41491</v>
      </c>
      <c r="T25" s="5" t="n">
        <v>41491</v>
      </c>
      <c r="U25" s="3" t="inlineStr">
        <is>
          <t>Reported day</t>
        </is>
      </c>
      <c r="V25" s="3" t="inlineStr">
        <is>
          <t>Reported</t>
        </is>
      </c>
      <c r="W25" s="3" t="n"/>
      <c r="X25" s="3" t="n"/>
      <c r="Y25" s="3" t="n"/>
      <c r="Z25" s="3" t="n"/>
      <c r="AA25" s="3" t="n"/>
      <c r="AB25" s="3" t="n"/>
      <c r="AC25" s="3" t="n"/>
      <c r="AD25" s="3" t="n"/>
      <c r="AE25" s="5" t="n"/>
      <c r="AF25" s="3" t="n"/>
      <c r="AG25" s="3" t="n"/>
      <c r="AH25" s="3" t="n"/>
      <c r="AI25" s="3" t="n"/>
      <c r="AJ25" s="3" t="n"/>
      <c r="AK25" s="3" t="n">
        <v>34</v>
      </c>
      <c r="AL25" s="3" t="inlineStr">
        <is>
          <t>same bidder as R008; bids R030, R036</t>
        </is>
      </c>
      <c r="AM25" s="3" t="inlineStr">
        <is>
          <t>Mac-Gray</t>
        </is>
      </c>
    </row>
    <row r="26">
      <c r="A26" s="2" t="n">
        <v>25</v>
      </c>
      <c r="B26" s="3" t="inlineStr">
        <is>
          <t>08/06/2013-08/27/2013</t>
        </is>
      </c>
      <c r="C26" s="3" t="inlineStr">
        <is>
          <t>Party A; Party B; Party C; CSC/Pamplona</t>
        </is>
      </c>
      <c r="D26" s="3" t="inlineStr">
        <is>
          <t>Information access changed</t>
        </is>
      </c>
      <c r="E26" s="3" t="n">
        <v>1</v>
      </c>
      <c r="F26" s="3" t="n">
        <v>2</v>
      </c>
      <c r="G26" s="3" t="inlineStr">
        <is>
          <t>Unknown</t>
        </is>
      </c>
      <c r="H26" s="3" t="inlineStr">
        <is>
          <t>Differential access during diligence: Party B and Party C (financial bidders) given broad access to the electronic data site; Party A and CSC/Pamplona (strategic bidders) given somewhat limited access; customer data (including customer locations) reserved until later in the process; both strategic bidders held synergy discussions with management. Management presentations were given to all four (Party B 08/06, Party C 08/08, CSC/Pamplona 08/12, Party A 08/14). Stated reason: prevent access to and misuse of sensitive competitive information by strategic bidders, staging disclosure by demonstrated seriousness. Participants are of mixed types (two strategic, two financial), so Type is recorded Unknown. Access rows carry no Count.</t>
        </is>
      </c>
      <c r="I26" s="3" t="n"/>
      <c r="J26" s="3" t="n"/>
      <c r="K26" s="3" t="inlineStr">
        <is>
          <t>Stated: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Reason: “expressed concern over permitting access to and the potential misuse of sensitive and competitive information, including customer terms and locations, especially by strategic bidders.” Convention: one row per access decision; uniform management presentations belong to the stage that admitted all four (R022), not to a per-meeting row.</t>
        </is>
      </c>
      <c r="L26" s="4" t="inlineStr">
        <is>
          <t>P-047; P-042; P-043; P-044; P-045; P-038</t>
        </is>
      </c>
      <c r="M26" s="3" t="inlineStr">
        <is>
          <t>Q1</t>
        </is>
      </c>
      <c r="N26" s="3" t="n"/>
      <c r="O26" s="3" t="inlineStr">
        <is>
          <t>R025</t>
        </is>
      </c>
      <c r="P26" s="3" t="inlineStr">
        <is>
          <t>Yes</t>
        </is>
      </c>
      <c r="Q26" s="3" t="n"/>
      <c r="R26" s="5" t="n">
        <v>41492</v>
      </c>
      <c r="S26" s="5" t="n">
        <v>41513</v>
      </c>
      <c r="T26" s="5" t="n">
        <v>41492</v>
      </c>
      <c r="U26" s="3" t="inlineStr">
        <is>
          <t>Reported interval</t>
        </is>
      </c>
      <c r="V26" s="3" t="inlineStr">
        <is>
          <t>Assigned: bound</t>
        </is>
      </c>
      <c r="W26" s="3" t="n"/>
      <c r="X26" s="3" t="n"/>
      <c r="Y26" s="3" t="n"/>
      <c r="Z26" s="3" t="n"/>
      <c r="AA26" s="3" t="n"/>
      <c r="AB26" s="3" t="n"/>
      <c r="AC26" s="3" t="n"/>
      <c r="AD26" s="3" t="n"/>
      <c r="AE26" s="5" t="n"/>
      <c r="AF26" s="3" t="n"/>
      <c r="AG26" s="3" t="n"/>
      <c r="AH26" s="3" t="n"/>
      <c r="AI26" s="3" t="n"/>
      <c r="AJ26" s="3" t="n"/>
      <c r="AK26" s="3" t="n">
        <v>34</v>
      </c>
      <c r="AL26" s="3" t="inlineStr">
        <is>
          <t>stage opened R022; full access later R045</t>
        </is>
      </c>
      <c r="AM26" s="3" t="inlineStr">
        <is>
          <t>Mac-Gray</t>
        </is>
      </c>
    </row>
    <row r="27">
      <c r="A27" s="2" t="n">
        <v>26</v>
      </c>
      <c r="B27" s="3" t="inlineStr">
        <is>
          <t>08/27/2013</t>
        </is>
      </c>
      <c r="C27" s="3" t="inlineStr">
        <is>
          <t>Mac-Gray / BofA Merrill Lynch</t>
        </is>
      </c>
      <c r="D27" s="3" t="inlineStr">
        <is>
          <t>Deadline set</t>
        </is>
      </c>
      <c r="E27" s="3" t="n">
        <v>1</v>
      </c>
      <c r="F27" s="3" t="n">
        <v>2</v>
      </c>
      <c r="G27" s="3" t="n"/>
      <c r="H27" s="3" t="inlineStr">
        <is>
          <t>Letter to Party A, Party B, Party C and CSC/Pamplona (authorized by the Special Committee on 08/15/2013, sent once all four bidders' diligence was substantially complete) instructing revised written proposals no later than 09/09/2013 to continue in the process toward in-depth confirmatory diligence; requested valuation, sources and structures of financing, regulatory approvals and other post-signing covenants, and due-diligence focus areas.</t>
        </is>
      </c>
      <c r="I27" s="3" t="n"/>
      <c r="J27" s="3" t="n"/>
      <c r="K27" s="3" t="inlineStr">
        <is>
          <t>Stated: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Authorization: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t>
        </is>
      </c>
      <c r="L27" s="4" t="inlineStr">
        <is>
          <t>P-048; P-046</t>
        </is>
      </c>
      <c r="M27" s="3" t="inlineStr">
        <is>
          <t>Q2</t>
        </is>
      </c>
      <c r="N27" s="3" t="n"/>
      <c r="O27" s="3" t="inlineStr">
        <is>
          <t>R026</t>
        </is>
      </c>
      <c r="P27" s="3" t="inlineStr">
        <is>
          <t>Yes</t>
        </is>
      </c>
      <c r="Q27" s="3" t="n"/>
      <c r="R27" s="5" t="n">
        <v>41513</v>
      </c>
      <c r="S27" s="5" t="n">
        <v>41513</v>
      </c>
      <c r="T27" s="5" t="n">
        <v>41513</v>
      </c>
      <c r="U27" s="3" t="inlineStr">
        <is>
          <t>Reported day</t>
        </is>
      </c>
      <c r="V27" s="3" t="inlineStr">
        <is>
          <t>Reported</t>
        </is>
      </c>
      <c r="W27" s="3" t="n"/>
      <c r="X27" s="3" t="n"/>
      <c r="Y27" s="3" t="n"/>
      <c r="Z27" s="3" t="n"/>
      <c r="AA27" s="3" t="n"/>
      <c r="AB27" s="3" t="n"/>
      <c r="AC27" s="3" t="n"/>
      <c r="AD27" s="3" t="n"/>
      <c r="AE27" s="5" t="n">
        <v>41526</v>
      </c>
      <c r="AF27" s="3" t="n"/>
      <c r="AG27" s="3" t="n"/>
      <c r="AH27" s="3" t="n"/>
      <c r="AI27" s="3" t="n"/>
      <c r="AJ27" s="3" t="n"/>
      <c r="AK27" s="3" t="n">
        <v>35</v>
      </c>
      <c r="AL27" s="3" t="inlineStr">
        <is>
          <t>milestone R027</t>
        </is>
      </c>
      <c r="AM27" s="3" t="inlineStr">
        <is>
          <t>Mac-Gray</t>
        </is>
      </c>
    </row>
    <row r="28">
      <c r="A28" s="2" t="n">
        <v>27</v>
      </c>
      <c r="B28" s="3" t="inlineStr">
        <is>
          <t>09/09/2013</t>
        </is>
      </c>
      <c r="C28" s="3" t="inlineStr">
        <is>
          <t>Mac-Gray / BofA Merrill Lynch</t>
        </is>
      </c>
      <c r="D28" s="3" t="inlineStr">
        <is>
          <t>Deadline</t>
        </is>
      </c>
      <c r="E28" s="3" t="n">
        <v>1</v>
      </c>
      <c r="F28" s="3" t="n">
        <v>2</v>
      </c>
      <c r="G28" s="3" t="n"/>
      <c r="H28" s="3" t="inlineStr">
        <is>
          <t>Scheduled due date for revised written proposals. CSC/Pamplona and Party B submitted on 09/09/2013; Party A and Party C on 09/10/2013 - all reviewed by the Special Committee on 09/11/2013 with no disclosed revision or extension: Late bids accepted.</t>
        </is>
      </c>
      <c r="I28" s="3" t="n"/>
      <c r="J28" s="3" t="n"/>
      <c r="K28" s="3" t="inlineStr">
        <is>
          <t>Stated: “On September 9, 2013, CSC/Pamplona submitted a revised indication of interest”... “On September 10, 2013, Party A submitted a revised indication of interest with an all-cash purchase price of $18.00 to $19.00 per share” Review: “the Special Committee held a telephonic meeting to review the revised indications of interest submitted by Party A, Party B, Party C and CSC/Pamplona.” Convention: Late bids accepted; continuation after the date without a disclosed extension is not a formal revision.</t>
        </is>
      </c>
      <c r="L28" s="4" t="inlineStr">
        <is>
          <t>P-052; P-053; P-055</t>
        </is>
      </c>
      <c r="M28" s="3" t="inlineStr">
        <is>
          <t>Q2</t>
        </is>
      </c>
      <c r="N28" s="3" t="n"/>
      <c r="O28" s="3" t="inlineStr">
        <is>
          <t>R027</t>
        </is>
      </c>
      <c r="P28" s="3" t="inlineStr">
        <is>
          <t>Yes</t>
        </is>
      </c>
      <c r="Q28" s="3" t="n"/>
      <c r="R28" s="5" t="n">
        <v>41526</v>
      </c>
      <c r="S28" s="5" t="n">
        <v>41526</v>
      </c>
      <c r="T28" s="5" t="n">
        <v>41526</v>
      </c>
      <c r="U28" s="3" t="inlineStr">
        <is>
          <t>Reported day</t>
        </is>
      </c>
      <c r="V28" s="3" t="inlineStr">
        <is>
          <t>Reported</t>
        </is>
      </c>
      <c r="W28" s="3" t="n"/>
      <c r="X28" s="3" t="n"/>
      <c r="Y28" s="3" t="n"/>
      <c r="Z28" s="3" t="n"/>
      <c r="AA28" s="3" t="n"/>
      <c r="AB28" s="3" t="n"/>
      <c r="AC28" s="3" t="n"/>
      <c r="AD28" s="3" t="n"/>
      <c r="AE28" s="5" t="n">
        <v>41526</v>
      </c>
      <c r="AF28" s="3" t="inlineStr">
        <is>
          <t>Late bids accepted</t>
        </is>
      </c>
      <c r="AG28" s="3" t="n"/>
      <c r="AH28" s="3" t="n"/>
      <c r="AI28" s="3" t="n"/>
      <c r="AJ28" s="3" t="n"/>
      <c r="AK28" s="3" t="n">
        <v>35</v>
      </c>
      <c r="AL28" s="3" t="inlineStr">
        <is>
          <t>submissions R028, R029 (on time); R030, R031 (09/10)</t>
        </is>
      </c>
      <c r="AM28" s="3" t="inlineStr">
        <is>
          <t>Mac-Gray</t>
        </is>
      </c>
    </row>
    <row r="29">
      <c r="A29" s="2" t="n">
        <v>28</v>
      </c>
      <c r="B29" s="3" t="inlineStr">
        <is>
          <t>09/09/2013</t>
        </is>
      </c>
      <c r="C29" s="3" t="inlineStr">
        <is>
          <t>CSC/Pamplona</t>
        </is>
      </c>
      <c r="D29" s="3" t="inlineStr">
        <is>
          <t>Bid</t>
        </is>
      </c>
      <c r="E29" s="3" t="n">
        <v>1</v>
      </c>
      <c r="F29" s="3" t="n">
        <v>2</v>
      </c>
      <c r="G29" s="3" t="inlineStr">
        <is>
          <t>Strategic</t>
        </is>
      </c>
      <c r="H29" s="3" t="inlineStr">
        <is>
          <t>Revised indication of interest: all cash $19.50 per share; Pamplona committed to provide 100% of the capital required to consummate the transaction; requested two weeks of exclusive negotiations with Mac-Gray.</t>
        </is>
      </c>
      <c r="I29" s="3" t="inlineStr">
        <is>
          <t>Informal</t>
        </is>
      </c>
      <c r="J29" s="3" t="inlineStr">
        <is>
          <t>Light</t>
        </is>
      </c>
      <c r="K29" s="3" t="inlineStr">
        <is>
          <t>Stated: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Formality: revised IOI, no formal documentation or final-solicitation signal yet. Conditions: committed sponsor financing reported and no diligence condition stated (Light); diligence in fact still under way. Count 1 = first R2 submission by this unit.</t>
        </is>
      </c>
      <c r="L29" s="4" t="inlineStr">
        <is>
          <t>P-052</t>
        </is>
      </c>
      <c r="M29" s="3" t="inlineStr">
        <is>
          <t>Q5; Q6</t>
        </is>
      </c>
      <c r="N29" s="3" t="n"/>
      <c r="O29" s="3" t="inlineStr">
        <is>
          <t>R028</t>
        </is>
      </c>
      <c r="P29" s="3" t="inlineStr">
        <is>
          <t>Yes</t>
        </is>
      </c>
      <c r="Q29" s="3" t="n">
        <v>1</v>
      </c>
      <c r="R29" s="5" t="n">
        <v>41526</v>
      </c>
      <c r="S29" s="5" t="n">
        <v>41526</v>
      </c>
      <c r="T29" s="5" t="n">
        <v>41526</v>
      </c>
      <c r="U29" s="3" t="inlineStr">
        <is>
          <t>Reported day</t>
        </is>
      </c>
      <c r="V29" s="3" t="inlineStr">
        <is>
          <t>Reported</t>
        </is>
      </c>
      <c r="W29" s="3" t="n">
        <v>19.5</v>
      </c>
      <c r="X29" s="3" t="n">
        <v>19.5</v>
      </c>
      <c r="Y29" s="3" t="inlineStr">
        <is>
          <t>Point</t>
        </is>
      </c>
      <c r="Z29" s="3" t="inlineStr">
        <is>
          <t>Stated</t>
        </is>
      </c>
      <c r="AA29" s="3" t="inlineStr">
        <is>
          <t>USD</t>
        </is>
      </c>
      <c r="AB29" s="3" t="inlineStr">
        <is>
          <t>Yes</t>
        </is>
      </c>
      <c r="AC29" s="3" t="n">
        <v>19.5</v>
      </c>
      <c r="AD29" s="3" t="inlineStr">
        <is>
          <t>Fin: committed; DD required: not stated; DD open: yes; Excl: requested (2 wks)</t>
        </is>
      </c>
      <c r="AE29" s="5" t="n"/>
      <c r="AF29" s="3" t="n"/>
      <c r="AG29" s="3" t="n"/>
      <c r="AH29" s="3" t="n"/>
      <c r="AI29" s="3" t="n"/>
      <c r="AJ29" s="3" t="n"/>
      <c r="AK29" s="3" t="n">
        <v>35</v>
      </c>
      <c r="AL29" s="3" t="inlineStr">
        <is>
          <t>revises R018; revised by R035</t>
        </is>
      </c>
      <c r="AM29" s="3" t="inlineStr">
        <is>
          <t>Mac-Gray</t>
        </is>
      </c>
    </row>
    <row r="30">
      <c r="A30" s="2" t="n">
        <v>29</v>
      </c>
      <c r="B30" s="3" t="inlineStr">
        <is>
          <t>09/09/2013</t>
        </is>
      </c>
      <c r="C30" s="3" t="inlineStr">
        <is>
          <t>Party B</t>
        </is>
      </c>
      <c r="D30" s="3" t="inlineStr">
        <is>
          <t>Bid</t>
        </is>
      </c>
      <c r="E30" s="3" t="n">
        <v>1</v>
      </c>
      <c r="F30" s="3" t="n">
        <v>2</v>
      </c>
      <c r="G30" s="3" t="inlineStr">
        <is>
          <t>Financial</t>
        </is>
      </c>
      <c r="H30" s="3" t="inlineStr">
        <is>
          <t>Revised indication of interest, all cash, $18.50 per share; proposed to finance with equity from affiliated funds plus third-party debt; no firm financing commitment.</t>
        </is>
      </c>
      <c r="I30" s="3" t="inlineStr">
        <is>
          <t>Informal</t>
        </is>
      </c>
      <c r="J30" s="3" t="inlineStr">
        <is>
          <t>Heavy</t>
        </is>
      </c>
      <c r="K30" s="3" t="inlineStr">
        <is>
          <t>Stated: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Formality: revised IOI, no formal signal. Conditions: reported absence of a firm commitment - Heavy. Count 1 = first R2 submission by this unit.</t>
        </is>
      </c>
      <c r="L30" s="4" t="inlineStr">
        <is>
          <t>P-052; P-053</t>
        </is>
      </c>
      <c r="M30" s="3" t="inlineStr">
        <is>
          <t>Q6</t>
        </is>
      </c>
      <c r="N30" s="3" t="n"/>
      <c r="O30" s="3" t="inlineStr">
        <is>
          <t>R029</t>
        </is>
      </c>
      <c r="P30" s="3" t="inlineStr">
        <is>
          <t>Yes</t>
        </is>
      </c>
      <c r="Q30" s="3" t="n">
        <v>1</v>
      </c>
      <c r="R30" s="5" t="n">
        <v>41526</v>
      </c>
      <c r="S30" s="5" t="n">
        <v>41526</v>
      </c>
      <c r="T30" s="5" t="n">
        <v>41526</v>
      </c>
      <c r="U30" s="3" t="inlineStr">
        <is>
          <t>Reported day</t>
        </is>
      </c>
      <c r="V30" s="3" t="inlineStr">
        <is>
          <t>Reported</t>
        </is>
      </c>
      <c r="W30" s="3" t="n">
        <v>18.5</v>
      </c>
      <c r="X30" s="3" t="n">
        <v>18.5</v>
      </c>
      <c r="Y30" s="3" t="inlineStr">
        <is>
          <t>Point</t>
        </is>
      </c>
      <c r="Z30" s="3" t="inlineStr">
        <is>
          <t>Stated</t>
        </is>
      </c>
      <c r="AA30" s="3" t="inlineStr">
        <is>
          <t>USD</t>
        </is>
      </c>
      <c r="AB30" s="3" t="inlineStr">
        <is>
          <t>Yes</t>
        </is>
      </c>
      <c r="AC30" s="3" t="n">
        <v>18.5</v>
      </c>
      <c r="AD30" s="3" t="inlineStr">
        <is>
          <t>Fin: not committed; DD required: not stated; DD open: yes; Excl: none</t>
        </is>
      </c>
      <c r="AE30" s="5" t="n"/>
      <c r="AF30" s="3" t="n"/>
      <c r="AG30" s="3" t="n"/>
      <c r="AH30" s="3" t="n"/>
      <c r="AI30" s="3" t="n"/>
      <c r="AJ30" s="3" t="n"/>
      <c r="AK30" s="3" t="n">
        <v>35</v>
      </c>
      <c r="AL30" s="3" t="inlineStr">
        <is>
          <t>revises R020; revised by R037</t>
        </is>
      </c>
      <c r="AM30" s="3" t="inlineStr">
        <is>
          <t>Mac-Gray</t>
        </is>
      </c>
    </row>
    <row r="31">
      <c r="A31" s="2" t="n">
        <v>30</v>
      </c>
      <c r="B31" s="3" t="inlineStr">
        <is>
          <t>09/10/2013</t>
        </is>
      </c>
      <c r="C31" s="3" t="inlineStr">
        <is>
          <t>Party A</t>
        </is>
      </c>
      <c r="D31" s="3" t="inlineStr">
        <is>
          <t>Bid</t>
        </is>
      </c>
      <c r="E31" s="3" t="n">
        <v>1</v>
      </c>
      <c r="F31" s="3" t="n">
        <v>2</v>
      </c>
      <c r="G31" s="3" t="inlineStr">
        <is>
          <t>Strategic</t>
        </is>
      </c>
      <c r="H31" s="3" t="inlineStr">
        <is>
          <t>Revised indication of interest, all cash, $18.00-$19.00 per share; to be financed by outstanding credit facilities or affiliated equity sources; no firm financing commitment.</t>
        </is>
      </c>
      <c r="I31" s="3" t="inlineStr">
        <is>
          <t>Informal</t>
        </is>
      </c>
      <c r="J31" s="3" t="inlineStr">
        <is>
          <t>Heavy</t>
        </is>
      </c>
      <c r="K31" s="3" t="inlineStr">
        <is>
          <t>Stated: “Party A submitted a revised indication of interest with an all-cash purchase price of $18.00 to $19.00 per share, to be financed by outstanding credit facilities or affiliated equity sources.” “Neither Party A's nor Party C's revised indication of interest included a firm financing commitment.” Formality: revised IOI, no formal signal yet. Conditions: no firm commitment - Heavy. Count 1 = first R2 submission by this unit.</t>
        </is>
      </c>
      <c r="L31" s="4" t="inlineStr">
        <is>
          <t>P-053</t>
        </is>
      </c>
      <c r="M31" s="3" t="inlineStr">
        <is>
          <t>Q5; Q6</t>
        </is>
      </c>
      <c r="N31" s="3" t="n"/>
      <c r="O31" s="3" t="inlineStr">
        <is>
          <t>R030</t>
        </is>
      </c>
      <c r="P31" s="3" t="inlineStr">
        <is>
          <t>Yes</t>
        </is>
      </c>
      <c r="Q31" s="3" t="n">
        <v>1</v>
      </c>
      <c r="R31" s="5" t="n">
        <v>41527</v>
      </c>
      <c r="S31" s="5" t="n">
        <v>41527</v>
      </c>
      <c r="T31" s="5" t="n">
        <v>41527</v>
      </c>
      <c r="U31" s="3" t="inlineStr">
        <is>
          <t>Reported day</t>
        </is>
      </c>
      <c r="V31" s="3" t="inlineStr">
        <is>
          <t>Reported</t>
        </is>
      </c>
      <c r="W31" s="3" t="n">
        <v>18</v>
      </c>
      <c r="X31" s="3" t="n">
        <v>19</v>
      </c>
      <c r="Y31" s="3" t="inlineStr">
        <is>
          <t>Bidder range</t>
        </is>
      </c>
      <c r="Z31" s="3" t="inlineStr">
        <is>
          <t>Stated</t>
        </is>
      </c>
      <c r="AA31" s="3" t="inlineStr">
        <is>
          <t>USD</t>
        </is>
      </c>
      <c r="AB31" s="3" t="inlineStr">
        <is>
          <t>Yes</t>
        </is>
      </c>
      <c r="AC31" s="3" t="n"/>
      <c r="AD31" s="3" t="inlineStr">
        <is>
          <t>Fin: not committed; DD required: not stated; DD open: yes; Excl: none</t>
        </is>
      </c>
      <c r="AE31" s="5" t="n"/>
      <c r="AF31" s="3" t="n"/>
      <c r="AG31" s="3" t="n"/>
      <c r="AH31" s="3" t="n"/>
      <c r="AI31" s="3" t="n"/>
      <c r="AJ31" s="3" t="n"/>
      <c r="AK31" s="3" t="n">
        <v>35</v>
      </c>
      <c r="AL31" s="3" t="inlineStr">
        <is>
          <t>revises R008; reaffirmed R036; closed R043</t>
        </is>
      </c>
      <c r="AM31" s="3" t="inlineStr">
        <is>
          <t>Mac-Gray</t>
        </is>
      </c>
    </row>
    <row r="32">
      <c r="A32" s="2" t="n">
        <v>31</v>
      </c>
      <c r="B32" s="3" t="inlineStr">
        <is>
          <t>09/10/2013</t>
        </is>
      </c>
      <c r="C32" s="3" t="inlineStr">
        <is>
          <t>Party C</t>
        </is>
      </c>
      <c r="D32" s="3" t="inlineStr">
        <is>
          <t>Bid</t>
        </is>
      </c>
      <c r="E32" s="3" t="n">
        <v>1</v>
      </c>
      <c r="F32" s="3" t="n">
        <v>2</v>
      </c>
      <c r="G32" s="3" t="inlineStr">
        <is>
          <t>Financial</t>
        </is>
      </c>
      <c r="H32" s="3" t="inlineStr">
        <is>
          <t>Revised oral indication of interest, all cash, $16.00-$17.00 per share; no financing or condition information stated.</t>
        </is>
      </c>
      <c r="I32" s="3" t="inlineStr">
        <is>
          <t>Informal</t>
        </is>
      </c>
      <c r="J32" s="3" t="inlineStr">
        <is>
          <t>Insufficient evidence</t>
        </is>
      </c>
      <c r="K32" s="3" t="inlineStr">
        <is>
          <t>Stated: “a representative of Party C indicated that it was submitting a revised oral indication of interest with an all-cash purchase price of $16.00 to $17.00 per share.” Formality: revised IOI, no formal signal. Conditions: the filing reports the price but nothing about financing, diligence or other conditions, and the stage gives no further context - Insufficient evidence (preferred reading: no commitment reported; flagged Q6). Count 1 = first R2 submission by this unit.</t>
        </is>
      </c>
      <c r="L32" s="4" t="inlineStr">
        <is>
          <t>P-053</t>
        </is>
      </c>
      <c r="M32" s="3" t="inlineStr">
        <is>
          <t>Q6</t>
        </is>
      </c>
      <c r="N32" s="3" t="n"/>
      <c r="O32" s="3" t="inlineStr">
        <is>
          <t>R031</t>
        </is>
      </c>
      <c r="P32" s="3" t="inlineStr">
        <is>
          <t>Yes</t>
        </is>
      </c>
      <c r="Q32" s="3" t="n">
        <v>1</v>
      </c>
      <c r="R32" s="5" t="n">
        <v>41527</v>
      </c>
      <c r="S32" s="5" t="n">
        <v>41527</v>
      </c>
      <c r="T32" s="5" t="n">
        <v>41527</v>
      </c>
      <c r="U32" s="3" t="inlineStr">
        <is>
          <t>Reported day</t>
        </is>
      </c>
      <c r="V32" s="3" t="inlineStr">
        <is>
          <t>Reported</t>
        </is>
      </c>
      <c r="W32" s="3" t="n">
        <v>16</v>
      </c>
      <c r="X32" s="3" t="n">
        <v>17</v>
      </c>
      <c r="Y32" s="3" t="inlineStr">
        <is>
          <t>Bidder range</t>
        </is>
      </c>
      <c r="Z32" s="3" t="inlineStr">
        <is>
          <t>Stated</t>
        </is>
      </c>
      <c r="AA32" s="3" t="inlineStr">
        <is>
          <t>USD</t>
        </is>
      </c>
      <c r="AB32" s="3" t="inlineStr">
        <is>
          <t>Yes</t>
        </is>
      </c>
      <c r="AC32" s="3" t="n"/>
      <c r="AD32" s="3" t="inlineStr">
        <is>
          <t>Fin: not stated; DD required: not stated; DD open: yes; Excl: none</t>
        </is>
      </c>
      <c r="AE32" s="5" t="n"/>
      <c r="AF32" s="3" t="n"/>
      <c r="AG32" s="3" t="n"/>
      <c r="AH32" s="3" t="n"/>
      <c r="AI32" s="3" t="n"/>
      <c r="AJ32" s="3" t="n"/>
      <c r="AK32" s="3" t="n">
        <v>35</v>
      </c>
      <c r="AL32" s="3" t="inlineStr">
        <is>
          <t>revises R023; non-submission R038</t>
        </is>
      </c>
      <c r="AM32" s="3" t="inlineStr">
        <is>
          <t>Mac-Gray</t>
        </is>
      </c>
    </row>
    <row r="33">
      <c r="A33" s="2" t="n">
        <v>32</v>
      </c>
      <c r="B33" s="3" t="inlineStr">
        <is>
          <t>09/11/2013</t>
        </is>
      </c>
      <c r="C33" s="3" t="inlineStr">
        <is>
          <t>Stewart G. MacDonald, Jr. (CEO)</t>
        </is>
      </c>
      <c r="D33" s="3" t="inlineStr">
        <is>
          <t>Material process update</t>
        </is>
      </c>
      <c r="E33" s="3" t="n">
        <v>1</v>
      </c>
      <c r="F33" s="3" t="n">
        <v>2</v>
      </c>
      <c r="G33" s="3" t="n"/>
      <c r="H33" s="3" t="inlineStr">
        <is>
          <t>Rollover: Transaction Committee gave Mr. MacDonald a limited, unidentified overview (without names or prices) so he could consider rolling over shares; he decided he was not interested in any rollover; he was fully briefed in detail on 09/12/2013 and voiced general support for continuing the process but wanted Mac-Gray to seek a higher value. One row for the denied/resolved rollover step.</t>
        </is>
      </c>
      <c r="I33" s="3" t="n"/>
      <c r="J33" s="3" t="n"/>
      <c r="K33" s="3" t="inlineStr">
        <is>
          <t>Stated: “During this call, Mr. MacDonald indicated that he had decided that he was not interested in rolling over any of his shares in any transaction.” Later: “he expressed his view that Mac-Gray should continue to seek a higher value for stockholders.” Context: “it was unlikely that any of these parties would move forward in the process without the express support of Mr. MacDonald.” Rollover rows carry no Count and no membership change.</t>
        </is>
      </c>
      <c r="L33" s="4" t="inlineStr">
        <is>
          <t>P-054; P-055; P-057</t>
        </is>
      </c>
      <c r="M33" s="3" t="inlineStr">
        <is>
          <t>Q8</t>
        </is>
      </c>
      <c r="N33" s="3" t="n"/>
      <c r="O33" s="3" t="inlineStr">
        <is>
          <t>R032</t>
        </is>
      </c>
      <c r="P33" s="3" t="inlineStr">
        <is>
          <t>Yes</t>
        </is>
      </c>
      <c r="Q33" s="3" t="n"/>
      <c r="R33" s="5" t="n">
        <v>41528</v>
      </c>
      <c r="S33" s="5" t="n">
        <v>41528</v>
      </c>
      <c r="T33" s="5" t="n">
        <v>41528</v>
      </c>
      <c r="U33" s="3" t="inlineStr">
        <is>
          <t>Reported day</t>
        </is>
      </c>
      <c r="V33" s="3" t="inlineStr">
        <is>
          <t>Reported</t>
        </is>
      </c>
      <c r="W33" s="3" t="n"/>
      <c r="X33" s="3" t="n"/>
      <c r="Y33" s="3" t="n"/>
      <c r="Z33" s="3" t="n"/>
      <c r="AA33" s="3" t="n"/>
      <c r="AB33" s="3" t="n"/>
      <c r="AC33" s="3" t="n"/>
      <c r="AD33" s="3" t="n"/>
      <c r="AE33" s="5" t="n"/>
      <c r="AF33" s="3" t="n"/>
      <c r="AG33" s="3" t="n"/>
      <c r="AH33" s="3" t="n"/>
      <c r="AI33" s="3" t="n"/>
      <c r="AJ33" s="3" t="n"/>
      <c r="AK33" s="3" t="n">
        <v>35</v>
      </c>
      <c r="AL33" s="3" t="inlineStr">
        <is>
          <t>MacDonald voting agreement executed 09/27/2013 (part of R048)</t>
        </is>
      </c>
      <c r="AM33" s="3" t="inlineStr">
        <is>
          <t>Mac-Gray</t>
        </is>
      </c>
    </row>
    <row r="34">
      <c r="A34" s="2" t="n">
        <v>33</v>
      </c>
      <c r="B34" s="3" t="inlineStr">
        <is>
          <t>09/11/2013</t>
        </is>
      </c>
      <c r="C34" s="3" t="inlineStr">
        <is>
          <t>Mac-Gray Special Committee</t>
        </is>
      </c>
      <c r="D34" s="3" t="inlineStr">
        <is>
          <t>Round opened</t>
        </is>
      </c>
      <c r="E34" s="3" t="n">
        <v>1</v>
      </c>
      <c r="F34" s="3" t="n">
        <v>3</v>
      </c>
      <c r="G34" s="3" t="n"/>
      <c r="H34" s="3" t="inlineStr">
        <is>
          <t>Round 3: first request for final indications of interest (due 09/18/2013) with a possible short period of exclusive negotiations depending on price and deal certainty; BofA Merrill Lynch called all four bidders the same day as authorized. Round finality: Announced as final - the target told the bidders this was the final-indication stage. Also that day: the Special Committee agreed Mr. MacDonald's support was critical, that he be fully briefed, and expected no bidder to proceed without his support.</t>
        </is>
      </c>
      <c r="I34" s="3" t="n"/>
      <c r="J34" s="3" t="n"/>
      <c r="K34" s="3" t="inlineStr">
        <is>
          <t>Stated: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“As authorized and instructed by the Special Committee, representatives of BofA Merrill Lynch called each of Party A, Party B, Party C and CSC/Pamplona on September 11, 2013 with such instructions.” Convention: the target's first request for final offers opens a new round even with unchanged bidders; Deadlines: due date set in the same instruction, carried on this row.</t>
        </is>
      </c>
      <c r="L34" s="4" t="inlineStr">
        <is>
          <t>P-056; P-055</t>
        </is>
      </c>
      <c r="M34" s="3" t="inlineStr">
        <is>
          <t>Q1</t>
        </is>
      </c>
      <c r="N34" s="3" t="n"/>
      <c r="O34" s="3" t="inlineStr">
        <is>
          <t>R033</t>
        </is>
      </c>
      <c r="P34" s="3" t="inlineStr">
        <is>
          <t>Yes</t>
        </is>
      </c>
      <c r="Q34" s="3" t="n"/>
      <c r="R34" s="5" t="n">
        <v>41528</v>
      </c>
      <c r="S34" s="5" t="n">
        <v>41528</v>
      </c>
      <c r="T34" s="5" t="n">
        <v>41528</v>
      </c>
      <c r="U34" s="3" t="inlineStr">
        <is>
          <t>Reported day</t>
        </is>
      </c>
      <c r="V34" s="3" t="inlineStr">
        <is>
          <t>Reported</t>
        </is>
      </c>
      <c r="W34" s="3" t="n"/>
      <c r="X34" s="3" t="n"/>
      <c r="Y34" s="3" t="n"/>
      <c r="Z34" s="3" t="n"/>
      <c r="AA34" s="3" t="n"/>
      <c r="AB34" s="3" t="n"/>
      <c r="AC34" s="3" t="n"/>
      <c r="AD34" s="3" t="n"/>
      <c r="AE34" s="5" t="n">
        <v>41535</v>
      </c>
      <c r="AF34" s="3" t="n"/>
      <c r="AG34" s="3" t="inlineStr">
        <is>
          <t>Announced as final</t>
        </is>
      </c>
      <c r="AH34" s="3" t="n"/>
      <c r="AI34" s="3" t="n"/>
      <c r="AJ34" s="3" t="n"/>
      <c r="AK34" s="3" t="n">
        <v>36</v>
      </c>
      <c r="AL34" s="3" t="inlineStr">
        <is>
          <t>milestone R034; selection R039; R3/R4 boundary rows R041/R042 (see Q1)</t>
        </is>
      </c>
      <c r="AM34" s="3" t="inlineStr">
        <is>
          <t>Mac-Gray</t>
        </is>
      </c>
    </row>
    <row r="35">
      <c r="A35" s="2" t="n">
        <v>34</v>
      </c>
      <c r="B35" s="3" t="inlineStr">
        <is>
          <t>09/18/2013</t>
        </is>
      </c>
      <c r="C35" s="3" t="inlineStr">
        <is>
          <t>Mac-Gray / BofA Merrill Lynch</t>
        </is>
      </c>
      <c r="D35" s="3" t="inlineStr">
        <is>
          <t>Deadline</t>
        </is>
      </c>
      <c r="E35" s="3" t="n">
        <v>1</v>
      </c>
      <c r="F35" s="3" t="n">
        <v>3</v>
      </c>
      <c r="G35" s="3" t="n"/>
      <c r="H35" s="3" t="inlineStr">
        <is>
          <t>Scheduled due date for final indications of interest. CSC/Pamplona, Party A and Party B responded on the date; Party C did not. The Special Committee took its next step on 09/19/2013, authorizing exclusive negotiation with CSC/Pamplona on the bids in hand: Enforced.</t>
        </is>
      </c>
      <c r="I35" s="3" t="n"/>
      <c r="J35" s="3" t="n"/>
      <c r="K35" s="3" t="inlineStr">
        <is>
          <t>Stated: “On September 18, 2013, CSC/Pamplona submitted a proposal for an all-cash purchase price of $20.75 per share” and the Special Committee meeting of 09/19/2013: “On September 19, 2013, the Special Committee held an in-person meeting.” Convention: treatment Enforced - the date passed with no extension and no late acceptance, and the target took its next step (selection/exclusivity) on the bids in hand. Party C's non-response is recorded at R038.</t>
        </is>
      </c>
      <c r="L35" s="4" t="inlineStr">
        <is>
          <t>P-059; P-056; P-060</t>
        </is>
      </c>
      <c r="M35" s="3" t="inlineStr">
        <is>
          <t>Q2</t>
        </is>
      </c>
      <c r="N35" s="3" t="n"/>
      <c r="O35" s="3" t="inlineStr">
        <is>
          <t>R034</t>
        </is>
      </c>
      <c r="P35" s="3" t="inlineStr">
        <is>
          <t>Yes</t>
        </is>
      </c>
      <c r="Q35" s="3" t="n"/>
      <c r="R35" s="5" t="n">
        <v>41535</v>
      </c>
      <c r="S35" s="5" t="n">
        <v>41535</v>
      </c>
      <c r="T35" s="5" t="n">
        <v>41535</v>
      </c>
      <c r="U35" s="3" t="inlineStr">
        <is>
          <t>Reported day</t>
        </is>
      </c>
      <c r="V35" s="3" t="inlineStr">
        <is>
          <t>Reported</t>
        </is>
      </c>
      <c r="W35" s="3" t="n"/>
      <c r="X35" s="3" t="n"/>
      <c r="Y35" s="3" t="n"/>
      <c r="Z35" s="3" t="n"/>
      <c r="AA35" s="3" t="n"/>
      <c r="AB35" s="3" t="n"/>
      <c r="AC35" s="3" t="n"/>
      <c r="AD35" s="3" t="n"/>
      <c r="AE35" s="5" t="n">
        <v>41535</v>
      </c>
      <c r="AF35" s="3" t="inlineStr">
        <is>
          <t>Enforced</t>
        </is>
      </c>
      <c r="AG35" s="3" t="n"/>
      <c r="AH35" s="3" t="n"/>
      <c r="AI35" s="3" t="n"/>
      <c r="AJ35" s="3" t="n"/>
      <c r="AK35" s="3" t="n">
        <v>36</v>
      </c>
      <c r="AL35" s="3" t="inlineStr">
        <is>
          <t>submissions R035, R036, R037; non-submission R038</t>
        </is>
      </c>
      <c r="AM35" s="3" t="inlineStr">
        <is>
          <t>Mac-Gray</t>
        </is>
      </c>
    </row>
    <row r="36">
      <c r="A36" s="2" t="n">
        <v>35</v>
      </c>
      <c r="B36" s="3" t="inlineStr">
        <is>
          <t>09/18/2013</t>
        </is>
      </c>
      <c r="C36" s="3" t="inlineStr">
        <is>
          <t>CSC/Pamplona</t>
        </is>
      </c>
      <c r="D36" s="3" t="inlineStr">
        <is>
          <t>Bid</t>
        </is>
      </c>
      <c r="E36" s="3" t="n">
        <v>1</v>
      </c>
      <c r="F36" s="3" t="n">
        <v>3</v>
      </c>
      <c r="G36" s="3" t="inlineStr">
        <is>
          <t>Strategic</t>
        </is>
      </c>
      <c r="H36" s="3" t="inlineStr">
        <is>
          <t>All-cash proposal at $20.75 per share; Pamplona's 100% capital commitment reiterated; requested two weeks of exclusive negotiations. Formality: Formal (signal 2 - response on the requested basis to the final-indications solicitation); Conditions: Light (committed financing, no diligence condition stated); diligence still open.</t>
        </is>
      </c>
      <c r="I36" s="3" t="inlineStr">
        <is>
          <t>Formal</t>
        </is>
      </c>
      <c r="J36" s="3" t="inlineStr">
        <is>
          <t>Light</t>
        </is>
      </c>
      <c r="K36" s="3" t="inlineStr">
        <is>
          <t>Stated: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Convention: Formality signal 2 despite the non-binding IOI form; Conditions Light. Count 1 = first R3 submission by this unit.</t>
        </is>
      </c>
      <c r="L36" s="4" t="inlineStr">
        <is>
          <t>P-059</t>
        </is>
      </c>
      <c r="M36" s="3" t="inlineStr">
        <is>
          <t>Q5; Q6</t>
        </is>
      </c>
      <c r="N36" s="3" t="n"/>
      <c r="O36" s="3" t="inlineStr">
        <is>
          <t>R035</t>
        </is>
      </c>
      <c r="P36" s="3" t="inlineStr">
        <is>
          <t>Yes</t>
        </is>
      </c>
      <c r="Q36" s="3" t="n">
        <v>1</v>
      </c>
      <c r="R36" s="5" t="n">
        <v>41535</v>
      </c>
      <c r="S36" s="5" t="n">
        <v>41535</v>
      </c>
      <c r="T36" s="5" t="n">
        <v>41535</v>
      </c>
      <c r="U36" s="3" t="inlineStr">
        <is>
          <t>Reported day</t>
        </is>
      </c>
      <c r="V36" s="3" t="inlineStr">
        <is>
          <t>Reported</t>
        </is>
      </c>
      <c r="W36" s="3" t="n">
        <v>20.75</v>
      </c>
      <c r="X36" s="3" t="n">
        <v>20.75</v>
      </c>
      <c r="Y36" s="3" t="inlineStr">
        <is>
          <t>Point</t>
        </is>
      </c>
      <c r="Z36" s="3" t="inlineStr">
        <is>
          <t>Stated</t>
        </is>
      </c>
      <c r="AA36" s="3" t="inlineStr">
        <is>
          <t>USD</t>
        </is>
      </c>
      <c r="AB36" s="3" t="inlineStr">
        <is>
          <t>Yes</t>
        </is>
      </c>
      <c r="AC36" s="3" t="n">
        <v>20.75</v>
      </c>
      <c r="AD36" s="3" t="inlineStr">
        <is>
          <t>Fin: committed; DD required: not stated; DD open: yes; Excl: requested (2 wks)</t>
        </is>
      </c>
      <c r="AE36" s="5" t="n"/>
      <c r="AF36" s="3" t="n"/>
      <c r="AG36" s="3" t="n"/>
      <c r="AH36" s="3" t="n"/>
      <c r="AI36" s="3" t="n"/>
      <c r="AJ36" s="3" t="n"/>
      <c r="AK36" s="3" t="n">
        <v>36</v>
      </c>
      <c r="AL36" s="3" t="inlineStr">
        <is>
          <t>revises R028; revised to last-and-best R040</t>
        </is>
      </c>
      <c r="AM36" s="3" t="inlineStr">
        <is>
          <t>Mac-Gray</t>
        </is>
      </c>
    </row>
    <row r="37">
      <c r="A37" s="2" t="n">
        <v>36</v>
      </c>
      <c r="B37" s="3" t="inlineStr">
        <is>
          <t>09/18/2013</t>
        </is>
      </c>
      <c r="C37" s="3" t="inlineStr">
        <is>
          <t>Party A</t>
        </is>
      </c>
      <c r="D37" s="3" t="inlineStr">
        <is>
          <t>Bid reaffirmed</t>
        </is>
      </c>
      <c r="E37" s="3" t="n">
        <v>1</v>
      </c>
      <c r="F37" s="3" t="n">
        <v>3</v>
      </c>
      <c r="G37" s="3" t="inlineStr">
        <is>
          <t>Strategic</t>
        </is>
      </c>
      <c r="H37" s="3" t="inlineStr">
        <is>
          <t>Telephone confirmation that the $18.00-$19.00 indication stood as Party A's best and final offer; no improvement. Price carried forward from R030. Formality: Formal (signal 2 - response in the best-and-final stage; borderline, flagged Q5). Conditions reassessed: financing not committed; diligence open.</t>
        </is>
      </c>
      <c r="I37" s="3" t="inlineStr">
        <is>
          <t>Formal</t>
        </is>
      </c>
      <c r="J37" s="3" t="inlineStr">
        <is>
          <t>Heavy</t>
        </is>
      </c>
      <c r="K37" s="3" t="inlineStr">
        <is>
          <t>Stated: “Party A reiterated in a telephone call to a representative of BofA Merrill Lynch that its previous indication of interest with an all-cash purchase price of $18.00 to $19.00 per share was its best and final offer.” Convention: recorded as Bid reaffirmed (actual bidder confirmation that its offer stands); price carried forward with origin Carried forward, not restated. Count 1 - first reaffirmation by this unit in round 3.</t>
        </is>
      </c>
      <c r="L37" s="4" t="inlineStr">
        <is>
          <t>P-059</t>
        </is>
      </c>
      <c r="M37" s="3" t="inlineStr">
        <is>
          <t>Q5; Q6</t>
        </is>
      </c>
      <c r="N37" s="3" t="n"/>
      <c r="O37" s="3" t="inlineStr">
        <is>
          <t>R036</t>
        </is>
      </c>
      <c r="P37" s="3" t="inlineStr">
        <is>
          <t>Yes</t>
        </is>
      </c>
      <c r="Q37" s="3" t="n">
        <v>1</v>
      </c>
      <c r="R37" s="5" t="n">
        <v>41535</v>
      </c>
      <c r="S37" s="5" t="n">
        <v>41535</v>
      </c>
      <c r="T37" s="5" t="n">
        <v>41535</v>
      </c>
      <c r="U37" s="3" t="inlineStr">
        <is>
          <t>Reported day</t>
        </is>
      </c>
      <c r="V37" s="3" t="inlineStr">
        <is>
          <t>Reported</t>
        </is>
      </c>
      <c r="W37" s="3" t="n">
        <v>18</v>
      </c>
      <c r="X37" s="3" t="n">
        <v>19</v>
      </c>
      <c r="Y37" s="3" t="inlineStr">
        <is>
          <t>Bidder range</t>
        </is>
      </c>
      <c r="Z37" s="3" t="inlineStr">
        <is>
          <t>Carried forward</t>
        </is>
      </c>
      <c r="AA37" s="3" t="inlineStr">
        <is>
          <t>USD</t>
        </is>
      </c>
      <c r="AB37" s="3" t="inlineStr">
        <is>
          <t>Yes</t>
        </is>
      </c>
      <c r="AC37" s="3" t="n"/>
      <c r="AD37" s="3" t="inlineStr">
        <is>
          <t>Fin: not committed; DD required: not stated; DD open: yes; Excl: none</t>
        </is>
      </c>
      <c r="AE37" s="5" t="n"/>
      <c r="AF37" s="3" t="n"/>
      <c r="AG37" s="3" t="n"/>
      <c r="AH37" s="3" t="n"/>
      <c r="AI37" s="3" t="n"/>
      <c r="AJ37" s="3" t="n"/>
      <c r="AK37" s="3" t="n">
        <v>36</v>
      </c>
      <c r="AL37" s="3" t="inlineStr">
        <is>
          <t>reaffirms R030; closed R043</t>
        </is>
      </c>
      <c r="AM37" s="3" t="inlineStr">
        <is>
          <t>Mac-Gray</t>
        </is>
      </c>
    </row>
    <row r="38">
      <c r="A38" s="2" t="n">
        <v>37</v>
      </c>
      <c r="B38" s="3" t="inlineStr">
        <is>
          <t>09/18/2013</t>
        </is>
      </c>
      <c r="C38" s="3" t="inlineStr">
        <is>
          <t>Party B</t>
        </is>
      </c>
      <c r="D38" s="3" t="inlineStr">
        <is>
          <t>Bid</t>
        </is>
      </c>
      <c r="E38" s="3" t="n">
        <v>1</v>
      </c>
      <c r="F38" s="3" t="n">
        <v>3</v>
      </c>
      <c r="G38" s="3" t="inlineStr">
        <is>
          <t>Financial</t>
        </is>
      </c>
      <c r="H38" s="3" t="inlineStr">
        <is>
          <t>Revised indication of interest that Party B valued at $21.50 per share: $19.00 cash paid at closing plus options the bidder valued at $2.50 (options for 10% of new equity, strike at initial cost basis, vesting over five years on base-case management projections excluding future acquisitions). Cash component below CSC/Pamplona's $20.75; total above it but contingent/deferred; financing remained affiliated-fund equity plus third-party debt without a firm commitment. Price cells show the cash component and the bidder's stated total valuation (package, not a submitted range) - flagged Q7.</t>
        </is>
      </c>
      <c r="I38" s="3" t="inlineStr">
        <is>
          <t>Formal</t>
        </is>
      </c>
      <c r="J38" s="3" t="inlineStr">
        <is>
          <t>Heavy</t>
        </is>
      </c>
      <c r="K38" s="3" t="inlineStr">
        <is>
          <t>Stated: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“Party B's proposal stated that it valued the Party B options at $2.50 of incremental value per share.” Formality: signal 2 response to the final solicitation; Conditions: no firm financing commitment (Heavy); risk view in R039/R044. Count 1 = first R3 submission by this unit.</t>
        </is>
      </c>
      <c r="L38" s="4" t="inlineStr">
        <is>
          <t>P-059; P-061; P-062</t>
        </is>
      </c>
      <c r="M38" s="3" t="inlineStr">
        <is>
          <t>Q5; Q6; Q7</t>
        </is>
      </c>
      <c r="N38" s="3" t="n"/>
      <c r="O38" s="3" t="inlineStr">
        <is>
          <t>R037</t>
        </is>
      </c>
      <c r="P38" s="3" t="inlineStr">
        <is>
          <t>Yes</t>
        </is>
      </c>
      <c r="Q38" s="3" t="n">
        <v>1</v>
      </c>
      <c r="R38" s="5" t="n">
        <v>41535</v>
      </c>
      <c r="S38" s="5" t="n">
        <v>41535</v>
      </c>
      <c r="T38" s="5" t="n">
        <v>41535</v>
      </c>
      <c r="U38" s="3" t="inlineStr">
        <is>
          <t>Reported day</t>
        </is>
      </c>
      <c r="V38" s="3" t="inlineStr">
        <is>
          <t>Reported</t>
        </is>
      </c>
      <c r="W38" s="3" t="n">
        <v>19</v>
      </c>
      <c r="X38" s="3" t="n">
        <v>21.5</v>
      </c>
      <c r="Y38" s="3" t="inlineStr">
        <is>
          <t>Bidder range</t>
        </is>
      </c>
      <c r="Z38" s="3" t="inlineStr">
        <is>
          <t>Stated</t>
        </is>
      </c>
      <c r="AA38" s="3" t="inlineStr">
        <is>
          <t>USD</t>
        </is>
      </c>
      <c r="AB38" s="3" t="inlineStr">
        <is>
          <t>No</t>
        </is>
      </c>
      <c r="AC38" s="3" t="n">
        <v>19</v>
      </c>
      <c r="AD38" s="3" t="inlineStr">
        <is>
          <t>Fin: not committed; DD required: not stated; DD open: yes; Excl: none</t>
        </is>
      </c>
      <c r="AE38" s="5" t="n"/>
      <c r="AF38" s="3" t="n"/>
      <c r="AG38" s="3" t="n"/>
      <c r="AH38" s="3" t="n"/>
      <c r="AI38" s="3" t="n"/>
      <c r="AJ38" s="3" t="n"/>
      <c r="AK38" s="3" t="n">
        <v>36</v>
      </c>
      <c r="AL38" s="3" t="inlineStr">
        <is>
          <t>revises R029; closed R044</t>
        </is>
      </c>
      <c r="AM38" s="3" t="inlineStr">
        <is>
          <t>Mac-Gray</t>
        </is>
      </c>
    </row>
    <row r="39">
      <c r="A39" s="2" t="n">
        <v>38</v>
      </c>
      <c r="B39" s="3" t="inlineStr">
        <is>
          <t>by 09/18/2013</t>
        </is>
      </c>
      <c r="C39" s="3" t="inlineStr">
        <is>
          <t>Party C</t>
        </is>
      </c>
      <c r="D39" s="3" t="inlineStr">
        <is>
          <t>Did not submit</t>
        </is>
      </c>
      <c r="E39" s="3" t="n">
        <v>1</v>
      </c>
      <c r="F39" s="3" t="n">
        <v>3</v>
      </c>
      <c r="G39" s="3" t="inlineStr">
        <is>
          <t>Financial</t>
        </is>
      </c>
      <c r="H39" s="3" t="inlineStr">
        <is>
          <t>Did not submit a revised indication or reiterate its prior $16.00-$17.00 indication at the final-indications solicitation and gave no reasons (the filing states the fact, not the cause); no notice, discouragement or withdrawal is reported. Decided by Unknown; exit reason Not stated. Count 1 = this unit.</t>
        </is>
      </c>
      <c r="I39" s="3" t="n"/>
      <c r="J39" s="3" t="n"/>
      <c r="K39" s="3" t="inlineStr">
        <is>
          <t>Stated: “Party C did not submit a revised indication of interest or reiterate its prior indication of interest of an all-cash purchase price of $16.00 to $17.00 per share nor did it specify any reasons in connection therewith.” Reported again: “reported that Party C did not submit a revised indication of interest or reiterate its prior indication of interest.” Convention: non-submission is not a withdrawal and agency is not inferred from silence; recorded at the due date.</t>
        </is>
      </c>
      <c r="L39" s="4" t="inlineStr">
        <is>
          <t>P-059; P-060</t>
        </is>
      </c>
      <c r="M39" s="3" t="inlineStr">
        <is>
          <t>Q4</t>
        </is>
      </c>
      <c r="N39" s="3" t="n"/>
      <c r="O39" s="3" t="inlineStr">
        <is>
          <t>R038</t>
        </is>
      </c>
      <c r="P39" s="3" t="inlineStr">
        <is>
          <t>Yes</t>
        </is>
      </c>
      <c r="Q39" s="3" t="n">
        <v>1</v>
      </c>
      <c r="R39" s="5" t="n"/>
      <c r="S39" s="5" t="n">
        <v>41535</v>
      </c>
      <c r="T39" s="5" t="n">
        <v>41535</v>
      </c>
      <c r="U39" s="3" t="inlineStr">
        <is>
          <t>Relative only</t>
        </is>
      </c>
      <c r="V39" s="3" t="inlineStr">
        <is>
          <t>Assigned: deadline</t>
        </is>
      </c>
      <c r="W39" s="3" t="n"/>
      <c r="X39" s="3" t="n"/>
      <c r="Y39" s="3" t="n"/>
      <c r="Z39" s="3" t="n"/>
      <c r="AA39" s="3" t="n"/>
      <c r="AB39" s="3" t="n"/>
      <c r="AC39" s="3" t="n"/>
      <c r="AD39" s="3" t="n"/>
      <c r="AE39" s="5" t="n"/>
      <c r="AF39" s="3" t="n"/>
      <c r="AG39" s="3" t="n"/>
      <c r="AH39" s="3" t="inlineStr">
        <is>
          <t>Unknown</t>
        </is>
      </c>
      <c r="AI39" s="3" t="inlineStr">
        <is>
          <t>Not stated</t>
        </is>
      </c>
      <c r="AJ39" s="3" t="inlineStr">
        <is>
          <t>Stated</t>
        </is>
      </c>
      <c r="AK39" s="3" t="n">
        <v>36</v>
      </c>
      <c r="AL39" s="3" t="inlineStr">
        <is>
          <t>last bid R031; no further recorded activity</t>
        </is>
      </c>
      <c r="AM39" s="3" t="inlineStr">
        <is>
          <t>Mac-Gray</t>
        </is>
      </c>
    </row>
    <row r="40">
      <c r="A40" s="2" t="n">
        <v>39</v>
      </c>
      <c r="B40" s="3" t="inlineStr">
        <is>
          <t>09/19/2013</t>
        </is>
      </c>
      <c r="C40" s="3" t="inlineStr">
        <is>
          <t>Mac-Gray Special Committee</t>
        </is>
      </c>
      <c r="D40" s="3" t="inlineStr">
        <is>
          <t>Target decision</t>
        </is>
      </c>
      <c r="E40" s="3" t="n">
        <v>1</v>
      </c>
      <c r="F40" s="3" t="n">
        <v>3</v>
      </c>
      <c r="G40" s="3" t="n"/>
      <c r="H40" s="3" t="inlineStr">
        <is>
          <t>Preferred-bidder and exclusivity decision: the Special Committee concluded CSC/Pamplona's revised indication had the potential to deliver the most value with greater certainty and less risk than the alternatives (Party B's options contingent/deferred and Party B reliant on third-party debt; Party A's lower best-and-final); expected CSC/Pamplona to be able to increase above $20.75 given synergies; authorized the Transaction Committee to tell CSC/Pamplona Mac-Gray was prepared to move to exclusivity at $21.25 per share and to negotiate exclusivity terms; Mr. MacDonald said he would be supportive at $21.25. Not a round opening (a selection inside round 3).</t>
        </is>
      </c>
      <c r="I40" s="3" t="n"/>
      <c r="J40" s="3" t="n"/>
      <c r="K40" s="3" t="inlineStr">
        <is>
          <t>Stated: “the Special Committee concluded that the revised indication of interest submitted by CSC/Pamplona had the potential of delivering the most value to stockholders, provided greater certainty and involved less potential risk than the other indications.” “authorized the Transaction Committee to inform CSC/Pamplona that the Special Committee would be prepared to move into exclusivity at a price of $21.25 per share” “Mr. MacDonald indicated that he would be supportive of a price of $21.25 per share.” Convention: no Count on a process-wide decision.</t>
        </is>
      </c>
      <c r="L40" s="4" t="inlineStr">
        <is>
          <t>P-062; P-060; P-061</t>
        </is>
      </c>
      <c r="M40" s="3" t="inlineStr">
        <is>
          <t>Q1</t>
        </is>
      </c>
      <c r="N40" s="3" t="n"/>
      <c r="O40" s="3" t="inlineStr">
        <is>
          <t>R039</t>
        </is>
      </c>
      <c r="P40" s="3" t="inlineStr">
        <is>
          <t>Yes</t>
        </is>
      </c>
      <c r="Q40" s="3" t="n"/>
      <c r="R40" s="5" t="n">
        <v>41536</v>
      </c>
      <c r="S40" s="5" t="n">
        <v>41536</v>
      </c>
      <c r="T40" s="5" t="n">
        <v>41536</v>
      </c>
      <c r="U40" s="3" t="inlineStr">
        <is>
          <t>Reported day</t>
        </is>
      </c>
      <c r="V40" s="3" t="inlineStr">
        <is>
          <t>Reported</t>
        </is>
      </c>
      <c r="W40" s="3" t="n"/>
      <c r="X40" s="3" t="n"/>
      <c r="Y40" s="3" t="n"/>
      <c r="Z40" s="3" t="n"/>
      <c r="AA40" s="3" t="n"/>
      <c r="AB40" s="3" t="n"/>
      <c r="AC40" s="3" t="n"/>
      <c r="AD40" s="3" t="n"/>
      <c r="AE40" s="5" t="n"/>
      <c r="AF40" s="3" t="n"/>
      <c r="AG40" s="3" t="n"/>
      <c r="AH40" s="3" t="n"/>
      <c r="AI40" s="3" t="n"/>
      <c r="AJ40" s="3" t="n"/>
      <c r="AK40" s="3" t="n">
        <v>37</v>
      </c>
      <c r="AL40" s="3" t="inlineStr">
        <is>
          <t>follows R034; leads to R040, R041</t>
        </is>
      </c>
      <c r="AM40" s="3" t="inlineStr">
        <is>
          <t>Mac-Gray</t>
        </is>
      </c>
    </row>
    <row r="41">
      <c r="A41" s="2" t="n">
        <v>40</v>
      </c>
      <c r="B41" s="3" t="inlineStr">
        <is>
          <t>09/21/2013</t>
        </is>
      </c>
      <c r="C41" s="3" t="inlineStr">
        <is>
          <t>CSC/Pamplona</t>
        </is>
      </c>
      <c r="D41" s="3" t="inlineStr">
        <is>
          <t>Bid</t>
        </is>
      </c>
      <c r="E41" s="3" t="n">
        <v>1</v>
      </c>
      <c r="F41" s="3" t="n">
        <v>3</v>
      </c>
      <c r="G41" s="3" t="inlineStr">
        <is>
          <t>Strategic</t>
        </is>
      </c>
      <c r="H41" s="3" t="inlineStr">
        <is>
          <t>Increase to $21.25 per share all cash as a last and best offer, provided Mac-Gray agree to a two-week exclusive negotiation; CSC/Pamplona also requested a voting agreement covering shares of Mr. MacDonald and his immediate family. Target proposed the price point on the same call; price revision solicited by the target after the due date belongs to the round's continuing negotiation. Count 0: same bidder and round as R035 - this is a revision, not a new unit.</t>
        </is>
      </c>
      <c r="I41" s="3" t="inlineStr">
        <is>
          <t>Formal</t>
        </is>
      </c>
      <c r="J41" s="3" t="inlineStr">
        <is>
          <t>Light</t>
        </is>
      </c>
      <c r="K41" s="3" t="inlineStr">
        <is>
          <t>Stated: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Formality: carried forward from the formal R035 submission (price confirmation in final negotiation). Conditions: committed financing, no diligence condition stated (Light); diligence open.</t>
        </is>
      </c>
      <c r="L41" s="4" t="inlineStr">
        <is>
          <t>P-063; P-064</t>
        </is>
      </c>
      <c r="M41" s="3" t="inlineStr">
        <is>
          <t>Q5; Q6</t>
        </is>
      </c>
      <c r="N41" s="3" t="n"/>
      <c r="O41" s="3" t="inlineStr">
        <is>
          <t>R040</t>
        </is>
      </c>
      <c r="P41" s="3" t="inlineStr">
        <is>
          <t>Yes</t>
        </is>
      </c>
      <c r="Q41" s="3" t="n">
        <v>0</v>
      </c>
      <c r="R41" s="5" t="n">
        <v>41538</v>
      </c>
      <c r="S41" s="5" t="n">
        <v>41538</v>
      </c>
      <c r="T41" s="5" t="n">
        <v>41538</v>
      </c>
      <c r="U41" s="3" t="inlineStr">
        <is>
          <t>Reported day</t>
        </is>
      </c>
      <c r="V41" s="3" t="inlineStr">
        <is>
          <t>Reported</t>
        </is>
      </c>
      <c r="W41" s="3" t="n">
        <v>21.25</v>
      </c>
      <c r="X41" s="3" t="n">
        <v>21.25</v>
      </c>
      <c r="Y41" s="3" t="inlineStr">
        <is>
          <t>Point</t>
        </is>
      </c>
      <c r="Z41" s="3" t="inlineStr">
        <is>
          <t>Stated</t>
        </is>
      </c>
      <c r="AA41" s="3" t="inlineStr">
        <is>
          <t>USD</t>
        </is>
      </c>
      <c r="AB41" s="3" t="inlineStr">
        <is>
          <t>Yes</t>
        </is>
      </c>
      <c r="AC41" s="3" t="n">
        <v>21.25</v>
      </c>
      <c r="AD41" s="3" t="inlineStr">
        <is>
          <t>Fin: committed; DD required: not stated; DD open: yes; Excl: requested (2 wks)</t>
        </is>
      </c>
      <c r="AE41" s="5" t="n"/>
      <c r="AF41" s="3" t="n"/>
      <c r="AG41" s="3" t="n"/>
      <c r="AH41" s="3" t="n"/>
      <c r="AI41" s="3" t="n"/>
      <c r="AJ41" s="3" t="n"/>
      <c r="AK41" s="3" t="n">
        <v>37</v>
      </c>
      <c r="AL41" s="3" t="inlineStr">
        <is>
          <t>revises R035; basis of R041 and R048; voting-agreement request part of R048</t>
        </is>
      </c>
      <c r="AM41" s="3" t="inlineStr">
        <is>
          <t>Mac-Gray</t>
        </is>
      </c>
    </row>
    <row r="42">
      <c r="A42" s="2" t="n">
        <v>41</v>
      </c>
      <c r="B42" s="3" t="inlineStr">
        <is>
          <t>09/24/2013</t>
        </is>
      </c>
      <c r="C42" s="3" t="inlineStr">
        <is>
          <t>CSC/Pamplona (with Mac-Gray)</t>
        </is>
      </c>
      <c r="D42" s="3" t="inlineStr">
        <is>
          <t>Exclusivity changed</t>
        </is>
      </c>
      <c r="E42" s="3" t="n">
        <v>1</v>
      </c>
      <c r="F42" s="3" t="n">
        <v>4</v>
      </c>
      <c r="G42" s="3" t="n"/>
      <c r="H42" s="3" t="inlineStr">
        <is>
          <t>Granted: exclusive negotiations until 5:00 p.m. ET on 10/12/2013, subject to CSC and Pamplona not adversely changing the final proposal terms, which included: no financing contingency; Pamplona committed to fund 100% of the capital needed for closing; a $15 million CSC reverse termination fee if regulatory clearance is not obtained; certain post-signing covenants. Requested by CSC/Pamplona on 09/09 and 09/18; Special Committee authorized entering exclusivity on 09/23/2013 after CSC/Pamplona confirmed $21.25 as last and best on 09/21/2013. Dropped every other live bidder on the execution date (R043, R044).</t>
        </is>
      </c>
      <c r="I42" s="3" t="n"/>
      <c r="J42" s="3" t="n"/>
      <c r="K42" s="3" t="inlineStr">
        <is>
          <t>Stated: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Terms: “the inclusion of a $15 million "reverse" termination fee payable by CSC/Pamplona to Mac-Gray in the event regulatory clearance is not obtained, which we refer to as the CSC reverse termination fee” and “committing to fund 100% of the capital needed for closing, which, together with the all-cash per share purchase price of $21.25, we refer to as the CSC/Pamplona final proposal.” Exclusivity rows carry no Count.</t>
        </is>
      </c>
      <c r="L42" s="4" t="inlineStr">
        <is>
          <t>P-068; P-064; P-065; P-066; P-067</t>
        </is>
      </c>
      <c r="M42" s="3" t="inlineStr">
        <is>
          <t>Q2; Q4</t>
        </is>
      </c>
      <c r="N42" s="3" t="n"/>
      <c r="O42" s="3" t="inlineStr">
        <is>
          <t>R041</t>
        </is>
      </c>
      <c r="P42" s="3" t="inlineStr">
        <is>
          <t>Yes</t>
        </is>
      </c>
      <c r="Q42" s="3" t="n"/>
      <c r="R42" s="5" t="n">
        <v>41541</v>
      </c>
      <c r="S42" s="5" t="n">
        <v>41541</v>
      </c>
      <c r="T42" s="5" t="n">
        <v>41541</v>
      </c>
      <c r="U42" s="3" t="inlineStr">
        <is>
          <t>Reported day</t>
        </is>
      </c>
      <c r="V42" s="3" t="inlineStr">
        <is>
          <t>Reported</t>
        </is>
      </c>
      <c r="W42" s="3" t="n"/>
      <c r="X42" s="3" t="n"/>
      <c r="Y42" s="3" t="n"/>
      <c r="Z42" s="3" t="n"/>
      <c r="AA42" s="3" t="n"/>
      <c r="AB42" s="3" t="n"/>
      <c r="AC42" s="3" t="n"/>
      <c r="AD42" s="3" t="n"/>
      <c r="AE42" s="5" t="n"/>
      <c r="AF42" s="3" t="n"/>
      <c r="AG42" s="3" t="n"/>
      <c r="AH42" s="3" t="n"/>
      <c r="AI42" s="3" t="n"/>
      <c r="AJ42" s="3" t="n"/>
      <c r="AK42" s="3" t="n">
        <v>38</v>
      </c>
      <c r="AL42" s="3" t="inlineStr">
        <is>
          <t>follows R040; opened R042; drops R043, R044; extended R047; basis of R048</t>
        </is>
      </c>
      <c r="AM42" s="3" t="inlineStr">
        <is>
          <t>Mac-Gray</t>
        </is>
      </c>
    </row>
    <row r="43">
      <c r="A43" s="2" t="n">
        <v>42</v>
      </c>
      <c r="B43" s="3" t="inlineStr">
        <is>
          <t>09/24/2013</t>
        </is>
      </c>
      <c r="C43" s="3" t="inlineStr">
        <is>
          <t>CSC/Pamplona</t>
        </is>
      </c>
      <c r="D43" s="3" t="inlineStr">
        <is>
          <t>Round opened</t>
        </is>
      </c>
      <c r="E43" s="3" t="n">
        <v>1</v>
      </c>
      <c r="F43" s="3" t="n">
        <v>4</v>
      </c>
      <c r="G43" s="3" t="n"/>
      <c r="H43" s="3" t="inlineStr">
        <is>
          <t>Round 4: exclusive negotiation and definitive-agreement stage with the selected bidder CSC/Pamplona, beginning with the executed exclusivity agreement; single-bidder stage (no organized competing solicitation). Round finality: Inferred final - the target moved to definitive negotiation with the selected bidder without a further finality announcement. Alternative boundary treatment (fold this stage into round 3) is listed in Q1.</t>
        </is>
      </c>
      <c r="I43" s="3" t="n"/>
      <c r="J43" s="3" t="n"/>
      <c r="K43" s="3" t="inlineStr">
        <is>
          <t>Stated: “executed the exclusivity agreement providing for exclusive negotiations until 5 p.m. ET on October 12, 2013” Next steps: “Goodwin Procter delivered to Kirkland &amp; Ellis LLP, outside legal counsel to CSC/Pamplona, whom we refer to as Kirkland, the initial draft of the merger agreement.” Convention: a round can open when the target moves to definitive negotiation with selected bidders; exclusivity inside an already-established final negotiation stage would not be a new round.</t>
        </is>
      </c>
      <c r="L43" s="4" t="inlineStr">
        <is>
          <t>P-068; P-069</t>
        </is>
      </c>
      <c r="M43" s="3" t="inlineStr">
        <is>
          <t>Q1</t>
        </is>
      </c>
      <c r="N43" s="3" t="n"/>
      <c r="O43" s="3" t="inlineStr">
        <is>
          <t>R042</t>
        </is>
      </c>
      <c r="P43" s="3" t="inlineStr">
        <is>
          <t>Yes</t>
        </is>
      </c>
      <c r="Q43" s="3" t="n"/>
      <c r="R43" s="5" t="n">
        <v>41541</v>
      </c>
      <c r="S43" s="5" t="n">
        <v>41541</v>
      </c>
      <c r="T43" s="5" t="n">
        <v>41541</v>
      </c>
      <c r="U43" s="3" t="inlineStr">
        <is>
          <t>Reported day</t>
        </is>
      </c>
      <c r="V43" s="3" t="inlineStr">
        <is>
          <t>Reported</t>
        </is>
      </c>
      <c r="W43" s="3" t="n"/>
      <c r="X43" s="3" t="n"/>
      <c r="Y43" s="3" t="n"/>
      <c r="Z43" s="3" t="n"/>
      <c r="AA43" s="3" t="n"/>
      <c r="AB43" s="3" t="n"/>
      <c r="AC43" s="3" t="n"/>
      <c r="AD43" s="3" t="n"/>
      <c r="AE43" s="5" t="n"/>
      <c r="AF43" s="3" t="n"/>
      <c r="AG43" s="3" t="inlineStr">
        <is>
          <t>Inferred final</t>
        </is>
      </c>
      <c r="AH43" s="3" t="n"/>
      <c r="AI43" s="3" t="n"/>
      <c r="AJ43" s="3" t="n"/>
      <c r="AK43" s="3" t="n">
        <v>38</v>
      </c>
      <c r="AL43" s="3" t="inlineStr">
        <is>
          <t>opens with R041; signed R048</t>
        </is>
      </c>
      <c r="AM43" s="3" t="inlineStr">
        <is>
          <t>Mac-Gray</t>
        </is>
      </c>
    </row>
    <row r="44">
      <c r="A44" s="2" t="n">
        <v>43</v>
      </c>
      <c r="B44" s="3" t="inlineStr">
        <is>
          <t>by 09/24/2013</t>
        </is>
      </c>
      <c r="C44" s="3" t="inlineStr">
        <is>
          <t>Party A</t>
        </is>
      </c>
      <c r="D44" s="3" t="inlineStr">
        <is>
          <t>Dropped by target</t>
        </is>
      </c>
      <c r="E44" s="3" t="n">
        <v>1</v>
      </c>
      <c r="F44" s="3" t="n">
        <v>4</v>
      </c>
      <c r="G44" s="3" t="inlineStr">
        <is>
          <t>Strategic</t>
        </is>
      </c>
      <c r="H44" s="3" t="inlineStr">
        <is>
          <t>Inferred: exclusivity — Party A was live when the target executed exclusivity with CSC/Pamplona on 09/24/2013 (last bid reaffirmed 09/18/2013 as best and final); the filing reports no notice to Party A. Decided by: Target; exit reason: Would not improve earlier offer (asked for final indications and declined to improve on $18.00-$19.00).</t>
        </is>
      </c>
      <c r="I44" s="3" t="n"/>
      <c r="J44" s="3" t="n"/>
      <c r="K44" s="3" t="inlineStr">
        <is>
          <t>Stated execution: “CSC, Pamplona and Mac-Gray executed the exclusivity agreement providing for exclusive negotiations until 5 p.m. ET on October 12, 2013” Party A's last act: “Party A reiterated in a telephone call to a representative of BofA Merrill Lynch that its previous indication of interest with an all-cash purchase price of $18.00 to $19.00 per share was its best and final offer.” No notice to Party A is reported. Convention: executing exclusivity with one bidder closes every other bidder still live in the stage; the reason preserves the informative stated constraint without changing agency.</t>
        </is>
      </c>
      <c r="L44" s="4" t="inlineStr">
        <is>
          <t>P-068; P-059</t>
        </is>
      </c>
      <c r="M44" s="3" t="inlineStr">
        <is>
          <t>Q4</t>
        </is>
      </c>
      <c r="N44" s="3" t="n"/>
      <c r="O44" s="3" t="inlineStr">
        <is>
          <t>R043</t>
        </is>
      </c>
      <c r="P44" s="3" t="inlineStr">
        <is>
          <t>Yes</t>
        </is>
      </c>
      <c r="Q44" s="3" t="n">
        <v>1</v>
      </c>
      <c r="R44" s="5" t="n"/>
      <c r="S44" s="5" t="n">
        <v>41541</v>
      </c>
      <c r="T44" s="5" t="n">
        <v>41541</v>
      </c>
      <c r="U44" s="3" t="inlineStr">
        <is>
          <t>Relative only</t>
        </is>
      </c>
      <c r="V44" s="3" t="inlineStr">
        <is>
          <t>Assigned: decision day</t>
        </is>
      </c>
      <c r="W44" s="3" t="n"/>
      <c r="X44" s="3" t="n"/>
      <c r="Y44" s="3" t="n"/>
      <c r="Z44" s="3" t="n"/>
      <c r="AA44" s="3" t="n"/>
      <c r="AB44" s="3" t="n"/>
      <c r="AC44" s="3" t="n"/>
      <c r="AD44" s="3" t="n"/>
      <c r="AE44" s="5" t="n"/>
      <c r="AF44" s="3" t="n"/>
      <c r="AG44" s="3" t="n"/>
      <c r="AH44" s="3" t="inlineStr">
        <is>
          <t>Target</t>
        </is>
      </c>
      <c r="AI44" s="3" t="inlineStr">
        <is>
          <t>Would not improve earlier offer</t>
        </is>
      </c>
      <c r="AJ44" s="3" t="inlineStr">
        <is>
          <t>Inferred: exclusivity</t>
        </is>
      </c>
      <c r="AK44" s="3" t="n">
        <v>38</v>
      </c>
      <c r="AL44" s="3" t="inlineStr">
        <is>
          <t>last bid R036; exclusivity R041</t>
        </is>
      </c>
      <c r="AM44" s="3" t="inlineStr">
        <is>
          <t>Mac-Gray</t>
        </is>
      </c>
    </row>
    <row r="45">
      <c r="A45" s="2" t="n">
        <v>44</v>
      </c>
      <c r="B45" s="3" t="inlineStr">
        <is>
          <t>by 09/24/2013</t>
        </is>
      </c>
      <c r="C45" s="3" t="inlineStr">
        <is>
          <t>Party B</t>
        </is>
      </c>
      <c r="D45" s="3" t="inlineStr">
        <is>
          <t>Dropped by target</t>
        </is>
      </c>
      <c r="E45" s="3" t="n">
        <v>1</v>
      </c>
      <c r="F45" s="3" t="n">
        <v>4</v>
      </c>
      <c r="G45" s="3" t="inlineStr">
        <is>
          <t>Financial</t>
        </is>
      </c>
      <c r="H45" s="3" t="inlineStr">
        <is>
          <t>Inferred: exclusivity — Party B was live when exclusivity with CSC/Pamplona was executed on 09/24/2013 (last proposal 09/18/2013, valued at $21.50 including options); the filing reports no notice to Party B. Decided by: Target; exit reason: Terms or process - the Special Committee cited the contingent/deferred options and the debt-financed structure as risks and preferred CSC/Pamplona's certainty.</t>
        </is>
      </c>
      <c r="I45" s="3" t="n"/>
      <c r="J45" s="3" t="n"/>
      <c r="K45" s="3" t="inlineStr">
        <is>
          <t>Stated execution: “executed the exclusivity agreement providing for exclusive negotiations until 5 p.m. ET on October 12, 2013” Stated reasoning: “the indication of interest submitted by Party B, including the Party B options, was on its face higher than the CSC/Pamplona proposal but further discussed the risks and complexities involved with measuring and achieving the performance required to vest the Party B options. The Special Committee also noted that Party B would likely be financing the transaction with a combination of equity from affiliated funds and third party debt capital, which would involve more risk than the Pamplona-funded CSC/Pamplona proposal, which did not require any third party financing.” No notice to Party B is reported. Convention: exclusivity execution closes live rivals.</t>
        </is>
      </c>
      <c r="L45" s="4" t="inlineStr">
        <is>
          <t>P-068; P-059; P-062</t>
        </is>
      </c>
      <c r="M45" s="3" t="inlineStr">
        <is>
          <t>Q4</t>
        </is>
      </c>
      <c r="N45" s="3" t="n"/>
      <c r="O45" s="3" t="inlineStr">
        <is>
          <t>R044</t>
        </is>
      </c>
      <c r="P45" s="3" t="inlineStr">
        <is>
          <t>Yes</t>
        </is>
      </c>
      <c r="Q45" s="3" t="n">
        <v>1</v>
      </c>
      <c r="R45" s="5" t="n"/>
      <c r="S45" s="5" t="n">
        <v>41541</v>
      </c>
      <c r="T45" s="5" t="n">
        <v>41541</v>
      </c>
      <c r="U45" s="3" t="inlineStr">
        <is>
          <t>Relative only</t>
        </is>
      </c>
      <c r="V45" s="3" t="inlineStr">
        <is>
          <t>Assigned: decision day</t>
        </is>
      </c>
      <c r="W45" s="3" t="n"/>
      <c r="X45" s="3" t="n"/>
      <c r="Y45" s="3" t="n"/>
      <c r="Z45" s="3" t="n"/>
      <c r="AA45" s="3" t="n"/>
      <c r="AB45" s="3" t="n"/>
      <c r="AC45" s="3" t="n"/>
      <c r="AD45" s="3" t="n"/>
      <c r="AE45" s="5" t="n"/>
      <c r="AF45" s="3" t="n"/>
      <c r="AG45" s="3" t="n"/>
      <c r="AH45" s="3" t="inlineStr">
        <is>
          <t>Target</t>
        </is>
      </c>
      <c r="AI45" s="3" t="inlineStr">
        <is>
          <t>Terms or process</t>
        </is>
      </c>
      <c r="AJ45" s="3" t="inlineStr">
        <is>
          <t>Inferred: exclusivity</t>
        </is>
      </c>
      <c r="AK45" s="3" t="n">
        <v>38</v>
      </c>
      <c r="AL45" s="3" t="inlineStr">
        <is>
          <t>last bid R037; exclusivity R041</t>
        </is>
      </c>
      <c r="AM45" s="3" t="inlineStr">
        <is>
          <t>Mac-Gray</t>
        </is>
      </c>
    </row>
    <row r="46">
      <c r="A46" s="2" t="n">
        <v>45</v>
      </c>
      <c r="B46" s="3" t="inlineStr">
        <is>
          <t>09/25/2013-10/07/2013</t>
        </is>
      </c>
      <c r="C46" s="3" t="inlineStr">
        <is>
          <t>CSC/Pamplona</t>
        </is>
      </c>
      <c r="D46" s="3" t="inlineStr">
        <is>
          <t>Information access changed</t>
        </is>
      </c>
      <c r="E46" s="3" t="n">
        <v>1</v>
      </c>
      <c r="F46" s="3" t="n">
        <v>4</v>
      </c>
      <c r="G46" s="3" t="inlineStr">
        <is>
          <t>Strategic</t>
        </is>
      </c>
      <c r="H46" s="3" t="inlineStr">
        <is>
          <t>Once selected: CSC and Pamplona granted full access to the electronic data site and to certain members of management (previously limited as strategic bidders, with customer data withheld) and conducted confirmatory business and legal due diligence; confirmatory business-diligence meeting 10/01/2013. Access rows carry no Count.</t>
        </is>
      </c>
      <c r="I46" s="3" t="n"/>
      <c r="J46" s="3" t="n"/>
      <c r="K46" s="3" t="inlineStr">
        <is>
          <t>Stated: “Also during this time, CSC and Pamplona were granted full access to the electronic data site and access to certain members of management and conducted confirmatory business and legal due diligence on Mac-Gray.” Timing: the passage sits between the 09/25/2013 initial merger-agreement draft and the 10/07/2013 Special Committee meeting; period start assigned as the Working date.</t>
        </is>
      </c>
      <c r="L46" s="4" t="inlineStr">
        <is>
          <t>P-069; P-071</t>
        </is>
      </c>
      <c r="M46" s="3" t="inlineStr">
        <is>
          <t>Q1</t>
        </is>
      </c>
      <c r="N46" s="3" t="n"/>
      <c r="O46" s="3" t="inlineStr">
        <is>
          <t>R045</t>
        </is>
      </c>
      <c r="P46" s="3" t="inlineStr">
        <is>
          <t>Yes</t>
        </is>
      </c>
      <c r="Q46" s="3" t="n"/>
      <c r="R46" s="5" t="n">
        <v>41542</v>
      </c>
      <c r="S46" s="5" t="n">
        <v>41554</v>
      </c>
      <c r="T46" s="5" t="n">
        <v>41542</v>
      </c>
      <c r="U46" s="3" t="inlineStr">
        <is>
          <t>Reported interval</t>
        </is>
      </c>
      <c r="V46" s="3" t="inlineStr">
        <is>
          <t>Assigned: bound</t>
        </is>
      </c>
      <c r="W46" s="3" t="n"/>
      <c r="X46" s="3" t="n"/>
      <c r="Y46" s="3" t="n"/>
      <c r="Z46" s="3" t="n"/>
      <c r="AA46" s="3" t="n"/>
      <c r="AB46" s="3" t="n"/>
      <c r="AC46" s="3" t="n"/>
      <c r="AD46" s="3" t="n"/>
      <c r="AE46" s="5" t="n"/>
      <c r="AF46" s="3" t="n"/>
      <c r="AG46" s="3" t="n"/>
      <c r="AH46" s="3" t="n"/>
      <c r="AI46" s="3" t="n"/>
      <c r="AJ46" s="3" t="n"/>
      <c r="AK46" s="3" t="n">
        <v>38</v>
      </c>
      <c r="AL46" s="3" t="inlineStr">
        <is>
          <t>earlier limited access R025; selected through R041</t>
        </is>
      </c>
      <c r="AM46" s="3" t="inlineStr">
        <is>
          <t>Mac-Gray</t>
        </is>
      </c>
    </row>
    <row r="47">
      <c r="A47" s="2" t="n">
        <v>46</v>
      </c>
      <c r="B47" s="3" t="inlineStr">
        <is>
          <t>by 10/07/2013</t>
        </is>
      </c>
      <c r="C47" s="3" t="inlineStr">
        <is>
          <t>Moab (with CSC/Pamplona)</t>
        </is>
      </c>
      <c r="D47" s="3" t="inlineStr">
        <is>
          <t>Material process update</t>
        </is>
      </c>
      <c r="E47" s="3" t="n">
        <v>1</v>
      </c>
      <c r="F47" s="3" t="n">
        <v>4</v>
      </c>
      <c r="G47" s="3" t="n"/>
      <c r="H47" s="3" t="inlineStr">
        <is>
          <t>Rollover resolved: after discussions between Moab and representatives of Pamplona beginning 09/23/2013 (facilitated by BofA Merrill Lynch), it was determined that Moab would not roll over any Moab shares in the transaction; reported to the Special Committee on 10/07/2013. Moab later signed a voting agreement at signing (R048). Rollover rows carry no Count.</t>
        </is>
      </c>
      <c r="I47" s="3" t="n"/>
      <c r="J47" s="3" t="n"/>
      <c r="K47" s="3" t="inlineStr">
        <is>
          <t>Stated: “Mr. Daoust reported to the Special Committee that, after discussions between Moab and representatives of Pamplona, it was determined that Moab would not rollover any Moab shares in the transaction.” Origin: “Mr. Rothenberg engaged in various discussions with representatives of Pamplona during this time to discuss a possible rollover of Moab shares.” Date: the determination is reported only as made by this meeting; upper bound taken as the Working date.</t>
        </is>
      </c>
      <c r="L47" s="4" t="inlineStr">
        <is>
          <t>P-073; P-066; P-069</t>
        </is>
      </c>
      <c r="M47" s="3" t="inlineStr">
        <is>
          <t>Q8</t>
        </is>
      </c>
      <c r="N47" s="3" t="n"/>
      <c r="O47" s="3" t="inlineStr">
        <is>
          <t>R046</t>
        </is>
      </c>
      <c r="P47" s="3" t="inlineStr">
        <is>
          <t>Yes</t>
        </is>
      </c>
      <c r="Q47" s="3" t="n"/>
      <c r="R47" s="5" t="n"/>
      <c r="S47" s="5" t="n">
        <v>41554</v>
      </c>
      <c r="T47" s="5" t="n">
        <v>41554</v>
      </c>
      <c r="U47" s="3" t="inlineStr">
        <is>
          <t>Relative only</t>
        </is>
      </c>
      <c r="V47" s="3" t="inlineStr">
        <is>
          <t>Assigned: bound</t>
        </is>
      </c>
      <c r="W47" s="3" t="n"/>
      <c r="X47" s="3" t="n"/>
      <c r="Y47" s="3" t="n"/>
      <c r="Z47" s="3" t="n"/>
      <c r="AA47" s="3" t="n"/>
      <c r="AB47" s="3" t="n"/>
      <c r="AC47" s="3" t="n"/>
      <c r="AD47" s="3" t="n"/>
      <c r="AE47" s="5" t="n"/>
      <c r="AF47" s="3" t="n"/>
      <c r="AG47" s="3" t="n"/>
      <c r="AH47" s="3" t="n"/>
      <c r="AI47" s="3" t="n"/>
      <c r="AJ47" s="3" t="n"/>
      <c r="AK47" s="3" t="n">
        <v>39</v>
      </c>
      <c r="AL47" s="3" t="inlineStr">
        <is>
          <t>denial R014; voting agreement at signing R048</t>
        </is>
      </c>
      <c r="AM47" s="3" t="inlineStr">
        <is>
          <t>Mac-Gray</t>
        </is>
      </c>
    </row>
    <row r="48">
      <c r="A48" s="2" t="n">
        <v>47</v>
      </c>
      <c r="B48" s="3" t="inlineStr">
        <is>
          <t>10/12/2013</t>
        </is>
      </c>
      <c r="C48" s="3" t="inlineStr">
        <is>
          <t>CSC/Pamplona (with Mac-Gray)</t>
        </is>
      </c>
      <c r="D48" s="3" t="inlineStr">
        <is>
          <t>Exclusivity changed</t>
        </is>
      </c>
      <c r="E48" s="3" t="n">
        <v>1</v>
      </c>
      <c r="F48" s="3" t="n">
        <v>4</v>
      </c>
      <c r="G48" s="3" t="n"/>
      <c r="H48" s="3" t="inlineStr">
        <is>
          <t>Extended: exclusivity was due to expire 5:00 p.m. ET on 10/12/2013; Kirkland requested an extension on CSC/Pamplona's behalf; the Special Committee authorized it on 10/09/2013 and again on 10/11/2013 (conditioned on a Mac-Gray termination fee of not more than $11 million, approximately 3.2% of total equity value) and the parties executed a letter agreement on 10/12/2013 extending exclusivity until 11:59 p.m. ET on 10/15/2013; the fee was agreed at $11 million on 10/11/2013. Exclusivity rows carry no Count.</t>
        </is>
      </c>
      <c r="I48" s="3" t="n"/>
      <c r="J48" s="3" t="n"/>
      <c r="K48" s="3" t="inlineStr">
        <is>
          <t>Stated: “On October 12, 2013, CSC, Pamplona and Mac-Gray executed a letter agreement extending exclusivity until 11:59 p.m. ET on October 15, 2013.” Authorization: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Condition: “authorized to extend the exclusivity agreement until 11:59 p.m. on ET on October 15, 2013 if CSC/Pamplona would agree to a Mac-Gray termination fee of not more than $11 million, which represented approximately 3.2% of the total equity value of the transaction.”</t>
        </is>
      </c>
      <c r="L48" s="4" t="inlineStr">
        <is>
          <t>P-082; P-078; P-079; P-080</t>
        </is>
      </c>
      <c r="M48" s="3" t="inlineStr">
        <is>
          <t>Q2</t>
        </is>
      </c>
      <c r="N48" s="3" t="n"/>
      <c r="O48" s="3" t="inlineStr">
        <is>
          <t>R047</t>
        </is>
      </c>
      <c r="P48" s="3" t="inlineStr">
        <is>
          <t>Yes</t>
        </is>
      </c>
      <c r="Q48" s="3" t="n"/>
      <c r="R48" s="5" t="n">
        <v>41559</v>
      </c>
      <c r="S48" s="5" t="n">
        <v>41559</v>
      </c>
      <c r="T48" s="5" t="n">
        <v>41559</v>
      </c>
      <c r="U48" s="3" t="inlineStr">
        <is>
          <t>Reported day</t>
        </is>
      </c>
      <c r="V48" s="3" t="inlineStr">
        <is>
          <t>Reported</t>
        </is>
      </c>
      <c r="W48" s="3" t="n"/>
      <c r="X48" s="3" t="n"/>
      <c r="Y48" s="3" t="n"/>
      <c r="Z48" s="3" t="n"/>
      <c r="AA48" s="3" t="n"/>
      <c r="AB48" s="3" t="n"/>
      <c r="AC48" s="3" t="n"/>
      <c r="AD48" s="3" t="n"/>
      <c r="AE48" s="5" t="n"/>
      <c r="AF48" s="3" t="n"/>
      <c r="AG48" s="3" t="n"/>
      <c r="AH48" s="3" t="n"/>
      <c r="AI48" s="3" t="n"/>
      <c r="AJ48" s="3" t="n"/>
      <c r="AK48" s="3" t="n">
        <v>41</v>
      </c>
      <c r="AL48" s="3" t="inlineStr">
        <is>
          <t>extends R041; fee history part of R048</t>
        </is>
      </c>
      <c r="AM48" s="3" t="inlineStr">
        <is>
          <t>Mac-Gray</t>
        </is>
      </c>
    </row>
    <row r="49">
      <c r="A49" s="2" t="n">
        <v>48</v>
      </c>
      <c r="B49" s="3" t="inlineStr">
        <is>
          <t>10/14/2013</t>
        </is>
      </c>
      <c r="C49" s="3" t="inlineStr">
        <is>
          <t>Mac-Gray; Spin Holdco Inc.; CSC Fenway, Inc.; CSC ServiceWorks Holdings, Inc.; CSC ServiceWorks, Inc.</t>
        </is>
      </c>
      <c r="D49" s="3" t="inlineStr">
        <is>
          <t>Merger agreement signed</t>
        </is>
      </c>
      <c r="E49" s="3" t="n">
        <v>1</v>
      </c>
      <c r="F49" s="3" t="n">
        <v>4</v>
      </c>
      <c r="G49" s="3" t="n"/>
      <c r="H49" s="3" t="inlineStr">
        <is>
          <t>Signed definitive merger agreement: CSC Fenway, Inc. (Merger Subsidiary) merges into Mac-Gray, which survives as a wholly-owned subsidiary of Spin Holdco Inc. (Parent); each outstanding share converted into $21.25 in cash (all-cash; no financing condition). Pamplona commitment letter delivered ($594 million committed by Pamplona Capital Partners III, L.P.; Pamplona jointly and severally liable with the Buyer Entities for breaches, its damages liability capped at $50 million, Buyer Entities unlimited). $11 million Mac-Gray termination fee / $15 million Parent termination fee. Moab and Parent executed the Moab voting agreement; the MacDonald and family voting agreements became effective; stockholders entering voting agreements held approximately 15% of shares at the 11/27/2013 record date. End date 03/31/2014 (extendable to 07/31/2014 if only the HSR condition remains); completion expected in the first half of 2014 (not observed in the filing). Signing is not an extra bid, so price/formality/condition cells are blank.</t>
        </is>
      </c>
      <c r="I49" s="3" t="n"/>
      <c r="J49" s="3" t="n"/>
      <c r="K49" s="3" t="inlineStr">
        <is>
          <t>Stated: “Later in the day, on October 14, 2013, the merger agreement was executed, the Pamplona commitment letter was delivered, Moab and Parent executed the Moab voting agreement and the Mac-Donald voting agreements became effective.” Terms: “each outstanding share of Mac-Gray common stock (other than shares held in treasury or held by the Buyer Entities or Merger Subsidiary (or their subsidiaries) or shares as to which dissenters' rights have been perfected and not withdrawn or lost) will be automatically converted into the right to receive $21.25 in cash, without interest and less applicable withholding taxes”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 “the stockholders of Mac-Gray that entered into the voting agreements collectively owned approximately 15% of the Mac-Gray common stock entitled to vote at the special meeting.” Party-chain and agreement definitions: X-001, X-004 to X-006; end date X-016; termination fees X-017; voting agreements X-018, X-019; expected completion X-029; consideration X-030.</t>
        </is>
      </c>
      <c r="L49" s="4" t="inlineStr">
        <is>
          <t>P-087; P-085; X-001; X-008; X-009; X-013; X-016; X-017; X-018; X-019; X-021; X-029; X-030</t>
        </is>
      </c>
      <c r="M49" s="3" t="n"/>
      <c r="N49" s="3" t="n"/>
      <c r="O49" s="3" t="inlineStr">
        <is>
          <t>R048</t>
        </is>
      </c>
      <c r="P49" s="3" t="inlineStr">
        <is>
          <t>Yes</t>
        </is>
      </c>
      <c r="Q49" s="3" t="n"/>
      <c r="R49" s="5" t="n">
        <v>41561</v>
      </c>
      <c r="S49" s="5" t="n">
        <v>41561</v>
      </c>
      <c r="T49" s="5" t="n">
        <v>41561</v>
      </c>
      <c r="U49" s="3" t="inlineStr">
        <is>
          <t>Reported day</t>
        </is>
      </c>
      <c r="V49" s="3" t="inlineStr">
        <is>
          <t>Reported</t>
        </is>
      </c>
      <c r="W49" s="3" t="n"/>
      <c r="X49" s="3" t="n"/>
      <c r="Y49" s="3" t="n"/>
      <c r="Z49" s="3" t="n"/>
      <c r="AA49" s="3" t="n"/>
      <c r="AB49" s="3" t="n"/>
      <c r="AC49" s="3" t="n"/>
      <c r="AD49" s="3" t="n"/>
      <c r="AE49" s="5" t="n"/>
      <c r="AF49" s="3" t="n"/>
      <c r="AG49" s="3" t="n"/>
      <c r="AH49" s="3" t="n"/>
      <c r="AI49" s="3" t="n"/>
      <c r="AJ49" s="3" t="n"/>
      <c r="AK49" s="3" t="n">
        <v>41</v>
      </c>
      <c r="AL49" s="3" t="inlineStr">
        <is>
          <t>concludes R040/R041/R042; announcement R049</t>
        </is>
      </c>
      <c r="AM49" s="3" t="inlineStr">
        <is>
          <t>Mac-Gray</t>
        </is>
      </c>
    </row>
    <row r="50">
      <c r="A50" s="2" t="n">
        <v>49</v>
      </c>
      <c r="B50" s="3" t="inlineStr">
        <is>
          <t>10/15/2013</t>
        </is>
      </c>
      <c r="C50" s="3" t="inlineStr">
        <is>
          <t>Mac-Gray; CSC ServiceWorks, Inc.</t>
        </is>
      </c>
      <c r="D50" s="3" t="inlineStr">
        <is>
          <t>Merger announced</t>
        </is>
      </c>
      <c r="E50" s="3" t="n">
        <v>1</v>
      </c>
      <c r="F50" s="3" t="n">
        <v>4</v>
      </c>
      <c r="G50" s="3" t="n"/>
      <c r="H50" s="3" t="inlineStr">
        <is>
          <t>Joint announcement by Mac-Gray and CSC before the U.S. stock markets opened. The proxy discloses no competing proposal, go-shop or agreement termination between signing and the 12/04/2013 proxy date; regulatory clearances and related litigation are reported in the Summary only.</t>
        </is>
      </c>
      <c r="I50" s="3" t="n"/>
      <c r="J50" s="3" t="n"/>
      <c r="K50" s="3" t="inlineStr">
        <is>
          <t>Stated: “On October 15, 2013, before the U.S. stock markets opened, Mac-Gray and CSC jointly announced the execution of the merger agreement.” Post-signing: the proxy discloses no competing proposal, go-shop or agreement termination; see Summary for the single regulatory-clearance and litigation line.</t>
        </is>
      </c>
      <c r="L50" s="4" t="inlineStr">
        <is>
          <t>P-088</t>
        </is>
      </c>
      <c r="M50" s="3" t="n"/>
      <c r="N50" s="3" t="n"/>
      <c r="O50" s="3" t="inlineStr">
        <is>
          <t>R049</t>
        </is>
      </c>
      <c r="P50" s="3" t="inlineStr">
        <is>
          <t>Yes</t>
        </is>
      </c>
      <c r="Q50" s="3" t="n"/>
      <c r="R50" s="5" t="n">
        <v>41562</v>
      </c>
      <c r="S50" s="5" t="n">
        <v>41562</v>
      </c>
      <c r="T50" s="5" t="n">
        <v>41562</v>
      </c>
      <c r="U50" s="3" t="inlineStr">
        <is>
          <t>Reported day</t>
        </is>
      </c>
      <c r="V50" s="3" t="inlineStr">
        <is>
          <t>Reported</t>
        </is>
      </c>
      <c r="W50" s="3" t="n"/>
      <c r="X50" s="3" t="n"/>
      <c r="Y50" s="3" t="n"/>
      <c r="Z50" s="3" t="n"/>
      <c r="AA50" s="3" t="n"/>
      <c r="AB50" s="3" t="n"/>
      <c r="AC50" s="3" t="n"/>
      <c r="AD50" s="3" t="n"/>
      <c r="AE50" s="5" t="n"/>
      <c r="AF50" s="3" t="n"/>
      <c r="AG50" s="3" t="n"/>
      <c r="AH50" s="3" t="n"/>
      <c r="AI50" s="3" t="n"/>
      <c r="AJ50" s="3" t="n"/>
      <c r="AK50" s="3" t="n">
        <v>41</v>
      </c>
      <c r="AL50" s="3" t="inlineStr">
        <is>
          <t>follows R048</t>
        </is>
      </c>
      <c r="AM50" s="3" t="inlineStr">
        <is>
          <t>Mac-Gray</t>
        </is>
      </c>
    </row>
  </sheetData>
  <autoFilter ref="A1:AM50"/>
  <dataValidations count="15">
    <dataValidation sqref="D2:D50" showDropDown="0" showInputMessage="0" showErrorMessage="0" allowBlank="1" promptTitle="What happened" prompt="Choose a value from the Lists sheet." type="list">
      <formula1>=Lists!$A$2:$A$41</formula1>
    </dataValidation>
    <dataValidation sqref="G2:G50" showDropDown="0" showInputMessage="0" showErrorMessage="0" allowBlank="1" promptTitle="Type" prompt="Choose a value from the Lists sheet." type="list">
      <formula1>=Lists!$B$2:$B$5</formula1>
    </dataValidation>
    <dataValidation sqref="I2:I50" showDropDown="0" showInputMessage="0" showErrorMessage="0" allowBlank="1" promptTitle="Formality" prompt="Choose a value from the Lists sheet." type="list">
      <formula1>=Lists!$C$2:$C$5</formula1>
    </dataValidation>
    <dataValidation sqref="J2:J50" showDropDown="0" showInputMessage="0" showErrorMessage="0" allowBlank="1" promptTitle="Conditions level" prompt="Choose a value from the Lists sheet." type="list">
      <formula1>=Lists!$D$2:$D$6</formula1>
    </dataValidation>
    <dataValidation sqref="P2:P50" showDropDown="0" showInputMessage="0" showErrorMessage="0" allowBlank="1" promptTitle="Include" prompt="Choose a value from the Lists sheet." type="list">
      <formula1>=Lists!$E$2:$E$3</formula1>
    </dataValidation>
    <dataValidation sqref="U2:U50" showDropDown="0" showInputMessage="0" showErrorMessage="0" allowBlank="1" promptTitle="Date basis" prompt="Choose a value from the Lists sheet." type="list">
      <formula1>=Lists!$F$2:$F$7</formula1>
    </dataValidation>
    <dataValidation sqref="V2:V50" showDropDown="0" showInputMessage="0" showErrorMessage="0" allowBlank="1" promptTitle="Date method" prompt="Choose a value from the Lists sheet." type="list">
      <formula1>=Lists!$G$2:$G$8</formula1>
    </dataValidation>
    <dataValidation sqref="Y2:Y50" showDropDown="0" showInputMessage="0" showErrorMessage="0" allowBlank="1" promptTitle="Price kind" prompt="Choose a value from the Lists sheet." type="list">
      <formula1>=Lists!$H$2:$H$6</formula1>
    </dataValidation>
    <dataValidation sqref="Z2:Z50" showDropDown="0" showInputMessage="0" showErrorMessage="0" allowBlank="1" promptTitle="Price origin" prompt="Choose a value from the Lists sheet." type="list">
      <formula1>=Lists!$I$2:$I$4</formula1>
    </dataValidation>
    <dataValidation sqref="AB2:AB50" showDropDown="0" showInputMessage="0" showErrorMessage="0" allowBlank="1" promptTitle="All cash" prompt="Choose a value from the Lists sheet." type="list">
      <formula1>=Lists!$J$2:$J$4</formula1>
    </dataValidation>
    <dataValidation sqref="AF2:AF50" showDropDown="0" showInputMessage="0" showErrorMessage="0" allowBlank="1" promptTitle="Deadline treatment" prompt="Choose a value from the Lists sheet." type="list">
      <formula1>=Lists!$K$2:$K$8</formula1>
    </dataValidation>
    <dataValidation sqref="AG2:AG50" showDropDown="0" showInputMessage="0" showErrorMessage="0" allowBlank="1" promptTitle="Round finality" prompt="Choose a value from the Lists sheet." type="list">
      <formula1>=Lists!$L$2:$L$4</formula1>
    </dataValidation>
    <dataValidation sqref="AH2:AH50" showDropDown="0" showInputMessage="0" showErrorMessage="0" allowBlank="1" promptTitle="Decided by" prompt="Choose a value from the Lists sheet." type="list">
      <formula1>=Lists!$M$2:$M$5</formula1>
    </dataValidation>
    <dataValidation sqref="AI2:AI50" showDropDown="0" showInputMessage="0" showErrorMessage="0" allowBlank="1" promptTitle="Exit reason" prompt="Choose a value from the Lists sheet." type="list">
      <formula1>=Lists!$N$2:$N$10</formula1>
    </dataValidation>
    <dataValidation sqref="AJ2:AJ50" showDropDown="0" showInputMessage="0" showErrorMessage="0" allowBlank="1" promptTitle="Outcome basis" prompt="Choose a value from the Lists sheet." type="list">
      <formula1>=Lists!$O$2:$O$6</formula1>
    </dataValidation>
  </dataValidations>
  <hyperlinks>
    <hyperlink ref="L2" location="'Source text'!A4" tooltip="Go to P-003"/>
    <hyperlink ref="L3" location="'Source text'!A5" tooltip="Go to P-004"/>
    <hyperlink ref="L4" location="'Source text'!A6" tooltip="Go to P-005"/>
    <hyperlink ref="L5" location="'Source text'!A10" tooltip="Go to P-009"/>
    <hyperlink ref="L6" location="'Source text'!A13" tooltip="Go to P-012"/>
    <hyperlink ref="L7" location="'Source text'!A17" tooltip="Go to P-016"/>
    <hyperlink ref="L8" location="'Source text'!A18" tooltip="Go to P-017"/>
    <hyperlink ref="L9" location="'Source text'!A21" tooltip="Go to P-020"/>
    <hyperlink ref="L10" location="'Source text'!A22" tooltip="Go to P-021"/>
    <hyperlink ref="L11" location="'Source text'!A27" tooltip="Go to P-026"/>
    <hyperlink ref="L12" location="'Source text'!A28" tooltip="Go to P-027"/>
    <hyperlink ref="L13" location="'Source text'!A29" tooltip="Go to P-028"/>
    <hyperlink ref="L14" location="'Source text'!A30" tooltip="Go to P-029"/>
    <hyperlink ref="L15" location="'Source text'!A32" tooltip="Go to P-031"/>
    <hyperlink ref="L16" location="'Source text'!A34" tooltip="Go to P-033"/>
    <hyperlink ref="L17" location="'Source text'!A27" tooltip="Go to P-026"/>
    <hyperlink ref="L18" location="'Source text'!A27" tooltip="Go to P-026"/>
    <hyperlink ref="L19" location="'Source text'!A36" tooltip="Go to P-035"/>
    <hyperlink ref="L20" location="'Source text'!A38" tooltip="Go to P-037"/>
    <hyperlink ref="L21" location="'Source text'!A37" tooltip="Go to P-036"/>
    <hyperlink ref="L22" location="'Source text'!A37" tooltip="Go to P-036"/>
    <hyperlink ref="L23" location="'Source text'!A40" tooltip="Go to P-039"/>
    <hyperlink ref="L24" location="'Source text'!A41" tooltip="Go to P-040"/>
    <hyperlink ref="L25" location="'Source text'!A42" tooltip="Go to P-041"/>
    <hyperlink ref="L26" location="'Source text'!A48" tooltip="Go to P-047"/>
    <hyperlink ref="L27" location="'Source text'!A49" tooltip="Go to P-048"/>
    <hyperlink ref="L28" location="'Source text'!A53" tooltip="Go to P-052"/>
    <hyperlink ref="L29" location="'Source text'!A53" tooltip="Go to P-052"/>
    <hyperlink ref="L30" location="'Source text'!A53" tooltip="Go to P-052"/>
    <hyperlink ref="L31" location="'Source text'!A54" tooltip="Go to P-053"/>
    <hyperlink ref="L32" location="'Source text'!A54" tooltip="Go to P-053"/>
    <hyperlink ref="L33" location="'Source text'!A55" tooltip="Go to P-054"/>
    <hyperlink ref="L34" location="'Source text'!A57" tooltip="Go to P-056"/>
    <hyperlink ref="L35" location="'Source text'!A60" tooltip="Go to P-059"/>
    <hyperlink ref="L36" location="'Source text'!A60" tooltip="Go to P-059"/>
    <hyperlink ref="L37" location="'Source text'!A60" tooltip="Go to P-059"/>
    <hyperlink ref="L38" location="'Source text'!A60" tooltip="Go to P-059"/>
    <hyperlink ref="L39" location="'Source text'!A60" tooltip="Go to P-059"/>
    <hyperlink ref="L40" location="'Source text'!A63" tooltip="Go to P-062"/>
    <hyperlink ref="L41" location="'Source text'!A64" tooltip="Go to P-063"/>
    <hyperlink ref="L42" location="'Source text'!A69" tooltip="Go to P-068"/>
    <hyperlink ref="L43" location="'Source text'!A69" tooltip="Go to P-068"/>
    <hyperlink ref="L44" location="'Source text'!A69" tooltip="Go to P-068"/>
    <hyperlink ref="L45" location="'Source text'!A69" tooltip="Go to P-068"/>
    <hyperlink ref="L46" location="'Source text'!A70" tooltip="Go to P-069"/>
    <hyperlink ref="L47" location="'Source text'!A74" tooltip="Go to P-073"/>
    <hyperlink ref="L48" location="'Source text'!A83" tooltip="Go to P-082"/>
    <hyperlink ref="L49" location="'Source text'!A88" tooltip="Go to P-087"/>
    <hyperlink ref="L50" location="'Source text'!A89" tooltip="Go to P-0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34" customWidth="1" min="1" max="1"/>
    <col width="150" customWidth="1" min="2" max="2"/>
  </cols>
  <sheetData>
    <row r="1">
      <c r="A1" s="6" t="inlineStr">
        <is>
          <t>MAC-GRAY / CSC SERVICEWORKS - DEAL LEDGER SUMMARY</t>
        </is>
      </c>
    </row>
    <row r="2">
      <c r="A2" s="7" t="inlineStr">
        <is>
          <t>1. Status and commercial account</t>
        </is>
      </c>
    </row>
    <row r="3">
      <c r="A3" s="8" t="inlineStr">
        <is>
          <t>AI status</t>
        </is>
      </c>
      <c r="B3" s="9" t="inlineStr">
        <is>
          <t>AI first pass; not human-approved. Instruction: revision of 19 September 2026 (short form).</t>
        </is>
      </c>
    </row>
    <row r="4">
      <c r="A4" s="8" t="inlineStr">
        <is>
          <t>Source coverage</t>
        </is>
      </c>
      <c r="B4" s="9" t="inlineStr">
        <is>
          <t>DEFM14A filed 12/04/2013; work only from this filing and the instruction. Complete Background of the Merger selected and reproduced on the Source text sheet in source order (P-001 to P-088, printed pages 27-41); other filing passages used are X-001 to X-032. Source text is HTML-derived: whitespace normalized, page-break artifacts and repeated 'Table of Contents' headers removed; paragraphs split by printed page breaks appear as separate '(cont.)' rows; no wording changes. Local source filename: raw_filing/mac-gray_2013-12-04_DEFM14A.htm.</t>
        </is>
      </c>
    </row>
    <row r="5">
      <c r="A5" s="8" t="inlineStr">
        <is>
          <t>Commercial account</t>
        </is>
      </c>
      <c r="B5" s="9" t="inlineStr">
        <is>
          <t>Initiation: after CSC's sale to Pamplona closed in May 2013, Mac-Gray's board explored strategic alternatives, and on June 24, 2013 the Special Committee concluded a sale was in stockholders' best interests and authorized its banker to solicit 50 parties (15 strategic, 35 financial); Party A had already made an unsolicited $17.00-$19.00 all-cash proposal on June 21, 2013. Competition: four bidder units - Party A (strategic), Party B and Party C (unnamed financial sponsors) and CSC/Pamplona (operating buyer CSC funded by sponsor Pamplona) - were individually recorded among 20 NDA signers and advanced through management meetings and two rounds of revised and final indications, while 16 other signers never submitted. Price path: CSC/Pamplona moved $18.50 (07/23) to $19.50 (09/09) to $20.75 (09/18) and to $21.25 last and best (09/21); Party B peaked at a $21.50-valued package ($19.00 cash plus options) whose cash and certainty lagged; Party A held at $18.00-$19.00 as best and final; Party C stopped at $16.00-$17.00 and did not respond to the final solicitation. Selection: on 09/19 the Special Committee found CSC/Pamplona's proposal most valuable with greater certainty and authorized exclusivity at $21.25; exclusivity was executed 09/24/2013 (to 5 p.m. ET 10/12, extended to 11:59 p.m. ET 10/15) with a $15 million reverse termination fee and no financing contingency, Pamplona committed $594 million, and Moab and Mr. MacDonald did not roll over shares. Signing and publicity: the merger agreement was signed 10/14/2013 and announced 10/15/2013; voting agreements covered about 15% of shares; the proxy shows no competing proposal or go-shop and sets the special meeting for 01/08/2014. Observed outcome: signed, not closed - completion expected in the first half of 2014, the HSR waiting period expired 11/27/2013, and a putative class action was filed 11/21/2013.</t>
        </is>
      </c>
    </row>
    <row r="6">
      <c r="A6" s="7" t="inlineStr">
        <is>
          <t>2. Deal facts</t>
        </is>
      </c>
    </row>
    <row r="7">
      <c r="A7" s="8" t="inlineStr">
        <is>
          <t>Target</t>
        </is>
      </c>
      <c r="B7" s="9" t="inlineStr">
        <is>
          <t>Mac-Gray Corporation (Delaware; NYSE-listed; Waltham, Massachusetts), second largest U.S. laundry facilities management contractor. [X-002]</t>
        </is>
      </c>
    </row>
    <row r="8">
      <c r="A8" s="8" t="inlineStr">
        <is>
          <t>Focal acquirer and type</t>
        </is>
      </c>
      <c r="B8" s="9" t="inlineStr">
        <is>
          <t>CSC/Pamplona - the acquisition unit of CSC ServiceWorks, Inc. (private, sponsor-owned operating acquirer; the filing calls Party A and CSC/Pamplona its two 'strategic bidders') with equity capital committed by Pamplona Capital Partners III, L.P., part of Pamplona Capital Management, which bought CSC in May 2013. Acquisition chain: Parent = Spin Holdco Inc. (wholly owned by CSC); Merger Subsidiary = CSC Fenway, Inc.; Holdings = CSC ServiceWorks Holdings, Inc. Type = Strategic (operating-company acquisition role); sponsor ownership and sponsor financing do not make it Financial, and it is not Mixed. [P-026, P-027, X-001, X-003, X-004, X-005, X-006]</t>
        </is>
      </c>
    </row>
    <row r="9">
      <c r="A9" s="8" t="inlineStr">
        <is>
          <t>Agreed consideration</t>
        </is>
      </c>
      <c r="B9" s="9" t="inlineStr">
        <is>
          <t>$21.25 per share in cash, without interest; all-cash; all outstanding shares converted at the effective time; no financing condition. Cash at closing: $21.25 per share. [X-009, X-013, X-030]</t>
        </is>
      </c>
    </row>
    <row r="10">
      <c r="A10" s="8" t="inlineStr">
        <is>
          <t>Signing / announcement / completion</t>
        </is>
      </c>
      <c r="B10" s="9" t="inlineStr">
        <is>
          <t>Merger agreement signed 10/14/2013; jointly announced 10/15/2013 before market open; completion expected in the first half of 2014 and NOT observed in the filing (no closed-transaction row). End date 03/31/2014, extendable to 07/31/2014 if only the HSR condition remains. [P-087, P-088, X-016, X-029]</t>
        </is>
      </c>
    </row>
    <row r="11">
      <c r="A11" s="8" t="inlineStr">
        <is>
          <t>Filing identity</t>
        </is>
      </c>
      <c r="B11" s="9" t="inlineStr">
        <is>
          <t>DEFM14A, Mac-Gray Corporation, filed 12/04/2013; source file raw_filing/mac-gray_2013-12-04_DEFM14A.htm; Background of the Merger at printed pages 27-41; record date 11/27/2013; special meeting 01/08/2014 at 10:00 a.m. Boston. [X-007, X-032]</t>
        </is>
      </c>
    </row>
    <row r="12">
      <c r="A12" s="8" t="inlineStr">
        <is>
          <t>Market benchmarks (dates)</t>
        </is>
      </c>
      <c r="B12" s="9" t="inlineStr">
        <is>
          <t>Unaffected reference close $14.72 on 10/11/2013 (last trading day before board approval); 52-week high $15.61 for the period ending 10/11/2013; market close $21.30 on 11/27/2013. Agreed price represents approximately 36% premium to the 52-week high and approximately 44% to the 10/11/2013 close. [X-010, X-011, X-012, X-028]</t>
        </is>
      </c>
    </row>
    <row r="13">
      <c r="A13" s="8" t="inlineStr">
        <is>
          <t>Shares and ownership</t>
        </is>
      </c>
      <c r="B13" s="9" t="inlineStr">
        <is>
          <t>14,758,306 shares outstanding and entitled to vote as of 11/27/2013; voting agreements covered approximately 15% of shares entitled to vote as of that date [X-019]; the related Schedule 13D filed 10/23/2013 reported deemed beneficial ownership of 2,697,484 shares by Parent, Merger Subsidiary, Holdings, CSC, Pamplona and Pamplona Capital Management entities, all disclaimed [X-030]. Moab held approximately 9% in June 2013 [P-019].</t>
        </is>
      </c>
    </row>
    <row r="14">
      <c r="A14" s="8" t="inlineStr">
        <is>
          <t>Financing</t>
        </is>
      </c>
      <c r="B14" s="9" t="inlineStr">
        <is>
          <t>$594 million committed by Pamplona Capital Partners III, L.P. under a commitment letter dated 10/14/2013 for closing funding and related obligations; no financing condition to closing; Pamplona and the Buyer Entities jointly and severally liable for breaches with Pamplona's damages liability capped at $50 million (Buyer Entities unlimited). [X-013, X-031]</t>
        </is>
      </c>
    </row>
    <row r="15">
      <c r="A15" s="8" t="inlineStr">
        <is>
          <t>Termination fees</t>
        </is>
      </c>
      <c r="B15" s="9" t="inlineStr">
        <is>
          <t>$11 million payable by Mac-Gray (as finally agreed 10/11/2013; earlier proposals were $15 million and $10.5 million); $15 million Parent termination fee. Deal-protection terms are not separate ledger rows per instruction; the fee history appears in the Background (P-074 to P-081). [X-017]</t>
        </is>
      </c>
    </row>
    <row r="16">
      <c r="A16" s="8" t="inlineStr">
        <is>
          <t>Optional labelled calculation</t>
        </is>
      </c>
      <c r="B16" s="9" t="inlineStr">
        <is>
          <t>Equity value at the record-date share count = 14,758,306 x $21.25 = formula below (calculation, not a filing assertion; the filing does not state a total equity value, and the termination-fee percentage statements imply larger totals of roughly $341-$350 million on a different share base). No net debt, option, RSU or dilution adjustments are assumed.</t>
        </is>
      </c>
    </row>
    <row r="17">
      <c r="A17" s="8" t="inlineStr">
        <is>
          <t>Equity value (optional; ledger input)</t>
        </is>
      </c>
      <c r="B17" s="9">
        <f>14758306*21.25</f>
        <v>313614002.5</v>
      </c>
    </row>
    <row r="18">
      <c r="B18" s="9" t="inlineStr">
        <is>
          <t>Sources for inputs: X-007 (shares outstanding) and X-009 (price per share). Excluded from bid-count formulas; flagged as a derived calculation.</t>
        </is>
      </c>
    </row>
    <row r="19">
      <c r="A19" s="7" t="inlineStr">
        <is>
          <t>3. Process and round map</t>
        </is>
      </c>
    </row>
    <row r="20">
      <c r="A20" s="8" t="inlineStr">
        <is>
          <t>Process map</t>
        </is>
      </c>
      <c r="B20" s="9" t="inlineStr">
        <is>
          <t>One sale process (Process 1). Earlier context: the 2011-2012 Discussions were Mac-Gray's prospective acquisition of CSC, not a Mac-Gray sale process (no Process terminated/restarted rows). No separate post-signing stage opened: the proxy discloses no competing proposal, no go-shop and no agreement termination as of 12/04/2013.</t>
        </is>
      </c>
    </row>
    <row r="21">
      <c r="A21" s="8" t="inlineStr">
        <is>
          <t>Round 0 (pre-opening)</t>
        </is>
      </c>
      <c r="B21" s="9" t="inlineStr">
        <is>
          <t>No organized round and no Round opened row. Party A contact 04/08/2013 (R003) and unsolicited pre-NDA proposal 06/21/2013 $17.00-$19.00 (R008), standing when round 1 began. Adviser and activist context rows (R001-R007).</t>
        </is>
      </c>
    </row>
    <row r="22">
      <c r="A22" s="8" t="inlineStr">
        <is>
          <t>Round 1 (R009, opens 06/24/2013)</t>
        </is>
      </c>
      <c r="B22" s="9" t="inlineStr">
        <is>
          <t>R1 anchor: 06/24/2013 Special Committee decision to consider a sale and authorize solicitation of 50 parties; rejected candidate anchors R008 (06/21 proposal) and R012 (06/28 first NDA); first outreach-wave date not disclosed. Objective: initial outreach and preliminary IOIs. Participants: 50 parties approached (15 strategic, 35 financial); 20 NDA signers entered (R012, R013, R015, R016). Deadline 07/23/2013, treatment Late bids accepted (on-time CSC/Pamplona R018; Party B 07/24 R020; Party C 07/24-25 R021, R023). Finality Not final. Round bidders 4: CSC/Pamplona $18.50, Party B $17.00-$18.00, Party C $15.00-$17.00 (oral), plus Party A's standing $17.00-$19.00 from R008 (explicit inclusion). Ending: 16 residual signers closed as non-submitters (R019); four bidders advanced.</t>
        </is>
      </c>
    </row>
    <row r="23">
      <c r="A23" s="8" t="inlineStr">
        <is>
          <t>Round 2 (R022, opens 07/25/2013)</t>
        </is>
      </c>
      <c r="B23" s="9" t="inlineStr">
        <is>
          <t>Objective: staged information access and management meetings, then revised indications. Participants: Party A, Party B, Party C, CSC/Pamplona (R023 written IOI; NDA R024). Differential access row R025 (financial bidders broad data-site access; strategic bidders limited, customer data withheld). Deadline set 08/27/2013 for 09/09/2013 (R026); treatment Late bids accepted (CSC/Pamplona and Party B 09/09 R028-R029; Party A and Party C 09/10 R030-R031; reviewed 09/11). Finality Not final. Round bidders 4: CSC/Pamplona $19.50, Party B $18.50, Party A $18.00-$19.00, Party C $16.00-$17.00. Alternative anchor candidate (rejected): R026 (08/27 letter).</t>
        </is>
      </c>
    </row>
    <row r="24">
      <c r="A24" s="8" t="inlineStr">
        <is>
          <t>Round 3 (R033, opens 09/11/2013)</t>
        </is>
      </c>
      <c r="B24" s="9" t="inlineStr">
        <is>
          <t>Objective: first request for final indications of interest, with possible short exclusive negotiation. Participants: the same four. Deadline 09/18/2013 (R034), treatment Enforced (target's next step 09/19). Finality Announced as final. Round bidders 3: CSC/Pamplona $20.75 (R035), Party B $21.50-valued package (R037), Party A reaffirmed $18.00-$19.00 best and final (R036); Party C did not submit (R038). Selection 09/19 (R039); final price $21.25 agreed 09/21 (R040).</t>
        </is>
      </c>
    </row>
    <row r="25">
      <c r="A25" s="8" t="inlineStr">
        <is>
          <t>Round 4 (R042, opens 09/24/2013)</t>
        </is>
      </c>
      <c r="B25" s="9" t="inlineStr">
        <is>
          <t>Objective: exclusive negotiation and definitive agreement with selected bidder CSC/Pamplona, beginning on execution of the exclusivity agreement (R041). Participants: CSC/Pamplona only; Party A and Party B closed the same day by exclusivity (R043, R044). No bid-submission deadline; exclusivity expiry 5 p.m. ET 10/12/2013 was extended to 11:59 p.m. ET 10/15/2013 (R047). Finality Inferred final. Signing R048 (10/14) and announcement R049 (10/15). Alternative treatment (fold into round 3) flagged in Q1.</t>
        </is>
      </c>
    </row>
    <row r="26">
      <c r="A26" s="8" t="inlineStr">
        <is>
          <t>Post-signing</t>
        </is>
      </c>
      <c r="B26" s="9" t="inlineStr">
        <is>
          <t>No competing proposal, go-shop start/change or agreement termination is disclosed as of 12/04/2013. Regulatory: HSR filings 10/29/2013, early termination not granted, waiting period expired 11/27/2013 [X-022]. Litigation: putative class action filed 11/21/2013 [X-023]. These belong here, not as ledger rows.</t>
        </is>
      </c>
    </row>
    <row r="27">
      <c r="A27" s="7" t="inlineStr">
        <is>
          <t>4. Participants and advisers</t>
        </is>
      </c>
    </row>
    <row r="28">
      <c r="A28" s="8" t="inlineStr">
        <is>
          <t>Party A (strategic; unnamed)</t>
        </is>
      </c>
      <c r="B28" s="9" t="inlineStr">
        <is>
          <t>First observed 04/08/2013 contact (R003); pre-NDA proposal 06/21/2013 (R008); NDA 08/05/2013 (R024); revised indication 09/10/2013 (R030); best-and-final reaffirmation 09/18/2013 (R036); closed Dropped by target on 09/24/2013 by exclusivity (R043; inferred; exit reason Would not improve earlier offer). Type basis: laundry-industry strategic party, one of the filing's two named strategic bidders [P-026].</t>
        </is>
      </c>
    </row>
    <row r="29">
      <c r="A29" s="8" t="inlineStr">
        <is>
          <t>Party B (financial; unnamed)</t>
        </is>
      </c>
      <c r="B29" s="9" t="inlineStr">
        <is>
          <t>First observed NDA 06/28/2013 (R012); IOIs 07/24, 09/09 and the $21.50-valued cash-plus-options proposal 09/18/2013 (R020, R029, R037); closed Dropped by target on 09/24/2013 by exclusivity (R044; inferred; exit reason Terms or process). Type basis: one of the 18 financial bidders, with affiliated-fund equity [P-026, P-052].</t>
        </is>
      </c>
    </row>
    <row r="30">
      <c r="A30" s="8" t="inlineStr">
        <is>
          <t>Party C (financial; unnamed)</t>
        </is>
      </c>
      <c r="B30" s="9" t="inlineStr">
        <is>
          <t>First observed NDA 06/30/2013 (R013); oral and written IOIs 07/24-25 (R021, R023) and revised oral indication 09/10/2013 (R031); did not submit at the final-indications solicitation and gave no reasons; closed Did not submit on 09/18/2013 (R038; stated; agency Unknown). Type basis: one of the financial bidders [P-026].</t>
        </is>
      </c>
    </row>
    <row r="31">
      <c r="A31" s="8" t="inlineStr">
        <is>
          <t>CSC/Pamplona (strategic; winner)</t>
        </is>
      </c>
      <c r="B31" s="9" t="inlineStr">
        <is>
          <t>First observed contact 06/28/2013 (R011); NDA 07/11/2013 (R015); bids 07/23 $18.50, 09/09 $19.50, 09/18 $20.75 and 09/21 $21.25 last and best (R018, R028, R035, R040); exclusivity 09/24/2013 (R041); signing 10/14/2013 (R048). No exit row (winner). Unit composition: CSC ServiceWorks, Inc. (operating acquirer) and Pamplona (equity capital commitment); Pamplona's funding is support, not a membership change or joint-bidder formation.</t>
        </is>
      </c>
    </row>
    <row r="32">
      <c r="A32" s="8" t="inlineStr">
        <is>
          <t>16 residual NDA signers (financial)</t>
        </is>
      </c>
      <c r="B32" s="9" t="inlineStr">
        <is>
          <t>Entered as residual cohort of 20 signers less the four recorded individually (R016; count 16); closed Did not submit by 07/23/2013 (R019; inferred residual; base assumes all 20 were eligible - flagged Q3).</t>
        </is>
      </c>
    </row>
    <row r="33">
      <c r="A33" s="8" t="inlineStr">
        <is>
          <t>Moab Partners, L.P. (shareholder, approximately 9%)</t>
        </is>
      </c>
      <c r="B33" s="9" t="inlineStr">
        <is>
          <t>Not a bidder. Proxy contest and two directors elected 05/30/2013 (R007); rollover request denied 07/06/2013 (R014) and resolved without a rollover by 10/07/2013 (R046); voting agreement at signing (R048).</t>
        </is>
      </c>
    </row>
    <row r="34">
      <c r="A34" s="8" t="inlineStr">
        <is>
          <t>Stewart G. MacDonald, Jr. (CEO; significant holder)</t>
        </is>
      </c>
      <c r="B34" s="9" t="inlineStr">
        <is>
          <t>Not a bidder. Excluded from sale-process evaluation 06/24/2013 (R009); declined a share rollover 09/11/2013 and wanted a higher value (R032); supportive of $21.25 (R039); voting agreement effective at signing (R048).</t>
        </is>
      </c>
    </row>
    <row r="35">
      <c r="A35" s="8" t="inlineStr">
        <is>
          <t>Advisers</t>
        </is>
      </c>
      <c r="B35" s="9" t="inlineStr">
        <is>
          <t>BofA Merrill Lynch (Merrill Lynch, Pierce, Fenner &amp; Smith Incorporated) - Mac-Gray's financial advisor: 2011-2012 Discussions engagement 10/23/2012 (R001), terminated 05/15/2013 (R005), re-engaged for the sale process by Board approval 05/30/2013 with engagement letter 05/31/2013 (R006); delivered the fairness opinion dated 10/14/2013 [X-027]. Goodwin Procter LLP - outside legal counsel to Mac-Gray (observed acting from 05/09/2013, R004; drafted the merger agreement and advised the Special Committee throughout). Kirkland &amp; Ellis LLP - outside legal counsel to CSC/Pamplona from 09/25/2013 (R042 note). Clients are as stated by the filing; no unclear client affiliations identified.</t>
        </is>
      </c>
    </row>
    <row r="36">
      <c r="A36" s="7" t="inlineStr">
        <is>
          <t>5. Counts and auction screen</t>
        </is>
      </c>
    </row>
    <row r="37">
      <c r="A37" s="8" t="inlineStr">
        <is>
          <t>NDA signers (ledger)</t>
        </is>
      </c>
      <c r="B37" s="9">
        <f>SUMIFS('Deal ledger'!$Q:$Q,'Deal ledger'!$P:$P,"Yes",'Deal ledger'!$D:$D,"NDA signed")</f>
        <v>20</v>
      </c>
    </row>
    <row r="38">
      <c r="B38" s="9" t="inlineStr">
        <is>
          <t>Filing assertion: 20 (two strategic bidders - Party A and CSC/Pamplona - and 18 financial bidders, including Party B and Party C) [P-026]. Ledger = 4 individually recorded signers + 16 residual cohort = 20; reconciles exactly. Residual dates and eligibility are uncertain (Q3).</t>
        </is>
      </c>
    </row>
    <row r="39">
      <c r="A39" s="8" t="inlineStr">
        <is>
          <t>First sale-related contacts (ledger)</t>
        </is>
      </c>
      <c r="B39" s="9">
        <f>SUMIFS('Deal ledger'!$Q:$Q,'Deal ledger'!$P:$P,"Yes",'Deal ledger'!$D:$D,"Contact")</f>
        <v>2</v>
      </c>
    </row>
    <row r="40">
      <c r="B40" s="9" t="inlineStr">
        <is>
          <t>Filing process-level assertion: 50 parties approached (15 strategic, 35 financial) [P-024, P-025]. Only Party A (04/08/2013) and CSC/Pamplona (06/28/2013) are individually dated; the other contacts are not individually reported, so no exact reconciliation is claimed.</t>
        </is>
      </c>
    </row>
    <row r="41">
      <c r="A41" s="8" t="inlineStr">
        <is>
          <t>Round-1 round bidders (submissions)</t>
        </is>
      </c>
      <c r="B41" s="9">
        <f>SUMIFS('Deal ledger'!$Q:$Q,'Deal ledger'!$P:$P,"Yes",'Deal ledger'!$F:$F,1,'Deal ledger'!$D:$D,"Bid")+SUMIFS('Deal ledger'!$Q:$Q,'Deal ledger'!$P:$P,"Yes",'Deal ledger'!$F:$F,1,'Deal ledger'!$D:$D,"Bid reaffirmed")</f>
        <v>3</v>
      </c>
    </row>
    <row r="42">
      <c r="B42" s="9" t="inlineStr">
        <is>
          <t>Explicit inclusion: + 1 standing round-0 proposal (Party A, R008, whose Bid row sits in round 0 but who participated in round 1) = 4 round bidders. Units, not submissions or unique firms.</t>
        </is>
      </c>
    </row>
    <row r="43">
      <c r="A43" s="8" t="inlineStr">
        <is>
          <t>Round-2 round bidders</t>
        </is>
      </c>
      <c r="B43" s="9">
        <f>SUMIFS('Deal ledger'!$Q:$Q,'Deal ledger'!$P:$P,"Yes",'Deal ledger'!$F:$F,2,'Deal ledger'!$D:$D,"Bid")+SUMIFS('Deal ledger'!$Q:$Q,'Deal ledger'!$P:$P,"Yes",'Deal ledger'!$F:$F,2,'Deal ledger'!$D:$D,"Bid reaffirmed")</f>
        <v>4</v>
      </c>
    </row>
    <row r="44">
      <c r="B44" s="9" t="inlineStr">
        <is>
          <t>Four units: CSC/Pamplona, Party B, Party A, Party C. Not a submission count (Party C has two rows in round 1 and one in round 2; revisions carry Count 0).</t>
        </is>
      </c>
    </row>
    <row r="45">
      <c r="A45" s="8" t="inlineStr">
        <is>
          <t>Round-3 round bidders</t>
        </is>
      </c>
      <c r="B45" s="9">
        <f>SUMIFS('Deal ledger'!$Q:$Q,'Deal ledger'!$P:$P,"Yes",'Deal ledger'!$F:$F,3,'Deal ledger'!$D:$D,"Bid")+SUMIFS('Deal ledger'!$Q:$Q,'Deal ledger'!$P:$P,"Yes",'Deal ledger'!$F:$F,3,'Deal ledger'!$D:$D,"Bid reaffirmed")</f>
        <v>3</v>
      </c>
    </row>
    <row r="46">
      <c r="B46" s="9" t="inlineStr">
        <is>
          <t>Three units (CSC/Pamplona, Party B, Party A); Party C did not submit and is an outcome row (R038), not a round bidder. Round 4 has no bid rows: one unit continued in exclusive definitive negotiation.</t>
        </is>
      </c>
    </row>
    <row r="47">
      <c r="A47" s="8" t="inlineStr">
        <is>
          <t>Outcome tallies (affected units)</t>
        </is>
      </c>
      <c r="B47" s="9">
        <f>SUMIFS('Deal ledger'!$Q:$Q,'Deal ledger'!$P:$P,"Yes",'Deal ledger'!$D:$D,"Dropped by target")</f>
        <v>2</v>
      </c>
    </row>
    <row r="48">
      <c r="B48" s="9" t="inlineStr">
        <is>
          <t>Dropped by target = 2 units (Party A, Party B at 09/24). Did not submit: 16 residual at 07/23 (R019) + Party C at 09/18 (R038) = 17 units; formula above shows only the Dropped tally; totals are occurrences/affected units, not unique permanent exits. Winner CSC/Pamplona has no exit row.</t>
        </is>
      </c>
    </row>
    <row r="49">
      <c r="A49" s="8" t="inlineStr">
        <is>
          <t>Auction screen</t>
        </is>
      </c>
      <c r="B49" s="9" t="inlineStr">
        <is>
          <t>Met: more than one independent prospective acquiring bidder unit executed bidder-target confidentiality agreements for this process - four units are individually recorded (Party A, Party B, Party C, CSC/Pamplona) among 20 signers total. Excluded: no lender-only, adviser or rollover-holder agreements reported; no agreements expressly reused from an earlier attempt (the 2011-2012 Discussions produced no reused NDA).</t>
        </is>
      </c>
    </row>
    <row r="50">
      <c r="A50" s="8" t="inlineStr">
        <is>
          <t>Per-stage balance (participants)</t>
        </is>
      </c>
      <c r="B50" s="9" t="inlineStr">
        <is>
          <t>R0: entrants 1 (Party A) - exits 0 = 1 live. R1: entrants +19 (16 cohort + Party B + Party C + CSC/Pamplona; Party A already in) = 20; exits -16 (residual non-submitters, R019) = 4. R2: exits 0 = 4. R3: exits -1 (Party C, R038) = 3. R4: exits -2 (Party A and Party B by exclusivity, R043-R044) = 1 = winner at signing (R048); no participant left open. Inferred share of exits: 18 of 19 (the 16 residual plus the two exclusivity drops); Party C's exit is stated. Counts are tally contributions, not population balances.</t>
        </is>
      </c>
    </row>
    <row r="51">
      <c r="A51" s="7" t="inlineStr">
        <is>
          <t>6. Comparability and inputs</t>
        </is>
      </c>
    </row>
    <row r="52">
      <c r="A52" s="8" t="inlineStr">
        <is>
          <t>Other-scope proposals</t>
        </is>
      </c>
      <c r="B52" s="9" t="inlineStr">
        <is>
          <t>None: every recorded proposal concerns acquisition of the whole company's equity. No segment, asset, minority or other-scope bids and no group price envelopes.</t>
        </is>
      </c>
    </row>
    <row r="53">
      <c r="A53" s="8" t="inlineStr">
        <is>
          <t>Unusual consideration</t>
        </is>
      </c>
      <c r="B53" s="9" t="inlineStr">
        <is>
          <t>Party B's 09/18/2013 cash-plus-options package: $19.00 cash at closing plus options it valued at $2.50 per share (10% of new equity, strike at its initial cost basis, vesting over five years on base-case projections). Recorded as All cash = No; structured price cells show the cash component and the bidder's stated total ($19.00-$21.50) and are flagged as a package representation (Q7). No CVR or earnout in the signed deal.</t>
        </is>
      </c>
    </row>
    <row r="54">
      <c r="A54" s="8" t="inlineStr">
        <is>
          <t>Currency and units</t>
        </is>
      </c>
      <c r="B54" s="9" t="inlineStr">
        <is>
          <t>All amounts USD per share; no currency conversion performed. Agreed consideration and all recorded bid prices are per share of Mac-Gray common stock.</t>
        </is>
      </c>
    </row>
    <row r="55">
      <c r="A55" s="8" t="inlineStr">
        <is>
          <t>Stated deal inputs</t>
        </is>
      </c>
      <c r="B55" s="9" t="inlineStr">
        <is>
          <t>Shares outstanding 14,758,306 at 11/27/2013 [X-007]; market close $21.30 on 11/27/2013 [X-012]; unaffected close $14.72 and 52-week high $15.61 on 10/11/2013 [X-010, X-011]; $594 million Pamplona commitment [X-013, X-031]; $11 million / $15 million termination fees [X-017]; voting agreements approximately 15% [X-019, X-030]. No net debt, dilution, preferred or rollover conversion is assumed anywhere.</t>
        </is>
      </c>
    </row>
    <row r="56">
      <c r="A56" s="8" t="inlineStr">
        <is>
          <t>Glossary</t>
        </is>
      </c>
      <c r="B56" s="9" t="inlineStr">
        <is>
          <t>NDA = confidentiality agreement (here, confidentiality and standstill agreements). IOI = indication of interest; LOI = letter of intent. Due diligence = investigation of the target. Formality: documentation/solicitation assessment (Formal/Informal), separate from Conditions level (financing and diligence conditions the bid carries). Round = target-organized solicitation, evaluation or negotiation stage (0 = before the opening; 'post' = outside an identified round). Working date = assigned sort key, not an observed date. Reverse termination fee = fee payable by the buyer side on specified termination (here $15 million). Standstill/sunset = bidder restrictions that lapse to permit proposals. HSR = Hart-Scott-Rodino antitrust waiting period. Exclusivity = period of exclusive negotiation. Rollover = shareholder contributing shares into the buyer instead of cashing out.</t>
        </is>
      </c>
    </row>
    <row r="57">
      <c r="B57" s="9" t="inlineStr">
        <is>
          <t>Prepared from the supplied filing only. All quotations on the Deal ledger sheet appear verbatim on the Source text sheet; tags in Terms or outcome repeat the structured fields (R1 anchor, Inferred). Reviewer corrections are expected: see Questions.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70" customWidth="1" min="3" max="3"/>
    <col width="80" customWidth="1" min="4" max="4"/>
    <col width="26" customWidth="1" min="5" max="5"/>
    <col width="46" customWidth="1" min="6" max="6"/>
    <col width="11" customWidth="1" min="7" max="7"/>
    <col width="26" customWidth="1" min="8" max="8"/>
  </cols>
  <sheetData>
    <row r="1">
      <c r="A1" s="10" t="inlineStr">
        <is>
          <t>Q</t>
        </is>
      </c>
      <c r="B1" s="10" t="inlineStr">
        <is>
          <t>Review topic</t>
        </is>
      </c>
      <c r="C1" s="10" t="inlineStr">
        <is>
          <t>Recommended answer</t>
        </is>
      </c>
      <c r="D1" s="10" t="inlineStr">
        <is>
          <t>Why and source</t>
        </is>
      </c>
      <c r="E1" s="10" t="inlineStr">
        <is>
          <t>Affected rows/fields</t>
        </is>
      </c>
      <c r="F1" s="10" t="inlineStr">
        <is>
          <t>Consequence of changing it</t>
        </is>
      </c>
      <c r="G1" s="10" t="inlineStr">
        <is>
          <t>Status</t>
        </is>
      </c>
      <c r="H1" s="10" t="inlineStr">
        <is>
          <t>Reviewer note</t>
        </is>
      </c>
    </row>
    <row r="2">
      <c r="A2" s="3" t="inlineStr">
        <is>
          <t>Q1</t>
        </is>
      </c>
      <c r="B2" s="3" t="inlineStr">
        <is>
          <t>Process and round map; inferred starts; rejected boundary candidates</t>
        </is>
      </c>
      <c r="C2" s="3" t="inlineStr">
        <is>
          <t>Keep one process and the four rounds as built: R1 06/24/2013 (sale decision/50-party solicitation; rejected anchors R008 and R012); R2 07/25/2013 (staged access and revised-IOI stage; rejected alternative R026, the 08/27/2013 letter); R3 09/11/2013 (first final-indications request; Announced as final); R4 09/24/2013 (executed exclusivity and definitive negotiation; Inferred final; alternative = fold into R3). Treat the 2011-2012 Discussions as context, not a second process.</t>
        </is>
      </c>
      <c r="D2" s="3" t="inlineStr">
        <is>
          <t>Anchors follow the instruction's opening rules: R1 uses the launching decision because the first outreach wave is undated (outreach executed within days; first NDA 06/28). R2 uses the selection of advancing participants plus a stage-linked offer request (authorization R022 quote: 'authorized and instructed BofA Merrill Lynch to proceed with the staged disclosure... and to reach out to each of the four interested bidders'); the 08/27 letter only communicated the deadline. R3 is the target's first request for final indications (R033 quote). R4 applies the 'moves to definitive negotiation with selected bidders' trigger; exclusivity inside an already-established final negotiation stage would not open a round. Sources: P-021 (R009), P-038/P-039 (R022), P-056 (R033), P-068 (R041-R042).</t>
        </is>
      </c>
      <c r="E2" s="3" t="inlineStr">
        <is>
          <t>R008, R009, R012, R022, R026, R033, R040, R041, R042; rounds/finality fields on R009/R022/R033/R042</t>
        </is>
      </c>
      <c r="F2" s="3" t="inlineStr">
        <is>
          <t>Dating R2 at 08/27 moves the start of the staged-access stage and its access row (R025); merging R4 into R3 would put exclusivity, the two closures and signing in R3 and delete the Inferred-final row; treating R1 as opening at the 06/21 proposal would pull Party A's bid out of round 0.</t>
        </is>
      </c>
      <c r="G2" s="3" t="inlineStr">
        <is>
          <t>Pending</t>
        </is>
      </c>
      <c r="H2" s="3" t="n"/>
    </row>
    <row r="3">
      <c r="A3" s="3" t="inlineStr">
        <is>
          <t>Q2</t>
        </is>
      </c>
      <c r="B3" s="3" t="inlineStr">
        <is>
          <t>Deadline changes and elapsed-deadline treatments</t>
        </is>
      </c>
      <c r="C3" s="3" t="inlineStr">
        <is>
          <t>Keep: 07/23/2013 Late bids accepted; 09/09/2013 Late bids accepted; 09/18/2013 Enforced. No bid deadline was revised; the 10/12/2013 exclusivity expiry was extended (recorded on R047, not as a bid Deadline row).</t>
        </is>
      </c>
      <c r="D3" s="3" t="inlineStr">
        <is>
          <t>07/23: Party B (07/24) and Party C (07/24-25) were considered by the Special Committee on 07/25 without revision. 09/09: Party A and Party C submitted 09/10 and were reviewed 09/11 without extension; the target itself later solicited CSC/Pamplona's 09/21 price revision, which belongs to continuing negotiation and is not late acceptance. 09/18: the next step was selection (09/19), so Enforced. Sources: P-026, P-035 to P-037 (Late bids); P-052 to P-055 (09/09); P-059 to P-062 (09/18 selection); P-078, P-079, P-082 (extension).</t>
        </is>
      </c>
      <c r="E3" s="3" t="inlineStr">
        <is>
          <t>R010, R017, R019, R026, R027, R034, R038, R047; Deadline treatment and Due date fields</t>
        </is>
      </c>
      <c r="F3" s="3" t="inlineStr">
        <is>
          <t>Re-labelling 07/23 or 09/09 as Enforced, or 09/18 as Unclear, changes the term the target applied to its stage and implies (unsupported) formal revision or inaction.</t>
        </is>
      </c>
      <c r="G3" s="3" t="inlineStr">
        <is>
          <t>Pending</t>
        </is>
      </c>
      <c r="H3" s="3" t="n"/>
    </row>
    <row r="4">
      <c r="A4" s="3" t="inlineStr">
        <is>
          <t>Q3</t>
        </is>
      </c>
      <c r="B4" s="3" t="inlineStr">
        <is>
          <t>Inferred residual rows and NDA population uncertainty</t>
        </is>
      </c>
      <c r="C4" s="3" t="inlineStr">
        <is>
          <t>Retain the 16-person residual for the NDA cohort (R016) and for the 07/23 non-submission (R019), base = 20 signers. Keep the caveat that only the four individually dated signers are certain; all eligibility arithmetic uses the filing's stated totals.</t>
        </is>
      </c>
      <c r="D4" s="3" t="inlineStr">
        <is>
          <t>Base and split: P-026 ('a total of 20 potential bidders, including two strategic bidders (Party A and CSC/Pamplona) and 18 financial bidders'). Accounting at the first transition: P-037 names only Party B, Party C, CSC/Pamplona and Party A's standing proposal. Arithmetic: 20 - 4 = 16. Uncertainty: the 16 signers' dates are unstated and signers whose NDAs postdate 07/23 would reduce the residual; Party A signed only on 08/05 but is shown continuing, so it is not in the residual.</t>
        </is>
      </c>
      <c r="E4" s="3" t="inlineStr">
        <is>
          <t>R012, R013, R015, R016, R019, R020, R021, R022, R024; Count/Dates fields on R016 and R019</t>
        </is>
      </c>
      <c r="F4" s="3" t="inlineStr">
        <is>
          <t>Changing the base or the accounted-for set changes both inferred Counts and the per-stage balance; adding individual rows for anonymous members would invent identities.</t>
        </is>
      </c>
      <c r="G4" s="3" t="inlineStr">
        <is>
          <t>Pending</t>
        </is>
      </c>
      <c r="H4" s="3" t="n"/>
    </row>
    <row r="5">
      <c r="A5" s="3" t="inlineStr">
        <is>
          <t>Q4</t>
        </is>
      </c>
      <c r="B5" s="3" t="inlineStr">
        <is>
          <t>Participation outcomes and agency (including every inferred closing row)</t>
        </is>
      </c>
      <c r="C5" s="3" t="inlineStr">
        <is>
          <t>Keep: Party A and Party B Dropped by target on 09/24/2013 (Inferred: exclusivity; Decided by Target; reasons Would not improve earlier offer and Terms or process); Party C Did not submit on 09/18/2013 (stated; Decided by Unknown; Not stated); winner no exit row. No participant left open.</t>
        </is>
      </c>
      <c r="D5" s="3" t="inlineStr">
        <is>
          <t>Exclusivity was executed 09/24/2013 with CSC/Pamplona with no notice to Party A or Party B reported (P-068; Party A's last act P-059). Party C's non-submission and absence of reasons are stated in P-059/P-060; the filing reports no notice or discouragement, so agency is left Unknown. Convention: every participant that entered is closed once.</t>
        </is>
      </c>
      <c r="E5" s="3" t="inlineStr">
        <is>
          <t>R019, R038, R043, R044; Decided by / Exit reason / Outcome basis fields</t>
        </is>
      </c>
      <c r="F5" s="3" t="inlineStr">
        <is>
          <t>Assigning withdrawals or bidder agency without notice evidence would misstate participation; failing to close A and B would break the per-stage balance at signing.</t>
        </is>
      </c>
      <c r="G5" s="3" t="inlineStr">
        <is>
          <t>Pending</t>
        </is>
      </c>
      <c r="H5" s="3" t="n"/>
    </row>
    <row r="6">
      <c r="A6" s="3" t="inlineStr">
        <is>
          <t>Q5</t>
        </is>
      </c>
      <c r="B6" s="3" t="inlineStr">
        <is>
          <t>Formality of the final-stage indications (borderline Formal calls)</t>
        </is>
      </c>
      <c r="C6" s="3" t="inlineStr">
        <is>
          <t>Keep Formal for the 09/18/2013 responses (CSC/Pamplona $20.75; Party B $21.50 package) and for Party A's best-and-final reaffirmation, carried to CSC/Pamplona's 09/21/2013 last-and-best. Alternative for Party A: Informal if a phone reiteration is judged not to be a response on the requested written basis. Earlier IOIs remain Informal.</t>
        </is>
      </c>
      <c r="D6" s="3" t="inlineStr">
        <is>
          <t>Formality signal 2: 'a response on the requested basis to a genuine final, binding or best-and-final solicitation'; a non-binding IOI can be Formal; no retrospective upgrading of earlier offers. Sources: P-059 (09/18 responses), P-056 (final request), P-063 (09/21 confirmation). Party A's call is the borderline case and is flagged here rather than upgraded silently.</t>
        </is>
      </c>
      <c r="E6" s="3" t="inlineStr">
        <is>
          <t>R035, R036, R037, R040; Formality fields; context rows R008, R018, R020, R021, R023, R028-R031</t>
        </is>
      </c>
      <c r="F6" s="3" t="inlineStr">
        <is>
          <t>Downgrading Party A changes only its row label (its exit basis is unaffected); upgrading earlier IOIs would contradict the no-retrospective-upgrade rule.</t>
        </is>
      </c>
      <c r="G6" s="3" t="inlineStr">
        <is>
          <t>Pending</t>
        </is>
      </c>
      <c r="H6" s="3" t="n"/>
    </row>
    <row r="7">
      <c r="A7" s="3" t="inlineStr">
        <is>
          <t>Q6</t>
        </is>
      </c>
      <c r="B7" s="3" t="inlineStr">
        <is>
          <t>Conditions levels that turn on diligence or financing statements</t>
        </is>
      </c>
      <c r="C7" s="3" t="inlineStr">
        <is>
          <t>Keep Heavy for pre-substantive-diligence IOIs (R008, R018, R020, R021, R023) and for Party B's later bids (R029, R037 - reported absence of a firm financing commitment). Keep Light for CSC/Pamplona's 09/09 and later bids (R028, R035, R040 - committed sponsor financing, no stated diligence condition). Keep Insufficient evidence for Party C's 09/10/2013 revised indication (R031 - price only, financing silence).</t>
        </is>
      </c>
      <c r="D7" s="3" t="inlineStr">
        <is>
          <t>Heavy-by-context applies to preliminary indications made before data-room or management access; 'less conditional' comparisons were not converted into absolute levels; silence neither raises nor lowers a level. Sources: P-026, P-035 to P-037 (pre-DD IOIs), P-052 (CSC/Pamplona committed funding; Party B no firm commitment), P-053 (Party C silence), P-047 (access staging).</t>
        </is>
      </c>
      <c r="E7" s="3" t="inlineStr">
        <is>
          <t>R008, R018, R020, R021, R023, R028-R031, R035-R037, R040; Conditions level and Conditions detail fields</t>
        </is>
      </c>
      <c r="F7" s="3" t="inlineStr">
        <is>
          <t>Reassigning a level changes the comparable conditionality of final offers and the five documented Heavy-by-context calls at the first stage.</t>
        </is>
      </c>
      <c r="G7" s="3" t="inlineStr">
        <is>
          <t>Pending</t>
        </is>
      </c>
      <c r="H7" s="3" t="n"/>
    </row>
    <row r="8">
      <c r="A8" s="3" t="inlineStr">
        <is>
          <t>Q7</t>
        </is>
      </c>
      <c r="B8" s="3" t="inlineStr">
        <is>
          <t>Price representation for Party B's cash-plus-options package and related conventions</t>
        </is>
      </c>
      <c r="C8" s="3" t="inlineStr">
        <is>
          <t>Keep Price low 19.00 / Price high 21.50 with Price kind Bidder range, All cash No and Cash at closing 19.00, with Terms stating that the cells show the cash component and the bidder's stated total valuation - a package, not a submitted range. Alternative: blank the structured price cells and keep the package only in Terms.</t>
        </is>
      </c>
      <c r="D8" s="3" t="inlineStr">
        <is>
          <t>The filing gives $19.00 cash at closing plus options valued at $2.50 (total $21.50) (P-059); the instruction directs that package values be attributed, not treated as guaranteed cash, and that the contingent part stay in Terms. Sources: P-059, P-062 (Special Committee risk view).</t>
        </is>
      </c>
      <c r="E8" s="3" t="inlineStr">
        <is>
          <t>R037; Price low/high/kind/origin, All cash, Cash at closing fields; comparability note in Summary section 6</t>
        </is>
      </c>
      <c r="F8" s="3" t="inlineStr">
        <is>
          <t>Blank cells reduce structured comparability but avoid any reading of $21.50 as cash; leaving as recorded preserves the bidder's own valuation with an explicit flag.</t>
        </is>
      </c>
      <c r="G8" s="3" t="inlineStr">
        <is>
          <t>Pending</t>
        </is>
      </c>
      <c r="H8" s="3" t="n"/>
    </row>
    <row r="9">
      <c r="A9" s="3" t="inlineStr">
        <is>
          <t>Q8</t>
        </is>
      </c>
      <c r="B9" s="3" t="inlineStr">
        <is>
          <t>Date conventions and record-keeping items</t>
        </is>
      </c>
      <c r="C9" s="3" t="inlineStr">
        <is>
          <t>Accept the assigned Working dates and their methods: residual NDA midpoint 07/17/2013 (R016); 07/23/2013 deadline-set row by sequence (R010); Moab resolution bounded to 10/07/2013 (R046); inferred closures assigned to deadline/decision days (R019, R038, R043, R044). Accept the preserved source typo 'July 27, 2103' with the proposed correction to 2013 (R024), and the structural choices: one row each for the Moab and MacDonald rollover relationships, adviser rows for BofA (old and new mandates) and Goodwin Procter service, and no rows for termination/reverse fees, liability caps, voting agreements, post-signing covenants or successive drafts (folded into R040, R041, R047, R048).</t>
        </is>
      </c>
      <c r="D9" s="3" t="inlineStr">
        <is>
          <t>All are instruction conventions (sections 5.4, 8.1, 10.2) or explicit materiality exclusions (section 4); quotations on the Source text sheet preserve wording and qualification, and no working date falls outside its Date from/Date to or contradicts the filing's before/after bounds.</t>
        </is>
      </c>
      <c r="E9" s="3" t="inlineStr">
        <is>
          <t>R001, R005, R006, R010, R014, R016, R019, R024, R032, R038, R043, R044, R046, R047, R048; Date from/to, Working date, Date basis, Date method, Page fields</t>
        </is>
      </c>
      <c r="F9" s="3" t="inlineStr">
        <is>
          <t>Changing conventions reorders display or shifts assigned dates but not the underlying facts; moving the typo correction or rollover rows would affect only those rows' framing.</t>
        </is>
      </c>
      <c r="G9" s="3" t="inlineStr">
        <is>
          <t>Pending</t>
        </is>
      </c>
      <c r="H9" s="3" t="n"/>
    </row>
  </sheetData>
  <autoFilter ref="A1: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7" customWidth="1" min="3" max="3"/>
    <col width="150" customWidth="1" min="4" max="4"/>
  </cols>
  <sheetData>
    <row r="1">
      <c r="A1" s="11" t="inlineStr">
        <is>
          <t>Paragraph</t>
        </is>
      </c>
      <c r="B1" s="11" t="inlineStr">
        <is>
          <t>Section</t>
        </is>
      </c>
      <c r="C1" s="11" t="inlineStr">
        <is>
          <t>Page</t>
        </is>
      </c>
      <c r="D1" s="11" t="inlineStr">
        <is>
          <t>Text</t>
        </is>
      </c>
    </row>
    <row r="2">
      <c r="A2" s="9" t="inlineStr">
        <is>
          <t>P-001</t>
        </is>
      </c>
      <c r="B2" s="9" t="inlineStr">
        <is>
          <t>Background of the Merger</t>
        </is>
      </c>
      <c r="C2" s="9" t="n">
        <v>27</v>
      </c>
      <c r="D2" s="9" t="inlineStr">
        <is>
          <t>Background of the Merger.</t>
        </is>
      </c>
    </row>
    <row r="3">
      <c r="A3" s="9" t="inlineStr">
        <is>
          <t>P-002</t>
        </is>
      </c>
      <c r="B3" s="9" t="inlineStr">
        <is>
          <t>Background of the Merger</t>
        </is>
      </c>
      <c r="C3" s="9" t="n">
        <v>27</v>
      </c>
      <c r="D3" s="9" t="inlineStr">
        <is>
          <t>The Mac-Gray Board of Directors, whom we sometimes to refer to as the Board, and Mac-Gray's management have continually engaged in a review of Mac-Gray's business plans and other strategic alternatives as part of their ongoing activities. This process has included evaluating prospects and options pertaining to Mac-Gray's business, the markets in which it competes, organic initiatives, and possible strategic transactions, such as mergers, acquisitions and dispositions, in each case with a view towards enhancing value for Mac-Gray's stockholders.</t>
        </is>
      </c>
    </row>
    <row r="4">
      <c r="A4" s="9" t="inlineStr">
        <is>
          <t>P-003</t>
        </is>
      </c>
      <c r="B4" s="9" t="inlineStr">
        <is>
          <t>Background of the Merger</t>
        </is>
      </c>
      <c r="C4" s="9" t="n">
        <v>27</v>
      </c>
      <c r="D4" s="9" t="inlineStr">
        <is>
          <t>Certain potential strategic transactions have been discussed from time to time between Mac-Gray and CSC and other participants in the laundry facilities management industry, including discussions between Mac-Gray and CSC in the winter of 2011 and into 2012 regarding the possible acquisition of CSC by Mac-Gray. In connection with Mac-Gray's consideration of a possible acquisition of CSC, which we refer to as the 2011-2012 Discussions, Mac-Gray engaged BofA Merrill Lynch on October 23, 2012. During the fall and winter of 2012, CSC engaged in a sale process and, ultimately, CSC was purchased by Pamplona in May 2013.</t>
        </is>
      </c>
    </row>
    <row r="5">
      <c r="A5" s="9" t="inlineStr">
        <is>
          <t>P-004</t>
        </is>
      </c>
      <c r="B5" s="9" t="inlineStr">
        <is>
          <t>Background of the Merger</t>
        </is>
      </c>
      <c r="C5" s="9" t="n">
        <v>27</v>
      </c>
      <c r="D5" s="9" t="inlineStr">
        <is>
          <t>As part of its ongoing review of strategic alternatives, at an in-person meeting of the Board on April 5, 2013,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The Board also determined to further consider Mac-Gray's strategic alternatives at its meeting scheduled for May 9, 2013.</t>
        </is>
      </c>
    </row>
    <row r="6">
      <c r="A6" s="9" t="inlineStr">
        <is>
          <t>P-005</t>
        </is>
      </c>
      <c r="B6" s="9" t="inlineStr">
        <is>
          <t>Background of the Merger</t>
        </is>
      </c>
      <c r="C6" s="9" t="n">
        <v>27</v>
      </c>
      <c r="D6" s="9" t="inlineStr">
        <is>
          <t>On April 8, 2013,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t>
        </is>
      </c>
    </row>
    <row r="7">
      <c r="A7" s="9" t="inlineStr">
        <is>
          <t>P-006</t>
        </is>
      </c>
      <c r="B7" s="9" t="inlineStr">
        <is>
          <t>Background of the Merger</t>
        </is>
      </c>
      <c r="C7" s="9" t="n">
        <v>27</v>
      </c>
      <c r="D7" s="9" t="inlineStr">
        <is>
          <t>On May 9, 2013, the Mac-Gray Board of Directors held a regularly scheduled in-person meeting. By invitation of the Board, Stewart G. MacDonald, Jr., our chief executive officer, Michael J. Shea, our executive vice president and chief financial officer, Neil MacLellan and Phil Emma, executive vice presidents at Mac-Gray, Linda Serafini, our vice president, general counsel and secretary, and representatives from BofA Merrill Lynch and Goodwin Procter LLP, outside legal counsel to Mac-Gray, were also in attendance for all or portions of the meeting. At this meeting, BofA Merrill Lynch discussed CSC's sale process and the acquisition environment generally and provided an overview of strategic alternatives for Mac-Gray, including the continued pursuit of Mac-Gray's existing business plan, a significant stock repurchase program, acquisition opportunities and the possibility of a sale process. With respect to a potential sale process, BofA Merrill Lynch discussed the then-current merger and acquisition environment and Mac-Gray's potential attractiveness as an acquisition target, including a general overview of potential valuation parameters. BofA Merrill Lynch also reported on its conversation with the representative of Party A, who had expressed interest in pursuing a possible business combination with Mac-Gray. Management and BofA Merrill Lynch also reviewed with the Board potential opportunities if Mac-Gray were to remain independent,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In considering these alternatives, the Board considered the risks associated with executing and achieving Mac-Gray's short and long-term business and financial objectives, including Mac-Gray's ability to identify, acquire and successfully integrate laundry facilities management businesses, establish new and/or renew existing laundry facility management leases and penetrate markets historically dominated by smaller local and regional</t>
        </is>
      </c>
    </row>
    <row r="8">
      <c r="A8" s="9" t="inlineStr">
        <is>
          <t>P-007</t>
        </is>
      </c>
      <c r="B8" s="9" t="inlineStr">
        <is>
          <t>Background of the Merger (cont.)</t>
        </is>
      </c>
      <c r="C8" s="9" t="n">
        <v>28</v>
      </c>
      <c r="D8" s="9" t="inlineStr">
        <is>
          <t>operators, the impact of general economic and market trends on Mac-Gray's sales and the general risks of market conditions that could reduce Mac-Gray's stock price.</t>
        </is>
      </c>
    </row>
    <row r="9">
      <c r="A9" s="9" t="inlineStr">
        <is>
          <t>P-008</t>
        </is>
      </c>
      <c r="B9" s="9" t="inlineStr">
        <is>
          <t>Background of the Merger</t>
        </is>
      </c>
      <c r="C9" s="9" t="n">
        <v>28</v>
      </c>
      <c r="D9" s="9" t="inlineStr">
        <is>
          <t>After a review of these opportunities and risks, the Board engaged in a general discussion concerning whether it might be advisable to approach and discuss a potential sale transaction with third parties at this time as a means by which to deliver value to the stockholders of Mac-Gray. The Board discussed the potential risks and benefits of commencing a process in which parties would be invited to review confidential information and submit indications of interest with respect to a potential business combination involving Mac-Gray. In particular, the Board discussed the potential disruptions to Mac-Gray's business, the risk of leaks that might arise from approaching potential acquirors within the industry and the impact on Mac-Gray's business that could result from any such leaks, including the potential loss of customers, suppliers and employees resulting from uncertainty over the future of Mac-Gray. The Board also discussed the potential need to disclose during such process sensitive, proprietary and confidential information to competitors and potential competitors.</t>
        </is>
      </c>
    </row>
    <row r="10">
      <c r="A10" s="9" t="inlineStr">
        <is>
          <t>P-009</t>
        </is>
      </c>
      <c r="B10" s="9" t="inlineStr">
        <is>
          <t>Background of the Merger</t>
        </is>
      </c>
      <c r="C10" s="9" t="n">
        <v>28</v>
      </c>
      <c r="D10" s="9" t="inlineStr">
        <is>
          <t>After BofA Merrill Lynch and management left the meeting, a representative of Goodwin Procter provided an overview of the Board's fiduciary duties and the Board discussed engaging a financial advisor to assist the Board in considering strategic alternatives, including a sale process. To assist in the administration of the strategic alternatives review, the Board formed a transaction committee at this meeting, which we refer to as the Transaction Committee, and appointed Thomas Bullock and Paul Daoust, both independent directors, to serve as its members. Mr. Daoust was appointed because of his knowledge of and experience with mergers and acquisitions, including as president, chief executive officer and board member of Salary.com when it was sold in 2010. Mr. Bullock was appointed because of his knowledge of Mac-Gray and our business, given his tenure on the Board (since November 2000) and his chairmanship role. Further, both Mr. Daoust and Mr. Bullock indicated that they would be able to commit sufficient time to undertake the responsibilities associated with membership on the Transaction Committee. The Transaction Committee was charged with recommending to the Board the selection and engagement of a financial advisor to assist the Board in seeking and considering strategic alternatives, including but not limited to a merger, consolidation, business combination, recapitalization, restructuring, going-private or other strategic transaction or alternative that might be available to Mac-Gray in lieu of pursuing any of the foregoing. The Board also delegated to the Transaction Committee authority to take any administrative actions in connection with the Board's exploration of strategic alternatives. The Board concluded that it would discuss the review of strategic alternatives, including engaging in a potential sale process, at its next meeting so that the Board would have additional time to consider the risks and benefits of the various alternatives discussed.</t>
        </is>
      </c>
    </row>
    <row r="11">
      <c r="A11" s="9" t="inlineStr">
        <is>
          <t>P-010</t>
        </is>
      </c>
      <c r="B11" s="9" t="inlineStr">
        <is>
          <t>Background of the Merger</t>
        </is>
      </c>
      <c r="C11" s="9" t="n">
        <v>28</v>
      </c>
      <c r="D11" s="9" t="inlineStr">
        <is>
          <t>On May 10, 2013, the Transaction Committee and representatives of Goodwin Procter held a meeting by telephone conference call. The Transaction Committee discussed the process for hiring a financial advisor for a review of strategic alternatives and determined to invite three nationally recognized investment banks to submit proposals. The members of the Transaction Committee also discussed what role, if any, members of Mac-Gray management should have in connection with the Board's consideration of strategic alternatives. In this regard, the Transaction Committee considered the fact that, in view of the significant stock ownership of Mr. MacDonald and his family, coupled with the possibility that the strategic alternatives process might result in third parties who would be interested in partnering with Mr. MacDonald (either through continued employment and/or contribution of some or all of his existing equity, a so-called equity "rollover"), Mr. MacDonald could have interests that would not be aligned with other Mac-Gray stockholders. As such, the Transaction Committee determined to recommend to the Board at an upcoming meeting that, as a general matter, Mr. MacDonald should not be permitted to participate in the Board's evaluation of strategic alternatives or any negotiations with any interested parties in a sale process. The Transaction Committee noted, however, that Mr. MacDonald would be invited to provide perspectives to the Board on Mac-Gray's operations and business on an as-requested basis.</t>
        </is>
      </c>
    </row>
    <row r="12">
      <c r="A12" s="9" t="inlineStr">
        <is>
          <t>P-011</t>
        </is>
      </c>
      <c r="B12" s="9" t="inlineStr">
        <is>
          <t>Background of the Merger</t>
        </is>
      </c>
      <c r="C12" s="9" t="n">
        <v>29</v>
      </c>
      <c r="D12" s="9" t="inlineStr">
        <is>
          <t>On May 14, 2013, the Transaction Committee and representatives of Goodwin Procter held a meeting by telephone conference call. The Transaction Committee discussed further the process for hiring a financial advisor for a review of strategic alternatives. Given that BofA Merrill Lynch was one of the investment banks to be invited to submit a proposal and that the CSC sale process had ended, the Transaction Committee determined to terminate BofA Merrill Lynch's engagement letter entered into for purposes of the 2011-2012 Discussions.</t>
        </is>
      </c>
    </row>
    <row r="13">
      <c r="A13" s="9" t="inlineStr">
        <is>
          <t>P-012</t>
        </is>
      </c>
      <c r="B13" s="9" t="inlineStr">
        <is>
          <t>Background of the Merger</t>
        </is>
      </c>
      <c r="C13" s="9" t="n">
        <v>29</v>
      </c>
      <c r="D13" s="9" t="inlineStr">
        <is>
          <t>On May 15, 2013, Mac-Gray sent a letter to BofA Merrill Lynch terminating their engagement in connection with the 2011-2012 Discussions.</t>
        </is>
      </c>
    </row>
    <row r="14">
      <c r="A14" s="9" t="inlineStr">
        <is>
          <t>P-013</t>
        </is>
      </c>
      <c r="B14" s="9" t="inlineStr">
        <is>
          <t>Background of the Merger</t>
        </is>
      </c>
      <c r="C14" s="9" t="n">
        <v>29</v>
      </c>
      <c r="D14" s="9" t="inlineStr">
        <is>
          <t>On May 22, 2013, the Mac-Gray Board of Directors held a regularly scheduled in-person meeting. By invitation of the Board, Mr. MacDonald, Mr. Shea, Mr. MacLellan, Mr. Emma, Ms. Serafini and representatives of Goodwin Procter were also present for all or portions of the meeting. At the request of the Board, at this meeting Mr. MacDonald provided an overview of Mac-Gray's acquisition strategy and recent acquisitions within the industry, and Mr. MacLellan reviewed Mac-Gray's recently completed acquisitions with the Board. Also at this meeting, in addition to routine and administrative matters and the approval of Mac-Gray's quarterly common stock dividend, the Board appointed Mr. Daoust as chairman of the Transaction Committee during an executive session that excluded all members of management.</t>
        </is>
      </c>
    </row>
    <row r="15">
      <c r="A15" s="9" t="inlineStr">
        <is>
          <t>P-014</t>
        </is>
      </c>
      <c r="B15" s="9" t="inlineStr">
        <is>
          <t>Background of the Merger</t>
        </is>
      </c>
      <c r="C15" s="9" t="n">
        <v>29</v>
      </c>
      <c r="D15" s="9" t="inlineStr">
        <is>
          <t>Later on May 22, 2013, representatives from BofA Merrill Lynch presented to the members of the Transaction Committee for purposes of a potential engagement in connection with the Board's current review of strategic alternatives and the possibility of undertaking a sale process.</t>
        </is>
      </c>
    </row>
    <row r="16">
      <c r="A16" s="9" t="inlineStr">
        <is>
          <t>P-015</t>
        </is>
      </c>
      <c r="B16" s="9" t="inlineStr">
        <is>
          <t>Background of the Merger</t>
        </is>
      </c>
      <c r="C16" s="9" t="n">
        <v>29</v>
      </c>
      <c r="D16" s="9" t="inlineStr">
        <is>
          <t>On May 29, 2013, each of the other two financial advisor candidates presented to the members of the Transaction Committee for purposes of a potential engagement in connection with the Board's current review of strategic alternatives and the possibility of undertaking a sale process.</t>
        </is>
      </c>
    </row>
    <row r="17">
      <c r="A17" s="9" t="inlineStr">
        <is>
          <t>P-016</t>
        </is>
      </c>
      <c r="B17" s="9" t="inlineStr">
        <is>
          <t>Background of the Merger</t>
        </is>
      </c>
      <c r="C17" s="9" t="n">
        <v>29</v>
      </c>
      <c r="D17" s="9" t="inlineStr">
        <is>
          <t>On May 30, 2013, the Board held an in-person meeting. By invitation of the Board, Mr. MacDonald, Mr. Shea, Ms. Serafini and representatives of Goodwin Procter were also present for all or portions of the meeting. During the meeting, the members of the Transaction Committee presented their assessment of the relative capabilities, strengths, and possible weaknesses of the three financial advisor candidates. Mr. Shea also provided his perspective of each financial advisor candidate's capabilities, strengths, and possible weaknesses. The Transaction Committee recommended to the Board that Mac-Gray engage BofA Merrill Lynch as Mac-Gray's financial advisor for the Board's exploration of strategic alternatives, including a potential sale process. The Transaction Committee's endorsement of BofA Merrill Lynch was based on, among other things, BofA Merrill Lynch's knowledge of Mac-Gray, the industry generally, the current environment for mergers and acquisitions and potential strategic acquirors, as well as BofA Merrill Lynch's proposed process and strategy for maximizing value to Mac-Gray's stockholders should the Board determine that a sale of the company would be in the best interests of stockholders. Representatives of Goodwin Procter reviewed with the Board the terms of proposed BofA Merrill Lynch engagement. Based on the recommendation of the Transaction Committee, the Board unanimously approved the engagement of BofA Merrill Lynch on the terms discussed at this meeting.</t>
        </is>
      </c>
    </row>
    <row r="18">
      <c r="A18" s="9" t="inlineStr">
        <is>
          <t>P-017</t>
        </is>
      </c>
      <c r="B18" s="9" t="inlineStr">
        <is>
          <t>Background of the Merger</t>
        </is>
      </c>
      <c r="C18" s="9" t="n">
        <v>29</v>
      </c>
      <c r="D18" s="9" t="inlineStr">
        <is>
          <t>Later on May 30, 2013, Mac-Gray held its annual stockholder meeting at which, among other actions, the Mac-Gray stockholders elected as directors Michael M. Rothenberg and James E. Hyman, candidates nominated by Mac-Gray's stockholder, Moab Partners, L.P. and certain of its affiliates, which we refer collectively to as Moab. Mac-Gray and Moab engaged in a proxy contest leading up to the annual meeting and Mr. Rothenberg and Mr. Hyman were elected in place of Mac-Gray's incumbent nominees, David W. Bryan and Mary Ann Tocio. Edward McCauley's term expired at the annual meeting, at which time the size of the Board was reduced to seven. Mr. Rothenberg is a co-founder and the General Partner of Moab and Mr. Hyman is president and chief executive officer of TestAmerica, Inc., the nation's largest provider of environmental testing services, a role he has held since 2011.</t>
        </is>
      </c>
    </row>
    <row r="19">
      <c r="A19" s="9" t="inlineStr">
        <is>
          <t>P-018</t>
        </is>
      </c>
      <c r="B19" s="9" t="inlineStr">
        <is>
          <t>Background of the Merger</t>
        </is>
      </c>
      <c r="C19" s="9" t="n">
        <v>30</v>
      </c>
      <c r="D19" s="9" t="inlineStr">
        <is>
          <t>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t>
        </is>
      </c>
    </row>
    <row r="20">
      <c r="A20" s="9" t="inlineStr">
        <is>
          <t>P-019</t>
        </is>
      </c>
      <c r="B20" s="9" t="inlineStr">
        <is>
          <t>Background of the Merger</t>
        </is>
      </c>
      <c r="C20" s="9" t="n">
        <v>30</v>
      </c>
      <c r="D20" s="9" t="inlineStr">
        <is>
          <t>On June 12, 2013, Mr. Rothenberg and Mr. Hyman met individually with Mr. Bullock, Mr. Daoust, Ms. Serafini and representatives from Goodwin Procter as part of their orientation as new members of the Board. Each was provided with an overview of the status of the Board's review of strategic alternatives and a potential sale process. At the meeting with Mr. Rothenberg, the participants discussed that, to the extent Moab might have an interest in an equity rollover of all or a portion of Moab's shares of Mac-Gray common stock in connection with any sale transaction that might result from the Board's strategic alternatives process, Mr. Rothenberg would need to be excluded from the process from the outset. At the time of this meeting, Moab beneficially owned approximately 9% of Mac-Gray's outstanding common stock.</t>
        </is>
      </c>
    </row>
    <row r="21">
      <c r="A21" s="9" t="inlineStr">
        <is>
          <t>P-020</t>
        </is>
      </c>
      <c r="B21" s="9" t="inlineStr">
        <is>
          <t>Background of the Merger</t>
        </is>
      </c>
      <c r="C21" s="9" t="n">
        <v>30</v>
      </c>
      <c r="D21" s="9" t="inlineStr">
        <is>
          <t>On June 21, 2013, Party A submitted an unsolicited proposal to the Mac-Gray Board of Directors offering to purchase Mac-Gray for an all-cash purchase price of $17.00 to $19.00 per share, which we refer to as the Party A June 21 proposal.</t>
        </is>
      </c>
    </row>
    <row r="22">
      <c r="A22" s="9" t="inlineStr">
        <is>
          <t>P-021</t>
        </is>
      </c>
      <c r="B22" s="9" t="inlineStr">
        <is>
          <t>Background of the Merger</t>
        </is>
      </c>
      <c r="C22" s="9" t="n">
        <v>30</v>
      </c>
      <c r="D22" s="9" t="inlineStr">
        <is>
          <t>On June 24, 2013, the Mac-Gray Board of Directors held a regularly scheduled meeting. By invitation of the Board, certain members of management, including Mr. MacDonald, Mr. Shea, Mr. MacLellan, Mr. Emma, Ms. Serafini and Sheff Halsey, our chief marketing officer and an executive vice president, and representatives from Goodwin Procter were also present for some or all of the meeting. During this meeting, representatives of Goodwin Procter reviewed for the Board its fiduciary duties in the context of considering strategic alternatives that might be available to Mac-Gray, including a potential sale of the company. The Board also discussed, with input from the members of the Transaction Committee, whether it would be appropriate for each of Mr. MacDonald and Mr. Rothenberg to be excluded from the Board's consideration of strategic alternatives in view of the possibility that Mr. MacDonald and/or Moab could be asked to partner with a potential acquiror given their respective equity stakes in Mac-Gray. Following this discussion, the Board decided, and Mr. MacDonald and Mr. Rothenberg agreed, that it would be appropriate to exclude Mr. MacDonald and Mr. Rothenberg from the Board's evaluation of strategic alternatives and any negotiations with third parties that might take place. Mr. MacDonald excused himself after such discussion. In furtherance of the conclusion to exclude Mr. MacDonald and Mr. Rothenberg from the Board's evaluation of strategic alternatives,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and to recommend to the Board the advisability of any such strategic alternative. In connection with this delegation of authority, the Special Committee was further authorized to (a) consider and evaluate all proposals that might be received by Mac-Gray in connection with a possible sale or other significant business transaction, through any form of transaction, including, without limitation, merger, stock purchase, asset purchase, recapitalization, reorganization, going-private transaction, consolidation, amalgamation or other transaction, (b) participate in and direct the negotiation of the material terms and conditions of any such transaction, (c) consider any alternatives to any such transaction, including without limitation, Mac-Gray's continuing to operate as an independent company and (d) recommend to the Board the advisability of entering into a definitive agreement with respect to any such transaction. Mr. Bullock was appointed chairman of the Special Committee. It was also determined that the Transaction Committee would function as a sub-committee of the Special Committee for the purpose of taking any administrative actions to discharge the duties and responsibilities of the Special Committee.</t>
        </is>
      </c>
    </row>
    <row r="23">
      <c r="A23" s="9" t="inlineStr">
        <is>
          <t>P-022</t>
        </is>
      </c>
      <c r="B23" s="9" t="inlineStr">
        <is>
          <t>Background of the Merger</t>
        </is>
      </c>
      <c r="C23" s="9" t="n">
        <v>31</v>
      </c>
      <c r="D23" s="9" t="inlineStr">
        <is>
          <t>Mr. Rothenberg was then excused and the Board meeting proceeded as a meeting of the Special Committee. By invitation of the Special Committee, Mr. Shea and Mr. Emma and representatives of BofA Merrill Lynch and Goodwin Procter were present for all or portions of the meeting. Mr. Shea and Mr. Emma presented Mac-Gray's five-year strategic business plan and projections, including the with acquisitions case and the without acquisitions case (see "—Projected Financial Information" below), which we refer to as the Projections. Following the management presentation, representatives of BofA Merrill Lynch discussed potential strategic alternatives and the structure and timing of a potential sale process. The Special Committee reviewed Mac-Gray's short and long-term business strategies and discussed the five-year strategic business plan,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 The Special Committee also discussed the risks involved if Mac-Gray did not execute on its strategic business plan, including the difficulties with increasing the Company's stock price without a significant or transformative transaction, such as a major acquisition or restructuring.</t>
        </is>
      </c>
    </row>
    <row r="24">
      <c r="A24" s="9" t="inlineStr">
        <is>
          <t>P-023</t>
        </is>
      </c>
      <c r="B24" s="9" t="inlineStr">
        <is>
          <t>Background of the Merger</t>
        </is>
      </c>
      <c r="C24" s="9" t="n">
        <v>31</v>
      </c>
      <c r="D24" s="9" t="inlineStr">
        <is>
          <t>The Special Committee, in follow up to the considerations introduced at the May 9 th Board meeting, then further considered whether it might be advisable to approach and discuss a potential sale transaction with third parties, including Party A, at this time. The Special Committee discussed the potential risks and benefits of commencing a process in which parties would be invited to review confidential information and submit indications of interest with respect to a potential business combination involving Mac-Gray, focusing again on the potential disruptions to Mac-Gray's business, the risk of leaks that might arise from approaching potential acquirors within the industry and the resulting impact on Mac-Gray's business and the need to disclose during such process sensitive, proprietary and confidential information to competitors and potential competitors. The members of the Special Committee also discussed with BofA Merrill Lynch the likelihood that strategic parties, including CSC and Party A, should be able to pay a higher price for Mac-Gray because of the benefit of synergies, and noted their collective belief that Party A would likely increase the Party A June 21 proposal in light of such synergies if Party A were given the opportunity to conduct business and legal due diligence on a potential acquisition of Mac-Gray. The Special Committee then discussed the other strategic alternatives, including a significant share repurchase program and an extraordinary dividend, and determined that these options were not likely to maximize value for Mac-Gray's stockholders as compared to execution of Mac-Gray's strategic business plan or undertaking a sale of the company. In light of the factors discussed at this meeting, the Special Committee concluded that it would be in the best interests of stockholders to consider a potential sale of Mac-Gray and to review this alternative as compared to Mac-Gray's continuing as a stand-alone company and the risks and opportunities associated with execution of Mac-Gray's strategic business plan.</t>
        </is>
      </c>
    </row>
    <row r="25">
      <c r="A25" s="9" t="inlineStr">
        <is>
          <t>P-024</t>
        </is>
      </c>
      <c r="B25" s="9" t="inlineStr">
        <is>
          <t>Background of the Merger</t>
        </is>
      </c>
      <c r="C25" s="9" t="n">
        <v>31</v>
      </c>
      <c r="D25" s="9" t="inlineStr">
        <is>
          <t>The Special Committee, with the assistance of BofA Merrill Lynch and management, also discussed the general and specific universe of potential acquirors who might be contacted, including those parties the Special Committee believed had the strongest potential to have an interest in engaging in a strategic transaction with Mac-Gray. In its evaluation of potential likely acquirors, the Special Committee considered such parties' financial strength, their experience in acquiring companies in Mac-Gray's industry, such parties' perceived potential interest in Mac-Gray and potential synergies based on such parties' businesses and legal considerations. The Special Committee and BofA Merrill Lynch also discussed that although potential strategic buyers should be able to pay a higher purchase price because of synergies, it was important to solicit interest from financial buyers, including private equity firms, to maximize the competitive dynamics in the sale process. This perspective was based on the fact that many financial buyers had engaged in transactions with companies in industries similar to Mac-Gray and could be in a position to recognize value competitive with potential strategic buyers. Guided by the foregoing principles, the Special Committee determined to approach a total of</t>
        </is>
      </c>
    </row>
    <row r="26">
      <c r="A26" s="9" t="inlineStr">
        <is>
          <t>P-025</t>
        </is>
      </c>
      <c r="B26" s="9" t="inlineStr">
        <is>
          <t>Background of the Merger (cont.)</t>
        </is>
      </c>
      <c r="C26" s="9" t="n">
        <v>32</v>
      </c>
      <c r="D26" s="9" t="inlineStr">
        <is>
          <t>50 parties, including CSC and Pamplona, who together we refer to as CSC/Pamplona, and Party A, to solicit potential interest in a transaction with Mac-Gray, 15 of which were potential strategic buyers and 35 of which were potential financial buyers, including private equity firms.</t>
        </is>
      </c>
    </row>
    <row r="27">
      <c r="A27" s="9" t="inlineStr">
        <is>
          <t>P-026</t>
        </is>
      </c>
      <c r="B27" s="9" t="inlineStr">
        <is>
          <t>Background of the Merger</t>
        </is>
      </c>
      <c r="C27" s="9" t="n">
        <v>32</v>
      </c>
      <c r="D27" s="9" t="inlineStr">
        <is>
          <t>During the next several weeks, in accordance with the directives of the Special Committee, BofA Merrill Lynch contacted the strategic and financial parties identified at the June 24th Special Committee meeting.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and, in some instances upon announcement of a change in control.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The letter requested that the proposals address, among other things, valuation, sources and structures of financing, material conditions, including required approvals, and focus areas for due diligence.</t>
        </is>
      </c>
    </row>
    <row r="28">
      <c r="A28" s="9" t="inlineStr">
        <is>
          <t>P-027</t>
        </is>
      </c>
      <c r="B28" s="9" t="inlineStr">
        <is>
          <t>Background of the Merger</t>
        </is>
      </c>
      <c r="C28" s="9" t="n">
        <v>32</v>
      </c>
      <c r="D28" s="9" t="inlineStr">
        <is>
          <t>On June 28, 2013, the members of the Transaction Committee participated in a telephone conference call with representatives of BofA Merrill Lynch and Goodwin Procter. BofA Merrill Lynch summarized the contacts they had had with certain of the potential bidders. In particular, BofA Merrill Lynch reported that they had spoken with representatives of Party A, as instructed by the Special Committee, who had expressed the view that there would be considerable synergies if Party A were to acquire Mac-Gray and that Party A would be speaking with certain financing sources with respect to funding such a transaction. BofA Merrill Lynch also reported that they had spoken with representatives of Pamplona, as instructed by the Special Committee, who expressed interest in a transaction, including an acquisition of Mac-Gray by its portfolio company, CSC. Pamplona emphasized that business and legal due diligence would be minimal given its familiarity with Mac-Gray and the industry generally.</t>
        </is>
      </c>
    </row>
    <row r="29">
      <c r="A29" s="9" t="inlineStr">
        <is>
          <t>P-028</t>
        </is>
      </c>
      <c r="B29" s="9" t="inlineStr">
        <is>
          <t>Background of the Merger</t>
        </is>
      </c>
      <c r="C29" s="9" t="n">
        <v>32</v>
      </c>
      <c r="D29" s="9" t="inlineStr">
        <is>
          <t>Later on June 28, 2013, Party B, entered into a confidentiality and standstill agreement with Mac-Gray and was provided with an informational package for the purpose of providing Party B with data to formulate a preliminary indication of interest.</t>
        </is>
      </c>
    </row>
    <row r="30">
      <c r="A30" s="9" t="inlineStr">
        <is>
          <t>P-029</t>
        </is>
      </c>
      <c r="B30" s="9" t="inlineStr">
        <is>
          <t>Background of the Merger</t>
        </is>
      </c>
      <c r="C30" s="9" t="n">
        <v>32</v>
      </c>
      <c r="D30" s="9" t="inlineStr">
        <is>
          <t>On June 30, 2013, Party C entered into a confidentiality and standstill agreement with Mac-Gray and was provided with an informational package for the purpose of providing Party C with data to formulate a preliminary indication of interest.</t>
        </is>
      </c>
    </row>
    <row r="31">
      <c r="A31" s="9" t="inlineStr">
        <is>
          <t>P-030</t>
        </is>
      </c>
      <c r="B31" s="9" t="inlineStr">
        <is>
          <t>Background of the Merger</t>
        </is>
      </c>
      <c r="C31" s="9" t="n">
        <v>32</v>
      </c>
      <c r="D31" s="9" t="inlineStr">
        <is>
          <t>On July 3, 2013, Mr. Rothenberg called a representative of Goodwin Procter to indicate that he had spoken with representatives of Pamplona about Moab's desire to maintain the flexibility to consider a possible equity rollover if Pamplona were to participate in a business combination with Mac-Gray. Mr. Rothenberg also informed Goodwin Procter that Pamplona would be requesting that any confidentiality agreement CSC/Pamplona execute with Mac-Gray permit CSC and Pamplona to discuss their bid and evaluation material with Moab, with Moab agreeing to exclusively engage with CSC/Pamplona.</t>
        </is>
      </c>
    </row>
    <row r="32">
      <c r="A32" s="9" t="inlineStr">
        <is>
          <t>P-031</t>
        </is>
      </c>
      <c r="B32" s="9" t="inlineStr">
        <is>
          <t>Background of the Merger</t>
        </is>
      </c>
      <c r="C32" s="9" t="n">
        <v>32</v>
      </c>
      <c r="D32" s="9" t="inlineStr">
        <is>
          <t>On July 6, 2013, the Special Committee held a telephonic meeting for the purpose of receiving an update on the ongoing sale process. By invitation of the Special Committee, representatives from BofA Merrill Lynch and Goodwin Procter were also present throughout the meeting. The Special Committee discussed whether Moab should be permitted to partner exclusively with CSC/Pamplona. Because the</t>
        </is>
      </c>
    </row>
    <row r="33">
      <c r="A33" s="9" t="inlineStr">
        <is>
          <t>P-032</t>
        </is>
      </c>
      <c r="B33" s="9" t="inlineStr">
        <is>
          <t>Background of the Merger (cont.)</t>
        </is>
      </c>
      <c r="C33" s="9" t="n">
        <v>33</v>
      </c>
      <c r="D33" s="9" t="inlineStr">
        <is>
          <t>objective of the sale process was to maximize value for Mac-Gray's stockholders, the Special Committee decided to deny the exclusivity request at this stage of the process so that the potential equity rollover of Moab's shares could be available as a source of capital for other potential bidders. The Special Committee instructed BofA Merrill Lynch and Goodwin Procter to communicate to CSC/Pamplona and Mr. Rothenberg, respectively, that it was premature for Mac-Gray to permit Moab to engage in equity rollover discussions with any party, including CSC/Pamplona, but that such discussions would be permitted at a later stage of the sale process.</t>
        </is>
      </c>
    </row>
    <row r="34">
      <c r="A34" s="9" t="inlineStr">
        <is>
          <t>P-033</t>
        </is>
      </c>
      <c r="B34" s="9" t="inlineStr">
        <is>
          <t>Background of the Merger</t>
        </is>
      </c>
      <c r="C34" s="9" t="n">
        <v>33</v>
      </c>
      <c r="D34" s="9" t="inlineStr">
        <is>
          <t>On July 11, 2013, CSC/Pamplona entered into a confidentiality and standstill agreement with Mac-Gray and were provided with an informational package for the purpose of providing CSC/Pamplona with data to formulate a preliminary indication of interest.</t>
        </is>
      </c>
    </row>
    <row r="35">
      <c r="A35" s="9" t="inlineStr">
        <is>
          <t>P-034</t>
        </is>
      </c>
      <c r="B35" s="9" t="inlineStr">
        <is>
          <t>Background of the Merger</t>
        </is>
      </c>
      <c r="C35" s="9" t="n">
        <v>33</v>
      </c>
      <c r="D35" s="9" t="inlineStr">
        <is>
          <t>Between July 11, 2013 and July 23, 2013, Party B, Party C and CSC/Pamplona engaged in a preliminary review of Mac-Gray and the potential acquisition opportunity. Also during this time, outside counsel to Party A and representatives of Goodwin Procter negotiated the terms of a confidentiality and standstill agreement, but did not come to agreement on the terms of the customer and employee non-solicitation provisions.</t>
        </is>
      </c>
    </row>
    <row r="36">
      <c r="A36" s="9" t="inlineStr">
        <is>
          <t>P-035</t>
        </is>
      </c>
      <c r="B36" s="9" t="inlineStr">
        <is>
          <t>Background of the Merger</t>
        </is>
      </c>
      <c r="C36" s="9" t="n">
        <v>33</v>
      </c>
      <c r="D36" s="9" t="inlineStr">
        <is>
          <t>On July 23, 2013, CSC/Pamplona submitted a preliminary indication of interest at an all-cash purchase price of $18.50 per share.</t>
        </is>
      </c>
    </row>
    <row r="37">
      <c r="A37" s="9" t="inlineStr">
        <is>
          <t>P-036</t>
        </is>
      </c>
      <c r="B37" s="9" t="inlineStr">
        <is>
          <t>Background of the Merger</t>
        </is>
      </c>
      <c r="C37" s="9" t="n">
        <v>33</v>
      </c>
      <c r="D37" s="9" t="inlineStr">
        <is>
          <t>On July 24, 2013, Party B submitted a preliminary indication of interest at an all-cash purchase price of $17.00 to $18.00 per share. Also on July 24, 2013, representatives from Party C called BofA Merrill Lynch and presented an oral preliminary indication of interest at an all-cash purchase price of $15.00 to $17.00 per share.</t>
        </is>
      </c>
    </row>
    <row r="38">
      <c r="A38" s="9" t="inlineStr">
        <is>
          <t>P-037</t>
        </is>
      </c>
      <c r="B38" s="9" t="inlineStr">
        <is>
          <t>Background of the Merger</t>
        </is>
      </c>
      <c r="C38" s="9" t="n">
        <v>33</v>
      </c>
      <c r="D38" s="9" t="inlineStr">
        <is>
          <t>On July 25, 2013, the Board held a regularly scheduled in-person meeting. By invitation of the Board, Mr. Shea and representatives from BofA Merrill Lynch and Goodwin Procter were also present for all or portions of this meeting. Prior to the start of the meeting, because the Board expected to discuss matters related to the sale process, and in light of Moab's continuing interest in a potential equity rollover in any sale transaction, Mr. Rothenberg recused himself from the meeting and the meeting proceeded as a meeting of the Special Committee. At this meeting, representatives of BofA Merrill Lynch reviewed the preliminary indications of interest received from Party B, Party C and CSC/Pamplona as well as the Party A June 21 proposal, in each case from a financial point of view. The Board reviewed management's five-year strategic business plan and Projections. During this meeting, representatives of Goodwin Procter reviewed for the Special Committee its fiduciary duties in the context of considering a potential sale. The Special Committee then discussed the potential conflict of interest arising from Moab's continuing desire to consider an equity rollover and decided that Mr. Rothenberg should be asked to recuse himself from participating in Board meetings for the duration of the sale process so he would not be privy to confidential information about Mac-Gray and our business.</t>
        </is>
      </c>
    </row>
    <row r="39">
      <c r="A39" s="9" t="inlineStr">
        <is>
          <t>P-038</t>
        </is>
      </c>
      <c r="B39" s="9" t="inlineStr">
        <is>
          <t>Background of the Merger</t>
        </is>
      </c>
      <c r="C39" s="9" t="n">
        <v>33</v>
      </c>
      <c r="D39" s="9" t="inlineStr">
        <is>
          <t>The Special Committee discussed that the preliminary indications of interest were lower than expected and suggested that additional due diligence, including with regard to the potential synergies, should result in improved offers by the strategic parties. The Special Committee then discussed the highly competitive nature of Mac-Gray's industry and expressed concern over permitting access to and the potential misuse of sensitive and competitive information, including customer terms and locations, especially by strategic bidders. Accordingly,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Based on this discussion, BofA Merrill Lynch discussed with the Special Committee a proposed process for the second stage of the on-going sale process. As part of this review, BofA Merrill Lynch recommended that management meetings be arranged between members of Mac-Gray management (other than Mr. MacDonald) and each of Party A (if Party A</t>
        </is>
      </c>
    </row>
    <row r="40">
      <c r="A40" s="9" t="inlineStr">
        <is>
          <t>P-039</t>
        </is>
      </c>
      <c r="B40" s="9" t="inlineStr">
        <is>
          <t>Background of the Merger (cont.)</t>
        </is>
      </c>
      <c r="C40" s="9" t="n">
        <v>34</v>
      </c>
      <c r="D40" s="9" t="inlineStr">
        <is>
          <t>agreed to enter into a confidentiality agreement), Party B, Party C and CSC/Pamplona to provide these parties with access to high level information concerning Mac-Gray's technology, pipeline, management team, regional operations, contracts, operations and growth initiatives, and in the case of CSC/Pamplona and Party A, synergies, and to then request that each of these parties submit a revised indication of interest. After discussion and in an effort to drive offers with increased value, the Special Committee authorized and instructed BofA Merrill Lynch to proceed with the staged disclosure as discussed at this meeting and to reach out to each of the four interested bidders and arrange management meetings.</t>
        </is>
      </c>
    </row>
    <row r="41">
      <c r="A41" s="9" t="inlineStr">
        <is>
          <t>P-040</t>
        </is>
      </c>
      <c r="B41" s="9" t="inlineStr">
        <is>
          <t>Background of the Merger</t>
        </is>
      </c>
      <c r="C41" s="9" t="n">
        <v>34</v>
      </c>
      <c r="D41" s="9" t="inlineStr">
        <is>
          <t>Later on July 25, 2013, Party C submitted a written indication of interest at an all-cash purchase price of $16.00 to $16.50 per share.</t>
        </is>
      </c>
    </row>
    <row r="42">
      <c r="A42" s="9" t="inlineStr">
        <is>
          <t>P-041</t>
        </is>
      </c>
      <c r="B42" s="9" t="inlineStr">
        <is>
          <t>Background of the Merger</t>
        </is>
      </c>
      <c r="C42" s="9" t="n">
        <v>34</v>
      </c>
      <c r="D42" s="9" t="inlineStr">
        <is>
          <t>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t>
        </is>
      </c>
    </row>
    <row r="43">
      <c r="A43" s="9" t="inlineStr">
        <is>
          <t>P-042</t>
        </is>
      </c>
      <c r="B43" s="9" t="inlineStr">
        <is>
          <t>Background of the Merger</t>
        </is>
      </c>
      <c r="C43" s="9" t="n">
        <v>34</v>
      </c>
      <c r="D43" s="9" t="inlineStr">
        <is>
          <t>On August 6, 2013, representatives of Party B attended a management presentation at the Boston office of Goodwin Procter with members of Mac-Gray management, representatives of BofA Merrill Lynch and a member of the Transaction Committee.</t>
        </is>
      </c>
    </row>
    <row r="44">
      <c r="A44" s="9" t="inlineStr">
        <is>
          <t>P-043</t>
        </is>
      </c>
      <c r="B44" s="9" t="inlineStr">
        <is>
          <t>Background of the Merger</t>
        </is>
      </c>
      <c r="C44" s="9" t="n">
        <v>34</v>
      </c>
      <c r="D44" s="9" t="inlineStr">
        <is>
          <t>On August 8, 2013, representatives of Party C attended a management presentation at the Boston office of Goodwin Procter with members of Mac-Gray management, representatives of BofA Merrill Lynch and a member of the Transaction Committee.</t>
        </is>
      </c>
    </row>
    <row r="45">
      <c r="A45" s="9" t="inlineStr">
        <is>
          <t>P-044</t>
        </is>
      </c>
      <c r="B45" s="9" t="inlineStr">
        <is>
          <t>Background of the Merger</t>
        </is>
      </c>
      <c r="C45" s="9" t="n">
        <v>34</v>
      </c>
      <c r="D45" s="9" t="inlineStr">
        <is>
          <t>On August 12, 2013, representatives of CSC and Pamplona attended a management presentation at the Boston office of Goodwin Procter with members of Mac-Gray management, representatives of BofA Merrill Lynch and the two members of the Transaction Committee.</t>
        </is>
      </c>
    </row>
    <row r="46">
      <c r="A46" s="9" t="inlineStr">
        <is>
          <t>P-045</t>
        </is>
      </c>
      <c r="B46" s="9" t="inlineStr">
        <is>
          <t>Background of the Merger</t>
        </is>
      </c>
      <c r="C46" s="9" t="n">
        <v>34</v>
      </c>
      <c r="D46" s="9" t="inlineStr">
        <is>
          <t>On August 14, 2013, representatives of Party A attended a management presentation at the Boston office of Goodwin Procter with members of Mac-Gray management, representatives of BofA Merrill Lynch and the two members of the Transaction Committee.</t>
        </is>
      </c>
    </row>
    <row r="47">
      <c r="A47" s="9" t="inlineStr">
        <is>
          <t>P-046</t>
        </is>
      </c>
      <c r="B47" s="9" t="inlineStr">
        <is>
          <t>Background of the Merger</t>
        </is>
      </c>
      <c r="C47" s="9" t="n">
        <v>34</v>
      </c>
      <c r="D47" s="9" t="inlineStr">
        <is>
          <t>On August 15, 2013, the Special Committee held a telephonic meeting for the purpose of reviewing the on-going strategic alternatives process. By invitation of the Special Committee, representatives from BofA Merrill Lynch and Goodwin Procter were also in attendance. BofA Merrill Lynch updated the Special Committee as to the current status of the strategic alternatives process, including the due diligence process and the management presentations with Party A, Party B, Party C and CSC/Pamplona. After discussion and as discussed at the July 25 th Special Committee meeting,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t>
        </is>
      </c>
    </row>
    <row r="48">
      <c r="A48" s="9" t="inlineStr">
        <is>
          <t>P-047</t>
        </is>
      </c>
      <c r="B48" s="9" t="inlineStr">
        <is>
          <t>Background of the Merger</t>
        </is>
      </c>
      <c r="C48" s="9" t="n">
        <v>34</v>
      </c>
      <c r="D48" s="9" t="inlineStr">
        <is>
          <t>Between August 6, 2013 and August 27, 2013, the four bidders conducted business and legal due diligence. During this time,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During this time, both Party A and CSC/Pamplona participated in discussions with members of Mac-Gray management around synergies.</t>
        </is>
      </c>
    </row>
    <row r="49">
      <c r="A49" s="9" t="inlineStr">
        <is>
          <t>P-048</t>
        </is>
      </c>
      <c r="B49" s="9" t="inlineStr">
        <is>
          <t>Background of the Merger</t>
        </is>
      </c>
      <c r="C49" s="9" t="n">
        <v>35</v>
      </c>
      <c r="D49" s="9" t="inlineStr">
        <is>
          <t>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The letter requested that the revised proposals address, among other things, valuation, sources and structures of financing, regulatory approvals and other post-signing covenants and focus areas for due diligence.</t>
        </is>
      </c>
    </row>
    <row r="50">
      <c r="A50" s="9" t="inlineStr">
        <is>
          <t>P-049</t>
        </is>
      </c>
      <c r="B50" s="9" t="inlineStr">
        <is>
          <t>Background of the Merger</t>
        </is>
      </c>
      <c r="C50" s="9" t="n">
        <v>35</v>
      </c>
      <c r="D50" s="9" t="inlineStr">
        <is>
          <t>Also on August 27, 2013, members of Mac-Gray management, representatives from BofA Merrill Lynch and representatives of Party B participated in a telephone conference call for Party B to conduct follow-up and confirmatory due diligence.</t>
        </is>
      </c>
    </row>
    <row r="51">
      <c r="A51" s="9" t="inlineStr">
        <is>
          <t>P-050</t>
        </is>
      </c>
      <c r="B51" s="9" t="inlineStr">
        <is>
          <t>Background of the Merger</t>
        </is>
      </c>
      <c r="C51" s="9" t="n">
        <v>35</v>
      </c>
      <c r="D51" s="9" t="inlineStr">
        <is>
          <t>On August 29, 2013, members of Mac-Gray management, representatives from BofA Merrill Lynch and representatives of Party C participated in an in-person session for Party C to conduct follow-up and confirmatory due diligence.</t>
        </is>
      </c>
    </row>
    <row r="52">
      <c r="A52" s="9" t="inlineStr">
        <is>
          <t>P-051</t>
        </is>
      </c>
      <c r="B52" s="9" t="inlineStr">
        <is>
          <t>Background of the Merger</t>
        </is>
      </c>
      <c r="C52" s="9" t="n">
        <v>35</v>
      </c>
      <c r="D52" s="9" t="inlineStr">
        <is>
          <t>On September 3, 2013, members of Mac-Gray management, representatives from BofA Merrill Lynch and representatives of Party A participated in a telephone conference call for Party A to conduct follow-up and confirmatory due diligence.</t>
        </is>
      </c>
    </row>
    <row r="53">
      <c r="A53" s="9" t="inlineStr">
        <is>
          <t>P-052</t>
        </is>
      </c>
      <c r="B53" s="9" t="inlineStr">
        <is>
          <t>Background of the Merger</t>
        </is>
      </c>
      <c r="C53" s="9" t="n">
        <v>35</v>
      </c>
      <c r="D53" s="9" t="inlineStr">
        <is>
          <t>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t>
        </is>
      </c>
    </row>
    <row r="54">
      <c r="A54" s="9" t="inlineStr">
        <is>
          <t>P-053</t>
        </is>
      </c>
      <c r="B54" s="9" t="inlineStr">
        <is>
          <t>Background of the Merger</t>
        </is>
      </c>
      <c r="C54" s="9" t="n">
        <v>35</v>
      </c>
      <c r="D54" s="9" t="inlineStr">
        <is>
          <t>On September 10, 2013, Party A submitted a revised indication of interest with an all-cash purchase price of $18.00 to $19.00 per share, to be financed by outstanding credit facilities or affiliated equity sources. Also on September 10, 2013, in a telephone call to a representative of BofA Merrill Lynch, a representative of Party C indicated that it was submitting a revised oral indication of interest with an all-cash purchase price of $16.00 to $17.00 per share. Neither Party A's nor Party C's revised indication of interest included a firm financing commitment.</t>
        </is>
      </c>
    </row>
    <row r="55">
      <c r="A55" s="9" t="inlineStr">
        <is>
          <t>P-054</t>
        </is>
      </c>
      <c r="B55" s="9" t="inlineStr">
        <is>
          <t>Background of the Merger</t>
        </is>
      </c>
      <c r="C55" s="9" t="n">
        <v>35</v>
      </c>
      <c r="D55" s="9" t="inlineStr">
        <is>
          <t>On September 11, 2013, members of the Transaction Committee, in a telephone call, without identifying Party A, Party B, Party C or CSC/Pamplona and without indicating any proposed purchase prices, provided Mr. MacDonald with a limited overview of the status of the Special Committee's review of strategic alternatives, including the decision to engage in strategic alternatives process, and the negotiations between Mac-Gray and CSC/Pamplona so that Mr. MacDonald could consider whether he continued to have an interest in potentially rolling over any of his Mac-Gray shares in a transaction. During this call, Mr. MacDonald indicated that he had decided that he was not interested in rolling over any of his shares in any transaction.</t>
        </is>
      </c>
    </row>
    <row r="56">
      <c r="A56" s="9" t="inlineStr">
        <is>
          <t>P-055</t>
        </is>
      </c>
      <c r="B56" s="9" t="inlineStr">
        <is>
          <t>Background of the Merger</t>
        </is>
      </c>
      <c r="C56" s="9" t="n">
        <v>35</v>
      </c>
      <c r="D56" s="9" t="inlineStr">
        <is>
          <t>Later on September 11, 2013, the Special Committee held a telephonic meeting to review the revised indications of interest submitted by Party A, Party B, Party C and CSC/Pamplona. By invitation of the Special Committee, Mr. Shea and Mr. Emma, as well as representatives from BofA Merrill Lynch and Goodwin Procter, were present for all or portions of the meeting. BofA Merrill Lynch reviewed with the Special Committee the current status of the revised indications of interest. The Special Committee also reviewed and discussed the Projections, including the risks and opportunities relating to Mac-Gray's ability to execute its strategic plan as an independent, stand-alone company. The Special Committee also considered the Projections in light of the revised indications of interest. BofA Merrill Lynch then indicated that, based on conversations with Party A, Party B, Party C and CSC/Pamplona, it was unlikely that any of these parties would move forward in the process without the express support of Mr. MacDonald. The Transaction Committee reported that Mr. MacDonald had</t>
        </is>
      </c>
    </row>
    <row r="57">
      <c r="A57" s="9" t="inlineStr">
        <is>
          <t>P-056</t>
        </is>
      </c>
      <c r="B57" s="9" t="inlineStr">
        <is>
          <t>Background of the Merger (cont.)</t>
        </is>
      </c>
      <c r="C57" s="9" t="n">
        <v>36</v>
      </c>
      <c r="D57" s="9" t="inlineStr">
        <is>
          <t>decided that he was not interested in rolling over any of his shares in a transaction and recommended that Mr. MacDonald be fully briefed of the process to date. The Special Committee agreed, noting that Mr. MacDonald's perspective on the purchase price of a sale transaction was critical to the Special Committee's evaluation, as any potential acquiror would be unlikely to proceed without knowing that Mr. MacDonald would support the transaction. Based on the amount of due diligence conducted by Party A, Party B, Party C and CSC/Pamplona, and discussions with such parties to date, and in an effort to maximize value for Mac-Gray's stockholders,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As authorized and instructed by the Special Committee, representatives of BofA Merrill Lynch called each of Party A, Party B, Party C and CSC/Pamplona on September 11, 2013 with such instructions.</t>
        </is>
      </c>
    </row>
    <row r="58">
      <c r="A58" s="9" t="inlineStr">
        <is>
          <t>P-057</t>
        </is>
      </c>
      <c r="B58" s="9" t="inlineStr">
        <is>
          <t>Background of the Merger</t>
        </is>
      </c>
      <c r="C58" s="9" t="n">
        <v>36</v>
      </c>
      <c r="D58" s="9" t="inlineStr">
        <is>
          <t>On September 12, 2013, at the instruction of the Transaction Committee, representatives of BofA Merrill Lynch participated in a telephone conference call with Mr. MacDonald and provided him with a detailed overview of the strategic alternatives process, including the status of negotiations with and the identity of Party A, Party B, Party C and CSC/Pamplona. Although Mr. MacDonald voiced his general support for continuing with the process, he expressed his view that Mac-Gray should continue to seek a higher value for stockholders.</t>
        </is>
      </c>
    </row>
    <row r="59">
      <c r="A59" s="9" t="inlineStr">
        <is>
          <t>P-058</t>
        </is>
      </c>
      <c r="B59" s="9" t="inlineStr">
        <is>
          <t>Background of the Merger</t>
        </is>
      </c>
      <c r="C59" s="9" t="n">
        <v>36</v>
      </c>
      <c r="D59" s="9" t="inlineStr">
        <is>
          <t>Between September 11, 2013 and September 18, 2013, Party A, Party B, Party C and CSC/Pamplona continued to conduct business and legal due diligence.</t>
        </is>
      </c>
    </row>
    <row r="60">
      <c r="A60" s="9" t="inlineStr">
        <is>
          <t>P-059</t>
        </is>
      </c>
      <c r="B60" s="9" t="inlineStr">
        <is>
          <t>Background of the Merger</t>
        </is>
      </c>
      <c r="C60" s="9" t="n">
        <v>36</v>
      </c>
      <c r="D60" s="9" t="inlineStr">
        <is>
          <t>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Also on September 18, 2013, Party A reiterated in a telephone call to a representative of BofA Merrill Lynch that its previous indication of interest with an all-cash purchase price of $18.00 to $19.00 per share was its best and final offer.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 i.e. , over five years), excluding any future acquisitions. Party B's proposal stated that it valued the Party B options at $2.50 of incremental value per share. Party C did not submit a revised indication of interest or reiterate its prior indication of interest of an all-cash purchase price of $16.00 to $17.00 per share nor did it specify any reasons in connection therewith.</t>
        </is>
      </c>
    </row>
    <row r="61">
      <c r="A61" s="9" t="inlineStr">
        <is>
          <t>P-060</t>
        </is>
      </c>
      <c r="B61" s="9" t="inlineStr">
        <is>
          <t>Background of the Merger</t>
        </is>
      </c>
      <c r="C61" s="9" t="n">
        <v>36</v>
      </c>
      <c r="D61" s="9" t="inlineStr">
        <is>
          <t>On September 19, 2013, the Special Committee held an in-person meeting. By invitation of the Special Committee, Mr. MacDonald and Mr. Shea, as well as representatives from BofA Merrill Lynch and Goodwin Procter, were also present for all or portions of the meeting. At this meeting, BofA Merrill Lynch updated the Special Committee as to the current status of the revised indications of interest submitted by Party A, Party B and CSC/Pamplona and reported that Party C did not submit a revised indication of interest or reiterate its prior indication of interest. BofA Merrill Lynch also reported to the Special Committee on Mr. MacDonald's general support for continuing with the process and his view that Mac-Gray should continue to seek a higher value for stockholders. Mr. Shea again reviewed the Projections with the Special Committee and BofA Merrill Lynch. The Special Committee again discussed the Projections, including the risks relating to Mac-Gray's ability to execute its strategic plan as an independent, stand-alone company (including Mac-Gray's ability to identify, acquire and successfully integrate laundry facilities management businesses, establish new and/or renew existing laundry facility management leases and penetrate markets historically dominated by smaller</t>
        </is>
      </c>
    </row>
    <row r="62">
      <c r="A62" s="9" t="inlineStr">
        <is>
          <t>P-061</t>
        </is>
      </c>
      <c r="B62" s="9" t="inlineStr">
        <is>
          <t>Background of the Merger (cont.)</t>
        </is>
      </c>
      <c r="C62" s="9" t="n">
        <v>37</v>
      </c>
      <c r="D62" s="9" t="inlineStr">
        <is>
          <t>local and regional operators, the impact of general economic and market trends on Mac-Gray's sales and the general risks of market conditions that could reduce Mac-Gray's stock price). The Special Committee also again discussed the potential opportunities if Mac-Gray were able to execute its strategic plan as an independent, stand-alone company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The Special Committee also discussed the risks involved if Mac-Gray did not execute on its strategic business plan, including the difficulties with increasing the Company's stock price without a significant or transformative transaction, such as a major acquisition or restructuring. The Special Committee then considered the Projections in light of the revised indications of interest. Representatives from Goodwin Procter again reviewed the Special Committee's fiduciary duties in the context of a sale of the company. The Special Committee then discussed each of the three revised proposals, including their advantages and disadvantages. The Special Committee discussed the risks and complexities of the Party B options, including their contingent and deferred nature and the uncertainties associated with how Mac-Gray's performance would be measured, especially in light of the fact that current Mac-Gray management would not be in control of the surviving corporation to monitor or drive the growth necessary to trigger payment under the Party B options.</t>
        </is>
      </c>
    </row>
    <row r="63">
      <c r="A63" s="9" t="inlineStr">
        <is>
          <t>P-062</t>
        </is>
      </c>
      <c r="B63" s="9" t="inlineStr">
        <is>
          <t>Background of the Merger</t>
        </is>
      </c>
      <c r="C63" s="9" t="n">
        <v>37</v>
      </c>
      <c r="D63" s="9" t="inlineStr">
        <is>
          <t>The representatives from BofA Merrill Lynch were then excused from the meeting and the Special Committee continued its discussion. The Special Committee noted that the indication of interest submitted by Party B, including the Party B options, was on its face higher than the CSC/Pamplona proposal but further discussed the risks and complexities involved with measuring and achieving the performance required to vest the Party B options. The Special Committee also noted that Party B would likely be financing the transaction with a combination of equity from affiliated funds and third party debt capital, which would involve more risk than the Pamplona-funded CSC/Pamplona proposal, which did not require any third party financing. Following a discussion, the Special Committee concluded that the revised indication of interest submitted by CSC/Pamplona had the potential of delivering the most value to stockholders, provided greater certainty and involved less potential risk than the other indications. However,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and authorized the Transaction Committee and Goodwin Procter to negotiate the terms of such exclusivity based on guidance provided by the Special Committee. In addition, at this meeting Mr. MacDonald indicated that he would be supportive of a price of $21.25 per share.</t>
        </is>
      </c>
    </row>
    <row r="64">
      <c r="A64" s="9" t="inlineStr">
        <is>
          <t>P-063</t>
        </is>
      </c>
      <c r="B64" s="9" t="inlineStr">
        <is>
          <t>Background of the Merger</t>
        </is>
      </c>
      <c r="C64" s="9" t="n">
        <v>37</v>
      </c>
      <c r="D64" s="9" t="inlineStr">
        <is>
          <t>On September 21, 2013, the members of the Transaction Committee called the representative of CSC/Pamplona to propose that Mac-Gray was prepared to move forward with CSC/Pamplona on an exclusive basis for two weeks subject to CSC/Pamplona increasing their all-cash purchase price to $21.25 per share. Later that same day,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which we refer to as the MacDonald voting agreements.</t>
        </is>
      </c>
    </row>
    <row r="65">
      <c r="A65" s="9" t="inlineStr">
        <is>
          <t>P-064</t>
        </is>
      </c>
      <c r="B65" s="9" t="inlineStr">
        <is>
          <t>Background of the Merger</t>
        </is>
      </c>
      <c r="C65" s="9" t="n">
        <v>37</v>
      </c>
      <c r="D65" s="9" t="inlineStr">
        <is>
          <t>Between September 21, 2013 and September 23, 2013, the parties negotiated the terms of the exclusivity agreement, including an expiration date of October 12, 2013, the inclusion of a $15 million "reverse" termination fee payable by CSC/Pamplona to Mac-Gray in the event regulatory clearance is not obtained, which we refer to as the CSC reverse termination fee, agreements regarding certain post-signing covenants, the fact that there would be no financing contingency and that Pamplona was</t>
        </is>
      </c>
    </row>
    <row r="66">
      <c r="A66" s="9" t="inlineStr">
        <is>
          <t>P-065</t>
        </is>
      </c>
      <c r="B66" s="9" t="inlineStr">
        <is>
          <t>Background of the Merger (cont.)</t>
        </is>
      </c>
      <c r="C66" s="9" t="n">
        <v>38</v>
      </c>
      <c r="D66" s="9" t="inlineStr">
        <is>
          <t>committing to fund 100% of the capital needed for closing, which, together with the all-cash per share purchase price of $21.25, we refer to as the CSC/Pamplona final proposal. The parties also agreed that the exclusivity agreement would automatically terminate if CSC or Pamplona adversely changed any of the terms of the CSC/Pamplona final proposal.</t>
        </is>
      </c>
    </row>
    <row r="67">
      <c r="A67" s="9" t="inlineStr">
        <is>
          <t>P-066</t>
        </is>
      </c>
      <c r="B67" s="9" t="inlineStr">
        <is>
          <t>Background of the Merger</t>
        </is>
      </c>
      <c r="C67" s="9" t="n">
        <v>38</v>
      </c>
      <c r="D67" s="9" t="inlineStr">
        <is>
          <t>On September 23, 2013, representatives from Goodwin Procter participated in a telephone conference call with Mr. Rothenberg and his counsel to inform Mr. Rothenberg, on a limited basis, of the status of the Special Committee's review of strategic alternatives and the negotiations between Mac-Gray and CSC and Pamplona to provide Moab with the opportunity to resume discussions with CSC/Pamplona regarding a possible equity rollover of Moab's shares in the transaction if Moab still had an interest in such a rollover. Mr. Rothenberg indicated he would like to discuss the possibility of an equity rollover with CSC/Pamplona and it was agreed that representatives of BofA Merrill Lynch would arrange and facilitate such a discussion.</t>
        </is>
      </c>
    </row>
    <row r="68">
      <c r="A68" s="9" t="inlineStr">
        <is>
          <t>P-067</t>
        </is>
      </c>
      <c r="B68" s="9" t="inlineStr">
        <is>
          <t>Background of the Merger</t>
        </is>
      </c>
      <c r="C68" s="9" t="n">
        <v>38</v>
      </c>
      <c r="D68" s="9" t="inlineStr">
        <is>
          <t>Later on September 23, 2013, the Special Committee held a telephonic meeting, the purpose of which was to receive an update on the negotiations from the Transaction Committee and Goodwin Procter regarding the CSC/Pamplona final proposal and request for exclusivity. Representatives from Goodwin Procter reviewed the terms of the CSC/Pamplona final proposal with the Special Committee, including the $21.25 per share cash consideration, the $15 million CSC reverse termination fee, certain post-signing covenants, the fact that there would be no financing contingency and that Pamplona was committing to fund 100% of the capital needed for closing. After discussion, the Special Committee authorized Mac-Gray to enter into an exclusivity agreement providing for exclusive negotiations until 5 p.m. ET on October 12, 2013 on the terms included in the CSC/Pamplona final proposal and authorized the Transaction Committee and Goodwin Procter to continue negotiations with CSC/Pamplona based on guidance provided by the Special Committee at this meeting.</t>
        </is>
      </c>
    </row>
    <row r="69">
      <c r="A69" s="9" t="inlineStr">
        <is>
          <t>P-068</t>
        </is>
      </c>
      <c r="B69" s="9" t="inlineStr">
        <is>
          <t>Background of the Merger</t>
        </is>
      </c>
      <c r="C69" s="9" t="n">
        <v>38</v>
      </c>
      <c r="D69" s="9" t="inlineStr">
        <is>
          <t>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t>
        </is>
      </c>
    </row>
    <row r="70">
      <c r="A70" s="9" t="inlineStr">
        <is>
          <t>P-069</t>
        </is>
      </c>
      <c r="B70" s="9" t="inlineStr">
        <is>
          <t>Background of the Merger</t>
        </is>
      </c>
      <c r="C70" s="9" t="n">
        <v>38</v>
      </c>
      <c r="D70" s="9" t="inlineStr">
        <is>
          <t>On September 25, 2013, Goodwin Procter delivered to Kirkland &amp; Ellis LLP, outside legal counsel to CSC/Pamplona, whom we refer to as Kirkland, the initial draft of the merger agreement. Between September 25, 2013 and October 7, 2013, the Transaction Committee and representatives from CSC/Pamplona, Goodwin Procter and Kirkland negotiated the terms of the merger agreement (including our ability to respond to unsolicited inquiries following the announcement of the transaction and our right to terminate the merger agreement to accept a superior proposal) and the Pamplona commitment letter. The parties discussed various open points in the merger agreement and the Pamplona commitment letter, including the proposal by Mac-Gray that both Pamplona and CSC be responsible in the event CSC failed to consummate the merger, including liability for any and all damages resulting from a breach of the merger agreement, certain post-signing covenants and the parties' termination rights, including the amount of the termination fee payable by Mac-Gray to CSC under certain circumstances (which we refer to as the Mac-Gray termination fee), which Mac-Gray proposed should approximate 2.5% of the total equity value of the transaction. Also during this time, CSC and Pamplona were granted full access to the electronic data site and access to certain members of management and conducted confirmatory business and legal due diligence on Mac-Gray. Mr. Rothenberg engaged in various discussions with representatives of Pamplona during this time to discuss a possible rollover of Moab shares. As a result of such discussions, it was determined that Moab would not rollover any Moab shares in the transaction. Following such determination, BofA Merrill Lynch and the Transaction Committee provided Mr. Rothenberg with the details regarding the Special Committee's review of strategic alternatives and the negotiations between Mac-Gray and CSC/Pamplona.</t>
        </is>
      </c>
    </row>
    <row r="71">
      <c r="A71" s="9" t="inlineStr">
        <is>
          <t>P-070</t>
        </is>
      </c>
      <c r="B71" s="9" t="inlineStr">
        <is>
          <t>Background of the Merger</t>
        </is>
      </c>
      <c r="C71" s="9" t="n">
        <v>39</v>
      </c>
      <c r="D71" s="9" t="inlineStr">
        <is>
          <t>Between September 24, 2013 and September 27, 2013, Kirkland and outside counsel to Mr. MacDonald negotiated the terms of the MacDonald voting agreements, which were entered into by Mr. MacDonald, his wife and one of his trusts on September 27, 2013, and which became effective upon entry into the merger agreement.</t>
        </is>
      </c>
    </row>
    <row r="72">
      <c r="A72" s="9" t="inlineStr">
        <is>
          <t>P-071</t>
        </is>
      </c>
      <c r="B72" s="9" t="inlineStr">
        <is>
          <t>Background of the Merger</t>
        </is>
      </c>
      <c r="C72" s="9" t="n">
        <v>39</v>
      </c>
      <c r="D72" s="9" t="inlineStr">
        <is>
          <t>On October 1, 2013, representatives of Mac-Gray management, along with representatives from BofA Merrill Lynch and representatives from CSC/Pamplona attended a meeting at the Boston offices of Goodwin Procter for purposes of conducting confirmatory business due diligence. Representatives of Mac-Gray, Goodwin Procter, BofA Merrill Lynch and representatives of CSC/Pamplona and Kirkland participated in various telephone conference calls over the subsequent days to finalize business and legal due diligence.</t>
        </is>
      </c>
    </row>
    <row r="73">
      <c r="A73" s="9" t="inlineStr">
        <is>
          <t>P-072</t>
        </is>
      </c>
      <c r="B73" s="9" t="inlineStr">
        <is>
          <t>Background of the Merger</t>
        </is>
      </c>
      <c r="C73" s="9" t="n">
        <v>39</v>
      </c>
      <c r="D73" s="9" t="inlineStr">
        <is>
          <t>On October 5, 2013, Kirkland delivered to Goodwin Procter a revised draft of the Pamplona commitment letter which, among other things, proposed that, in addition to CSC, Pamplona would be responsible in the event CSC failed to consummate the merger, but that Pamplona's liability for damages resulting from a breach of the merger agreement would be limited to an unspecified dollar amount.</t>
        </is>
      </c>
    </row>
    <row r="74">
      <c r="A74" s="9" t="inlineStr">
        <is>
          <t>P-073</t>
        </is>
      </c>
      <c r="B74" s="9" t="inlineStr">
        <is>
          <t>Background of the Merger</t>
        </is>
      </c>
      <c r="C74" s="9" t="n">
        <v>39</v>
      </c>
      <c r="D74" s="9" t="inlineStr">
        <is>
          <t>On October 7, 2013, the Special Committee held a telephonic meeting, the purpose of which was to receive an update on the transaction negotiations from the Transaction Committee and Goodwin Procter. By invitation of the Special Committee, Mr. MacDonald was also present for a portion of the meeting. Mr. Daoust reported to the Special Committee that, after discussions between Moab and representatives of Pamplona, it was determined that Moab would not rollover any Moab shares in the transaction. Mr. Daoust also provided the Special Committee with an overview of the open business points and the progress the parties had made since the September 23 rd Special Committee meeting. Representatives from Goodwin Procter then reported on the progress that had been made in diligence and summarized the open issues in the merger agreement and the Pamplona commitment letter, including to what extent Pamplona would be responsible in the event CSC failed to consummate the merger, including CSC's and Pamplona's liability for damages resulting from a breach of the merger agreement, certain post-signing covenants and the parties' termination rights, including the amounts of the Mac-Gray termination fee and the CSC reverse termination fee. The Special Committee authorized the Transaction Committee and Goodwin Procter to continue negotiations with CSC/Pamplona, and, among other things, provided guidance with respect to the open transaction issues discussed at the meeting.</t>
        </is>
      </c>
    </row>
    <row r="75">
      <c r="A75" s="9" t="inlineStr">
        <is>
          <t>P-074</t>
        </is>
      </c>
      <c r="B75" s="9" t="inlineStr">
        <is>
          <t>Background of the Merger</t>
        </is>
      </c>
      <c r="C75" s="9" t="n">
        <v>39</v>
      </c>
      <c r="D75" s="9" t="inlineStr">
        <is>
          <t>Also on October 7, 2013, Kirkland delivered to Goodwin Procter a revised draft of the merger agreement which, among other things, proposed a $15 million Mac-Gray termination fee, which represented approximately 4.4% of the total equity value of the transaction, and certain positions on the scope of various post-signing covenants.</t>
        </is>
      </c>
    </row>
    <row r="76">
      <c r="A76" s="9" t="inlineStr">
        <is>
          <t>P-075</t>
        </is>
      </c>
      <c r="B76" s="9" t="inlineStr">
        <is>
          <t>Background of the Merger</t>
        </is>
      </c>
      <c r="C76" s="9" t="n">
        <v>39</v>
      </c>
      <c r="D76" s="9" t="inlineStr">
        <is>
          <t>On October 8, 2013, representatives from Goodwin Procter and Kirkland participated in a telephone conference call to discuss the open points in the merger agreement and the Pamplona commitment letter, including to what extent Pamplona would also have liability in the event CSC failed to consummate the merger, which Kirkland proposed, at the direction of CSC/Pamplona, be capped at $50 million. Kirkland and Goodwin Procter also discussed CSC's and Pamplona's liability for damages resulting from a breach of the merger agreement, certain post-signing covenants and the parties' termination rights, including the amounts of the Mac-Gray termination fee and the CSC reverse termination fee. The parties also discussed potential compromises on the post-signing covenants. Goodwin Procter and Kirkland agreed to communicate these positions to their respective clients. Later that day, after various discussions among representatives from CSC/Pamplona, Kirkland, Goodwin Procter and the members of the Transaction Committee, and on behalf of the Special Committee, Goodwin Procter sent an e-mail to the representatives of Kirkland that proposed to accept the</t>
        </is>
      </c>
    </row>
    <row r="77">
      <c r="A77" s="9" t="inlineStr">
        <is>
          <t>P-076</t>
        </is>
      </c>
      <c r="B77" s="9" t="inlineStr">
        <is>
          <t>Background of the Merger (cont.)</t>
        </is>
      </c>
      <c r="C77" s="9" t="n">
        <v>40</v>
      </c>
      <c r="D77" s="9" t="inlineStr">
        <is>
          <t>$50 million liability cap proposed by Pamplona and proposed a $10.5 million Mac-Gray termination fee, which represented approximately 3.0% of the total equity value of the transaction.</t>
        </is>
      </c>
    </row>
    <row r="78">
      <c r="A78" s="9" t="inlineStr">
        <is>
          <t>P-077</t>
        </is>
      </c>
      <c r="B78" s="9" t="inlineStr">
        <is>
          <t>Background of the Merger</t>
        </is>
      </c>
      <c r="C78" s="9" t="n">
        <v>40</v>
      </c>
      <c r="D78" s="9" t="inlineStr">
        <is>
          <t>On October 9, 2013, in follow up to the October 8, 2013 negotiations and proposals made by Goodwin Procter, the members of the Transaction Committee participated in a telephone conference call with a representative from CSC/Pamplona to discuss the open issues in the merger agreement, including certain post-signing covenants and the parties' termination rights, including the amounts of the Mac-Gray termination fee and the CSC reverse termination fee, but did not reach agreement on these issues.</t>
        </is>
      </c>
    </row>
    <row r="79">
      <c r="A79" s="9" t="inlineStr">
        <is>
          <t>P-078</t>
        </is>
      </c>
      <c r="B79" s="9" t="inlineStr">
        <is>
          <t>Background of the Merger</t>
        </is>
      </c>
      <c r="C79" s="9" t="n">
        <v>40</v>
      </c>
      <c r="D79" s="9" t="inlineStr">
        <is>
          <t>Later on October 9, 2013, the Special Committee held a telephonic meeting, the purpose of which was to receive an update on the transaction negotiations from the Transaction Committee and Goodwin Procter. By invitation of the Special Committee, Mr. MacDonald was also present at this meeting. The Transaction Committee reported to the Special Committee on the negotiations that had taken place since the meeting of the Special Committee held on October 7, 2013. The Transaction Committee reported that the parties had come to an agreement that Pamplona's liability for certain damages would be limited to $50 million, but that certain post-signing covenants and the amounts of the termination fees remained open issues. The Special Committee discussed various alternatives that could be proposed to CSC/Pamplona on the open issues. Goodwin Procter then reported that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The Special Committee also determined to reconvene for an update telephone conference call on October 11, 2013.</t>
        </is>
      </c>
    </row>
    <row r="80">
      <c r="A80" s="9" t="inlineStr">
        <is>
          <t>P-079</t>
        </is>
      </c>
      <c r="B80" s="9" t="inlineStr">
        <is>
          <t>Background of the Merger</t>
        </is>
      </c>
      <c r="C80" s="9" t="n">
        <v>40</v>
      </c>
      <c r="D80" s="9" t="inlineStr">
        <is>
          <t>On October 10, 2013, the members of the Transaction Committee and the representative of CSC/Pamplona engaged in various discussions regarding the open issues, including certain post-signing covenants and the amounts of the termination fees. While the parties reached a compromise on the post-signing covenants, no agreement was reached on the amount of the Mac-Gray termination fee. On October 11, 2013, the Special Committee held a telephonic meeting to discuss the proposed terms of the transaction and the status of discussions with CSC/Pamplona. By invitation of the Special Committee, Mr. Rothenberg and representatives of Goodwin Procter were also present. The members of the Transaction Committee reviewed with the Special Committee the negotiations that had taken place with representatives from CSC/Pamplona since the October 9 th Special Committee meeting. The Transaction Committee reported that CSC/Pamplona, on the one hand, and the Transaction Committee (as authorized by the Special Committee at the October 9 th meeting), on the other hand, had come to an agreement on certain post-signing covenants but that the parties had not reached agreement on the amount of the Mac-Gray termination fee. The Special Committee also discussed the fact that the exclusivity agreement would be expiring at 5 p.m. ET on October 12, 2013 and that CSC/Pamplona had requested an extension of exclusivity until the end of the day on October 15, 2013. After discussions, the Special Committee determined that the members of the Transaction Committee and representatives of Goodwin Procter should communicate to the representative of CSC/Pamplona and representatives at Kirkland, respectively, that the Special Committee continued to object to the $15 million Mac-Gray termination fee proposed by CSC/Pamplona and would not be willing to extend exclusivity unless a lower amount were agreed to. The Special Committee confirmed that the Transaction Committee and representatives of Mac-Gray were authorized to extend the exclusivity agreement until 11:59 p.m. on ET on October 15, 2013 if CSC/Pamplona would agree to a Mac-Gray termination fee of not more than $11 million, which represented approximately 3.2% of the total equity value of the transaction.</t>
        </is>
      </c>
    </row>
    <row r="81">
      <c r="A81" s="9" t="inlineStr">
        <is>
          <t>P-080</t>
        </is>
      </c>
      <c r="B81" s="9" t="inlineStr">
        <is>
          <t>Background of the Merger</t>
        </is>
      </c>
      <c r="C81" s="9" t="n">
        <v>40</v>
      </c>
      <c r="D81" s="9" t="inlineStr">
        <is>
          <t>Later on October 11, 2013, the two members of the Transaction Committee telephoned CSC/Pamplona and communicated the Special Committee's position. Shortly following that conversation, the representative of CSC/Pamplona telephoned Mr. Daoust and agreed to the $11 million Mac-Gray</t>
        </is>
      </c>
    </row>
    <row r="82">
      <c r="A82" s="9" t="inlineStr">
        <is>
          <t>P-081</t>
        </is>
      </c>
      <c r="B82" s="9" t="inlineStr">
        <is>
          <t>Background of the Merger (cont.)</t>
        </is>
      </c>
      <c r="C82" s="9" t="n">
        <v>41</v>
      </c>
      <c r="D82" s="9" t="inlineStr">
        <is>
          <t>termination fee. Following such agreement, Goodwin Procter delivered Kirkland revised drafts of the merger agreement and the Pamplona commitment letter.</t>
        </is>
      </c>
    </row>
    <row r="83">
      <c r="A83" s="9" t="inlineStr">
        <is>
          <t>P-082</t>
        </is>
      </c>
      <c r="B83" s="9" t="inlineStr">
        <is>
          <t>Background of the Merger</t>
        </is>
      </c>
      <c r="C83" s="9" t="n">
        <v>41</v>
      </c>
      <c r="D83" s="9" t="inlineStr">
        <is>
          <t>On October 12, 2013, CSC, Pamplona and Mac-Gray executed a letter agreement extending exclusivity until 11:59 p.m. ET on October 15, 2013.</t>
        </is>
      </c>
    </row>
    <row r="84">
      <c r="A84" s="9" t="inlineStr">
        <is>
          <t>P-083</t>
        </is>
      </c>
      <c r="B84" s="9" t="inlineStr">
        <is>
          <t>Background of the Merger</t>
        </is>
      </c>
      <c r="C84" s="9" t="n">
        <v>41</v>
      </c>
      <c r="D84" s="9" t="inlineStr">
        <is>
          <t>Between October 12, 2013 and October 14, 2013, Kirkland and Goodwin Procter finalized the remaining unresolved issues in the merger agreement and the Pamplona commitment letter.</t>
        </is>
      </c>
    </row>
    <row r="85">
      <c r="A85" s="9" t="inlineStr">
        <is>
          <t>P-084</t>
        </is>
      </c>
      <c r="B85" s="9" t="inlineStr">
        <is>
          <t>Background of the Merger</t>
        </is>
      </c>
      <c r="C85" s="9" t="n">
        <v>41</v>
      </c>
      <c r="D85" s="9" t="inlineStr">
        <is>
          <t>Between October 8, 2013 and October 14, 2013, Kirkland and counsel for Moab negotiated the terms of a voting agreement for Moab.</t>
        </is>
      </c>
    </row>
    <row r="86">
      <c r="A86" s="9" t="inlineStr">
        <is>
          <t>P-085</t>
        </is>
      </c>
      <c r="B86" s="9" t="inlineStr">
        <is>
          <t>Background of the Merger</t>
        </is>
      </c>
      <c r="C86" s="9" t="n">
        <v>41</v>
      </c>
      <c r="D86" s="9" t="inlineStr">
        <is>
          <t>On October 14, 2013, the Special Committee held a meeting via teleconference to discuss the final terms of the transaction and the proposed definitive merger agreement and related documents. By invitation of the Special Committee, Mr. Rothenberg and representatives of BofA Merrill Lynch and Goodwin Procter were also present for all or portions of the meeting. The members of the Transaction Committee reported to the Special Committee on the negotiations that had taken place since the meeting of the Special Committee held on October 11, 2013, and in particular that the Transaction Committee and CSC had come to an agreement on the remaining open business points, including the post-signing covenants and the termination fees. Goodwin Procter again reviewed with the Special Committee its fiduciary duties and provided a summary of the terms of the proposed merger agreement and the Pamplona capital commitment letter, copies of which were provided to the directors prior to the meeting. Also at this meeting, BofA Merrill Lynch reviewed with the Special Committee its financial analysis of the consideration and delivered to the Special Committee an oral opinion, which was confirmed by delivery of a written opinion dated, October 14, 2013, to the effect that, as of that date and based on and subject to the assumptions and limitations described in its opinion, the consideration to be received by holders of Mac-Gray common stock was fair, from a financial point of view, to such holders. Following these presentations, the Special Committee went into an executive session that excluded BofA Merrill Lynch and, after discussion, the Special Committee unanimously determined to recommend to the Board that the merger agreement and the merger were advisable and in the best interests of Mac-Gray's stockholders and that the Board approve the merger on the terms and subject to the conditions set forth in the merger agreement, adopt the merger agreement and recommend that the Mac-Gray stockholders adopt and approve the merger agreement. The Special Committee meeting then adjourned.</t>
        </is>
      </c>
    </row>
    <row r="87">
      <c r="A87" s="9" t="inlineStr">
        <is>
          <t>P-086</t>
        </is>
      </c>
      <c r="B87" s="9" t="inlineStr">
        <is>
          <t>Background of the Merger</t>
        </is>
      </c>
      <c r="C87" s="9" t="n">
        <v>41</v>
      </c>
      <c r="D87" s="9" t="inlineStr">
        <is>
          <t>Following the adjournment of the Special Committee meeting, a meeting of the Mac-Gray Board of Directors convened. All members of the Board participated. Representatives from Goodwin Procter led a discussion on the terms of the merger agreement and advised the Board regarding the likely timing for execution of a definitive agreement and public announcement of the transaction and a projected closing timetable should the Board approve the merger. After discussion, the Board (upon the recommendation of the Special Committee) unanimously determined that the merger agreement and the merger were advisable and in the best interests of Mac-Gray's stockholders, approved the merger on the terms and subject to the conditions set forth in the merger agreement, adopted the merger agreement and recommended that the Mac-Gray stockholders adopt and approve the merger agreement.</t>
        </is>
      </c>
    </row>
    <row r="88">
      <c r="A88" s="9" t="inlineStr">
        <is>
          <t>P-087</t>
        </is>
      </c>
      <c r="B88" s="9" t="inlineStr">
        <is>
          <t>Background of the Merger</t>
        </is>
      </c>
      <c r="C88" s="9" t="n">
        <v>41</v>
      </c>
      <c r="D88" s="9" t="inlineStr">
        <is>
          <t>Later in the day, on October 14, 2013, the merger agreement was executed, the Pamplona commitment letter was delivered, Moab and Parent executed the Moab voting agreement and the Mac-Donald voting agreements became effective.</t>
        </is>
      </c>
    </row>
    <row r="89">
      <c r="A89" s="9" t="inlineStr">
        <is>
          <t>P-088</t>
        </is>
      </c>
      <c r="B89" s="9" t="inlineStr">
        <is>
          <t>Background of the Merger</t>
        </is>
      </c>
      <c r="C89" s="9" t="n">
        <v>41</v>
      </c>
      <c r="D89" s="9" t="inlineStr">
        <is>
          <t>On October 15, 2013, before the U.S. stock markets opened, Mac-Gray and CSC jointly announced the execution of the merger agreement.</t>
        </is>
      </c>
    </row>
    <row r="90">
      <c r="A90" s="9" t="inlineStr">
        <is>
          <t>X-001</t>
        </is>
      </c>
      <c r="B90" s="9" t="inlineStr">
        <is>
          <t>Proxy statement conventions (defined terms)</t>
        </is>
      </c>
      <c r="C90" s="9" t="n">
        <v>2</v>
      </c>
      <c r="D90" s="9" t="inlineStr">
        <is>
          <t>In this proxy statement, the terms "we," "us," "our company," and "Mac-Gray" refer to Mac-Gray Corporation, the term "Parent" refers to Spin Holdco Inc., the term "Merger Subsidiary" refers to CSC Fenway, Inc., the term "Holdings" refers to CSC ServiceWorks Holdings, Inc., the term "CSC" refers to CSC ServiceWorks, Inc. the term "Buyer Entity" refers to any of Parent, Holdings or CSC, as applicable, the term Pamplona refers to Pamplona Capital Partners III, L.P. and the term "merger agreement" refers to the Agreement and Plan of Merger, dated as of October 14, 2013, by and among Mac-Gray, Parent, Merger Subsidiary, Holdings and CSC, as it may be amended from time to time.</t>
        </is>
      </c>
    </row>
    <row r="91">
      <c r="A91" s="9" t="inlineStr">
        <is>
          <t>X-002</t>
        </is>
      </c>
      <c r="B91" s="9" t="inlineStr">
        <is>
          <t>The Companies - Mac-Gray Corporation</t>
        </is>
      </c>
      <c r="C91" s="9" t="n">
        <v>26</v>
      </c>
      <c r="D91" s="9" t="inlineStr">
        <is>
          <t>Mac-Gray Corporation is the second largest laundry facilities management contractor in the United States. Through our portfolio of card- and coin-operated laundry equipment located in laundry facilities across the country, we provide laundry convenience to residents of multi-unit housing such as apartment buildings, condominiums, colleges and university residence halls, public housing complexes, and hotels and motels. Based on our ongoing survey of colleges and universities, we believe that we are the largest provider of such services to the college and university market in the United States.</t>
        </is>
      </c>
    </row>
    <row r="92">
      <c r="A92" s="9" t="inlineStr">
        <is>
          <t>X-003</t>
        </is>
      </c>
      <c r="B92" s="9" t="inlineStr">
        <is>
          <t>The Companies - CSC ServiceWorks, Inc.</t>
        </is>
      </c>
      <c r="C92" s="9" t="n">
        <v>26</v>
      </c>
      <c r="D92" s="9" t="inlineStr">
        <is>
          <t>CSC ServiceWorks, Inc., with over one million machines in service, is the leading provider of multi-family housing and commercial laundry solutions as well as the industry leader in air vending services at convenience stores and gas stations. CSC's family of businesses includes: Coinmach Corp., ASI Campus Laundry Solutions, SDI Laundry Solutions, Sparkle Solutions Corp., Appliance Warehouse of America, AIR-serv, AirValet and Super Laundry. CSC has a workforce of over 2,250 dedicated professionals throughout the United States, Canada and Europe.</t>
        </is>
      </c>
    </row>
    <row r="93">
      <c r="A93" s="9" t="inlineStr">
        <is>
          <t>X-004</t>
        </is>
      </c>
      <c r="B93" s="9" t="inlineStr">
        <is>
          <t>The Companies - CSC ServiceWorks Holdings, Inc.</t>
        </is>
      </c>
      <c r="C93" s="9" t="n">
        <v>26</v>
      </c>
      <c r="D93" s="9" t="inlineStr">
        <is>
          <t>CSC ServiceWorks Holdings, Inc. is a Delaware corporation and the sole stockholder of CSC.</t>
        </is>
      </c>
    </row>
    <row r="94">
      <c r="A94" s="9" t="inlineStr">
        <is>
          <t>X-005</t>
        </is>
      </c>
      <c r="B94" s="9" t="inlineStr">
        <is>
          <t>The Companies - Spin Holdco Inc.</t>
        </is>
      </c>
      <c r="C94" s="9" t="n">
        <v>26</v>
      </c>
      <c r="D94" s="9" t="inlineStr">
        <is>
          <t>Spin Holdco Inc. is a Delaware corporation and a wholly-owned subsidiary of CSC.</t>
        </is>
      </c>
    </row>
    <row r="95">
      <c r="A95" s="9" t="inlineStr">
        <is>
          <t>X-006</t>
        </is>
      </c>
      <c r="B95" s="9" t="inlineStr">
        <is>
          <t>The Companies - CSC Fenway, Inc.</t>
        </is>
      </c>
      <c r="C95" s="9" t="n">
        <v>26</v>
      </c>
      <c r="D95" s="9" t="inlineStr">
        <is>
          <t>CSC Fenway, Inc. is a Delaware corporation and a wholly-owned subsidiary of Parent.</t>
        </is>
      </c>
    </row>
    <row r="96">
      <c r="A96" s="9" t="inlineStr">
        <is>
          <t>X-007</t>
        </is>
      </c>
      <c r="B96" s="9" t="inlineStr">
        <is>
          <t>Summary - The Special Meeting (record date and shares outstanding)</t>
        </is>
      </c>
      <c r="C96" s="9" t="n">
        <v>3</v>
      </c>
      <c r="D96" s="9" t="inlineStr">
        <is>
          <t>Record Date and Quorum. You are entitled to vote at the special meeting if you owned shares of Mac-Gray common stock at the close of business on November 27, 2013, the record date for the special meeting. You will have one vote for each share of Mac-Gray common stock that you owned on the record date. As of November 27, 2013, there were 14,758,306 shares of Mac-Gray common stock issued and outstanding and entitled to vote. A majority of Mac-Gray common stock issued, outstanding and entitled to vote at the special meeting, present in person or represented by proxy, constitutes a quorum for the purpose of the special meeting.</t>
        </is>
      </c>
    </row>
    <row r="97">
      <c r="A97" s="9" t="inlineStr">
        <is>
          <t>X-008</t>
        </is>
      </c>
      <c r="B97" s="9" t="inlineStr">
        <is>
          <t>Summary - The Merger (structure)</t>
        </is>
      </c>
      <c r="C97" s="9" t="n">
        <v>5</v>
      </c>
      <c r="D97" s="9" t="inlineStr">
        <is>
          <t>The Agreement and Plan of Merger, dated as of October 14, 2013, which we refer to as the merger agreement, by and among Mac-Gray, the Buyer Entities and Merger Subsidiary provides that Merger Subsidiary will merge with and into Mac-Gray, which we refer to as the merger. Mac-Gray will be the surviving corporation, which we refer to as the surviving corporation, in the merger and will continue as a wholly-owned subsidiary of Parent.</t>
        </is>
      </c>
    </row>
    <row r="98">
      <c r="A98" s="9" t="inlineStr">
        <is>
          <t>X-009</t>
        </is>
      </c>
      <c r="B98" s="9" t="inlineStr">
        <is>
          <t>Summary - The Merger (consideration)</t>
        </is>
      </c>
      <c r="C98" s="9" t="n">
        <v>5</v>
      </c>
      <c r="D98" s="9" t="inlineStr">
        <is>
          <t>If the merger is completed, at the effective time of the merger, each outstanding share of Mac-Gray common stock (other than shares held in treasury or held by the Buyer Entities or Merger Subsidiary (or their subsidiaries) or shares as to which dissenters' rights have been perfected and not withdrawn or lost) will be automatically converted into the right to receive $21.25 in cash, without interest and less applicable withholding taxes. We refer to this amount in this proxy statement as the merger consideration.</t>
        </is>
      </c>
    </row>
    <row r="99">
      <c r="A99" s="9" t="inlineStr">
        <is>
          <t>X-010</t>
        </is>
      </c>
      <c r="B99" s="9" t="inlineStr">
        <is>
          <t>Summary - premium to 52-week high</t>
        </is>
      </c>
      <c r="C99" s="9" t="n">
        <v>5</v>
      </c>
      <c r="D99" s="9" t="inlineStr">
        <is>
          <t>an approximately 36% premium over the high of $15.61 per share for the 52-week period ending October 11, 2013; and</t>
        </is>
      </c>
    </row>
    <row r="100">
      <c r="A100" s="9" t="inlineStr">
        <is>
          <t>X-011</t>
        </is>
      </c>
      <c r="B100" s="9" t="inlineStr">
        <is>
          <t>Summary - premium to last close</t>
        </is>
      </c>
      <c r="C100" s="9" t="n">
        <v>5</v>
      </c>
      <c r="D100" s="9" t="inlineStr">
        <is>
          <t>an approximately 44% premium to the $14.72 closing price of our common stock on October 11, 2013 (the last trading day prior to the date our Board of Directors approved the merger agreement).</t>
        </is>
      </c>
    </row>
    <row r="101">
      <c r="A101" s="9" t="inlineStr">
        <is>
          <t>X-012</t>
        </is>
      </c>
      <c r="B101" s="9" t="inlineStr">
        <is>
          <t>Summary - market price on 11/27/2013</t>
        </is>
      </c>
      <c r="C101" s="9" t="n">
        <v>5</v>
      </c>
      <c r="D101" s="9" t="inlineStr">
        <is>
          <t>The closing sale price of a share of Mac-Gray common stock on the New York Stock Exchange on November 27, 2013 was $21.30. You are encouraged to obtain current market quotations for Mac-Gray common stock in connection with voting your shares.</t>
        </is>
      </c>
    </row>
    <row r="102">
      <c r="A102" s="9" t="inlineStr">
        <is>
          <t>X-013</t>
        </is>
      </c>
      <c r="B102" s="9" t="inlineStr">
        <is>
          <t>Summary - Financing of the Merger</t>
        </is>
      </c>
      <c r="C102" s="9" t="n">
        <v>6</v>
      </c>
      <c r="D102" s="9" t="inlineStr">
        <is>
          <t>The merger agreement does not contain any condition to the obligations of the Buyer Entities or Merger Subsidiary relating to the receipt of financing by the Buyer Entities.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which we refer to as the Pamplona commitment letter.</t>
        </is>
      </c>
    </row>
    <row r="103">
      <c r="A103" s="9" t="inlineStr">
        <is>
          <t>X-014</t>
        </is>
      </c>
      <c r="B103" s="9" t="inlineStr">
        <is>
          <t>Summary - Conditions to the Merger (HSR)</t>
        </is>
      </c>
      <c r="C103" s="9" t="n">
        <v>7</v>
      </c>
      <c r="D103" s="9" t="inlineStr">
        <is>
          <t>the waiting period applicable to the merger under the Hart-Scott-Rodino Antitrust Improvements Act of 1976, as amended, and the rules and regulations promulgated thereunder, which we refer to as the HSR Act, will have expired or been terminated (which condition was satisfied following the expiration of the waiting period under the HSR Act on November 27, 2013).</t>
        </is>
      </c>
    </row>
    <row r="104">
      <c r="A104" s="9" t="inlineStr">
        <is>
          <t>X-015</t>
        </is>
      </c>
      <c r="B104" s="9" t="inlineStr">
        <is>
          <t>Summary - Non-Solicitation; Competing Acquisition Proposals</t>
        </is>
      </c>
      <c r="C104" s="9" t="n">
        <v>8</v>
      </c>
      <c r="D104" s="9" t="inlineStr">
        <is>
          <t>Notwithstanding the restrictions described above, prior to the adoption of the merger agreement by Mac-Gray stockholders, if Mac-Gray receives an unsolicited bona fide acquisition proposal in writing from a third party after the date of the merger agreement that did not, directly or indirectly, result from or arise out of a breach of the non-solicitation provisions of the merger agreement, and that the Mac-Gray Board of Directors (acting upon the recommendation of the Special Committee) determines in good faith, after consultation with its outside legal counsel and financial advisor, constitutes or would be reasonably likely to lead to a superior proposal (as defined in the section entitled The Merger Agreement—Non-Solicitation; Competing Acquisition Proposals) and that the failure to act would be reasonably likely to be inconsistent with the directors' fiduciary duties under applicable laws, then Mac-Gray may furnish to such third party non-public information relating to Mac-Gray pursuant to a confidentiality agreement meeting certain requirements as set forth in the merger agreement and afford such third party access to the businesses, properties, assets and personnel of Mac-Gray or any of its subsidiaries and enter into, maintain and participate in discussions or negotiations with such third party or otherwise cooperate with or assist or participate in, or facilitate, any such discussions or negotiations; provided Mac-Gray will promptly provide to Parent any material non-public information concerning Mac-Gray or its subsidiaries or access provided to such third party which was not previously provided to Parent. In addition, Mac-Gray will not provide to such third party commercially sensitive information except in a manner consistent with past practices and subject to any limitations placed on Parent and its representatives.</t>
        </is>
      </c>
    </row>
    <row r="105">
      <c r="A105" s="9" t="inlineStr">
        <is>
          <t>X-016</t>
        </is>
      </c>
      <c r="B105" s="9" t="inlineStr">
        <is>
          <t>Summary - Termination of the Merger Agreement (end date)</t>
        </is>
      </c>
      <c r="C105" s="9" t="n">
        <v>9</v>
      </c>
      <c r="D105" s="9" t="inlineStr">
        <is>
          <t>the merger has not been consummated on or before March 31, 2014, which we refer to as the end date; provided, however, that if the conditions to the consummation of the merger have been satisfied, other than the expiration or termination of the applicable waiting period under the HSR Act (which condition was satisfied following the expiration of the waiting period under the HSR Act on November 27, 2013), then the end date will be extended to July 31, 2014; provided that such right to terminate the merger agreement will not be available to any party whose material breach of any provision of the merger agreement results in the failure of the merger to be consummated by the end date;</t>
        </is>
      </c>
    </row>
    <row r="106">
      <c r="A106" s="9" t="inlineStr">
        <is>
          <t>X-017</t>
        </is>
      </c>
      <c r="B106" s="9" t="inlineStr">
        <is>
          <t>Summary - Termination Fees and Expenses</t>
        </is>
      </c>
      <c r="C106" s="9" t="n">
        <v>10</v>
      </c>
      <c r="D106" s="9" t="inlineStr">
        <is>
          <t>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t>
        </is>
      </c>
    </row>
    <row r="107">
      <c r="A107" s="9" t="inlineStr">
        <is>
          <t>X-018</t>
        </is>
      </c>
      <c r="B107" s="9" t="inlineStr">
        <is>
          <t>Summary - The Voting Agreements</t>
        </is>
      </c>
      <c r="C107" s="9" t="n">
        <v>10</v>
      </c>
      <c r="D107" s="9" t="inlineStr">
        <is>
          <t>In connection with the execution of the merger agreement, certain stockholders of Mac-Gray entered into voting agreements with Parent, which we refer to collectively as the voting agreements, pursuant to which each such stockholder agreed, among other things, to vote his, her or its shares of Mac-Gray common stock:</t>
        </is>
      </c>
    </row>
    <row r="108">
      <c r="A108" s="9" t="inlineStr">
        <is>
          <t>X-019</t>
        </is>
      </c>
      <c r="B108" s="9" t="inlineStr">
        <is>
          <t>Summary - The Voting Agreements (ownership)</t>
        </is>
      </c>
      <c r="C108" s="9" t="n">
        <v>11</v>
      </c>
      <c r="D108" s="9" t="inlineStr">
        <is>
          <t>As of November 27, 2013, the record date for the special meeting, the stockholders of Mac-Gray that entered into the voting agreements collectively owned approximately 15% of the Mac-Gray common stock entitled to vote at the special meeting.</t>
        </is>
      </c>
    </row>
    <row r="109">
      <c r="A109" s="9" t="inlineStr">
        <is>
          <t>X-020</t>
        </is>
      </c>
      <c r="B109" s="9" t="inlineStr">
        <is>
          <t>Summary - Regulatory Matters</t>
        </is>
      </c>
      <c r="C109" s="9" t="n">
        <v>11</v>
      </c>
      <c r="D109" s="9" t="inlineStr">
        <is>
          <t>Under the provisions of the HSR Act, the merger may not be completed until notification and report forms have been filed with the Antitrust Division of the United States Department of Justice, which we refer to as the Antitrust Division, and the Federal Trade Commission, which we refer to as the FTC, by Mac-Gray and Parent, and the applicable waiting period has expired or been terminated. In addition, the expiration or termination of the applicable waiting period under the HSR Act is a condition to each of Parent's and Mac-Gray's obligation to consummate the merger. Parent and Mac-Gray each filed their notification and report forms with the Antitrust Division and the FTC under the HSR Act on October 29, 2013, and, in accordance with the merger agreement, each requested "early termination" of the waiting period. While early termination was not granted, the waiting period expired on November 27, 2013.</t>
        </is>
      </c>
    </row>
    <row r="110">
      <c r="A110" s="9" t="inlineStr">
        <is>
          <t>X-021</t>
        </is>
      </c>
      <c r="B110" s="9" t="inlineStr">
        <is>
          <t>Financing of the Merger (commitment amount)</t>
        </is>
      </c>
      <c r="C110" s="9" t="n">
        <v>59</v>
      </c>
      <c r="D110" s="9" t="inlineStr">
        <is>
          <t>for purposes of funding the merger consideration an aggregate of $594 million of capital (the Pamplona commitment amount), which is committed pursuant to the Pamplona commitment letter delivered to the Buyer Entities by Pamplona Capital Partners III, L.P. dated as of October 14, 2013.</t>
        </is>
      </c>
    </row>
    <row r="111">
      <c r="A111" s="9" t="inlineStr">
        <is>
          <t>X-022</t>
        </is>
      </c>
      <c r="B111" s="9" t="inlineStr">
        <is>
          <t>Regulatory Matters (HSR detail)</t>
        </is>
      </c>
      <c r="C111" s="9" t="n">
        <v>85</v>
      </c>
      <c r="D111" s="9" t="inlineStr">
        <is>
          <t>Mergers and acquisitions that may have an impact in the United States are subject to review by the Antitrust Division and the FTC to determine whether they comply with applicable antitrust laws. Under the HSR Act, mergers and acquisitions that meet certain jurisdictional thresholds, such as the present transaction, may not be completed until the expiration of a waiting period that follows the filing of notification forms by both parties to the transaction with the Antitrust Division and the FTC. The initial waiting period is 30 days, but this period may be shortened if the reviewing agency grants "early termination" of the waiting period, or it may be lengthened if the reviewing agency determines that an in-depth investigation is required and issues a formal request, or "second request", for additional information and documentary material. Parent and Mac-Gray each filed pre-merger notifications with the U.S. antitrust authorities pursuant to the HSR Act on October 29, 2013, and, in accordance with the merger agreement, each requested "early termination" of the waiting period. While early termination was not granted, the waiting period expired on November 27, 2013.</t>
        </is>
      </c>
    </row>
    <row r="112">
      <c r="A112" s="9" t="inlineStr">
        <is>
          <t>X-023</t>
        </is>
      </c>
      <c r="B112" s="9" t="inlineStr">
        <is>
          <t>Litigation Related to the Merger</t>
        </is>
      </c>
      <c r="C112" s="9" t="n">
        <v>85</v>
      </c>
      <c r="D112" s="9" t="inlineStr">
        <is>
          <t>On November 21, 2013, a putative class action lawsuit was filed in the Superior Court of the Commonwealth of Massachusetts, County of Middlesex, captioned Star Partners Fund v. Bullock, et al. , Civ. 13-5067. The complaint names as defendants Mac-Gray, the members of our Board of Directors, Holdings, CSC and Pamplona Capital Management LLC. The complaint alleges that the individual defendants breached their fiduciary duties by causing Mac-Gray to enter into the transaction and, together with Mac-Gray, by failing to disclose all material facts required to be disclosed. The complaint also alleges that Holdings, CSC and Pamplona Capital Management LLC aided and abetted the breaches of fiduciary duties. The complaint seeks, among other things, equitable relief that would enjoin the consummation of the proposed merger, rescission of the merger agreement (to the extent it has already been implemented), compensatory damages, and attorneys' and expert fees and costs.</t>
        </is>
      </c>
    </row>
    <row r="113">
      <c r="A113" s="9" t="inlineStr">
        <is>
          <t>X-024</t>
        </is>
      </c>
      <c r="B113" s="9" t="inlineStr">
        <is>
          <t>Reasons for the Merger - highest price obtainable</t>
        </is>
      </c>
      <c r="C113" s="9" t="n">
        <v>43</v>
      </c>
      <c r="D113" s="9" t="inlineStr">
        <is>
          <t>the belief of the Special Committee and the Mac-Gray Board of Directors that, after extensive negotiations with CSC/Pamplona and their representatives, we have obtained the highest price per share that CSC/Pamplona are willing to pay and the highest price obtainable on the date of signing of the merger agreement;</t>
        </is>
      </c>
    </row>
    <row r="114">
      <c r="A114" s="9" t="inlineStr">
        <is>
          <t>X-025</t>
        </is>
      </c>
      <c r="B114" s="9" t="inlineStr">
        <is>
          <t>Reasons for the Merger - flexibility and termination fee</t>
        </is>
      </c>
      <c r="C114" s="9" t="n">
        <v>43</v>
      </c>
      <c r="D114" s="9" t="inlineStr">
        <is>
          <t>the merger agreement, subject to the limitations and requirements contained in the agreement, provides our Board of Directors (upon the recommendation of the Special Committee) with flexibility to furnish information to and conduct negotiations with third parties in certain circumstances and, upon payment to CSC of the Mac-Gray termination fee $11 million (which was heavily negotiated and which our Board of Directors believes is reasonable under the circumstances) to terminate the merger agreement, to accept a superior offer;</t>
        </is>
      </c>
    </row>
    <row r="115">
      <c r="A115" s="9" t="inlineStr">
        <is>
          <t>X-026</t>
        </is>
      </c>
      <c r="B115" s="9" t="inlineStr">
        <is>
          <t>Reasons for the Merger - standstill sunset provisions</t>
        </is>
      </c>
      <c r="C115" s="9" t="n">
        <v>43</v>
      </c>
      <c r="D115" s="9" t="inlineStr">
        <is>
          <t>the fact that the confidentiality and standstill agreements entered into with potential bidders contain sunset provisions for the standstill restrictions, which permits these potential bidders to submit unsolicited offers to acquire Mac-Gray;</t>
        </is>
      </c>
    </row>
    <row r="116">
      <c r="A116" s="9" t="inlineStr">
        <is>
          <t>X-027</t>
        </is>
      </c>
      <c r="B116" s="9" t="inlineStr">
        <is>
          <t>Opinion of Mac-Gray's Financial Advisor (introduction)</t>
        </is>
      </c>
      <c r="C116" s="9" t="n">
        <v>45</v>
      </c>
      <c r="D116" s="9" t="inlineStr">
        <is>
          <t>On October 14, 2013, at a meeting of the Special Committee held to evaluate the merger, BofA Merrill Lynch delivered to the Special Committee an oral opinion, which was confirmed by delivery of a written opinion dated October 14, 2013, to the effect that, as of the date of the opinion and based on and subject to various assumptions and limitations described in its opinion, the merger consideration to be received by holders of Mac-Gray common stock was fair, from a financial point of view, to such holders.</t>
        </is>
      </c>
    </row>
    <row r="117">
      <c r="A117" s="9" t="inlineStr">
        <is>
          <t>X-028</t>
        </is>
      </c>
      <c r="B117" s="9" t="inlineStr">
        <is>
          <t>Opinion of Mac-Gray's Financial Advisor (premiums)</t>
        </is>
      </c>
      <c r="C117" s="9" t="n">
        <v>50</v>
      </c>
      <c r="D117" s="9" t="inlineStr">
        <is>
          <t>the 44% implied premium of the merger consideration of $21.25 to Mac-Gray's common stock price at the close of trading on October 11, 2013 of $14.72 and the 36% implied premium of the merger consideration to the high closing price of Mac-Gray's common stock for the 52-week period ended October 11, 2013; and</t>
        </is>
      </c>
    </row>
    <row r="118">
      <c r="A118" s="9" t="inlineStr">
        <is>
          <t>X-029</t>
        </is>
      </c>
      <c r="B118" s="9" t="inlineStr">
        <is>
          <t>The Merger Agreement - The Merger (expected completion)</t>
        </is>
      </c>
      <c r="C118" s="9" t="n">
        <v>60</v>
      </c>
      <c r="D118" s="9" t="inlineStr">
        <is>
          <t>The merger will become effective when the certificate of merger has been duly filed with the Secretary of State of the State of Delaware or at such later time and date as agreed to by the parties in writing and specified in the certificate of merger. The merger is expected to be completed in the first half of 2014. However, the parties cannot predict the exact timing of the completion of the merger or whether the merger will be completed at an earlier or later time, as agreed by the parties, or at all.</t>
        </is>
      </c>
    </row>
    <row r="119">
      <c r="A119" s="9" t="inlineStr">
        <is>
          <t>X-030</t>
        </is>
      </c>
      <c r="B119" s="9" t="inlineStr">
        <is>
          <t>The Merger Agreement - Merger Consideration</t>
        </is>
      </c>
      <c r="C119" s="9" t="n">
        <v>60</v>
      </c>
      <c r="D119" s="9" t="inlineStr">
        <is>
          <t>Immediately prior to the effective time of the merger, each share of Mac-Gray common stock outstanding immediately prior to the effective time of the merger will be canceled and converted into the right to receive $21.25 in cash, without interest, other than:</t>
        </is>
      </c>
    </row>
    <row r="120">
      <c r="A120" s="9" t="inlineStr">
        <is>
          <t>X-031</t>
        </is>
      </c>
      <c r="B120" s="9" t="inlineStr">
        <is>
          <t>Security Ownership - Schedule 13D note</t>
        </is>
      </c>
      <c r="C120" s="9" t="n">
        <v>95</v>
      </c>
      <c r="D120" s="9" t="inlineStr">
        <is>
          <t>According to a Schedule 13D filed with the SEC on October 23, 2013 each of Parent, Merger Subsidiary, Holdings, CSC, Pamplona, Pamplona Capital Management LLP and Pamplona Capital Management LLC may be deemed to have beneficial ownership of 2,697,484 shares of Mac-Gray common stock as a result of the execution of the voting agreements described in the section of this proxy statement entitled "The Voting Agreements" beginning on page 82. According to the Schedule 13D, each of Parent, Merger Subsidiary, Holdings, CSC, Pamplona, Pamplona Capital Management LLP and Pamplona Capital Management LLC disclaims any beneficial ownership of these shares.</t>
        </is>
      </c>
    </row>
    <row r="121">
      <c r="A121" s="9" t="inlineStr">
        <is>
          <t>X-032</t>
        </is>
      </c>
      <c r="B121" s="9" t="inlineStr">
        <is>
          <t>Summary - The Special Meeting (date, time and place)</t>
        </is>
      </c>
      <c r="C121" s="9" t="n">
        <v>3</v>
      </c>
      <c r="D121" s="9" t="inlineStr">
        <is>
          <t>Date, Time and Place. The special meeting will be held on Wednesday, January 8, 2014 at 10:00 a.m., local time, at the Goodwin Procter LLP Conference Center, Second Floor, Exchange Place, 53 State Street, Boston, Massachusetts 02109.</t>
        </is>
      </c>
    </row>
  </sheetData>
  <autoFilter ref="A1: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3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s>
  <sheetData>
    <row r="1">
      <c r="A1" t="inlineStr">
        <is>
          <t>What happened</t>
        </is>
      </c>
      <c r="B1" t="inlineStr">
        <is>
          <t>Type</t>
        </is>
      </c>
      <c r="C1" t="inlineStr">
        <is>
          <t>Formality</t>
        </is>
      </c>
      <c r="D1" t="inlineStr">
        <is>
          <t>Conditions level</t>
        </is>
      </c>
      <c r="E1" t="inlineStr">
        <is>
          <t>Include</t>
        </is>
      </c>
      <c r="F1" t="inlineStr">
        <is>
          <t>Date basis</t>
        </is>
      </c>
      <c r="G1" t="inlineStr">
        <is>
          <t>Date method</t>
        </is>
      </c>
      <c r="H1" t="inlineStr">
        <is>
          <t>Price kind</t>
        </is>
      </c>
      <c r="I1" t="inlineStr">
        <is>
          <t>Price origin</t>
        </is>
      </c>
      <c r="J1" t="inlineStr">
        <is>
          <t>All cash</t>
        </is>
      </c>
      <c r="K1" t="inlineStr">
        <is>
          <t>Deadline treatment</t>
        </is>
      </c>
      <c r="L1" t="inlineStr">
        <is>
          <t>Round finality</t>
        </is>
      </c>
      <c r="M1" t="inlineStr">
        <is>
          <t>Decided by</t>
        </is>
      </c>
      <c r="N1" t="inlineStr">
        <is>
          <t>Exit reason</t>
        </is>
      </c>
      <c r="O1"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Extended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Late bids accepted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Enforced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K8" t="inlineStr">
        <is>
          <t>Extended; Late bids accepted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2026-09-19T13:41:24Z</dcterms:created>
  <dcterms:modified xmlns:dcterms="http://purl.org/dc/terms/" xmlns:xsi="http://www.w3.org/2001/XMLSchema-instance" xsi:type="dcterms:W3CDTF">2026-09-19T13:41:24Z</dcterms:modified>
</cp:coreProperties>
</file>