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Summary" sheetId="2" state="visible" r:id="rId2"/>
    <sheet xmlns:r="http://schemas.openxmlformats.org/officeDocument/2006/relationships" name="Questions" sheetId="3" state="visible" r:id="rId3"/>
    <sheet xmlns:r="http://schemas.openxmlformats.org/officeDocument/2006/relationships" name="Source text" sheetId="4" state="visible" r:id="rId4"/>
    <sheet xmlns:r="http://schemas.openxmlformats.org/officeDocument/2006/relationships" name="AI original" sheetId="5" state="hidden" r:id="rId5"/>
    <sheet xmlns:r="http://schemas.openxmlformats.org/officeDocument/2006/relationships" name="Lists" sheetId="6" state="hidden" r:id="rId6"/>
  </sheets>
  <definedNames>
    <definedName name="_xlnm._FilterDatabase" localSheetId="0" hidden="1">'Deal ledger'!$A$1:$AM$61</definedName>
    <definedName name="_xlnm._FilterDatabase" localSheetId="3" hidden="1">'Source text'!$A$1:$D$51</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4">
    <font>
      <name val="Calibri"/>
      <family val="2"/>
      <color theme="1"/>
      <sz val="11"/>
      <scheme val="minor"/>
    </font>
    <font>
      <b val="1"/>
      <color rgb="00FFFFFF"/>
      <sz val="9"/>
    </font>
    <font>
      <color rgb="000563C1"/>
      <u val="single"/>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applyAlignment="1" pivotButton="0" quotePrefix="0" xfId="0">
      <alignment vertical="top" wrapText="1"/>
    </xf>
    <xf numFmtId="165" fontId="0" fillId="0" borderId="0" applyAlignment="1" pivotButton="0" quotePrefix="0" xfId="0">
      <alignment vertical="top" wrapText="1"/>
    </xf>
    <xf numFmtId="4" fontId="0"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horizontal="center" vertical="top" wrapText="1"/>
    </xf>
    <xf numFmtId="0" fontId="3" fillId="0" borderId="0" pivotButton="0" quotePrefix="0" xfId="0"/>
    <xf numFmtId="164" fontId="0" fillId="0" borderId="0" pivotButton="0" quotePrefix="0" xfId="0"/>
  </cellXfs>
  <cellStyles count="1">
    <cellStyle name="Normal" xfId="0" builtinId="0" hidden="0"/>
  </cellStyles>
  <dxfs count="1">
    <dxf>
      <font>
        <b val="1"/>
        <color rgb="00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AM61"/>
  <sheetViews>
    <sheetView zoomScale="90"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24" customWidth="1" min="3" max="3"/>
    <col width="17" customWidth="1" min="4" max="4"/>
    <col width="8" customWidth="1" min="5" max="5"/>
    <col width="7" customWidth="1" min="6" max="6"/>
    <col width="11" customWidth="1" min="7" max="7"/>
    <col width="52" customWidth="1" min="8" max="8"/>
    <col width="12" customWidth="1" min="9" max="9"/>
    <col width="11" customWidth="1" min="10" max="10"/>
    <col width="62" customWidth="1" min="11" max="11"/>
    <col width="22" customWidth="1" min="12" max="12"/>
    <col width="10" customWidth="1" min="13" max="13"/>
    <col width="12" customWidth="1" min="14" max="14"/>
    <col hidden="1" outlineLevel="1" width="8" customWidth="1" min="15" max="16"/>
    <col hidden="1" outlineLevel="1" width="7" customWidth="1" min="17" max="17"/>
    <col hidden="1" outlineLevel="1" width="11" customWidth="1" min="18" max="22"/>
    <col hidden="1" outlineLevel="1" width="9" customWidth="1" min="23" max="27"/>
    <col hidden="1" outlineLevel="1" width="10" customWidth="1" min="28" max="29"/>
    <col hidden="1" outlineLevel="1" width="34" customWidth="1" min="30" max="30"/>
    <col hidden="1" outlineLevel="1" width="11" customWidth="1" min="31" max="33"/>
    <col hidden="1" outlineLevel="1" width="11" customWidth="1" min="34" max="36"/>
    <col hidden="1" outlineLevel="1" width="6" customWidth="1" min="37" max="37"/>
    <col hidden="1" outlineLevel="1" width="26" customWidth="1" min="38" max="38"/>
    <col hidden="1" outlineLevel="1" width="10" customWidth="1" min="39" max="39"/>
  </cols>
  <sheetData>
    <row r="1" ht="30" customHeight="1">
      <c r="A1" s="1" t="inlineStr">
        <is>
          <t>#</t>
        </is>
      </c>
      <c r="B1" s="1" t="inlineStr">
        <is>
          <t>When</t>
        </is>
      </c>
      <c r="C1" s="1" t="inlineStr">
        <is>
          <t>Who</t>
        </is>
      </c>
      <c r="D1" s="1" t="inlineStr">
        <is>
          <t>What happened</t>
        </is>
      </c>
      <c r="E1" s="1" t="inlineStr">
        <is>
          <t>Process</t>
        </is>
      </c>
      <c r="F1" s="1" t="inlineStr">
        <is>
          <t>Round</t>
        </is>
      </c>
      <c r="G1" s="1" t="inlineStr">
        <is>
          <t>Type</t>
        </is>
      </c>
      <c r="H1" s="1" t="inlineStr">
        <is>
          <t>Terms or outcome</t>
        </is>
      </c>
      <c r="I1" s="1" t="inlineStr">
        <is>
          <t>Formality</t>
        </is>
      </c>
      <c r="J1" s="1" t="inlineStr">
        <is>
          <t>Conditions level</t>
        </is>
      </c>
      <c r="K1" s="1" t="inlineStr">
        <is>
          <t>Why and evidence</t>
        </is>
      </c>
      <c r="L1" s="1" t="inlineStr">
        <is>
          <t>Source</t>
        </is>
      </c>
      <c r="M1" s="1" t="inlineStr">
        <is>
          <t>Review</t>
        </is>
      </c>
      <c r="N1" s="1" t="inlineStr">
        <is>
          <t>Reviewer note</t>
        </is>
      </c>
      <c r="O1" s="1" t="inlineStr">
        <is>
          <t>Row id</t>
        </is>
      </c>
      <c r="P1" s="1" t="inlineStr">
        <is>
          <t>Include</t>
        </is>
      </c>
      <c r="Q1" s="1" t="inlineStr">
        <is>
          <t>Count</t>
        </is>
      </c>
      <c r="R1" s="1" t="inlineStr">
        <is>
          <t>Date from</t>
        </is>
      </c>
      <c r="S1" s="1" t="inlineStr">
        <is>
          <t>Date to</t>
        </is>
      </c>
      <c r="T1" s="1" t="inlineStr">
        <is>
          <t>Working date</t>
        </is>
      </c>
      <c r="U1" s="1" t="inlineStr">
        <is>
          <t>Date basis</t>
        </is>
      </c>
      <c r="V1" s="1" t="inlineStr">
        <is>
          <t>Date method</t>
        </is>
      </c>
      <c r="W1" s="1" t="inlineStr">
        <is>
          <t>Price low</t>
        </is>
      </c>
      <c r="X1" s="1" t="inlineStr">
        <is>
          <t>Price high</t>
        </is>
      </c>
      <c r="Y1" s="1" t="inlineStr">
        <is>
          <t>Price kind</t>
        </is>
      </c>
      <c r="Z1" s="1" t="inlineStr">
        <is>
          <t>Price origin</t>
        </is>
      </c>
      <c r="AA1" s="1" t="inlineStr">
        <is>
          <t>Currency</t>
        </is>
      </c>
      <c r="AB1" s="1" t="inlineStr">
        <is>
          <t>All cash</t>
        </is>
      </c>
      <c r="AC1" s="1" t="inlineStr">
        <is>
          <t>Cash at closing</t>
        </is>
      </c>
      <c r="AD1" s="1" t="inlineStr">
        <is>
          <t>Conditions detail</t>
        </is>
      </c>
      <c r="AE1" s="1" t="inlineStr">
        <is>
          <t>Due date</t>
        </is>
      </c>
      <c r="AF1" s="1" t="inlineStr">
        <is>
          <t>Deadline treatment</t>
        </is>
      </c>
      <c r="AG1" s="1" t="inlineStr">
        <is>
          <t>Round finality</t>
        </is>
      </c>
      <c r="AH1" s="1" t="inlineStr">
        <is>
          <t>Decided by</t>
        </is>
      </c>
      <c r="AI1" s="1" t="inlineStr">
        <is>
          <t>Exit reason</t>
        </is>
      </c>
      <c r="AJ1" s="1" t="inlineStr">
        <is>
          <t>Outcome basis</t>
        </is>
      </c>
      <c r="AK1" s="1" t="inlineStr">
        <is>
          <t>Page</t>
        </is>
      </c>
      <c r="AL1" s="1" t="inlineStr">
        <is>
          <t>Related rows</t>
        </is>
      </c>
      <c r="AM1" s="1" t="inlineStr">
        <is>
          <t>Deal</t>
        </is>
      </c>
    </row>
    <row r="2" ht="118" customHeight="1">
      <c r="A2" s="2" t="n">
        <v>1</v>
      </c>
      <c r="B2" s="2" t="inlineStr">
        <is>
          <t>Fourth quarter of 2015 (exact date not disclosed)</t>
        </is>
      </c>
      <c r="C2" s="2" t="inlineStr">
        <is>
          <t>Party A (a Class I rail partner of the Company)</t>
        </is>
      </c>
      <c r="D2" s="2" t="inlineStr">
        <is>
          <t>Bidder interest</t>
        </is>
      </c>
      <c r="E2" s="2" t="n">
        <v>1</v>
      </c>
      <c r="F2" s="2" t="inlineStr">
        <is>
          <t>0</t>
        </is>
      </c>
      <c r="G2" s="2" t="inlineStr">
        <is>
          <t>Strategic</t>
        </is>
      </c>
      <c r="H2" s="2" t="inlineStr">
        <is>
          <t>Unpriced acquisition interest: during a meeting on joint commercial opportunities between Company CEO Eder and VP Rogers and Party A, Party A suggested possible joint venture arrangements and expressed some interest in acquiring equity in the Company. Direction: bidder acquisition interest expressed at a Company-initiated commercial meeting; led to the Board’s banker search and the broad sale process.</t>
        </is>
      </c>
      <c r="I2" s="2" t="n"/>
      <c r="J2" s="2" t="n"/>
      <c r="K2" s="2" t="inlineStr">
        <is>
          <t>Stated. “met with one of the Company’s Class I rail partners (“Party A”) to discuss joint commercial opportunities. During the meeting, Party A suggested possible joint venture arrangements and expressed some interest in acquiring equity in the Company” (P-002, p.27). Convention: quarter preserved as an interval; working date is the midpoint (Assigned: midpoint).</t>
        </is>
      </c>
      <c r="L2" s="3" t="inlineStr">
        <is>
          <t>P-002</t>
        </is>
      </c>
      <c r="M2" s="2" t="inlineStr">
        <is>
          <t>Q1; Q4</t>
        </is>
      </c>
      <c r="N2" s="2" t="n"/>
      <c r="O2" s="2" t="inlineStr">
        <is>
          <t>R001</t>
        </is>
      </c>
      <c r="P2" s="2" t="inlineStr">
        <is>
          <t>Yes</t>
        </is>
      </c>
      <c r="Q2" s="2" t="n">
        <v>1</v>
      </c>
      <c r="R2" s="4" t="n">
        <v>42278</v>
      </c>
      <c r="S2" s="4" t="n">
        <v>42369</v>
      </c>
      <c r="T2" s="4" t="n">
        <v>42323</v>
      </c>
      <c r="U2" s="2" t="inlineStr">
        <is>
          <t>Reported interval</t>
        </is>
      </c>
      <c r="V2" s="2" t="inlineStr">
        <is>
          <t>Assigned: midpoint</t>
        </is>
      </c>
      <c r="W2" s="2" t="n"/>
      <c r="X2" s="2" t="n"/>
      <c r="Y2" s="2" t="n"/>
      <c r="Z2" s="2" t="n"/>
      <c r="AA2" s="2" t="n"/>
      <c r="AB2" s="2" t="n"/>
      <c r="AC2" s="2" t="n"/>
      <c r="AD2" s="2" t="n"/>
      <c r="AE2" s="2" t="n"/>
      <c r="AF2" s="2" t="n"/>
      <c r="AG2" s="2" t="n"/>
      <c r="AH2" s="2" t="n"/>
      <c r="AI2" s="2" t="n"/>
      <c r="AJ2" s="2" t="n"/>
      <c r="AK2" s="2" t="n">
        <v>27</v>
      </c>
      <c r="AL2" s="2" t="inlineStr">
        <is>
          <t>R008 (11-strategic cohort includes Party A); R043 (identity exit row)</t>
        </is>
      </c>
      <c r="AM2" s="2" t="inlineStr">
        <is>
          <t>PWRR-G&amp;W</t>
        </is>
      </c>
    </row>
    <row r="3" ht="118" customHeight="1">
      <c r="A3" s="2" t="n">
        <v>2</v>
      </c>
      <c r="B3" s="2" t="inlineStr">
        <is>
          <t>01/27/2016</t>
        </is>
      </c>
      <c r="C3" s="2" t="inlineStr">
        <is>
          <t>GHF (Greene Holcomb &amp; Fisher LLC), financial adviser to the Company</t>
        </is>
      </c>
      <c r="D3" s="2" t="inlineStr">
        <is>
          <t>Adviser engaged</t>
        </is>
      </c>
      <c r="E3" s="2" t="n">
        <v>1</v>
      </c>
      <c r="F3" s="2" t="inlineStr">
        <is>
          <t>0</t>
        </is>
      </c>
      <c r="G3" s="2" t="n"/>
      <c r="H3" s="2" t="inlineStr">
        <is>
          <t>Financial adviser to the Company. Engagement approved at the Board’s executive session after the two-director subcommittee (Frank W. Barrett; Richard W. Anderson) interviewed several firms; GHF represented it would not represent any potential buyer of the Company or any person proposing financing; selection rationale: rail-sector experience (including a recent short-line sale). GHF’s business was acquired by BMO Capital Markets Corp. on 08/01/2016 — one continuing adviser relationship (no second adviser row); disclosed aggregate fee ~$2.52 million (X-005, p.41).</t>
        </is>
      </c>
      <c r="I3" s="2" t="n"/>
      <c r="J3" s="2" t="n"/>
      <c r="K3" s="2" t="inlineStr">
        <is>
          <t>Stated. “During the executive session of the Board’s regular quarterly meeting held on January 27, 2016 (which Director Alfred P. Smith did not attend), the subcommittee recommended to the Board that the Company retain GHF as its investment banking firm.” ... “Following this presentation, the Board approved the subcommittee’s recommendation and the Company engaged GHF.” (P-002, p.27).</t>
        </is>
      </c>
      <c r="L3" s="3" t="inlineStr">
        <is>
          <t>P-002; X-005</t>
        </is>
      </c>
      <c r="M3" s="2" t="inlineStr"/>
      <c r="N3" s="2" t="n"/>
      <c r="O3" s="2" t="inlineStr">
        <is>
          <t>R002</t>
        </is>
      </c>
      <c r="P3" s="2" t="inlineStr">
        <is>
          <t>Yes</t>
        </is>
      </c>
      <c r="Q3" s="2" t="n"/>
      <c r="R3" s="4" t="n">
        <v>42396</v>
      </c>
      <c r="S3" s="4" t="n">
        <v>42396</v>
      </c>
      <c r="T3" s="4" t="n">
        <v>42396</v>
      </c>
      <c r="U3" s="2" t="inlineStr">
        <is>
          <t>Reported day</t>
        </is>
      </c>
      <c r="V3" s="2" t="inlineStr">
        <is>
          <t>Reported</t>
        </is>
      </c>
      <c r="W3" s="2" t="n"/>
      <c r="X3" s="2" t="n"/>
      <c r="Y3" s="2" t="n"/>
      <c r="Z3" s="2" t="n"/>
      <c r="AA3" s="2" t="n"/>
      <c r="AB3" s="2" t="n"/>
      <c r="AC3" s="2" t="n"/>
      <c r="AD3" s="2" t="n"/>
      <c r="AE3" s="2" t="n"/>
      <c r="AF3" s="2" t="n"/>
      <c r="AG3" s="2" t="n"/>
      <c r="AH3" s="2" t="n"/>
      <c r="AI3" s="2" t="n"/>
      <c r="AJ3" s="2" t="n"/>
      <c r="AK3" s="2" t="n">
        <v>27</v>
      </c>
      <c r="AL3" s="2" t="inlineStr">
        <is>
          <t>R003; R060</t>
        </is>
      </c>
      <c r="AM3" s="2" t="inlineStr">
        <is>
          <t>PWRR-G&amp;W</t>
        </is>
      </c>
    </row>
    <row r="4" ht="118" customHeight="1">
      <c r="A4" s="2" t="n">
        <v>3</v>
      </c>
      <c r="B4" s="2" t="inlineStr">
        <is>
          <t>03/14/2016</t>
        </is>
      </c>
      <c r="C4" s="2" t="inlineStr">
        <is>
          <t>Board of Directors (Transaction Committee appointed)</t>
        </is>
      </c>
      <c r="D4" s="2" t="inlineStr">
        <is>
          <t>Target sale decision</t>
        </is>
      </c>
      <c r="E4" s="2" t="n">
        <v>1</v>
      </c>
      <c r="F4" s="2" t="inlineStr">
        <is>
          <t>0</t>
        </is>
      </c>
      <c r="G4" s="2" t="n"/>
      <c r="H4" s="2" t="inlineStr">
        <is>
          <t>Board approved proceeding with GHF’s proposed process — discussions with Party A plus soliciting interest from other third parties in a change in control transaction — and appointed the Transaction Committee (Frank W. Barrett (Chair), Richard W. Anderson, James C. Garvey) to supervise the process for the full Board; the Committee cannot approve a change of control (full-Board authority under Rhode Island law). Kept as a rejected Round 1 anchor candidate: the decision preceded the actual solicitation, which followed the 03/24/2016 authorization (R005) and began at the wave (R007).</t>
        </is>
      </c>
      <c r="I4" s="2" t="n"/>
      <c r="J4" s="2" t="n"/>
      <c r="K4" s="2" t="inlineStr">
        <is>
          <t>Stated. “Representatives of GHF then proposed a process pursuant to which the Company would proceed with discussions with Party A and also solicit interest from other potential third parties regarding a change in control transaction.” ... “and its shareholders to proceed with the transaction strategy discussed with representatives of GHF.” (P-003, p.27; P-004, p.28).</t>
        </is>
      </c>
      <c r="L4" s="3" t="inlineStr">
        <is>
          <t>P-003; P-004</t>
        </is>
      </c>
      <c r="M4" s="2" t="inlineStr">
        <is>
          <t>Q1</t>
        </is>
      </c>
      <c r="N4" s="2" t="n"/>
      <c r="O4" s="2" t="inlineStr">
        <is>
          <t>R003</t>
        </is>
      </c>
      <c r="P4" s="2" t="inlineStr">
        <is>
          <t>Yes</t>
        </is>
      </c>
      <c r="Q4" s="2" t="n"/>
      <c r="R4" s="4" t="n">
        <v>42443</v>
      </c>
      <c r="S4" s="4" t="n">
        <v>42443</v>
      </c>
      <c r="T4" s="4" t="n">
        <v>42443</v>
      </c>
      <c r="U4" s="2" t="inlineStr">
        <is>
          <t>Reported day</t>
        </is>
      </c>
      <c r="V4" s="2" t="inlineStr">
        <is>
          <t>Reported</t>
        </is>
      </c>
      <c r="W4" s="2" t="n"/>
      <c r="X4" s="2" t="n"/>
      <c r="Y4" s="2" t="n"/>
      <c r="Z4" s="2" t="n"/>
      <c r="AA4" s="2" t="n"/>
      <c r="AB4" s="2" t="n"/>
      <c r="AC4" s="2" t="n"/>
      <c r="AD4" s="2" t="n"/>
      <c r="AE4" s="2" t="n"/>
      <c r="AF4" s="2" t="n"/>
      <c r="AG4" s="2" t="n"/>
      <c r="AH4" s="2" t="n"/>
      <c r="AI4" s="2" t="n"/>
      <c r="AJ4" s="2" t="n"/>
      <c r="AK4" s="2" t="n">
        <v>27</v>
      </c>
      <c r="AL4" s="2" t="inlineStr">
        <is>
          <t>R007 (rejected R1 anchor candidate)</t>
        </is>
      </c>
      <c r="AM4" s="2" t="inlineStr">
        <is>
          <t>PWRR-G&amp;W</t>
        </is>
      </c>
    </row>
    <row r="5" ht="118" customHeight="1">
      <c r="A5" s="2" t="n">
        <v>4</v>
      </c>
      <c r="B5" s="2" t="inlineStr">
        <is>
          <t>03/22/2016–03/23/2016</t>
        </is>
      </c>
      <c r="C5" s="2" t="inlineStr">
        <is>
          <t>Company management (CFO Daniel T. Noreck and senior management) and Party A</t>
        </is>
      </c>
      <c r="D5" s="2" t="inlineStr">
        <is>
          <t>Contact</t>
        </is>
      </c>
      <c r="E5" s="2" t="n">
        <v>1</v>
      </c>
      <c r="F5" s="2" t="inlineStr">
        <is>
          <t>0</t>
        </is>
      </c>
      <c r="G5" s="2" t="inlineStr">
        <is>
          <t>Strategic</t>
        </is>
      </c>
      <c r="H5" s="2" t="inlineStr">
        <is>
          <t>Pre-solicitation contact: senior management met representatives of Party A and informed Party A of GHF’s engagement. Count 0 — Party A is already represented (R001 first contact; inside the R008 11-strategic cohort).</t>
        </is>
      </c>
      <c r="I5" s="2" t="n"/>
      <c r="J5" s="2" t="n"/>
      <c r="K5" s="2" t="inlineStr">
        <is>
          <t>Stated. “On March 22, 2016 and March 23, 2016, Daniel T. Noreck (the Company’s Chief Financial Officer and Treasurer) and other members of the senior management team of the Company met with various representatives of Party A.” ... “had informed Party A of GHF’s engagement.” (P-005, p.28; P-006, p.28). Convention: event spans two days; working date is the first day (Assigned: bound).</t>
        </is>
      </c>
      <c r="L5" s="3" t="inlineStr">
        <is>
          <t>P-005; P-006</t>
        </is>
      </c>
      <c r="M5" s="2" t="inlineStr"/>
      <c r="N5" s="2" t="n"/>
      <c r="O5" s="2" t="inlineStr">
        <is>
          <t>R004</t>
        </is>
      </c>
      <c r="P5" s="2" t="inlineStr">
        <is>
          <t>Yes</t>
        </is>
      </c>
      <c r="Q5" s="2" t="n">
        <v>0</v>
      </c>
      <c r="R5" s="4" t="n">
        <v>42451</v>
      </c>
      <c r="S5" s="4" t="n">
        <v>42452</v>
      </c>
      <c r="T5" s="4" t="n">
        <v>42451</v>
      </c>
      <c r="U5" s="2" t="inlineStr">
        <is>
          <t>Reported interval</t>
        </is>
      </c>
      <c r="V5" s="2" t="inlineStr">
        <is>
          <t>Assigned: bound</t>
        </is>
      </c>
      <c r="W5" s="2" t="n"/>
      <c r="X5" s="2" t="n"/>
      <c r="Y5" s="2" t="n"/>
      <c r="Z5" s="2" t="n"/>
      <c r="AA5" s="2" t="n"/>
      <c r="AB5" s="2" t="n"/>
      <c r="AC5" s="2" t="n"/>
      <c r="AD5" s="2" t="n"/>
      <c r="AE5" s="2" t="n"/>
      <c r="AF5" s="2" t="n"/>
      <c r="AG5" s="2" t="n"/>
      <c r="AH5" s="2" t="n"/>
      <c r="AI5" s="2" t="n"/>
      <c r="AJ5" s="2" t="n"/>
      <c r="AK5" s="2" t="n">
        <v>28</v>
      </c>
      <c r="AL5" s="2" t="inlineStr">
        <is>
          <t>covers R001; covered by R008</t>
        </is>
      </c>
      <c r="AM5" s="2" t="inlineStr">
        <is>
          <t>PWRR-G&amp;W</t>
        </is>
      </c>
    </row>
    <row r="6" ht="118" customHeight="1">
      <c r="A6" s="2" t="n">
        <v>5</v>
      </c>
      <c r="B6" s="2" t="inlineStr">
        <is>
          <t>03/24/2016</t>
        </is>
      </c>
      <c r="C6" s="2" t="inlineStr">
        <is>
          <t>Transaction Committee</t>
        </is>
      </c>
      <c r="D6" s="2" t="inlineStr">
        <is>
          <t>Target decision</t>
        </is>
      </c>
      <c r="E6" s="2" t="n">
        <v>1</v>
      </c>
      <c r="F6" s="2" t="inlineStr">
        <is>
          <t>0</t>
        </is>
      </c>
      <c r="G6" s="2" t="n"/>
      <c r="H6" s="2" t="inlineStr">
        <is>
          <t>Committee authorized GHF to contact Party A and other potential buyers to determine their level of interest in a change in control transaction. Kept as a rejected Round 1 anchor candidate: an authorization is not the completed outreach (R007).</t>
        </is>
      </c>
      <c r="I6" s="2" t="n"/>
      <c r="J6" s="2" t="n"/>
      <c r="K6" s="2" t="inlineStr">
        <is>
          <t>Stated. “The Transaction Committee authorized GHF to contact Party A as well as other potential buyers to determine their level of interest in a change in control transaction.” (P-006, p.28).</t>
        </is>
      </c>
      <c r="L6" s="3" t="inlineStr">
        <is>
          <t>P-006</t>
        </is>
      </c>
      <c r="M6" s="2" t="inlineStr">
        <is>
          <t>Q1</t>
        </is>
      </c>
      <c r="N6" s="2" t="n"/>
      <c r="O6" s="2" t="inlineStr">
        <is>
          <t>R005</t>
        </is>
      </c>
      <c r="P6" s="2" t="inlineStr">
        <is>
          <t>Yes</t>
        </is>
      </c>
      <c r="Q6" s="2" t="n"/>
      <c r="R6" s="4" t="n">
        <v>42453</v>
      </c>
      <c r="S6" s="4" t="n">
        <v>42453</v>
      </c>
      <c r="T6" s="4" t="n">
        <v>42453</v>
      </c>
      <c r="U6" s="2" t="inlineStr">
        <is>
          <t>Reported day</t>
        </is>
      </c>
      <c r="V6" s="2" t="inlineStr">
        <is>
          <t>Reported</t>
        </is>
      </c>
      <c r="W6" s="2" t="n"/>
      <c r="X6" s="2" t="n"/>
      <c r="Y6" s="2" t="n"/>
      <c r="Z6" s="2" t="n"/>
      <c r="AA6" s="2" t="n"/>
      <c r="AB6" s="2" t="n"/>
      <c r="AC6" s="2" t="n"/>
      <c r="AD6" s="2" t="n"/>
      <c r="AE6" s="2" t="n"/>
      <c r="AF6" s="2" t="n"/>
      <c r="AG6" s="2" t="n"/>
      <c r="AH6" s="2" t="n"/>
      <c r="AI6" s="2" t="n"/>
      <c r="AJ6" s="2" t="n"/>
      <c r="AK6" s="2" t="n">
        <v>28</v>
      </c>
      <c r="AL6" s="2" t="inlineStr">
        <is>
          <t>R007 (rejected R1 anchor candidate)</t>
        </is>
      </c>
      <c r="AM6" s="2" t="inlineStr">
        <is>
          <t>PWRR-G&amp;W</t>
        </is>
      </c>
    </row>
    <row r="7" ht="118" customHeight="1">
      <c r="A7" s="2" t="n">
        <v>6</v>
      </c>
      <c r="B7" s="2" t="inlineStr">
        <is>
          <t>03/24/2016</t>
        </is>
      </c>
      <c r="C7" s="2" t="inlineStr">
        <is>
          <t>Hinckley, Allen &amp; Snyder LLP, legal counsel to the Company</t>
        </is>
      </c>
      <c r="D7" s="2" t="inlineStr">
        <is>
          <t>Adviser service observed</t>
        </is>
      </c>
      <c r="E7" s="2" t="n">
        <v>1</v>
      </c>
      <c r="F7" s="2" t="inlineStr">
        <is>
          <t>0</t>
        </is>
      </c>
      <c r="G7" s="2" t="n"/>
      <c r="H7" s="2" t="inlineStr">
        <is>
          <t>Legal counsel to the Company; services first observed when its representatives participated in the Transaction Committee meeting of 03/24/2016; participated in all Transaction Committee meetings (except as noted), reviewed merger terms and fiduciary duties with the Board, and negotiated the transaction documents. Engagement date not disclosed.</t>
        </is>
      </c>
      <c r="I7" s="2" t="n"/>
      <c r="J7" s="2" t="n"/>
      <c r="K7" s="2" t="inlineStr">
        <is>
          <t>Stated (service observed). “Members of management and representatives of each of GHF and the Company’s legal counsel, Hinckley, Allen &amp; Snyder LLP (which we refer to as “Hinckley Allen”), participated in all meetings of the Transaction Committee, except as otherwise indicated.” (P-006, p.28). Convention: no engagement date shown; the earliest supported service date is used (section 5.4).</t>
        </is>
      </c>
      <c r="L7" s="3" t="inlineStr">
        <is>
          <t>P-006; P-025; P-026; X-013</t>
        </is>
      </c>
      <c r="M7" s="2" t="inlineStr"/>
      <c r="N7" s="2" t="n"/>
      <c r="O7" s="2" t="inlineStr">
        <is>
          <t>R006</t>
        </is>
      </c>
      <c r="P7" s="2" t="inlineStr">
        <is>
          <t>Yes</t>
        </is>
      </c>
      <c r="Q7" s="2" t="n"/>
      <c r="R7" s="4" t="n">
        <v>42453</v>
      </c>
      <c r="S7" s="4" t="n">
        <v>42453</v>
      </c>
      <c r="T7" s="4" t="n">
        <v>42453</v>
      </c>
      <c r="U7" s="2" t="inlineStr">
        <is>
          <t>Reported day</t>
        </is>
      </c>
      <c r="V7" s="2" t="inlineStr">
        <is>
          <t>Reported</t>
        </is>
      </c>
      <c r="W7" s="2" t="n"/>
      <c r="X7" s="2" t="n"/>
      <c r="Y7" s="2" t="n"/>
      <c r="Z7" s="2" t="n"/>
      <c r="AA7" s="2" t="n"/>
      <c r="AB7" s="2" t="n"/>
      <c r="AC7" s="2" t="n"/>
      <c r="AD7" s="2" t="n"/>
      <c r="AE7" s="2" t="n"/>
      <c r="AF7" s="2" t="n"/>
      <c r="AG7" s="2" t="n"/>
      <c r="AH7" s="2" t="n"/>
      <c r="AI7" s="2" t="n"/>
      <c r="AJ7" s="2" t="n"/>
      <c r="AK7" s="2" t="n">
        <v>28</v>
      </c>
      <c r="AL7" s="2" t="inlineStr">
        <is>
          <t>R058</t>
        </is>
      </c>
      <c r="AM7" s="2" t="inlineStr">
        <is>
          <t>PWRR-G&amp;W</t>
        </is>
      </c>
    </row>
    <row r="8" ht="118" customHeight="1">
      <c r="A8" s="2" t="n">
        <v>7</v>
      </c>
      <c r="B8" s="2" t="inlineStr">
        <is>
          <t>Week of 03/28/2016</t>
        </is>
      </c>
      <c r="C8" s="2" t="inlineStr">
        <is>
          <t>Transaction Committee / GHF (the Company’s financial adviser)</t>
        </is>
      </c>
      <c r="D8" s="2" t="inlineStr">
        <is>
          <t>Round opened</t>
        </is>
      </c>
      <c r="E8" s="2" t="n">
        <v>1</v>
      </c>
      <c r="F8" s="2" t="inlineStr">
        <is>
          <t>1</t>
        </is>
      </c>
      <c r="G8" s="2" t="n"/>
      <c r="H8" s="2" t="inlineStr">
        <is>
          <t>R1 anchor: first outreach wave (week of 03/28/2016) — GHF contacted 11 potential strategic buyers (including Party A) and 18 potential financial buyers (29 total). Other candidate anchors rejected: R005 (03/24/2016 Transaction Committee authorization — rejected: the wave itself is the reported first solicitation) and R003 (03/14/2016 Board decision to proceed — rejected: solicitation began only after the 03/24 authorization). Objective: non-binding IOIs. Round finality: Not final — no final/binding stage announced; the round sought non-binding indications (P-011, p.29).</t>
        </is>
      </c>
      <c r="I8" s="2" t="n"/>
      <c r="J8" s="2" t="n"/>
      <c r="K8" s="2" t="inlineStr">
        <is>
          <t>Stated. “During the week of March 28, 2016, in accordance with the Transaction Committee’s directives, representatives of GHF contacted 11 potential strategic buyers (including Party A) and 18 potential financial buyers.” (P-006, p.28). Convention: “week of” window 03/28–04/03 with midpoint working date 03/31; anchor adopted per the smallest-map rule.</t>
        </is>
      </c>
      <c r="L8" s="3" t="inlineStr">
        <is>
          <t>P-006; P-011</t>
        </is>
      </c>
      <c r="M8" s="2" t="inlineStr">
        <is>
          <t>Q1</t>
        </is>
      </c>
      <c r="N8" s="2" t="n"/>
      <c r="O8" s="2" t="inlineStr">
        <is>
          <t>R007</t>
        </is>
      </c>
      <c r="P8" s="2" t="inlineStr">
        <is>
          <t>Yes</t>
        </is>
      </c>
      <c r="Q8" s="2" t="n"/>
      <c r="R8" s="4" t="n">
        <v>42457</v>
      </c>
      <c r="S8" s="4" t="n">
        <v>42463</v>
      </c>
      <c r="T8" s="4" t="n">
        <v>42460</v>
      </c>
      <c r="U8" s="2" t="inlineStr">
        <is>
          <t>Reported interval</t>
        </is>
      </c>
      <c r="V8" s="2" t="inlineStr">
        <is>
          <t>Assigned: midpoint</t>
        </is>
      </c>
      <c r="W8" s="2" t="n"/>
      <c r="X8" s="2" t="n"/>
      <c r="Y8" s="2" t="n"/>
      <c r="Z8" s="2" t="n"/>
      <c r="AA8" s="2" t="n"/>
      <c r="AB8" s="2" t="n"/>
      <c r="AC8" s="2" t="n"/>
      <c r="AD8" s="2" t="n"/>
      <c r="AE8" s="2" t="n"/>
      <c r="AF8" s="2" t="n"/>
      <c r="AG8" s="2" t="inlineStr">
        <is>
          <t>Not final</t>
        </is>
      </c>
      <c r="AH8" s="2" t="n"/>
      <c r="AI8" s="2" t="n"/>
      <c r="AJ8" s="2" t="n"/>
      <c r="AK8" s="2" t="n">
        <v>28</v>
      </c>
      <c r="AL8" s="2" t="inlineStr">
        <is>
          <t>R003; R005 (candidate anchors)</t>
        </is>
      </c>
      <c r="AM8" s="2" t="inlineStr">
        <is>
          <t>PWRR-G&amp;W</t>
        </is>
      </c>
    </row>
    <row r="9" ht="118" customHeight="1">
      <c r="A9" s="2" t="n">
        <v>8</v>
      </c>
      <c r="B9" s="2" t="inlineStr">
        <is>
          <t>Week of 03/28/2016</t>
        </is>
      </c>
      <c r="C9" s="2" t="inlineStr">
        <is>
          <t>11 potential strategic buyers (including Party A and G&amp;W)</t>
        </is>
      </c>
      <c r="D9" s="2" t="inlineStr">
        <is>
          <t>Contact</t>
        </is>
      </c>
      <c r="E9" s="2" t="n">
        <v>1</v>
      </c>
      <c r="F9" s="2" t="inlineStr">
        <is>
          <t>1</t>
        </is>
      </c>
      <c r="G9" s="2" t="inlineStr">
        <is>
          <t>Strategic</t>
        </is>
      </c>
      <c r="H9" s="2" t="inlineStr">
        <is>
          <t>Outreach to determine interest in a change in control transaction; all 11 subsequently executed confidentiality agreements (R010). Count 11 — size of the disclosed strategic cohort.</t>
        </is>
      </c>
      <c r="I9" s="2" t="n"/>
      <c r="J9" s="2" t="n"/>
      <c r="K9" s="2" t="inlineStr">
        <is>
          <t>Stated. Same wave quotation as R007 (P-006, p.28); “Each of the potential strategic buyers and 14 potential financial buyers subsequently executed confidentiality agreements.” (P-006, p.28).</t>
        </is>
      </c>
      <c r="L9" s="3" t="inlineStr">
        <is>
          <t>P-006</t>
        </is>
      </c>
      <c r="M9" s="2" t="inlineStr"/>
      <c r="N9" s="2" t="n"/>
      <c r="O9" s="2" t="inlineStr">
        <is>
          <t>R008</t>
        </is>
      </c>
      <c r="P9" s="2" t="inlineStr">
        <is>
          <t>Yes</t>
        </is>
      </c>
      <c r="Q9" s="2" t="n">
        <v>11</v>
      </c>
      <c r="R9" s="4" t="n">
        <v>42457</v>
      </c>
      <c r="S9" s="4" t="n">
        <v>42463</v>
      </c>
      <c r="T9" s="4" t="n">
        <v>42460</v>
      </c>
      <c r="U9" s="2" t="inlineStr">
        <is>
          <t>Reported interval</t>
        </is>
      </c>
      <c r="V9" s="2" t="inlineStr">
        <is>
          <t>Assigned: midpoint</t>
        </is>
      </c>
      <c r="W9" s="2" t="n"/>
      <c r="X9" s="2" t="n"/>
      <c r="Y9" s="2" t="n"/>
      <c r="Z9" s="2" t="n"/>
      <c r="AA9" s="2" t="n"/>
      <c r="AB9" s="2" t="n"/>
      <c r="AC9" s="2" t="n"/>
      <c r="AD9" s="2" t="n"/>
      <c r="AE9" s="2" t="n"/>
      <c r="AF9" s="2" t="n"/>
      <c r="AG9" s="2" t="n"/>
      <c r="AH9" s="2" t="n"/>
      <c r="AI9" s="2" t="n"/>
      <c r="AJ9" s="2" t="n"/>
      <c r="AK9" s="2" t="n">
        <v>28</v>
      </c>
      <c r="AL9" s="2" t="inlineStr">
        <is>
          <t>R010 (NDA cohort)</t>
        </is>
      </c>
      <c r="AM9" s="2" t="inlineStr">
        <is>
          <t>PWRR-G&amp;W</t>
        </is>
      </c>
    </row>
    <row r="10" ht="118" customHeight="1">
      <c r="A10" s="2" t="n">
        <v>9</v>
      </c>
      <c r="B10" s="2" t="inlineStr">
        <is>
          <t>Week of 03/28/2016</t>
        </is>
      </c>
      <c r="C10" s="2" t="inlineStr">
        <is>
          <t>18 potential financial buyers</t>
        </is>
      </c>
      <c r="D10" s="2" t="inlineStr">
        <is>
          <t>Contact</t>
        </is>
      </c>
      <c r="E10" s="2" t="n">
        <v>1</v>
      </c>
      <c r="F10" s="2" t="inlineStr">
        <is>
          <t>1</t>
        </is>
      </c>
      <c r="G10" s="2" t="inlineStr">
        <is>
          <t>Financial</t>
        </is>
      </c>
      <c r="H10" s="2" t="inlineStr">
        <is>
          <t>Outreach to determine interest; 14 of the 18 subsequently executed confidentiality agreements (R011). Count 18 contacted (not the 14 signers).</t>
        </is>
      </c>
      <c r="I10" s="2" t="n"/>
      <c r="J10" s="2" t="n"/>
      <c r="K10" s="2" t="inlineStr">
        <is>
          <t>Stated. Same wave quotation as R007 (P-006, p.28); of the 18 contacted, “14 potential financial buyers subsequently executed confidentiality agreements” (P-006, p.28).</t>
        </is>
      </c>
      <c r="L10" s="3" t="inlineStr">
        <is>
          <t>P-006</t>
        </is>
      </c>
      <c r="M10" s="2" t="inlineStr"/>
      <c r="N10" s="2" t="n"/>
      <c r="O10" s="2" t="inlineStr">
        <is>
          <t>R009</t>
        </is>
      </c>
      <c r="P10" s="2" t="inlineStr">
        <is>
          <t>Yes</t>
        </is>
      </c>
      <c r="Q10" s="2" t="n">
        <v>18</v>
      </c>
      <c r="R10" s="4" t="n">
        <v>42457</v>
      </c>
      <c r="S10" s="4" t="n">
        <v>42463</v>
      </c>
      <c r="T10" s="4" t="n">
        <v>42460</v>
      </c>
      <c r="U10" s="2" t="inlineStr">
        <is>
          <t>Reported interval</t>
        </is>
      </c>
      <c r="V10" s="2" t="inlineStr">
        <is>
          <t>Assigned: midpoint</t>
        </is>
      </c>
      <c r="W10" s="2" t="n"/>
      <c r="X10" s="2" t="n"/>
      <c r="Y10" s="2" t="n"/>
      <c r="Z10" s="2" t="n"/>
      <c r="AA10" s="2" t="n"/>
      <c r="AB10" s="2" t="n"/>
      <c r="AC10" s="2" t="n"/>
      <c r="AD10" s="2" t="n"/>
      <c r="AE10" s="2" t="n"/>
      <c r="AF10" s="2" t="n"/>
      <c r="AG10" s="2" t="n"/>
      <c r="AH10" s="2" t="n"/>
      <c r="AI10" s="2" t="n"/>
      <c r="AJ10" s="2" t="n"/>
      <c r="AK10" s="2" t="n">
        <v>28</v>
      </c>
      <c r="AL10" s="2" t="inlineStr">
        <is>
          <t>R011 (NDA cohort)</t>
        </is>
      </c>
      <c r="AM10" s="2" t="inlineStr">
        <is>
          <t>PWRR-G&amp;W</t>
        </is>
      </c>
    </row>
    <row r="11" ht="118" customHeight="1">
      <c r="A11" s="2" t="n">
        <v>10</v>
      </c>
      <c r="B11" s="2" t="inlineStr">
        <is>
          <t>After the week of 03/28/2016; exact dates not disclosed</t>
        </is>
      </c>
      <c r="C11" s="2" t="inlineStr">
        <is>
          <t>11 potential strategic buyers (including Party A and G&amp;W)</t>
        </is>
      </c>
      <c r="D11" s="2" t="inlineStr">
        <is>
          <t>NDA signed</t>
        </is>
      </c>
      <c r="E11" s="2" t="n">
        <v>1</v>
      </c>
      <c r="F11" s="2" t="inlineStr">
        <is>
          <t>1</t>
        </is>
      </c>
      <c r="G11" s="2" t="inlineStr">
        <is>
          <t>Strategic</t>
        </is>
      </c>
      <c r="H11" s="2" t="inlineStr">
        <is>
          <t>Executed acquisition-related confidentiality agreements; no “standstill” or similar provision restricting proposals. Signers received the Company memorandum in late April 2016 (folded here; no separate row per section 4). Includes Party A, G&amp;W and (by the filing’s description of memorandum recipients) Party B.</t>
        </is>
      </c>
      <c r="I11" s="2" t="n"/>
      <c r="J11" s="2" t="n"/>
      <c r="K11" s="2" t="inlineStr">
        <is>
          <t>Stated. “Each of the potential strategic buyers and 14 potential financial buyers subsequently executed confidentiality agreements. The confidentiality agreements did not contain any “standstill” or similar provision that would prohibit a potential buyer from submitting a proposal or making an offer to acquire the Company.” (P-006, p.28). Convention: execution day not disclosed; working date follows the outreach rows (Assigned: sequence).</t>
        </is>
      </c>
      <c r="L11" s="3" t="inlineStr">
        <is>
          <t>P-006; P-009</t>
        </is>
      </c>
      <c r="M11" s="2" t="inlineStr">
        <is>
          <t>Q3</t>
        </is>
      </c>
      <c r="N11" s="2" t="n"/>
      <c r="O11" s="2" t="inlineStr">
        <is>
          <t>R010</t>
        </is>
      </c>
      <c r="P11" s="2" t="inlineStr">
        <is>
          <t>Yes</t>
        </is>
      </c>
      <c r="Q11" s="2" t="n">
        <v>11</v>
      </c>
      <c r="R11" s="4" t="n">
        <v>42457</v>
      </c>
      <c r="S11" s="2" t="n"/>
      <c r="T11" s="4" t="n">
        <v>42460</v>
      </c>
      <c r="U11" s="2" t="inlineStr">
        <is>
          <t>Relative only</t>
        </is>
      </c>
      <c r="V11" s="2" t="inlineStr">
        <is>
          <t>Assigned: sequence</t>
        </is>
      </c>
      <c r="W11" s="2" t="n"/>
      <c r="X11" s="2" t="n"/>
      <c r="Y11" s="2" t="n"/>
      <c r="Z11" s="2" t="n"/>
      <c r="AA11" s="2" t="n"/>
      <c r="AB11" s="2" t="n"/>
      <c r="AC11" s="2" t="n"/>
      <c r="AD11" s="2" t="n"/>
      <c r="AE11" s="2" t="n"/>
      <c r="AF11" s="2" t="n"/>
      <c r="AG11" s="2" t="n"/>
      <c r="AH11" s="2" t="n"/>
      <c r="AI11" s="2" t="n"/>
      <c r="AJ11" s="2" t="n"/>
      <c r="AK11" s="2" t="n">
        <v>28</v>
      </c>
      <c r="AL11" s="2" t="inlineStr">
        <is>
          <t>R008 (contacts); R015 (Party B); R043 (Party A)</t>
        </is>
      </c>
      <c r="AM11" s="2" t="inlineStr">
        <is>
          <t>PWRR-G&amp;W</t>
        </is>
      </c>
    </row>
    <row r="12" ht="118" customHeight="1">
      <c r="A12" s="2" t="n">
        <v>11</v>
      </c>
      <c r="B12" s="2" t="inlineStr">
        <is>
          <t>After the week of 03/28/2016; exact dates not disclosed</t>
        </is>
      </c>
      <c r="C12" s="2" t="inlineStr">
        <is>
          <t>14 potential financial buyers</t>
        </is>
      </c>
      <c r="D12" s="2" t="inlineStr">
        <is>
          <t>NDA signed</t>
        </is>
      </c>
      <c r="E12" s="2" t="n">
        <v>1</v>
      </c>
      <c r="F12" s="2" t="inlineStr">
        <is>
          <t>1</t>
        </is>
      </c>
      <c r="G12" s="2" t="inlineStr">
        <is>
          <t>Financial</t>
        </is>
      </c>
      <c r="H12" s="2" t="inlineStr">
        <is>
          <t>14 of the 18 contacted financial buyers executed confidentiality agreements; no “standstill” provision. Signers received the Company memorandum in late April 2016 (folded here).</t>
        </is>
      </c>
      <c r="I12" s="2" t="n"/>
      <c r="J12" s="2" t="n"/>
      <c r="K12" s="2" t="inlineStr">
        <is>
          <t>Stated. Same quotation as R010 (P-006, p.28). Convention: execution day not disclosed; working date follows the outreach rows (Assigned: sequence).</t>
        </is>
      </c>
      <c r="L12" s="3" t="inlineStr">
        <is>
          <t>P-006; P-009</t>
        </is>
      </c>
      <c r="M12" s="2" t="inlineStr">
        <is>
          <t>Q3</t>
        </is>
      </c>
      <c r="N12" s="2" t="n"/>
      <c r="O12" s="2" t="inlineStr">
        <is>
          <t>R011</t>
        </is>
      </c>
      <c r="P12" s="2" t="inlineStr">
        <is>
          <t>Yes</t>
        </is>
      </c>
      <c r="Q12" s="2" t="n">
        <v>14</v>
      </c>
      <c r="R12" s="4" t="n">
        <v>42457</v>
      </c>
      <c r="S12" s="2" t="n"/>
      <c r="T12" s="4" t="n">
        <v>42460</v>
      </c>
      <c r="U12" s="2" t="inlineStr">
        <is>
          <t>Relative only</t>
        </is>
      </c>
      <c r="V12" s="2" t="inlineStr">
        <is>
          <t>Assigned: sequence</t>
        </is>
      </c>
      <c r="W12" s="2" t="n"/>
      <c r="X12" s="2" t="n"/>
      <c r="Y12" s="2" t="n"/>
      <c r="Z12" s="2" t="n"/>
      <c r="AA12" s="2" t="n"/>
      <c r="AB12" s="2" t="n"/>
      <c r="AC12" s="2" t="n"/>
      <c r="AD12" s="2" t="n"/>
      <c r="AE12" s="2" t="n"/>
      <c r="AF12" s="2" t="n"/>
      <c r="AG12" s="2" t="n"/>
      <c r="AH12" s="2" t="n"/>
      <c r="AI12" s="2" t="n"/>
      <c r="AJ12" s="2" t="n"/>
      <c r="AK12" s="2" t="n">
        <v>28</v>
      </c>
      <c r="AL12" s="2" t="inlineStr">
        <is>
          <t>R009 (contacts)</t>
        </is>
      </c>
      <c r="AM12" s="2" t="inlineStr">
        <is>
          <t>PWRR-G&amp;W</t>
        </is>
      </c>
    </row>
    <row r="13" ht="118" customHeight="1">
      <c r="A13" s="2" t="n">
        <v>12</v>
      </c>
      <c r="B13" s="2" t="inlineStr">
        <is>
          <t>04/03/2016–04/06/2016</t>
        </is>
      </c>
      <c r="C13" s="2" t="inlineStr">
        <is>
          <t>Five potential strategic buyers (including G&amp;W); GHF and Company management</t>
        </is>
      </c>
      <c r="D13" s="2" t="inlineStr">
        <is>
          <t>Contact</t>
        </is>
      </c>
      <c r="E13" s="2" t="n">
        <v>1</v>
      </c>
      <c r="F13" s="2" t="inlineStr">
        <is>
          <t>1</t>
        </is>
      </c>
      <c r="G13" s="2" t="inlineStr">
        <is>
          <t>Strategic</t>
        </is>
      </c>
      <c r="H13" s="2" t="inlineStr">
        <is>
          <t>Series of introductory meetings at the 2016 Connections Convention. Count 0 — these five are inside the R008 11-strategic cohort; first reported event naming G&amp;W.</t>
        </is>
      </c>
      <c r="I13" s="2" t="n"/>
      <c r="J13" s="2" t="n"/>
      <c r="K13" s="2" t="inlineStr">
        <is>
          <t>Stated. “Between April 3, 2016 and April 6, 2016, representatives of GHF and members of the Company’s management held a series of introductory meetings with five potential strategic buyers (including G&amp;W) at the American Short Line and Regional Railroad Association’s 2016 Connections Convention” (P-007, p.28). Convention: event spans four days; working date is the first day (Assigned: bound).</t>
        </is>
      </c>
      <c r="L13" s="3" t="inlineStr">
        <is>
          <t>P-007</t>
        </is>
      </c>
      <c r="M13" s="2" t="inlineStr"/>
      <c r="N13" s="2" t="n"/>
      <c r="O13" s="2" t="inlineStr">
        <is>
          <t>R012</t>
        </is>
      </c>
      <c r="P13" s="2" t="inlineStr">
        <is>
          <t>Yes</t>
        </is>
      </c>
      <c r="Q13" s="2" t="n">
        <v>0</v>
      </c>
      <c r="R13" s="4" t="n">
        <v>42463</v>
      </c>
      <c r="S13" s="4" t="n">
        <v>42466</v>
      </c>
      <c r="T13" s="4" t="n">
        <v>42463</v>
      </c>
      <c r="U13" s="2" t="inlineStr">
        <is>
          <t>Reported interval</t>
        </is>
      </c>
      <c r="V13" s="2" t="inlineStr">
        <is>
          <t>Assigned: bound</t>
        </is>
      </c>
      <c r="W13" s="2" t="n"/>
      <c r="X13" s="2" t="n"/>
      <c r="Y13" s="2" t="n"/>
      <c r="Z13" s="2" t="n"/>
      <c r="AA13" s="2" t="n"/>
      <c r="AB13" s="2" t="n"/>
      <c r="AC13" s="2" t="n"/>
      <c r="AD13" s="2" t="n"/>
      <c r="AE13" s="2" t="n"/>
      <c r="AF13" s="2" t="n"/>
      <c r="AG13" s="2" t="n"/>
      <c r="AH13" s="2" t="n"/>
      <c r="AI13" s="2" t="n"/>
      <c r="AJ13" s="2" t="n"/>
      <c r="AK13" s="2" t="n">
        <v>28</v>
      </c>
      <c r="AL13" s="2" t="inlineStr">
        <is>
          <t>covered by R008</t>
        </is>
      </c>
      <c r="AM13" s="2" t="inlineStr">
        <is>
          <t>PWRR-G&amp;W</t>
        </is>
      </c>
    </row>
    <row r="14" ht="118" customHeight="1">
      <c r="A14" s="2" t="n">
        <v>13</v>
      </c>
      <c r="B14" s="2" t="inlineStr">
        <is>
          <t>04/07/2016</t>
        </is>
      </c>
      <c r="C14" s="2" t="inlineStr">
        <is>
          <t>Transaction Committee</t>
        </is>
      </c>
      <c r="D14" s="2" t="inlineStr">
        <is>
          <t>Target decision</t>
        </is>
      </c>
      <c r="E14" s="2" t="n">
        <v>1</v>
      </c>
      <c r="F14" s="2" t="inlineStr">
        <is>
          <t>1</t>
        </is>
      </c>
      <c r="G14" s="2" t="n"/>
      <c r="H14" s="2" t="inlineStr">
        <is>
          <t>Committee authorized GHF to confirm continuing interest with the five convention parties, other potential strategic buyers (including certain Class I railroads) and private equity firms that had signed confidentiality agreements; CFO Noreck reported two additional Class I railroads had also been approached (R014).</t>
        </is>
      </c>
      <c r="I14" s="2" t="n"/>
      <c r="J14" s="2" t="n"/>
      <c r="K14" s="2" t="inlineStr">
        <is>
          <t>Stated. “the Transaction Committee authorized representatives of GHF, on behalf of the Company, to contact each of the five interested parties with whom management had met at the 2016 Connections Convention, as well as other potential strategic buyers (including certain Class I railroads) and private equity firms who had entered into confidentiality agreements with the Company to confirm their continuing interest.” (P-008, p.28).</t>
        </is>
      </c>
      <c r="L14" s="3" t="inlineStr">
        <is>
          <t>P-008</t>
        </is>
      </c>
      <c r="M14" s="2" t="inlineStr"/>
      <c r="N14" s="2" t="n"/>
      <c r="O14" s="2" t="inlineStr">
        <is>
          <t>R013</t>
        </is>
      </c>
      <c r="P14" s="2" t="inlineStr">
        <is>
          <t>Yes</t>
        </is>
      </c>
      <c r="Q14" s="2" t="n"/>
      <c r="R14" s="4" t="n">
        <v>42467</v>
      </c>
      <c r="S14" s="4" t="n">
        <v>42467</v>
      </c>
      <c r="T14" s="4" t="n">
        <v>42467</v>
      </c>
      <c r="U14" s="2" t="inlineStr">
        <is>
          <t>Reported day</t>
        </is>
      </c>
      <c r="V14" s="2" t="inlineStr">
        <is>
          <t>Reported</t>
        </is>
      </c>
      <c r="W14" s="2" t="n"/>
      <c r="X14" s="2" t="n"/>
      <c r="Y14" s="2" t="n"/>
      <c r="Z14" s="2" t="n"/>
      <c r="AA14" s="2" t="n"/>
      <c r="AB14" s="2" t="n"/>
      <c r="AC14" s="2" t="n"/>
      <c r="AD14" s="2" t="n"/>
      <c r="AE14" s="2" t="n"/>
      <c r="AF14" s="2" t="n"/>
      <c r="AG14" s="2" t="n"/>
      <c r="AH14" s="2" t="n"/>
      <c r="AI14" s="2" t="n"/>
      <c r="AJ14" s="2" t="n"/>
      <c r="AK14" s="2" t="n">
        <v>28</v>
      </c>
      <c r="AL14" s="2" t="inlineStr">
        <is>
          <t>R014</t>
        </is>
      </c>
      <c r="AM14" s="2" t="inlineStr">
        <is>
          <t>PWRR-G&amp;W</t>
        </is>
      </c>
    </row>
    <row r="15" ht="118" customHeight="1">
      <c r="A15" s="2" t="n">
        <v>14</v>
      </c>
      <c r="B15" s="2" t="inlineStr">
        <is>
          <t>On or before 04/07/2016 (report date; earlier contacts not dated)</t>
        </is>
      </c>
      <c r="C15" s="2" t="inlineStr">
        <is>
          <t>Two additional Class I railroads</t>
        </is>
      </c>
      <c r="D15" s="2" t="inlineStr">
        <is>
          <t>Contact</t>
        </is>
      </c>
      <c r="E15" s="2" t="n">
        <v>1</v>
      </c>
      <c r="F15" s="2" t="inlineStr">
        <is>
          <t>1</t>
        </is>
      </c>
      <c r="G15" s="2" t="inlineStr">
        <is>
          <t>Strategic</t>
        </is>
      </c>
      <c r="H15" s="2" t="inlineStr">
        <is>
          <t>Target-side approaches to determine interest in a possible transaction; additional to the 11 strategic buyers contacted in the March wave. No NDA, bid or outcome is reported: these contact-only parties never entered the process (no closing row).</t>
        </is>
      </c>
      <c r="I15" s="2" t="n"/>
      <c r="J15" s="2" t="n"/>
      <c r="K15" s="2" t="inlineStr">
        <is>
          <t>Stated. “Mr. Noreck reported that the Company had also approached two additional Class I railroads to determine their interest in a possible transaction.” (P-008, p.28). Convention: reported 04/07/2016 only; earlier date not disclosed, so the report day is the assigned bound.</t>
        </is>
      </c>
      <c r="L15" s="3" t="inlineStr">
        <is>
          <t>P-008</t>
        </is>
      </c>
      <c r="M15" s="2" t="inlineStr">
        <is>
          <t>Q3</t>
        </is>
      </c>
      <c r="N15" s="2" t="n"/>
      <c r="O15" s="2" t="inlineStr">
        <is>
          <t>R014</t>
        </is>
      </c>
      <c r="P15" s="2" t="inlineStr">
        <is>
          <t>Yes</t>
        </is>
      </c>
      <c r="Q15" s="2" t="n">
        <v>2</v>
      </c>
      <c r="R15" s="2" t="n"/>
      <c r="S15" s="4" t="n">
        <v>42467</v>
      </c>
      <c r="T15" s="4" t="n">
        <v>42467</v>
      </c>
      <c r="U15" s="2" t="inlineStr">
        <is>
          <t>Relative only</t>
        </is>
      </c>
      <c r="V15" s="2" t="inlineStr">
        <is>
          <t>Assigned: bound</t>
        </is>
      </c>
      <c r="W15" s="2" t="n"/>
      <c r="X15" s="2" t="n"/>
      <c r="Y15" s="2" t="n"/>
      <c r="Z15" s="2" t="n"/>
      <c r="AA15" s="2" t="n"/>
      <c r="AB15" s="2" t="n"/>
      <c r="AC15" s="2" t="n"/>
      <c r="AD15" s="2" t="n"/>
      <c r="AE15" s="2" t="n"/>
      <c r="AF15" s="2" t="n"/>
      <c r="AG15" s="2" t="n"/>
      <c r="AH15" s="2" t="n"/>
      <c r="AI15" s="2" t="n"/>
      <c r="AJ15" s="2" t="n"/>
      <c r="AK15" s="2" t="n">
        <v>28</v>
      </c>
      <c r="AL15" s="2" t="inlineStr"/>
      <c r="AM15" s="2" t="inlineStr">
        <is>
          <t>PWRR-G&amp;W</t>
        </is>
      </c>
    </row>
    <row r="16" ht="118" customHeight="1">
      <c r="A16" s="2" t="n">
        <v>15</v>
      </c>
      <c r="B16" s="2" t="inlineStr">
        <is>
          <t>04/21/2016</t>
        </is>
      </c>
      <c r="C16" s="2" t="inlineStr">
        <is>
          <t>Party B (potential strategic buyer)</t>
        </is>
      </c>
      <c r="D16" s="2" t="inlineStr">
        <is>
          <t>Contact</t>
        </is>
      </c>
      <c r="E16" s="2" t="n">
        <v>1</v>
      </c>
      <c r="F16" s="2" t="inlineStr">
        <is>
          <t>1</t>
        </is>
      </c>
      <c r="G16" s="2" t="inlineStr">
        <is>
          <t>Strategic</t>
        </is>
      </c>
      <c r="H16" s="2" t="inlineStr">
        <is>
          <t>Company and GHF held an introductory meeting with Party B; Party B had executed a confidentiality agreement by late April (received the Company memorandum). Count left blank: whether Party B is inside the 11-strategic contact cohort (R008) is not disclosed — unresolved overlap, not silently zero.</t>
        </is>
      </c>
      <c r="I16" s="2" t="n"/>
      <c r="J16" s="2" t="n"/>
      <c r="K16" s="2" t="inlineStr">
        <is>
          <t>Stated. “Subsequently, on April 21, 2016, the Company and representatives of GHF held an introductory meeting with another potential strategic buyer (“Party B”).” (P-008, p.28). Overlap qualification: R010 (memo recipients include Party B).</t>
        </is>
      </c>
      <c r="L16" s="3" t="inlineStr">
        <is>
          <t>P-008; P-009</t>
        </is>
      </c>
      <c r="M16" s="2" t="inlineStr">
        <is>
          <t>Q3</t>
        </is>
      </c>
      <c r="N16" s="2" t="n"/>
      <c r="O16" s="2" t="inlineStr">
        <is>
          <t>R015</t>
        </is>
      </c>
      <c r="P16" s="2" t="inlineStr">
        <is>
          <t>Yes</t>
        </is>
      </c>
      <c r="Q16" s="2" t="n"/>
      <c r="R16" s="4" t="n">
        <v>42481</v>
      </c>
      <c r="S16" s="4" t="n">
        <v>42481</v>
      </c>
      <c r="T16" s="4" t="n">
        <v>42481</v>
      </c>
      <c r="U16" s="2" t="inlineStr">
        <is>
          <t>Reported day</t>
        </is>
      </c>
      <c r="V16" s="2" t="inlineStr">
        <is>
          <t>Reported</t>
        </is>
      </c>
      <c r="W16" s="2" t="n"/>
      <c r="X16" s="2" t="n"/>
      <c r="Y16" s="2" t="n"/>
      <c r="Z16" s="2" t="n"/>
      <c r="AA16" s="2" t="n"/>
      <c r="AB16" s="2" t="n"/>
      <c r="AC16" s="2" t="n"/>
      <c r="AD16" s="2" t="n"/>
      <c r="AE16" s="2" t="n"/>
      <c r="AF16" s="2" t="n"/>
      <c r="AG16" s="2" t="n"/>
      <c r="AH16" s="2" t="n"/>
      <c r="AI16" s="2" t="n"/>
      <c r="AJ16" s="2" t="n"/>
      <c r="AK16" s="2" t="n">
        <v>28</v>
      </c>
      <c r="AL16" s="2" t="inlineStr">
        <is>
          <t>R010; R029</t>
        </is>
      </c>
      <c r="AM16" s="2" t="inlineStr">
        <is>
          <t>PWRR-G&amp;W</t>
        </is>
      </c>
    </row>
    <row r="17" ht="118" customHeight="1">
      <c r="A17" s="2" t="n">
        <v>16</v>
      </c>
      <c r="B17" s="2" t="inlineStr">
        <is>
          <t>04/27/2016</t>
        </is>
      </c>
      <c r="C17" s="2" t="inlineStr">
        <is>
          <t>Board of Directors (executive session, without Mr. Eder present)</t>
        </is>
      </c>
      <c r="D17" s="2" t="inlineStr">
        <is>
          <t>Deadline set</t>
        </is>
      </c>
      <c r="E17" s="2" t="n">
        <v>1</v>
      </c>
      <c r="F17" s="2" t="inlineStr">
        <is>
          <t>1</t>
        </is>
      </c>
      <c r="G17" s="2" t="n"/>
      <c r="H17" s="2" t="inlineStr">
        <is>
          <t>Each potential buyer advised to submit a non-binding indication of interest by 05/10/2016. Deadline treatment: Extended (postponed to 05/19/2016, R017).</t>
        </is>
      </c>
      <c r="I17" s="2" t="n"/>
      <c r="J17" s="2" t="n"/>
      <c r="K17" s="2" t="inlineStr">
        <is>
          <t>Stated. “each potential buyer had been advised to submit a non-binding indication of interest by May 10, 2016 (which deadline was subsequently postponed to May 19, 2016 to ensure the potential buyers had sufficient time to formulate their most compelling offers)” (P-010, p.29).</t>
        </is>
      </c>
      <c r="L17" s="3" t="inlineStr">
        <is>
          <t>P-010</t>
        </is>
      </c>
      <c r="M17" s="2" t="inlineStr">
        <is>
          <t>Q2</t>
        </is>
      </c>
      <c r="N17" s="2" t="n"/>
      <c r="O17" s="2" t="inlineStr">
        <is>
          <t>R016</t>
        </is>
      </c>
      <c r="P17" s="2" t="inlineStr">
        <is>
          <t>Yes</t>
        </is>
      </c>
      <c r="Q17" s="2" t="n"/>
      <c r="R17" s="4" t="n">
        <v>42487</v>
      </c>
      <c r="S17" s="4" t="n">
        <v>42487</v>
      </c>
      <c r="T17" s="4" t="n">
        <v>42487</v>
      </c>
      <c r="U17" s="2" t="inlineStr">
        <is>
          <t>Reported day</t>
        </is>
      </c>
      <c r="V17" s="2" t="inlineStr">
        <is>
          <t>Reported</t>
        </is>
      </c>
      <c r="W17" s="2" t="n"/>
      <c r="X17" s="2" t="n"/>
      <c r="Y17" s="2" t="n"/>
      <c r="Z17" s="2" t="n"/>
      <c r="AA17" s="2" t="n"/>
      <c r="AB17" s="2" t="n"/>
      <c r="AC17" s="2" t="n"/>
      <c r="AD17" s="2" t="n"/>
      <c r="AE17" s="4" t="n">
        <v>42500</v>
      </c>
      <c r="AF17" s="2" t="inlineStr">
        <is>
          <t>Extended</t>
        </is>
      </c>
      <c r="AG17" s="2" t="n"/>
      <c r="AH17" s="2" t="n"/>
      <c r="AI17" s="2" t="n"/>
      <c r="AJ17" s="2" t="n"/>
      <c r="AK17" s="2" t="n">
        <v>29</v>
      </c>
      <c r="AL17" s="2" t="inlineStr">
        <is>
          <t>R017; R018</t>
        </is>
      </c>
      <c r="AM17" s="2" t="inlineStr">
        <is>
          <t>PWRR-G&amp;W</t>
        </is>
      </c>
    </row>
    <row r="18" ht="118" customHeight="1">
      <c r="A18" s="2" t="n">
        <v>17</v>
      </c>
      <c r="B18" s="2" t="inlineStr">
        <is>
          <t>After 04/27/2016; before 05/19/2016 (exact date not disclosed)</t>
        </is>
      </c>
      <c r="C18" s="2" t="inlineStr">
        <is>
          <t>Company (Transaction Committee process)</t>
        </is>
      </c>
      <c r="D18" s="2" t="inlineStr">
        <is>
          <t>Deadline revised</t>
        </is>
      </c>
      <c r="E18" s="2" t="n">
        <v>1</v>
      </c>
      <c r="F18" s="2" t="inlineStr">
        <is>
          <t>1</t>
        </is>
      </c>
      <c r="G18" s="2" t="n"/>
      <c r="H18" s="2" t="inlineStr">
        <is>
          <t>IOI deadline postponed from 05/10/2016 to 05/19/2016 to ensure the potential buyers had sufficient time to formulate their most compelling offers; requester not disclosed. Deadline treatment shown for the replacement date (R018).</t>
        </is>
      </c>
      <c r="I18" s="2" t="n"/>
      <c r="J18" s="2" t="n"/>
      <c r="K18" s="2" t="inlineStr">
        <is>
          <t>Stated (postponement and reason). “which deadline was subsequently postponed to May 19, 2016 to ensure the potential buyers had sufficient time to formulate their most compelling offers” (P-010, p.29). Convention: postponement date not disclosed; bounded 04/28–05/18 (after the 04/27/2016 meeting, before the new date); working date is the midpoint.</t>
        </is>
      </c>
      <c r="L18" s="3" t="inlineStr">
        <is>
          <t>P-010</t>
        </is>
      </c>
      <c r="M18" s="2" t="inlineStr">
        <is>
          <t>Q2</t>
        </is>
      </c>
      <c r="N18" s="2" t="n"/>
      <c r="O18" s="2" t="inlineStr">
        <is>
          <t>R017</t>
        </is>
      </c>
      <c r="P18" s="2" t="inlineStr">
        <is>
          <t>Yes</t>
        </is>
      </c>
      <c r="Q18" s="2" t="n"/>
      <c r="R18" s="4" t="n">
        <v>42488</v>
      </c>
      <c r="S18" s="4" t="n">
        <v>42508</v>
      </c>
      <c r="T18" s="4" t="n">
        <v>42498</v>
      </c>
      <c r="U18" s="2" t="inlineStr">
        <is>
          <t>Relative only</t>
        </is>
      </c>
      <c r="V18" s="2" t="inlineStr">
        <is>
          <t>Assigned: midpoint</t>
        </is>
      </c>
      <c r="W18" s="2" t="n"/>
      <c r="X18" s="2" t="n"/>
      <c r="Y18" s="2" t="n"/>
      <c r="Z18" s="2" t="n"/>
      <c r="AA18" s="2" t="n"/>
      <c r="AB18" s="2" t="n"/>
      <c r="AC18" s="2" t="n"/>
      <c r="AD18" s="2" t="n"/>
      <c r="AE18" s="4" t="n">
        <v>42509</v>
      </c>
      <c r="AF18" s="2" t="inlineStr">
        <is>
          <t>Enforced</t>
        </is>
      </c>
      <c r="AG18" s="2" t="n"/>
      <c r="AH18" s="2" t="n"/>
      <c r="AI18" s="2" t="n"/>
      <c r="AJ18" s="2" t="n"/>
      <c r="AK18" s="2" t="n">
        <v>29</v>
      </c>
      <c r="AL18" s="2" t="inlineStr">
        <is>
          <t>R016; R018</t>
        </is>
      </c>
      <c r="AM18" s="2" t="inlineStr">
        <is>
          <t>PWRR-G&amp;W</t>
        </is>
      </c>
    </row>
    <row r="19" ht="118" customHeight="1">
      <c r="A19" s="2" t="n">
        <v>18</v>
      </c>
      <c r="B19" s="2" t="inlineStr">
        <is>
          <t>05/19/2016</t>
        </is>
      </c>
      <c r="C19" s="2" t="inlineStr">
        <is>
          <t>Company (IOI deadline)</t>
        </is>
      </c>
      <c r="D19" s="2" t="inlineStr">
        <is>
          <t>Deadline</t>
        </is>
      </c>
      <c r="E19" s="2" t="n">
        <v>1</v>
      </c>
      <c r="F19" s="2" t="inlineStr">
        <is>
          <t>1</t>
        </is>
      </c>
      <c r="G19" s="2" t="n"/>
      <c r="H19" s="2" t="inlineStr">
        <is>
          <t>IOI due date. Treatment Enforced: the date passed with no extension and the target took its next step (review of the nine IOIs at the 05/23 and 06/01 committee meetings; exclusion of two low bidders; advancement of seven). The receipt window 05/19–06/01 straddles the due date and no individual arrival dates are disclosed, so no arrival is treated as late (alternative reading flagged in Q2).</t>
        </is>
      </c>
      <c r="I19" s="2" t="n"/>
      <c r="J19" s="2" t="n"/>
      <c r="K19" s="2" t="inlineStr">
        <is>
          <t>Stated (due date and what followed). “Between May 19, 2016 and June 1, 2016, the Company received nine written indications of interest (“IOIs”) from potential buyers” ... “The Transaction Committee met by telephone conference on May 23, 2016 and again on June 1, 2016 to consider the IOIs.” (P-011, p.29).</t>
        </is>
      </c>
      <c r="L19" s="3" t="inlineStr">
        <is>
          <t>P-011</t>
        </is>
      </c>
      <c r="M19" s="2" t="inlineStr">
        <is>
          <t>Q2</t>
        </is>
      </c>
      <c r="N19" s="2" t="n"/>
      <c r="O19" s="2" t="inlineStr">
        <is>
          <t>R018</t>
        </is>
      </c>
      <c r="P19" s="2" t="inlineStr">
        <is>
          <t>Yes</t>
        </is>
      </c>
      <c r="Q19" s="2" t="n"/>
      <c r="R19" s="4" t="n">
        <v>42509</v>
      </c>
      <c r="S19" s="4" t="n">
        <v>42509</v>
      </c>
      <c r="T19" s="4" t="n">
        <v>42509</v>
      </c>
      <c r="U19" s="2" t="inlineStr">
        <is>
          <t>Reported day</t>
        </is>
      </c>
      <c r="V19" s="2" t="inlineStr">
        <is>
          <t>Reported</t>
        </is>
      </c>
      <c r="W19" s="2" t="n"/>
      <c r="X19" s="2" t="n"/>
      <c r="Y19" s="2" t="n"/>
      <c r="Z19" s="2" t="n"/>
      <c r="AA19" s="2" t="n"/>
      <c r="AB19" s="2" t="n"/>
      <c r="AC19" s="2" t="n"/>
      <c r="AD19" s="2" t="n"/>
      <c r="AE19" s="4" t="n">
        <v>42509</v>
      </c>
      <c r="AF19" s="2" t="inlineStr">
        <is>
          <t>Enforced</t>
        </is>
      </c>
      <c r="AG19" s="2" t="n"/>
      <c r="AH19" s="2" t="n"/>
      <c r="AI19" s="2" t="n"/>
      <c r="AJ19" s="2" t="n"/>
      <c r="AK19" s="2" t="n">
        <v>29</v>
      </c>
      <c r="AL19" s="2" t="inlineStr">
        <is>
          <t>R016; R017; R019</t>
        </is>
      </c>
      <c r="AM19" s="2" t="inlineStr">
        <is>
          <t>PWRR-G&amp;W</t>
        </is>
      </c>
    </row>
    <row r="20" ht="118" customHeight="1">
      <c r="A20" s="2" t="n">
        <v>19</v>
      </c>
      <c r="B20" s="2" t="inlineStr">
        <is>
          <t>Between 05/19/2016 and 06/01/2016</t>
        </is>
      </c>
      <c r="C20" s="2" t="inlineStr">
        <is>
          <t>Nine IOI bidders (unidentified group of potential buyers)</t>
        </is>
      </c>
      <c r="D20" s="2" t="inlineStr">
        <is>
          <t>Bid</t>
        </is>
      </c>
      <c r="E20" s="2" t="n">
        <v>1</v>
      </c>
      <c r="F20" s="2" t="inlineStr">
        <is>
          <t>1</t>
        </is>
      </c>
      <c r="G20" s="2" t="inlineStr">
        <is>
          <t>Unknown</t>
        </is>
      </c>
      <c r="H20" s="2" t="inlineStr">
        <is>
          <t>Nine written non-binding IOIs; offer prices $17.93–$26.50 per share (assuming conversion of preferred stock into common stock), implying equity values of $90 million–$134 million. Group price envelope applies only to this group, not to each member. Preliminary indications made before substantive diligence access (data-site access and management presentations came only after the 06/01 decision) — assessed Informal / Heavy by context.</t>
        </is>
      </c>
      <c r="I20" s="2" t="inlineStr">
        <is>
          <t>Informal</t>
        </is>
      </c>
      <c r="J20" s="2" t="inlineStr">
        <is>
          <t>Heavy</t>
        </is>
      </c>
      <c r="K20" s="2" t="inlineStr">
        <is>
          <t>Stated. “the Company received nine written indications of interest (“IOIs”) from potential buyers, with offer prices per share ranging from $17.93 to $26.50 (assuming the conversion of preferred stock into common stock), implying equity values of $90 million to $134 million” (P-011, p.29). Convention: Group envelope; formality default Informal (no formal signal reported); conditions Heavy by context (before substantive diligence access; “These potential buyers were given access to an internet data site to conduct legal and financial due diligence.”, P-011, p.29); working date = the due date inside the response window (Assigned: deadline).</t>
        </is>
      </c>
      <c r="L20" s="3" t="inlineStr">
        <is>
          <t>P-011</t>
        </is>
      </c>
      <c r="M20" s="2" t="inlineStr">
        <is>
          <t>Q2; Q6</t>
        </is>
      </c>
      <c r="N20" s="2" t="n"/>
      <c r="O20" s="2" t="inlineStr">
        <is>
          <t>R019</t>
        </is>
      </c>
      <c r="P20" s="2" t="inlineStr">
        <is>
          <t>Yes</t>
        </is>
      </c>
      <c r="Q20" s="2" t="n">
        <v>9</v>
      </c>
      <c r="R20" s="4" t="n">
        <v>42509</v>
      </c>
      <c r="S20" s="4" t="n">
        <v>42522</v>
      </c>
      <c r="T20" s="4" t="n">
        <v>42509</v>
      </c>
      <c r="U20" s="2" t="inlineStr">
        <is>
          <t>Reported interval</t>
        </is>
      </c>
      <c r="V20" s="2" t="inlineStr">
        <is>
          <t>Assigned: deadline</t>
        </is>
      </c>
      <c r="W20" s="5" t="n">
        <v>17.93</v>
      </c>
      <c r="X20" s="5" t="n">
        <v>26.5</v>
      </c>
      <c r="Y20" s="2" t="inlineStr">
        <is>
          <t>Group envelope</t>
        </is>
      </c>
      <c r="Z20" s="2" t="inlineStr">
        <is>
          <t>Stated</t>
        </is>
      </c>
      <c r="AA20" s="2" t="inlineStr">
        <is>
          <t>USD</t>
        </is>
      </c>
      <c r="AB20" s="2" t="inlineStr">
        <is>
          <t>Not stated</t>
        </is>
      </c>
      <c r="AC20" s="2" t="n"/>
      <c r="AD20" s="2" t="inlineStr">
        <is>
          <t>Fin: not stated; DD required: not stated; DD open: no; Excl: not stated</t>
        </is>
      </c>
      <c r="AE20" s="2" t="n"/>
      <c r="AF20" s="2" t="n"/>
      <c r="AG20" s="2" t="n"/>
      <c r="AH20" s="2" t="n"/>
      <c r="AI20" s="2" t="n"/>
      <c r="AJ20" s="2" t="n"/>
      <c r="AK20" s="2" t="n">
        <v>29</v>
      </c>
      <c r="AL20" s="2" t="inlineStr">
        <is>
          <t>R020 (non-submitter residual); R021 (two low bidders)</t>
        </is>
      </c>
      <c r="AM20" s="2" t="inlineStr">
        <is>
          <t>PWRR-G&amp;W</t>
        </is>
      </c>
    </row>
    <row r="21" ht="118" customHeight="1">
      <c r="A21" s="2" t="n">
        <v>20</v>
      </c>
      <c r="B21" s="2" t="inlineStr">
        <is>
          <t>By 05/19/2016</t>
        </is>
      </c>
      <c r="C21" s="2" t="inlineStr">
        <is>
          <t>16 non-submitting NDA signers (residual cohort)</t>
        </is>
      </c>
      <c r="D21" s="2" t="inlineStr">
        <is>
          <t>Did not submit</t>
        </is>
      </c>
      <c r="E21" s="2" t="n">
        <v>1</v>
      </c>
      <c r="F21" s="2" t="inlineStr">
        <is>
          <t>1</t>
        </is>
      </c>
      <c r="G21" s="2" t="inlineStr">
        <is>
          <t>Unknown</t>
        </is>
      </c>
      <c r="H21" s="2" t="inlineStr">
        <is>
          <t>Inferred: residual — 25 NDA signers (R010+R011) − 9 IOI submitters (R019) = 16 non-submitters. Base assumes all 25 initial signers were eligible for the IOI solicitation (P-010, p.29); may include Party A (see R043).</t>
        </is>
      </c>
      <c r="I21" s="2" t="n"/>
      <c r="J21" s="2" t="n"/>
      <c r="K21" s="2" t="inlineStr">
        <is>
          <t>Inferred: residual. Base: “Each of the potential strategic buyers and 14 potential financial buyers subsequently executed confidentiality agreements.” (P-006, p.28); “the Company received nine written indications of interest (“IOIs”) from potential buyers” (P-011, p.29). Closing convention (section 10.2): no submission reported; agency and reason not established from the arithmetic.</t>
        </is>
      </c>
      <c r="L21" s="3" t="inlineStr">
        <is>
          <t>P-006; P-011</t>
        </is>
      </c>
      <c r="M21" s="2" t="inlineStr">
        <is>
          <t>Q5</t>
        </is>
      </c>
      <c r="N21" s="2" t="n"/>
      <c r="O21" s="2" t="inlineStr">
        <is>
          <t>R020</t>
        </is>
      </c>
      <c r="P21" s="2" t="inlineStr">
        <is>
          <t>Yes</t>
        </is>
      </c>
      <c r="Q21" s="2" t="n">
        <v>16</v>
      </c>
      <c r="R21" s="2" t="n"/>
      <c r="S21" s="4" t="n">
        <v>42509</v>
      </c>
      <c r="T21" s="4" t="n">
        <v>42509</v>
      </c>
      <c r="U21" s="2" t="inlineStr">
        <is>
          <t>Relative only</t>
        </is>
      </c>
      <c r="V21" s="2" t="inlineStr">
        <is>
          <t>Assigned: deadline</t>
        </is>
      </c>
      <c r="W21" s="2" t="n"/>
      <c r="X21" s="2" t="n"/>
      <c r="Y21" s="2" t="n"/>
      <c r="Z21" s="2" t="n"/>
      <c r="AA21" s="2" t="n"/>
      <c r="AB21" s="2" t="n"/>
      <c r="AC21" s="2" t="n"/>
      <c r="AD21" s="2" t="n"/>
      <c r="AE21" s="2" t="n"/>
      <c r="AF21" s="2" t="n"/>
      <c r="AG21" s="2" t="n"/>
      <c r="AH21" s="2" t="inlineStr">
        <is>
          <t>Unknown</t>
        </is>
      </c>
      <c r="AI21" s="2" t="inlineStr">
        <is>
          <t>Not stated</t>
        </is>
      </c>
      <c r="AJ21" s="2" t="inlineStr">
        <is>
          <t>Inferred: residual</t>
        </is>
      </c>
      <c r="AK21" s="2" t="n">
        <v>29</v>
      </c>
      <c r="AL21" s="2" t="inlineStr">
        <is>
          <t>R010; R011; R043 (possible member)</t>
        </is>
      </c>
      <c r="AM21" s="2" t="inlineStr">
        <is>
          <t>PWRR-G&amp;W</t>
        </is>
      </c>
    </row>
    <row r="22" ht="118" customHeight="1">
      <c r="A22" s="2" t="n">
        <v>21</v>
      </c>
      <c r="B22" s="2" t="inlineStr">
        <is>
          <t>06/01/2016 (decision reached over the 05/23 and 06/01 meetings)</t>
        </is>
      </c>
      <c r="C22" s="2" t="inlineStr">
        <is>
          <t>Two lowest-priced IOI bidders (unidentified)</t>
        </is>
      </c>
      <c r="D22" s="2" t="inlineStr">
        <is>
          <t>Dropped by target</t>
        </is>
      </c>
      <c r="E22" s="2" t="n">
        <v>1</v>
      </c>
      <c r="F22" s="2" t="inlineStr">
        <is>
          <t>1</t>
        </is>
      </c>
      <c r="G22" s="2" t="inlineStr">
        <is>
          <t>Unknown</t>
        </is>
      </c>
      <c r="H22" s="2" t="inlineStr">
        <is>
          <t>Stated exclusion from management presentations and further diligence because management time for presentations was substantial; the two lowest of the nine IOIs. Stage left: Round 1. Identity of the two lowest is not disclosed.</t>
        </is>
      </c>
      <c r="I22" s="2" t="n"/>
      <c r="J22" s="2" t="n"/>
      <c r="K22" s="2" t="inlineStr">
        <is>
          <t>Stated. “In view of the substantial amount of management time that would be required for management presentations, the Transaction Committee concluded that the two low bidders should be excluded from that process.” (P-011, p.29). Convention: decision spans the 05/23 and 06/01 meetings; working date is the last meeting day (Assigned: decision day).</t>
        </is>
      </c>
      <c r="L22" s="3" t="inlineStr">
        <is>
          <t>P-011</t>
        </is>
      </c>
      <c r="M22" s="2" t="inlineStr">
        <is>
          <t>Q5</t>
        </is>
      </c>
      <c r="N22" s="2" t="n"/>
      <c r="O22" s="2" t="inlineStr">
        <is>
          <t>R021</t>
        </is>
      </c>
      <c r="P22" s="2" t="inlineStr">
        <is>
          <t>Yes</t>
        </is>
      </c>
      <c r="Q22" s="2" t="n">
        <v>2</v>
      </c>
      <c r="R22" s="4" t="n">
        <v>42513</v>
      </c>
      <c r="S22" s="4" t="n">
        <v>42522</v>
      </c>
      <c r="T22" s="4" t="n">
        <v>42522</v>
      </c>
      <c r="U22" s="2" t="inlineStr">
        <is>
          <t>Reported interval</t>
        </is>
      </c>
      <c r="V22" s="2" t="inlineStr">
        <is>
          <t>Assigned: decision day</t>
        </is>
      </c>
      <c r="W22" s="2" t="n"/>
      <c r="X22" s="2" t="n"/>
      <c r="Y22" s="2" t="n"/>
      <c r="Z22" s="2" t="n"/>
      <c r="AA22" s="2" t="n"/>
      <c r="AB22" s="2" t="n"/>
      <c r="AC22" s="2" t="n"/>
      <c r="AD22" s="2" t="n"/>
      <c r="AE22" s="2" t="n"/>
      <c r="AF22" s="2" t="n"/>
      <c r="AG22" s="2" t="n"/>
      <c r="AH22" s="2" t="inlineStr">
        <is>
          <t>Target</t>
        </is>
      </c>
      <c r="AI22" s="2" t="inlineStr">
        <is>
          <t>Lower offer than rivals</t>
        </is>
      </c>
      <c r="AJ22" s="2" t="inlineStr">
        <is>
          <t>Stated</t>
        </is>
      </c>
      <c r="AK22" s="2" t="n">
        <v>29</v>
      </c>
      <c r="AL22" s="2" t="inlineStr">
        <is>
          <t>R019 (source group); R043 (possible member)</t>
        </is>
      </c>
      <c r="AM22" s="2" t="inlineStr">
        <is>
          <t>PWRR-G&amp;W</t>
        </is>
      </c>
    </row>
    <row r="23" ht="118" customHeight="1">
      <c r="A23" s="2" t="n">
        <v>22</v>
      </c>
      <c r="B23" s="2" t="inlineStr">
        <is>
          <t>06/01/2016</t>
        </is>
      </c>
      <c r="C23" s="2" t="inlineStr">
        <is>
          <t>Transaction Committee</t>
        </is>
      </c>
      <c r="D23" s="2" t="inlineStr">
        <is>
          <t>Round opened</t>
        </is>
      </c>
      <c r="E23" s="2" t="n">
        <v>1</v>
      </c>
      <c r="F23" s="2" t="inlineStr">
        <is>
          <t>2</t>
        </is>
      </c>
      <c r="G23" s="2" t="n"/>
      <c r="H23" s="2" t="inlineStr">
        <is>
          <t>Advancement: seven of the nine IOI bidders selected for in-person management presentations and additional due diligence; internet data-site access granted to those seven; two low bidders excluded (R021). Objective: presentations, diligence and non-binding LOIs. Round finality: Not final — no final/binding stage announced; the next offers were non-binding LOIs (P-012, p.29).</t>
        </is>
      </c>
      <c r="I23" s="2" t="n"/>
      <c r="J23" s="2" t="n"/>
      <c r="K23" s="2" t="inlineStr">
        <is>
          <t>Stated. “The Transaction Committee authorized representatives of GHF to schedule in-person management presentations with the remaining seven potential buyers and allow these parties to conduct additional due diligence. These potential buyers were given access to an internet data site to conduct legal and financial due diligence.” (P-011, p.29).</t>
        </is>
      </c>
      <c r="L23" s="3" t="inlineStr">
        <is>
          <t>P-011; P-012</t>
        </is>
      </c>
      <c r="M23" s="2" t="inlineStr">
        <is>
          <t>Q1</t>
        </is>
      </c>
      <c r="N23" s="2" t="n"/>
      <c r="O23" s="2" t="inlineStr">
        <is>
          <t>R022</t>
        </is>
      </c>
      <c r="P23" s="2" t="inlineStr">
        <is>
          <t>Yes</t>
        </is>
      </c>
      <c r="Q23" s="2" t="n"/>
      <c r="R23" s="4" t="n">
        <v>42522</v>
      </c>
      <c r="S23" s="4" t="n">
        <v>42522</v>
      </c>
      <c r="T23" s="4" t="n">
        <v>42522</v>
      </c>
      <c r="U23" s="2" t="inlineStr">
        <is>
          <t>Reported day</t>
        </is>
      </c>
      <c r="V23" s="2" t="inlineStr">
        <is>
          <t>Reported</t>
        </is>
      </c>
      <c r="W23" s="2" t="n"/>
      <c r="X23" s="2" t="n"/>
      <c r="Y23" s="2" t="n"/>
      <c r="Z23" s="2" t="n"/>
      <c r="AA23" s="2" t="n"/>
      <c r="AB23" s="2" t="n"/>
      <c r="AC23" s="2" t="n"/>
      <c r="AD23" s="2" t="n"/>
      <c r="AE23" s="2" t="n"/>
      <c r="AF23" s="2" t="n"/>
      <c r="AG23" s="2" t="inlineStr">
        <is>
          <t>Not final</t>
        </is>
      </c>
      <c r="AH23" s="2" t="n"/>
      <c r="AI23" s="2" t="n"/>
      <c r="AJ23" s="2" t="n"/>
      <c r="AK23" s="2" t="n">
        <v>29</v>
      </c>
      <c r="AL23" s="2" t="inlineStr">
        <is>
          <t>R021; R024</t>
        </is>
      </c>
      <c r="AM23" s="2" t="inlineStr">
        <is>
          <t>PWRR-G&amp;W</t>
        </is>
      </c>
    </row>
    <row r="24" ht="118" customHeight="1">
      <c r="A24" s="2" t="n">
        <v>23</v>
      </c>
      <c r="B24" s="2" t="inlineStr">
        <is>
          <t>Mid-June 2016 (exact date not disclosed)</t>
        </is>
      </c>
      <c r="C24" s="2" t="inlineStr">
        <is>
          <t>Transaction Committee / GHF</t>
        </is>
      </c>
      <c r="D24" s="2" t="inlineStr">
        <is>
          <t>Deadline set</t>
        </is>
      </c>
      <c r="E24" s="2" t="n">
        <v>1</v>
      </c>
      <c r="F24" s="2" t="inlineStr">
        <is>
          <t>2</t>
        </is>
      </c>
      <c r="G24" s="2" t="n"/>
      <c r="H24" s="2" t="inlineStr">
        <is>
          <t>All potential buyers instructed to submit non-binding LOIs by 07/20/2016, together with mark-ups of the merger agreement, disclosure letter and voting agreement to be posted to the data site; valuation to be per share for 100% of the outstanding common stock (assuming preferred conversion) or the financial terms of any non-cash proposal. Drafts posted: merger agreement 06/29/2016; voting agreement (Eder Trusts shares) 06/30/2016; disclosure letter 07/11/2016 (P-013, p.29). Deadline treatment of the 07/20 date: Late bids accepted (R028).</t>
        </is>
      </c>
      <c r="I24" s="2" t="n"/>
      <c r="J24" s="2" t="n"/>
      <c r="K24" s="2" t="inlineStr">
        <is>
          <t>Stated. “In mid-June 2016, at the direction of the Transaction Committee, representatives of GHF instructed all potential buyers to submit non-binding letters of intent (“LOIs”) by July 20, 2016, together with mark-ups of the forms of merger agreement, disclosure letter and voting agreement, which GHF indicated would be posted to the internet data site.” (P-012, p.29). Convention: “mid-June” band 06/11–06/19; working date is the midpoint.</t>
        </is>
      </c>
      <c r="L24" s="3" t="inlineStr">
        <is>
          <t>P-012; P-013</t>
        </is>
      </c>
      <c r="M24" s="2" t="inlineStr">
        <is>
          <t>Q2</t>
        </is>
      </c>
      <c r="N24" s="2" t="n"/>
      <c r="O24" s="2" t="inlineStr">
        <is>
          <t>R023</t>
        </is>
      </c>
      <c r="P24" s="2" t="inlineStr">
        <is>
          <t>Yes</t>
        </is>
      </c>
      <c r="Q24" s="2" t="n"/>
      <c r="R24" s="4" t="n">
        <v>42532</v>
      </c>
      <c r="S24" s="4" t="n">
        <v>42540</v>
      </c>
      <c r="T24" s="4" t="n">
        <v>42536</v>
      </c>
      <c r="U24" s="2" t="inlineStr">
        <is>
          <t>Approximate window</t>
        </is>
      </c>
      <c r="V24" s="2" t="inlineStr">
        <is>
          <t>Assigned: midpoint</t>
        </is>
      </c>
      <c r="W24" s="2" t="n"/>
      <c r="X24" s="2" t="n"/>
      <c r="Y24" s="2" t="n"/>
      <c r="Z24" s="2" t="n"/>
      <c r="AA24" s="2" t="n"/>
      <c r="AB24" s="2" t="n"/>
      <c r="AC24" s="2" t="n"/>
      <c r="AD24" s="2" t="n"/>
      <c r="AE24" s="4" t="n">
        <v>42571</v>
      </c>
      <c r="AF24" s="2" t="inlineStr">
        <is>
          <t>Late bids accepted</t>
        </is>
      </c>
      <c r="AG24" s="2" t="n"/>
      <c r="AH24" s="2" t="n"/>
      <c r="AI24" s="2" t="n"/>
      <c r="AJ24" s="2" t="n"/>
      <c r="AK24" s="2" t="n">
        <v>29</v>
      </c>
      <c r="AL24" s="2" t="inlineStr">
        <is>
          <t>R028</t>
        </is>
      </c>
      <c r="AM24" s="2" t="inlineStr">
        <is>
          <t>PWRR-G&amp;W</t>
        </is>
      </c>
    </row>
    <row r="25" ht="118" customHeight="1">
      <c r="A25" s="2" t="n">
        <v>24</v>
      </c>
      <c r="B25" s="2" t="inlineStr">
        <is>
          <t>Early July 2016 (exact date not disclosed)</t>
        </is>
      </c>
      <c r="C25" s="2" t="inlineStr">
        <is>
          <t>Party C (potential strategic buyer; new entrant)</t>
        </is>
      </c>
      <c r="D25" s="2" t="inlineStr">
        <is>
          <t>Bidder interest</t>
        </is>
      </c>
      <c r="E25" s="2" t="n">
        <v>1</v>
      </c>
      <c r="F25" s="2" t="inlineStr">
        <is>
          <t>2</t>
        </is>
      </c>
      <c r="G25" s="2" t="inlineStr">
        <is>
          <t>Strategic</t>
        </is>
      </c>
      <c r="H25" s="2" t="inlineStr">
        <is>
          <t>Party C approached the Company’s management and expressed interest in acquiring the Company; it had not previously been part of the process. Direction: inbound. Count 1 — newly represented prospective buyer (first-contact fact carried here).</t>
        </is>
      </c>
      <c r="I25" s="2" t="n"/>
      <c r="J25" s="2" t="n"/>
      <c r="K25" s="2" t="inlineStr">
        <is>
          <t>Stated. “In early July 2016, a potential strategic buyer that had not previously been part of the process (“Party C”) approached the Company’s management and expressed interest in acquiring the Company.” (P-014, p.29). Convention: “early July” band 07/01–07/10; working date is the midpoint.</t>
        </is>
      </c>
      <c r="L25" s="3" t="inlineStr">
        <is>
          <t>P-014</t>
        </is>
      </c>
      <c r="M25" s="2" t="inlineStr">
        <is>
          <t>Q3</t>
        </is>
      </c>
      <c r="N25" s="2" t="n"/>
      <c r="O25" s="2" t="inlineStr">
        <is>
          <t>R024</t>
        </is>
      </c>
      <c r="P25" s="2" t="inlineStr">
        <is>
          <t>Yes</t>
        </is>
      </c>
      <c r="Q25" s="2" t="n">
        <v>1</v>
      </c>
      <c r="R25" s="4" t="n">
        <v>42552</v>
      </c>
      <c r="S25" s="4" t="n">
        <v>42561</v>
      </c>
      <c r="T25" s="4" t="n">
        <v>42556</v>
      </c>
      <c r="U25" s="2" t="inlineStr">
        <is>
          <t>Approximate window</t>
        </is>
      </c>
      <c r="V25" s="2" t="inlineStr">
        <is>
          <t>Assigned: midpoint</t>
        </is>
      </c>
      <c r="W25" s="2" t="n"/>
      <c r="X25" s="2" t="n"/>
      <c r="Y25" s="2" t="n"/>
      <c r="Z25" s="2" t="n"/>
      <c r="AA25" s="2" t="n"/>
      <c r="AB25" s="2" t="n"/>
      <c r="AC25" s="2" t="n"/>
      <c r="AD25" s="2" t="n"/>
      <c r="AE25" s="2" t="n"/>
      <c r="AF25" s="2" t="n"/>
      <c r="AG25" s="2" t="n"/>
      <c r="AH25" s="2" t="n"/>
      <c r="AI25" s="2" t="n"/>
      <c r="AJ25" s="2" t="n"/>
      <c r="AK25" s="2" t="n">
        <v>29</v>
      </c>
      <c r="AL25" s="2" t="inlineStr">
        <is>
          <t>R025; R026</t>
        </is>
      </c>
      <c r="AM25" s="2" t="inlineStr">
        <is>
          <t>PWRR-G&amp;W</t>
        </is>
      </c>
    </row>
    <row r="26" ht="118" customHeight="1">
      <c r="A26" s="2" t="n">
        <v>25</v>
      </c>
      <c r="B26" s="2" t="inlineStr">
        <is>
          <t>Early July 2016 (exact date not disclosed)</t>
        </is>
      </c>
      <c r="C26" s="2" t="inlineStr">
        <is>
          <t>Party C</t>
        </is>
      </c>
      <c r="D26" s="2" t="inlineStr">
        <is>
          <t>NDA signed</t>
        </is>
      </c>
      <c r="E26" s="2" t="n">
        <v>1</v>
      </c>
      <c r="F26" s="2" t="inlineStr">
        <is>
          <t>2</t>
        </is>
      </c>
      <c r="G26" s="2" t="inlineStr">
        <is>
          <t>Strategic</t>
        </is>
      </c>
      <c r="H26" s="2" t="inlineStr">
        <is>
          <t>Party C executed a confidentiality agreement and was then provided the memorandum concerning the Company that the other potential buyers had received. Count 1. Execution day not disclosed; working date follows R024 (Assigned: sequence on the early-July band).</t>
        </is>
      </c>
      <c r="I26" s="2" t="n"/>
      <c r="J26" s="2" t="n"/>
      <c r="K26" s="2" t="inlineStr">
        <is>
          <t>Stated. “After executing a confidentiality agreement, Party C was provided the memorandum concerning the Company provided to the other potential buyers.” (P-014, p.29).</t>
        </is>
      </c>
      <c r="L26" s="3" t="inlineStr">
        <is>
          <t>P-014</t>
        </is>
      </c>
      <c r="M26" s="2" t="inlineStr">
        <is>
          <t>Q3</t>
        </is>
      </c>
      <c r="N26" s="2" t="n"/>
      <c r="O26" s="2" t="inlineStr">
        <is>
          <t>R025</t>
        </is>
      </c>
      <c r="P26" s="2" t="inlineStr">
        <is>
          <t>Yes</t>
        </is>
      </c>
      <c r="Q26" s="2" t="n">
        <v>1</v>
      </c>
      <c r="R26" s="4" t="n">
        <v>42552</v>
      </c>
      <c r="S26" s="4" t="n">
        <v>42561</v>
      </c>
      <c r="T26" s="4" t="n">
        <v>42556</v>
      </c>
      <c r="U26" s="2" t="inlineStr">
        <is>
          <t>Approximate window</t>
        </is>
      </c>
      <c r="V26" s="2" t="inlineStr">
        <is>
          <t>Assigned: sequence</t>
        </is>
      </c>
      <c r="W26" s="2" t="n"/>
      <c r="X26" s="2" t="n"/>
      <c r="Y26" s="2" t="n"/>
      <c r="Z26" s="2" t="n"/>
      <c r="AA26" s="2" t="n"/>
      <c r="AB26" s="2" t="n"/>
      <c r="AC26" s="2" t="n"/>
      <c r="AD26" s="2" t="n"/>
      <c r="AE26" s="2" t="n"/>
      <c r="AF26" s="2" t="n"/>
      <c r="AG26" s="2" t="n"/>
      <c r="AH26" s="2" t="n"/>
      <c r="AI26" s="2" t="n"/>
      <c r="AJ26" s="2" t="n"/>
      <c r="AK26" s="2" t="n">
        <v>29</v>
      </c>
      <c r="AL26" s="2" t="inlineStr">
        <is>
          <t>R024; R026; R027</t>
        </is>
      </c>
      <c r="AM26" s="2" t="inlineStr">
        <is>
          <t>PWRR-G&amp;W</t>
        </is>
      </c>
    </row>
    <row r="27" ht="118" customHeight="1">
      <c r="A27" s="2" t="n">
        <v>26</v>
      </c>
      <c r="B27" s="2" t="inlineStr">
        <is>
          <t>07/12/2016</t>
        </is>
      </c>
      <c r="C27" s="2" t="inlineStr">
        <is>
          <t>Party C</t>
        </is>
      </c>
      <c r="D27" s="2" t="inlineStr">
        <is>
          <t>Bid</t>
        </is>
      </c>
      <c r="E27" s="2" t="n">
        <v>1</v>
      </c>
      <c r="F27" s="2" t="inlineStr">
        <is>
          <t>2</t>
        </is>
      </c>
      <c r="G27" s="2" t="inlineStr">
        <is>
          <t>Strategic</t>
        </is>
      </c>
      <c r="H27" s="2" t="inlineStr">
        <is>
          <t>IOI at $21.00 per share, implying an equity value of $108 million; made before substantive diligence access (data-site access and a management presentation followed, R027).</t>
        </is>
      </c>
      <c r="I27" s="2" t="inlineStr">
        <is>
          <t>Informal</t>
        </is>
      </c>
      <c r="J27" s="2" t="inlineStr">
        <is>
          <t>Heavy</t>
        </is>
      </c>
      <c r="K27" s="2" t="inlineStr">
        <is>
          <t>Stated. “On July 12, 2016, Party C submitted an IOI with an offer price per share of $21.00 (implying an equity value of $108 million).” (P-014, p.29). Convention: IOI with no formal documentation — Informal; Heavy by context (no substantive diligence access before the indication, P-014, p.29).</t>
        </is>
      </c>
      <c r="L27" s="3" t="inlineStr">
        <is>
          <t>P-014</t>
        </is>
      </c>
      <c r="M27" s="2" t="inlineStr">
        <is>
          <t>Q6</t>
        </is>
      </c>
      <c r="N27" s="2" t="n"/>
      <c r="O27" s="2" t="inlineStr">
        <is>
          <t>R026</t>
        </is>
      </c>
      <c r="P27" s="2" t="inlineStr">
        <is>
          <t>Yes</t>
        </is>
      </c>
      <c r="Q27" s="2" t="n">
        <v>1</v>
      </c>
      <c r="R27" s="4" t="n">
        <v>42563</v>
      </c>
      <c r="S27" s="4" t="n">
        <v>42563</v>
      </c>
      <c r="T27" s="4" t="n">
        <v>42563</v>
      </c>
      <c r="U27" s="2" t="inlineStr">
        <is>
          <t>Reported day</t>
        </is>
      </c>
      <c r="V27" s="2" t="inlineStr">
        <is>
          <t>Reported</t>
        </is>
      </c>
      <c r="W27" s="5" t="n">
        <v>21</v>
      </c>
      <c r="X27" s="5" t="n">
        <v>21</v>
      </c>
      <c r="Y27" s="2" t="inlineStr">
        <is>
          <t>Point</t>
        </is>
      </c>
      <c r="Z27" s="2" t="inlineStr">
        <is>
          <t>Stated</t>
        </is>
      </c>
      <c r="AA27" s="2" t="inlineStr">
        <is>
          <t>USD</t>
        </is>
      </c>
      <c r="AB27" s="2" t="inlineStr">
        <is>
          <t>Not stated</t>
        </is>
      </c>
      <c r="AC27" s="2" t="n"/>
      <c r="AD27" s="2" t="inlineStr">
        <is>
          <t>Fin: not stated; DD required: not stated; DD open: no; Excl: not stated</t>
        </is>
      </c>
      <c r="AE27" s="2" t="n"/>
      <c r="AF27" s="2" t="n"/>
      <c r="AG27" s="2" t="n"/>
      <c r="AH27" s="2" t="n"/>
      <c r="AI27" s="2" t="n"/>
      <c r="AJ27" s="2" t="n"/>
      <c r="AK27" s="2" t="n">
        <v>29</v>
      </c>
      <c r="AL27" s="2" t="inlineStr">
        <is>
          <t>R027 (catch-up access); R032 (later LOI)</t>
        </is>
      </c>
      <c r="AM27" s="2" t="inlineStr">
        <is>
          <t>PWRR-G&amp;W</t>
        </is>
      </c>
    </row>
    <row r="28" ht="118" customHeight="1">
      <c r="A28" s="2" t="n">
        <v>27</v>
      </c>
      <c r="B28" s="2" t="inlineStr">
        <is>
          <t>07/14/2016</t>
        </is>
      </c>
      <c r="C28" s="2" t="inlineStr">
        <is>
          <t>Party C</t>
        </is>
      </c>
      <c r="D28" s="2" t="inlineStr">
        <is>
          <t>Information access changed</t>
        </is>
      </c>
      <c r="E28" s="2" t="n">
        <v>1</v>
      </c>
      <c r="F28" s="2" t="inlineStr">
        <is>
          <t>2</t>
        </is>
      </c>
      <c r="G28" s="2" t="inlineStr">
        <is>
          <t>Strategic</t>
        </is>
      </c>
      <c r="H28" s="2" t="inlineStr">
        <is>
          <t>Late-entrant catch-up access: after its 07/12/2016 IOI, Party C was provided access to the internet data site and the Company held a management presentation with Party C by telephone. The seven bidders already in the process had received data-site access from 06/01/2016 (R022); no access was withheld from others.</t>
        </is>
      </c>
      <c r="I28" s="2" t="n"/>
      <c r="J28" s="2" t="n"/>
      <c r="K28" s="2" t="inlineStr">
        <is>
          <t>Stated. “Subsequently, Party C was provided access to the internet data site and the Company’s management held a management presentation with Party C by telephone on July 14, 2016.” (P-014, p.29).</t>
        </is>
      </c>
      <c r="L28" s="3" t="inlineStr">
        <is>
          <t>P-014</t>
        </is>
      </c>
      <c r="M28" s="2" t="inlineStr"/>
      <c r="N28" s="2" t="n"/>
      <c r="O28" s="2" t="inlineStr">
        <is>
          <t>R027</t>
        </is>
      </c>
      <c r="P28" s="2" t="inlineStr">
        <is>
          <t>Yes</t>
        </is>
      </c>
      <c r="Q28" s="2" t="n"/>
      <c r="R28" s="4" t="n">
        <v>42565</v>
      </c>
      <c r="S28" s="4" t="n">
        <v>42565</v>
      </c>
      <c r="T28" s="4" t="n">
        <v>42565</v>
      </c>
      <c r="U28" s="2" t="inlineStr">
        <is>
          <t>Reported day</t>
        </is>
      </c>
      <c r="V28" s="2" t="inlineStr">
        <is>
          <t>Reported</t>
        </is>
      </c>
      <c r="W28" s="2" t="n"/>
      <c r="X28" s="2" t="n"/>
      <c r="Y28" s="2" t="n"/>
      <c r="Z28" s="2" t="n"/>
      <c r="AA28" s="2" t="n"/>
      <c r="AB28" s="2" t="n"/>
      <c r="AC28" s="2" t="n"/>
      <c r="AD28" s="2" t="n"/>
      <c r="AE28" s="2" t="n"/>
      <c r="AF28" s="2" t="n"/>
      <c r="AG28" s="2" t="n"/>
      <c r="AH28" s="2" t="n"/>
      <c r="AI28" s="2" t="n"/>
      <c r="AJ28" s="2" t="n"/>
      <c r="AK28" s="2" t="n">
        <v>29</v>
      </c>
      <c r="AL28" s="2" t="inlineStr">
        <is>
          <t>R022; R026</t>
        </is>
      </c>
      <c r="AM28" s="2" t="inlineStr">
        <is>
          <t>PWRR-G&amp;W</t>
        </is>
      </c>
    </row>
    <row r="29" ht="118" customHeight="1">
      <c r="A29" s="2" t="n">
        <v>28</v>
      </c>
      <c r="B29" s="2" t="inlineStr">
        <is>
          <t>07/20/2016</t>
        </is>
      </c>
      <c r="C29" s="2" t="inlineStr">
        <is>
          <t>Company (LOI and mark-up deadline)</t>
        </is>
      </c>
      <c r="D29" s="2" t="inlineStr">
        <is>
          <t>Deadline</t>
        </is>
      </c>
      <c r="E29" s="2" t="n">
        <v>1</v>
      </c>
      <c r="F29" s="2" t="inlineStr">
        <is>
          <t>2</t>
        </is>
      </c>
      <c r="G29" s="2" t="n"/>
      <c r="H29" s="2" t="inlineStr">
        <is>
          <t>Due date for non-binding LOIs and mark-ups. Treatment Late bids accepted: G&amp;W’s LOI was submitted 07/21/2016 and was reviewed with the others at the 07/22 and 07/27 committee meetings; no revision of the date is reported.</t>
        </is>
      </c>
      <c r="I29" s="2" t="n"/>
      <c r="J29" s="2" t="n"/>
      <c r="K29" s="2" t="inlineStr">
        <is>
          <t>Stated. “by July 20, 2016” (P-012, p.29); “G&amp;W submitted an LOI on July 21, 2016 to acquire the Company for a price of $21.15 per share” (P-017, p.29); “The Transaction Committee met by telephone conference on July 22, 2016 and in person after the regular quarterly Board meeting on July 27, 2016, to review the LOIs with representatives of GHF.” (P-023, p.30).</t>
        </is>
      </c>
      <c r="L29" s="3" t="inlineStr">
        <is>
          <t>P-012; P-017; P-023</t>
        </is>
      </c>
      <c r="M29" s="2" t="inlineStr">
        <is>
          <t>Q2</t>
        </is>
      </c>
      <c r="N29" s="2" t="n"/>
      <c r="O29" s="2" t="inlineStr">
        <is>
          <t>R028</t>
        </is>
      </c>
      <c r="P29" s="2" t="inlineStr">
        <is>
          <t>Yes</t>
        </is>
      </c>
      <c r="Q29" s="2" t="n"/>
      <c r="R29" s="4" t="n">
        <v>42571</v>
      </c>
      <c r="S29" s="4" t="n">
        <v>42571</v>
      </c>
      <c r="T29" s="4" t="n">
        <v>42571</v>
      </c>
      <c r="U29" s="2" t="inlineStr">
        <is>
          <t>Reported day</t>
        </is>
      </c>
      <c r="V29" s="2" t="inlineStr">
        <is>
          <t>Reported</t>
        </is>
      </c>
      <c r="W29" s="2" t="n"/>
      <c r="X29" s="2" t="n"/>
      <c r="Y29" s="2" t="n"/>
      <c r="Z29" s="2" t="n"/>
      <c r="AA29" s="2" t="n"/>
      <c r="AB29" s="2" t="n"/>
      <c r="AC29" s="2" t="n"/>
      <c r="AD29" s="2" t="n"/>
      <c r="AE29" s="4" t="n">
        <v>42571</v>
      </c>
      <c r="AF29" s="2" t="inlineStr">
        <is>
          <t>Late bids accepted</t>
        </is>
      </c>
      <c r="AG29" s="2" t="n"/>
      <c r="AH29" s="2" t="n"/>
      <c r="AI29" s="2" t="n"/>
      <c r="AJ29" s="2" t="n"/>
      <c r="AK29" s="2" t="n">
        <v>29</v>
      </c>
      <c r="AL29" s="2" t="inlineStr">
        <is>
          <t>R023; R036</t>
        </is>
      </c>
      <c r="AM29" s="2" t="inlineStr">
        <is>
          <t>PWRR-G&amp;W</t>
        </is>
      </c>
    </row>
    <row r="30" ht="118" customHeight="1">
      <c r="A30" s="2" t="n">
        <v>29</v>
      </c>
      <c r="B30" s="2" t="inlineStr">
        <is>
          <t>Late July 2016 (undated; window 07/20–07/27)</t>
        </is>
      </c>
      <c r="C30" s="2" t="inlineStr">
        <is>
          <t>Party B (potential strategic buyer)</t>
        </is>
      </c>
      <c r="D30" s="2" t="inlineStr">
        <is>
          <t>Bid</t>
        </is>
      </c>
      <c r="E30" s="2" t="n">
        <v>1</v>
      </c>
      <c r="F30" s="2" t="inlineStr">
        <is>
          <t>2</t>
        </is>
      </c>
      <c r="G30" s="2" t="inlineStr">
        <is>
          <t>Strategic</t>
        </is>
      </c>
      <c r="H30" s="2" t="inlineStr">
        <is>
          <t>$24.00 per share, subject to an expedited diligence review; Party B also provided mark-ups of the draft merger agreement and voting agreement (formal signal).</t>
        </is>
      </c>
      <c r="I30" s="2" t="inlineStr">
        <is>
          <t>Formal</t>
        </is>
      </c>
      <c r="J30" s="2" t="inlineStr">
        <is>
          <t>Light</t>
        </is>
      </c>
      <c r="K30" s="2" t="inlineStr">
        <is>
          <t>Stated. “Party B submitted an LOI to acquire the Company for a price of $24.00 per share (subject to an expedited diligence review).” (P-016, p.29); mark-ups: “Party B, G&amp;W and another bidder (“Party D”) also provided mark-ups of the draft merger agreement and voting agreement.” (P-015, p.29). Convention: undated; window 07/20–07/27 (the 07/27 meeting compared all six LOIs, P-023, p.30), working date = the 07/20 deadline (Assigned: deadline); order relative to G&amp;W’s 07/21 LOI is not actually known (see R036). Formality Formal (returned agreement mark-ups); conditions Light (only an expedited diligence review attached).</t>
        </is>
      </c>
      <c r="L30" s="3" t="inlineStr">
        <is>
          <t>P-015; P-016; P-023</t>
        </is>
      </c>
      <c r="M30" s="2" t="inlineStr">
        <is>
          <t>Q2; Q6; Q7</t>
        </is>
      </c>
      <c r="N30" s="2" t="n"/>
      <c r="O30" s="2" t="inlineStr">
        <is>
          <t>R029</t>
        </is>
      </c>
      <c r="P30" s="2" t="inlineStr">
        <is>
          <t>Yes</t>
        </is>
      </c>
      <c r="Q30" s="2" t="n">
        <v>1</v>
      </c>
      <c r="R30" s="4" t="n">
        <v>42571</v>
      </c>
      <c r="S30" s="4" t="n">
        <v>42578</v>
      </c>
      <c r="T30" s="4" t="n">
        <v>42571</v>
      </c>
      <c r="U30" s="2" t="inlineStr">
        <is>
          <t>Approximate window</t>
        </is>
      </c>
      <c r="V30" s="2" t="inlineStr">
        <is>
          <t>Assigned: deadline</t>
        </is>
      </c>
      <c r="W30" s="5" t="n">
        <v>24</v>
      </c>
      <c r="X30" s="5" t="n">
        <v>24</v>
      </c>
      <c r="Y30" s="2" t="inlineStr">
        <is>
          <t>Point</t>
        </is>
      </c>
      <c r="Z30" s="2" t="inlineStr">
        <is>
          <t>Stated</t>
        </is>
      </c>
      <c r="AA30" s="2" t="inlineStr">
        <is>
          <t>USD</t>
        </is>
      </c>
      <c r="AB30" s="2" t="inlineStr">
        <is>
          <t>Not stated</t>
        </is>
      </c>
      <c r="AC30" s="2" t="n"/>
      <c r="AD30" s="2" t="inlineStr">
        <is>
          <t>Fin: not stated; DD required: confirmatory; DD open: yes; Excl: none</t>
        </is>
      </c>
      <c r="AE30" s="2" t="n"/>
      <c r="AF30" s="2" t="n"/>
      <c r="AG30" s="2" t="n"/>
      <c r="AH30" s="2" t="n"/>
      <c r="AI30" s="2" t="n"/>
      <c r="AJ30" s="2" t="n"/>
      <c r="AK30" s="2" t="n">
        <v>29</v>
      </c>
      <c r="AL30" s="2" t="inlineStr">
        <is>
          <t>R038; R051; R055</t>
        </is>
      </c>
      <c r="AM30" s="2" t="inlineStr">
        <is>
          <t>PWRR-G&amp;W</t>
        </is>
      </c>
    </row>
    <row r="31" ht="118" customHeight="1">
      <c r="A31" s="2" t="n">
        <v>30</v>
      </c>
      <c r="B31" s="2" t="inlineStr">
        <is>
          <t>Late July 2016 (undated; window 07/20–07/27)</t>
        </is>
      </c>
      <c r="C31" s="2" t="inlineStr">
        <is>
          <t>Party E (strategic buyer)</t>
        </is>
      </c>
      <c r="D31" s="2" t="inlineStr">
        <is>
          <t>Bid</t>
        </is>
      </c>
      <c r="E31" s="2" t="n">
        <v>1</v>
      </c>
      <c r="F31" s="2" t="inlineStr">
        <is>
          <t>2</t>
        </is>
      </c>
      <c r="G31" s="2" t="inlineStr">
        <is>
          <t>Strategic</t>
        </is>
      </c>
      <c r="H31" s="2" t="inlineStr">
        <is>
          <t>$21.26 per share, subject to a 60-day exclusivity period for due diligence and negotiation of definitive documentation. Party E provided a summary of material issues and proposed changes instead of agreement mark-ups.</t>
        </is>
      </c>
      <c r="I31" s="2" t="inlineStr">
        <is>
          <t>Informal</t>
        </is>
      </c>
      <c r="J31" s="2" t="inlineStr">
        <is>
          <t>Heavy</t>
        </is>
      </c>
      <c r="K31" s="2" t="inlineStr">
        <is>
          <t>Stated. “Party E (a strategic buyer) submitted an LOI to acquire the Company for a price of $21.26 per share (subject to a 60-day exclusivity period for due diligence and negotiation of definitive documentation).” (P-018, p.30); “One bidder (“Party E”) provided a summary of material issues and proposed changes to the merger agreement and voting agreement with respect to those issues.” (P-015, p.29). Formality Informal (issue summary is not a returned agreement markup and no other formal signal); conditions Heavy (stated 60-day exclusive diligence/negotiation period).</t>
        </is>
      </c>
      <c r="L31" s="3" t="inlineStr">
        <is>
          <t>P-015; P-018</t>
        </is>
      </c>
      <c r="M31" s="2" t="inlineStr">
        <is>
          <t>Q6; Q7</t>
        </is>
      </c>
      <c r="N31" s="2" t="n"/>
      <c r="O31" s="2" t="inlineStr">
        <is>
          <t>R030</t>
        </is>
      </c>
      <c r="P31" s="2" t="inlineStr">
        <is>
          <t>Yes</t>
        </is>
      </c>
      <c r="Q31" s="2" t="n">
        <v>1</v>
      </c>
      <c r="R31" s="4" t="n">
        <v>42571</v>
      </c>
      <c r="S31" s="4" t="n">
        <v>42578</v>
      </c>
      <c r="T31" s="4" t="n">
        <v>42571</v>
      </c>
      <c r="U31" s="2" t="inlineStr">
        <is>
          <t>Approximate window</t>
        </is>
      </c>
      <c r="V31" s="2" t="inlineStr">
        <is>
          <t>Assigned: deadline</t>
        </is>
      </c>
      <c r="W31" s="5" t="n">
        <v>21.26</v>
      </c>
      <c r="X31" s="5" t="n">
        <v>21.26</v>
      </c>
      <c r="Y31" s="2" t="inlineStr">
        <is>
          <t>Point</t>
        </is>
      </c>
      <c r="Z31" s="2" t="inlineStr">
        <is>
          <t>Stated</t>
        </is>
      </c>
      <c r="AA31" s="2" t="inlineStr">
        <is>
          <t>USD</t>
        </is>
      </c>
      <c r="AB31" s="2" t="inlineStr">
        <is>
          <t>Not stated</t>
        </is>
      </c>
      <c r="AC31" s="2" t="n"/>
      <c r="AD31" s="2" t="inlineStr">
        <is>
          <t>Fin: not stated; DD required: substantive (60 days); DD open: yes; Excl: requested (60 days)</t>
        </is>
      </c>
      <c r="AE31" s="2" t="n"/>
      <c r="AF31" s="2" t="n"/>
      <c r="AG31" s="2" t="n"/>
      <c r="AH31" s="2" t="n"/>
      <c r="AI31" s="2" t="n"/>
      <c r="AJ31" s="2" t="n"/>
      <c r="AK31" s="2" t="n">
        <v>30</v>
      </c>
      <c r="AL31" s="2" t="inlineStr">
        <is>
          <t>R038; R047; R048</t>
        </is>
      </c>
      <c r="AM31" s="2" t="inlineStr">
        <is>
          <t>PWRR-G&amp;W</t>
        </is>
      </c>
    </row>
    <row r="32" ht="118" customHeight="1">
      <c r="A32" s="2" t="n">
        <v>31</v>
      </c>
      <c r="B32" s="2" t="inlineStr">
        <is>
          <t>Late July 2016 (undated; window 07/20–07/27)</t>
        </is>
      </c>
      <c r="C32" s="2" t="inlineStr">
        <is>
          <t>Party D (financial buyer)</t>
        </is>
      </c>
      <c r="D32" s="2" t="inlineStr">
        <is>
          <t>Bid</t>
        </is>
      </c>
      <c r="E32" s="2" t="n">
        <v>1</v>
      </c>
      <c r="F32" s="2" t="inlineStr">
        <is>
          <t>2</t>
        </is>
      </c>
      <c r="G32" s="2" t="inlineStr">
        <is>
          <t>Financial</t>
        </is>
      </c>
      <c r="H32" s="2" t="inlineStr">
        <is>
          <t>$21.00 per share, subject to a four-week diligence period; Party D also provided mark-ups of the draft merger agreement and voting agreement.</t>
        </is>
      </c>
      <c r="I32" s="2" t="inlineStr">
        <is>
          <t>Formal</t>
        </is>
      </c>
      <c r="J32" s="2" t="inlineStr">
        <is>
          <t>Heavy</t>
        </is>
      </c>
      <c r="K32" s="2" t="inlineStr">
        <is>
          <t>Stated. “Party D (a financial buyer) submitted an LOI to acquire the Company for a price of $21.00 per share (subject to a four-week diligence period).” (P-019, p.30); mark-ups (P-015, p.29). Formality Formal (returned agreement mark-ups); conditions Heavy (stated four-week diligence period).</t>
        </is>
      </c>
      <c r="L32" s="3" t="inlineStr">
        <is>
          <t>P-015; P-019</t>
        </is>
      </c>
      <c r="M32" s="2" t="inlineStr">
        <is>
          <t>Q6; Q7</t>
        </is>
      </c>
      <c r="N32" s="2" t="n"/>
      <c r="O32" s="2" t="inlineStr">
        <is>
          <t>R031</t>
        </is>
      </c>
      <c r="P32" s="2" t="inlineStr">
        <is>
          <t>Yes</t>
        </is>
      </c>
      <c r="Q32" s="2" t="n">
        <v>1</v>
      </c>
      <c r="R32" s="4" t="n">
        <v>42571</v>
      </c>
      <c r="S32" s="4" t="n">
        <v>42578</v>
      </c>
      <c r="T32" s="4" t="n">
        <v>42571</v>
      </c>
      <c r="U32" s="2" t="inlineStr">
        <is>
          <t>Approximate window</t>
        </is>
      </c>
      <c r="V32" s="2" t="inlineStr">
        <is>
          <t>Assigned: deadline</t>
        </is>
      </c>
      <c r="W32" s="5" t="n">
        <v>21</v>
      </c>
      <c r="X32" s="5" t="n">
        <v>21</v>
      </c>
      <c r="Y32" s="2" t="inlineStr">
        <is>
          <t>Point</t>
        </is>
      </c>
      <c r="Z32" s="2" t="inlineStr">
        <is>
          <t>Stated</t>
        </is>
      </c>
      <c r="AA32" s="2" t="inlineStr">
        <is>
          <t>USD</t>
        </is>
      </c>
      <c r="AB32" s="2" t="inlineStr">
        <is>
          <t>Not stated</t>
        </is>
      </c>
      <c r="AC32" s="2" t="n"/>
      <c r="AD32" s="2" t="inlineStr">
        <is>
          <t>Fin: not stated; DD required: substantive (4 wks); DD open: yes; Excl: not stated</t>
        </is>
      </c>
      <c r="AE32" s="2" t="n"/>
      <c r="AF32" s="2" t="n"/>
      <c r="AG32" s="2" t="n"/>
      <c r="AH32" s="2" t="n"/>
      <c r="AI32" s="2" t="n"/>
      <c r="AJ32" s="2" t="n"/>
      <c r="AK32" s="2" t="n">
        <v>30</v>
      </c>
      <c r="AL32" s="2" t="inlineStr">
        <is>
          <t>R038; R040; R046</t>
        </is>
      </c>
      <c r="AM32" s="2" t="inlineStr">
        <is>
          <t>PWRR-G&amp;W</t>
        </is>
      </c>
    </row>
    <row r="33" ht="118" customHeight="1">
      <c r="A33" s="2" t="n">
        <v>32</v>
      </c>
      <c r="B33" s="2" t="inlineStr">
        <is>
          <t>Late July 2016 (undated; window 07/20–07/27)</t>
        </is>
      </c>
      <c r="C33" s="2" t="inlineStr">
        <is>
          <t>Party C (strategic buyer)</t>
        </is>
      </c>
      <c r="D33" s="2" t="inlineStr">
        <is>
          <t>Bid</t>
        </is>
      </c>
      <c r="E33" s="2" t="n">
        <v>1</v>
      </c>
      <c r="F33" s="2" t="inlineStr">
        <is>
          <t>2</t>
        </is>
      </c>
      <c r="G33" s="2" t="inlineStr">
        <is>
          <t>Strategic</t>
        </is>
      </c>
      <c r="H33" s="2" t="inlineStr">
        <is>
          <t>$19.30 per share, subject to a 30-day diligence period (below its 07/12/2016 IOI of $21.00). Count 0 — Party C’s first Round-2 bid is R026; this is a same-round subsequent submission.</t>
        </is>
      </c>
      <c r="I33" s="2" t="inlineStr">
        <is>
          <t>Informal</t>
        </is>
      </c>
      <c r="J33" s="2" t="inlineStr">
        <is>
          <t>Heavy</t>
        </is>
      </c>
      <c r="K33" s="2" t="inlineStr">
        <is>
          <t>Stated. “Party C submitted an LOI to acquire the Company for a price of $19.30 per share (subject to a 30-day diligence period).” (P-020, p.30). Formality Informal (no mark-up attributed to C; mark-up list names B, G&amp;W, D — P-015, p.29); conditions Heavy (stated 30-day diligence period).</t>
        </is>
      </c>
      <c r="L33" s="3" t="inlineStr">
        <is>
          <t>P-015; P-020</t>
        </is>
      </c>
      <c r="M33" s="2" t="inlineStr">
        <is>
          <t>Q6; Q7</t>
        </is>
      </c>
      <c r="N33" s="2" t="n"/>
      <c r="O33" s="2" t="inlineStr">
        <is>
          <t>R032</t>
        </is>
      </c>
      <c r="P33" s="2" t="inlineStr">
        <is>
          <t>Yes</t>
        </is>
      </c>
      <c r="Q33" s="2" t="n">
        <v>0</v>
      </c>
      <c r="R33" s="4" t="n">
        <v>42571</v>
      </c>
      <c r="S33" s="4" t="n">
        <v>42578</v>
      </c>
      <c r="T33" s="4" t="n">
        <v>42571</v>
      </c>
      <c r="U33" s="2" t="inlineStr">
        <is>
          <t>Approximate window</t>
        </is>
      </c>
      <c r="V33" s="2" t="inlineStr">
        <is>
          <t>Assigned: deadline</t>
        </is>
      </c>
      <c r="W33" s="5" t="n">
        <v>19.3</v>
      </c>
      <c r="X33" s="5" t="n">
        <v>19.3</v>
      </c>
      <c r="Y33" s="2" t="inlineStr">
        <is>
          <t>Point</t>
        </is>
      </c>
      <c r="Z33" s="2" t="inlineStr">
        <is>
          <t>Stated</t>
        </is>
      </c>
      <c r="AA33" s="2" t="inlineStr">
        <is>
          <t>USD</t>
        </is>
      </c>
      <c r="AB33" s="2" t="inlineStr">
        <is>
          <t>Not stated</t>
        </is>
      </c>
      <c r="AC33" s="2" t="n"/>
      <c r="AD33" s="2" t="inlineStr">
        <is>
          <t>Fin: not stated; DD required: substantive (30 days); DD open: yes; Excl: not stated</t>
        </is>
      </c>
      <c r="AE33" s="2" t="n"/>
      <c r="AF33" s="2" t="n"/>
      <c r="AG33" s="2" t="n"/>
      <c r="AH33" s="2" t="n"/>
      <c r="AI33" s="2" t="n"/>
      <c r="AJ33" s="2" t="n"/>
      <c r="AK33" s="2" t="n">
        <v>30</v>
      </c>
      <c r="AL33" s="2" t="inlineStr">
        <is>
          <t>covers R026; R038; R039</t>
        </is>
      </c>
      <c r="AM33" s="2" t="inlineStr">
        <is>
          <t>PWRR-G&amp;W</t>
        </is>
      </c>
    </row>
    <row r="34" ht="118" customHeight="1">
      <c r="A34" s="2" t="n">
        <v>33</v>
      </c>
      <c r="B34" s="2" t="inlineStr">
        <is>
          <t>Late July 2016 (undated; window 07/20–07/27)</t>
        </is>
      </c>
      <c r="C34" s="2" t="inlineStr">
        <is>
          <t>Party F (strategic buyer)</t>
        </is>
      </c>
      <c r="D34" s="2" t="inlineStr">
        <is>
          <t>Bid</t>
        </is>
      </c>
      <c r="E34" s="2" t="n">
        <v>1</v>
      </c>
      <c r="F34" s="2" t="inlineStr">
        <is>
          <t>2</t>
        </is>
      </c>
      <c r="G34" s="2" t="inlineStr">
        <is>
          <t>Strategic</t>
        </is>
      </c>
      <c r="H34" s="2" t="inlineStr">
        <is>
          <t>$19.20 per share, subject to a 30-day due diligence period. No mark-up attributed to Party F.</t>
        </is>
      </c>
      <c r="I34" s="2" t="inlineStr">
        <is>
          <t>Informal</t>
        </is>
      </c>
      <c r="J34" s="2" t="inlineStr">
        <is>
          <t>Heavy</t>
        </is>
      </c>
      <c r="K34" s="2" t="inlineStr">
        <is>
          <t>Stated. “Party F (a strategic buyer) submitted an LOI to acquire the Company for a price of $19.20 per share (subject to a 30-day due diligence period).” (P-021, p.30). Formality Informal (no mark-up attributed; mark-up list names B, G&amp;W, D — P-015, p.29); conditions Heavy (stated 30-day diligence period).</t>
        </is>
      </c>
      <c r="L34" s="3" t="inlineStr">
        <is>
          <t>P-015; P-021</t>
        </is>
      </c>
      <c r="M34" s="2" t="inlineStr">
        <is>
          <t>Q6; Q7</t>
        </is>
      </c>
      <c r="N34" s="2" t="n"/>
      <c r="O34" s="2" t="inlineStr">
        <is>
          <t>R033</t>
        </is>
      </c>
      <c r="P34" s="2" t="inlineStr">
        <is>
          <t>Yes</t>
        </is>
      </c>
      <c r="Q34" s="2" t="n">
        <v>1</v>
      </c>
      <c r="R34" s="4" t="n">
        <v>42571</v>
      </c>
      <c r="S34" s="4" t="n">
        <v>42578</v>
      </c>
      <c r="T34" s="4" t="n">
        <v>42571</v>
      </c>
      <c r="U34" s="2" t="inlineStr">
        <is>
          <t>Approximate window</t>
        </is>
      </c>
      <c r="V34" s="2" t="inlineStr">
        <is>
          <t>Assigned: deadline</t>
        </is>
      </c>
      <c r="W34" s="5" t="n">
        <v>19.2</v>
      </c>
      <c r="X34" s="5" t="n">
        <v>19.2</v>
      </c>
      <c r="Y34" s="2" t="inlineStr">
        <is>
          <t>Point</t>
        </is>
      </c>
      <c r="Z34" s="2" t="inlineStr">
        <is>
          <t>Stated</t>
        </is>
      </c>
      <c r="AA34" s="2" t="inlineStr">
        <is>
          <t>USD</t>
        </is>
      </c>
      <c r="AB34" s="2" t="inlineStr">
        <is>
          <t>Not stated</t>
        </is>
      </c>
      <c r="AC34" s="2" t="n"/>
      <c r="AD34" s="2" t="inlineStr">
        <is>
          <t>Fin: not stated; DD required: substantive (30 days); DD open: yes; Excl: not stated</t>
        </is>
      </c>
      <c r="AE34" s="2" t="n"/>
      <c r="AF34" s="2" t="n"/>
      <c r="AG34" s="2" t="n"/>
      <c r="AH34" s="2" t="n"/>
      <c r="AI34" s="2" t="n"/>
      <c r="AJ34" s="2" t="n"/>
      <c r="AK34" s="2" t="n">
        <v>30</v>
      </c>
      <c r="AL34" s="2" t="inlineStr">
        <is>
          <t>R038; R042; R047 (financing support to E)</t>
        </is>
      </c>
      <c r="AM34" s="2" t="inlineStr">
        <is>
          <t>PWRR-G&amp;W</t>
        </is>
      </c>
    </row>
    <row r="35" ht="118" customHeight="1">
      <c r="A35" s="2" t="n">
        <v>34</v>
      </c>
      <c r="B35" s="2" t="inlineStr">
        <is>
          <t>By 07/20/2016 (election reported in late July; no date)</t>
        </is>
      </c>
      <c r="C35" s="2" t="inlineStr">
        <is>
          <t>Unnamed strategic bidder that elected not to submit an LOI</t>
        </is>
      </c>
      <c r="D35" s="2" t="inlineStr">
        <is>
          <t>Did not submit</t>
        </is>
      </c>
      <c r="E35" s="2" t="n">
        <v>1</v>
      </c>
      <c r="F35" s="2" t="inlineStr">
        <is>
          <t>2</t>
        </is>
      </c>
      <c r="G35" s="2" t="inlineStr">
        <is>
          <t>Strategic</t>
        </is>
      </c>
      <c r="H35" s="2" t="inlineStr">
        <is>
          <t>Stated non-submission: of the bidders in the LOI stage, one strategic buyer elected not to submit. Stage: Round 2. Reason not stated.</t>
        </is>
      </c>
      <c r="I35" s="2" t="n"/>
      <c r="J35" s="2" t="n"/>
      <c r="K35" s="2" t="inlineStr">
        <is>
          <t>Stated. “One strategic buyer and one financial buyer elected not to submit an LOI.” (P-022, p.30). Convention: election undated; working date = the 07/20 deadline (Assigned: deadline). The filing supplies the type split, so the two non-submitters are recorded separately. Overlap with the seven advanced bidders and with Party A is unresolved (Q3).</t>
        </is>
      </c>
      <c r="L35" s="3" t="inlineStr">
        <is>
          <t>P-022</t>
        </is>
      </c>
      <c r="M35" s="2" t="inlineStr">
        <is>
          <t>Q3; Q5</t>
        </is>
      </c>
      <c r="N35" s="2" t="n"/>
      <c r="O35" s="2" t="inlineStr">
        <is>
          <t>R034</t>
        </is>
      </c>
      <c r="P35" s="2" t="inlineStr">
        <is>
          <t>Yes</t>
        </is>
      </c>
      <c r="Q35" s="2" t="n">
        <v>1</v>
      </c>
      <c r="R35" s="2" t="n"/>
      <c r="S35" s="4" t="n">
        <v>42571</v>
      </c>
      <c r="T35" s="4" t="n">
        <v>42571</v>
      </c>
      <c r="U35" s="2" t="inlineStr">
        <is>
          <t>Relative only</t>
        </is>
      </c>
      <c r="V35" s="2" t="inlineStr">
        <is>
          <t>Assigned: deadline</t>
        </is>
      </c>
      <c r="W35" s="2" t="n"/>
      <c r="X35" s="2" t="n"/>
      <c r="Y35" s="2" t="n"/>
      <c r="Z35" s="2" t="n"/>
      <c r="AA35" s="2" t="n"/>
      <c r="AB35" s="2" t="n"/>
      <c r="AC35" s="2" t="n"/>
      <c r="AD35" s="2" t="n"/>
      <c r="AE35" s="2" t="n"/>
      <c r="AF35" s="2" t="n"/>
      <c r="AG35" s="2" t="n"/>
      <c r="AH35" s="2" t="inlineStr">
        <is>
          <t>Bidder</t>
        </is>
      </c>
      <c r="AI35" s="2" t="inlineStr">
        <is>
          <t>Not stated</t>
        </is>
      </c>
      <c r="AJ35" s="2" t="inlineStr">
        <is>
          <t>Stated</t>
        </is>
      </c>
      <c r="AK35" s="2" t="n">
        <v>30</v>
      </c>
      <c r="AL35" s="2" t="inlineStr">
        <is>
          <t>R022; R038; R043 (possible member)</t>
        </is>
      </c>
      <c r="AM35" s="2" t="inlineStr">
        <is>
          <t>PWRR-G&amp;W</t>
        </is>
      </c>
    </row>
    <row r="36" ht="118" customHeight="1">
      <c r="A36" s="2" t="n">
        <v>35</v>
      </c>
      <c r="B36" s="2" t="inlineStr">
        <is>
          <t>By 07/20/2016 (election reported in late July; no date)</t>
        </is>
      </c>
      <c r="C36" s="2" t="inlineStr">
        <is>
          <t>Unnamed financial bidder that elected not to submit an LOI</t>
        </is>
      </c>
      <c r="D36" s="2" t="inlineStr">
        <is>
          <t>Did not submit</t>
        </is>
      </c>
      <c r="E36" s="2" t="n">
        <v>1</v>
      </c>
      <c r="F36" s="2" t="inlineStr">
        <is>
          <t>2</t>
        </is>
      </c>
      <c r="G36" s="2" t="inlineStr">
        <is>
          <t>Financial</t>
        </is>
      </c>
      <c r="H36" s="2" t="inlineStr">
        <is>
          <t>Stated non-submission: of the bidders in the LOI stage, one financial buyer elected not to submit. Stage: Round 2. Reason not stated.</t>
        </is>
      </c>
      <c r="I36" s="2" t="n"/>
      <c r="J36" s="2" t="n"/>
      <c r="K36" s="2" t="inlineStr">
        <is>
          <t>Stated. Same quotation as R034 (P-022, p.30). Convention: election undated; working date = the 07/20 deadline (Assigned: deadline).</t>
        </is>
      </c>
      <c r="L36" s="3" t="inlineStr">
        <is>
          <t>P-022</t>
        </is>
      </c>
      <c r="M36" s="2" t="inlineStr">
        <is>
          <t>Q3; Q5</t>
        </is>
      </c>
      <c r="N36" s="2" t="n"/>
      <c r="O36" s="2" t="inlineStr">
        <is>
          <t>R035</t>
        </is>
      </c>
      <c r="P36" s="2" t="inlineStr">
        <is>
          <t>Yes</t>
        </is>
      </c>
      <c r="Q36" s="2" t="n">
        <v>1</v>
      </c>
      <c r="R36" s="2" t="n"/>
      <c r="S36" s="4" t="n">
        <v>42571</v>
      </c>
      <c r="T36" s="4" t="n">
        <v>42571</v>
      </c>
      <c r="U36" s="2" t="inlineStr">
        <is>
          <t>Relative only</t>
        </is>
      </c>
      <c r="V36" s="2" t="inlineStr">
        <is>
          <t>Assigned: deadline</t>
        </is>
      </c>
      <c r="W36" s="2" t="n"/>
      <c r="X36" s="2" t="n"/>
      <c r="Y36" s="2" t="n"/>
      <c r="Z36" s="2" t="n"/>
      <c r="AA36" s="2" t="n"/>
      <c r="AB36" s="2" t="n"/>
      <c r="AC36" s="2" t="n"/>
      <c r="AD36" s="2" t="n"/>
      <c r="AE36" s="2" t="n"/>
      <c r="AF36" s="2" t="n"/>
      <c r="AG36" s="2" t="n"/>
      <c r="AH36" s="2" t="inlineStr">
        <is>
          <t>Bidder</t>
        </is>
      </c>
      <c r="AI36" s="2" t="inlineStr">
        <is>
          <t>Not stated</t>
        </is>
      </c>
      <c r="AJ36" s="2" t="inlineStr">
        <is>
          <t>Stated</t>
        </is>
      </c>
      <c r="AK36" s="2" t="n">
        <v>30</v>
      </c>
      <c r="AL36" s="2" t="inlineStr">
        <is>
          <t>R022; R038; R043 (possible member)</t>
        </is>
      </c>
      <c r="AM36" s="2" t="inlineStr">
        <is>
          <t>PWRR-G&amp;W</t>
        </is>
      </c>
    </row>
    <row r="37" ht="118" customHeight="1">
      <c r="A37" s="2" t="n">
        <v>36</v>
      </c>
      <c r="B37" s="2" t="inlineStr">
        <is>
          <t>07/21/2016</t>
        </is>
      </c>
      <c r="C37" s="2" t="inlineStr">
        <is>
          <t>G&amp;W (Genesee &amp; Wyoming Inc.)</t>
        </is>
      </c>
      <c r="D37" s="2" t="inlineStr">
        <is>
          <t>Bid</t>
        </is>
      </c>
      <c r="E37" s="2" t="n">
        <v>1</v>
      </c>
      <c r="F37" s="2" t="inlineStr">
        <is>
          <t>2</t>
        </is>
      </c>
      <c r="G37" s="2" t="inlineStr">
        <is>
          <t>Strategic</t>
        </is>
      </c>
      <c r="H37" s="2" t="inlineStr">
        <is>
          <t>$21.15 per share: $20.02 cash at closing plus $1.13 in the form of a contingent value right (CVR) based on the subsequent sale of the Company’s South Quay property; subject to a three-week exclusive diligence period. G&amp;W provided a mark-up of the disclosure letter plus mark-ups of the merger agreement and voting agreement (P-015, p.29). All cash: Yes (the CVR is a contingent cash payment).</t>
        </is>
      </c>
      <c r="I37" s="2" t="inlineStr">
        <is>
          <t>Formal</t>
        </is>
      </c>
      <c r="J37" s="2" t="inlineStr">
        <is>
          <t>Heavy</t>
        </is>
      </c>
      <c r="K37" s="2" t="inlineStr">
        <is>
          <t>Stated. “G&amp;W submitted an LOI on July 21, 2016 to acquire the Company for a price of $21.15 per share (subject to a three-week exclusive diligence period). The price included $20.02 cash at closing and $1.13 in the form of a contingent value right, the value of which was based on the subsequent sale of the Company’s South Quay property (“CVR”). G&amp;W also provided a mark-up of the disclosure letter.” (P-017, p.29). Formality Formal (bidder-returned agreement mark-ups); conditions Heavy (stated three-week exclusive diligence period).</t>
        </is>
      </c>
      <c r="L37" s="3" t="inlineStr">
        <is>
          <t>P-015; P-017</t>
        </is>
      </c>
      <c r="M37" s="2" t="inlineStr">
        <is>
          <t>Q6; Q7</t>
        </is>
      </c>
      <c r="N37" s="2" t="n"/>
      <c r="O37" s="2" t="inlineStr">
        <is>
          <t>R036</t>
        </is>
      </c>
      <c r="P37" s="2" t="inlineStr">
        <is>
          <t>Yes</t>
        </is>
      </c>
      <c r="Q37" s="2" t="n">
        <v>1</v>
      </c>
      <c r="R37" s="4" t="n">
        <v>42572</v>
      </c>
      <c r="S37" s="4" t="n">
        <v>42572</v>
      </c>
      <c r="T37" s="4" t="n">
        <v>42572</v>
      </c>
      <c r="U37" s="2" t="inlineStr">
        <is>
          <t>Reported day</t>
        </is>
      </c>
      <c r="V37" s="2" t="inlineStr">
        <is>
          <t>Reported</t>
        </is>
      </c>
      <c r="W37" s="5" t="n">
        <v>21.15</v>
      </c>
      <c r="X37" s="5" t="n">
        <v>21.15</v>
      </c>
      <c r="Y37" s="2" t="inlineStr">
        <is>
          <t>Point</t>
        </is>
      </c>
      <c r="Z37" s="2" t="inlineStr">
        <is>
          <t>Stated</t>
        </is>
      </c>
      <c r="AA37" s="2" t="inlineStr">
        <is>
          <t>USD</t>
        </is>
      </c>
      <c r="AB37" s="2" t="inlineStr">
        <is>
          <t>Yes</t>
        </is>
      </c>
      <c r="AC37" s="5" t="n">
        <v>20.02</v>
      </c>
      <c r="AD37" s="2" t="inlineStr">
        <is>
          <t>Fin: not stated; DD required: substantive (3 wks); DD open: yes; Excl: requested (3 wks)</t>
        </is>
      </c>
      <c r="AE37" s="2" t="n"/>
      <c r="AF37" s="2" t="n"/>
      <c r="AG37" s="2" t="n"/>
      <c r="AH37" s="2" t="n"/>
      <c r="AI37" s="2" t="n"/>
      <c r="AJ37" s="2" t="n"/>
      <c r="AK37" s="2" t="n">
        <v>29</v>
      </c>
      <c r="AL37" s="2" t="inlineStr">
        <is>
          <t>R037; R038</t>
        </is>
      </c>
      <c r="AM37" s="2" t="inlineStr">
        <is>
          <t>PWRR-G&amp;W</t>
        </is>
      </c>
    </row>
    <row r="38" ht="118" customHeight="1">
      <c r="A38" s="2" t="n">
        <v>37</v>
      </c>
      <c r="B38" s="2" t="inlineStr">
        <is>
          <t>07/26/2016</t>
        </is>
      </c>
      <c r="C38" s="2" t="inlineStr">
        <is>
          <t>G&amp;W (Genesee &amp; Wyoming Inc.)</t>
        </is>
      </c>
      <c r="D38" s="2" t="inlineStr">
        <is>
          <t>Bid</t>
        </is>
      </c>
      <c r="E38" s="2" t="n">
        <v>1</v>
      </c>
      <c r="F38" s="2" t="inlineStr">
        <is>
          <t>2</t>
        </is>
      </c>
      <c r="G38" s="2" t="inlineStr">
        <is>
          <t>Strategic</t>
        </is>
      </c>
      <c r="H38" s="2" t="inlineStr">
        <is>
          <t>Revised LOI: $22.15 per share (including $21.02 in cash and $1.13 CVR), submitted in response to GHF feedback that G&amp;W’s price and CVR structure were not competitive. Count 0 — same bidder and round as R036. Conditions reassessed: no change reported, so the three-week exclusive diligence condition is carried.</t>
        </is>
      </c>
      <c r="I38" s="2" t="inlineStr">
        <is>
          <t>Formal</t>
        </is>
      </c>
      <c r="J38" s="2" t="inlineStr">
        <is>
          <t>Heavy</t>
        </is>
      </c>
      <c r="K38" s="2" t="inlineStr">
        <is>
          <t>Stated. “On July 26, 2016, in response to feedback from representatives of GHF indicating its price and CVR structure were not competitive, G&amp;W submitted a revised LOI, which increased its offer to $22.15 per share (including $21.02 in cash and $1.13 CVR).” (P-017, p.29).</t>
        </is>
      </c>
      <c r="L38" s="3" t="inlineStr">
        <is>
          <t>P-017</t>
        </is>
      </c>
      <c r="M38" s="2" t="inlineStr">
        <is>
          <t>Q6</t>
        </is>
      </c>
      <c r="N38" s="2" t="n"/>
      <c r="O38" s="2" t="inlineStr">
        <is>
          <t>R037</t>
        </is>
      </c>
      <c r="P38" s="2" t="inlineStr">
        <is>
          <t>Yes</t>
        </is>
      </c>
      <c r="Q38" s="2" t="n">
        <v>0</v>
      </c>
      <c r="R38" s="4" t="n">
        <v>42577</v>
      </c>
      <c r="S38" s="4" t="n">
        <v>42577</v>
      </c>
      <c r="T38" s="4" t="n">
        <v>42577</v>
      </c>
      <c r="U38" s="2" t="inlineStr">
        <is>
          <t>Reported day</t>
        </is>
      </c>
      <c r="V38" s="2" t="inlineStr">
        <is>
          <t>Reported</t>
        </is>
      </c>
      <c r="W38" s="5" t="n">
        <v>22.15</v>
      </c>
      <c r="X38" s="5" t="n">
        <v>22.15</v>
      </c>
      <c r="Y38" s="2" t="inlineStr">
        <is>
          <t>Point</t>
        </is>
      </c>
      <c r="Z38" s="2" t="inlineStr">
        <is>
          <t>Stated</t>
        </is>
      </c>
      <c r="AA38" s="2" t="inlineStr">
        <is>
          <t>USD</t>
        </is>
      </c>
      <c r="AB38" s="2" t="inlineStr">
        <is>
          <t>Yes</t>
        </is>
      </c>
      <c r="AC38" s="5" t="n">
        <v>21.02</v>
      </c>
      <c r="AD38" s="2" t="inlineStr">
        <is>
          <t>Fin: not stated; DD required: substantive (3 wks); DD open: yes; Excl: requested (3 wks)</t>
        </is>
      </c>
      <c r="AE38" s="2" t="n"/>
      <c r="AF38" s="2" t="n"/>
      <c r="AG38" s="2" t="n"/>
      <c r="AH38" s="2" t="n"/>
      <c r="AI38" s="2" t="n"/>
      <c r="AJ38" s="2" t="n"/>
      <c r="AK38" s="2" t="n">
        <v>29</v>
      </c>
      <c r="AL38" s="2" t="inlineStr">
        <is>
          <t>revises R036; further revised by R054</t>
        </is>
      </c>
      <c r="AM38" s="2" t="inlineStr">
        <is>
          <t>PWRR-G&amp;W</t>
        </is>
      </c>
    </row>
    <row r="39" ht="118" customHeight="1">
      <c r="A39" s="2" t="n">
        <v>38</v>
      </c>
      <c r="B39" s="2" t="inlineStr">
        <is>
          <t>07/27/2016</t>
        </is>
      </c>
      <c r="C39" s="2" t="inlineStr">
        <is>
          <t>Transaction Committee (after the regular quarterly Board meeting)</t>
        </is>
      </c>
      <c r="D39" s="2" t="inlineStr">
        <is>
          <t>Round opened</t>
        </is>
      </c>
      <c r="E39" s="2" t="n">
        <v>1</v>
      </c>
      <c r="F39" s="2" t="inlineStr">
        <is>
          <t>3</t>
        </is>
      </c>
      <c r="G39" s="2" t="n"/>
      <c r="H39" s="2" t="inlineStr">
        <is>
          <t>Selection: the Committee concluded to proceed with confirmatory due diligence and negotiations with G&amp;W and Party B because of their higher offers; GHF subsequently told the remaining bidders they were no longer involved. Round finality: Inferred final — no finality words, but the target moved to definitive negotiation with selected bidders (confirmatory due diligence and completion of the merger agreement). Director Smith (GATX, 4.92% holder) recused.</t>
        </is>
      </c>
      <c r="I39" s="2" t="n"/>
      <c r="J39" s="2" t="n"/>
      <c r="K39" s="2" t="inlineStr">
        <is>
          <t>Stated. “The Transaction Committee concluded that the Company should proceed with confirmatory due diligence and negotiations with G&amp;W and Party B because of the higher offers made by each of G&amp;W and Party B relative to the other potential buyers. At the direction of the Transaction Committee, representatives of GHF subsequently contacted the remaining bidders to inform them that they were no longer involved in the process.” (P-023, p.30).</t>
        </is>
      </c>
      <c r="L39" s="3" t="inlineStr">
        <is>
          <t>P-023</t>
        </is>
      </c>
      <c r="M39" s="2" t="inlineStr">
        <is>
          <t>Q1</t>
        </is>
      </c>
      <c r="N39" s="2" t="n"/>
      <c r="O39" s="2" t="inlineStr">
        <is>
          <t>R038</t>
        </is>
      </c>
      <c r="P39" s="2" t="inlineStr">
        <is>
          <t>Yes</t>
        </is>
      </c>
      <c r="Q39" s="2" t="n"/>
      <c r="R39" s="4" t="n">
        <v>42578</v>
      </c>
      <c r="S39" s="4" t="n">
        <v>42578</v>
      </c>
      <c r="T39" s="4" t="n">
        <v>42578</v>
      </c>
      <c r="U39" s="2" t="inlineStr">
        <is>
          <t>Reported day</t>
        </is>
      </c>
      <c r="V39" s="2" t="inlineStr">
        <is>
          <t>Reported</t>
        </is>
      </c>
      <c r="W39" s="2" t="n"/>
      <c r="X39" s="2" t="n"/>
      <c r="Y39" s="2" t="n"/>
      <c r="Z39" s="2" t="n"/>
      <c r="AA39" s="2" t="n"/>
      <c r="AB39" s="2" t="n"/>
      <c r="AC39" s="2" t="n"/>
      <c r="AD39" s="2" t="n"/>
      <c r="AE39" s="2" t="n"/>
      <c r="AF39" s="2" t="n"/>
      <c r="AG39" s="2" t="inlineStr">
        <is>
          <t>Inferred final</t>
        </is>
      </c>
      <c r="AH39" s="2" t="n"/>
      <c r="AI39" s="2" t="n"/>
      <c r="AJ39" s="2" t="n"/>
      <c r="AK39" s="2" t="n">
        <v>30</v>
      </c>
      <c r="AL39" s="2" t="inlineStr">
        <is>
          <t>R021; R022; R039–R043</t>
        </is>
      </c>
      <c r="AM39" s="2" t="inlineStr">
        <is>
          <t>PWRR-G&amp;W</t>
        </is>
      </c>
    </row>
    <row r="40" ht="118" customHeight="1">
      <c r="A40" s="2" t="n">
        <v>39</v>
      </c>
      <c r="B40" s="2" t="inlineStr">
        <is>
          <t>07/27/2016 (notice given subsequently)</t>
        </is>
      </c>
      <c r="C40" s="2" t="inlineStr">
        <is>
          <t>Party C</t>
        </is>
      </c>
      <c r="D40" s="2" t="inlineStr">
        <is>
          <t>Dropped by target</t>
        </is>
      </c>
      <c r="E40" s="2" t="n">
        <v>1</v>
      </c>
      <c r="F40" s="2" t="inlineStr">
        <is>
          <t>2</t>
        </is>
      </c>
      <c r="G40" s="2" t="inlineStr">
        <is>
          <t>Strategic</t>
        </is>
      </c>
      <c r="H40" s="2" t="inlineStr">
        <is>
          <t>Told it was no longer involved after the 07/27/2016 selection of G&amp;W and Party B (stated comparative reason: the two continuing bids were higher). Stage left: Round 2.</t>
        </is>
      </c>
      <c r="I40" s="2" t="n"/>
      <c r="J40" s="2" t="n"/>
      <c r="K40" s="2" t="inlineStr">
        <is>
          <t>Stated (notice). “representatives of GHF subsequently contacted the remaining bidders to inform them that they were no longer involved in the process.” (P-023, p.30). Convention: notice undated; working date = the decision day (Assigned: decision day).</t>
        </is>
      </c>
      <c r="L40" s="3" t="inlineStr">
        <is>
          <t>P-023</t>
        </is>
      </c>
      <c r="M40" s="2" t="inlineStr">
        <is>
          <t>Q5</t>
        </is>
      </c>
      <c r="N40" s="2" t="n"/>
      <c r="O40" s="2" t="inlineStr">
        <is>
          <t>R039</t>
        </is>
      </c>
      <c r="P40" s="2" t="inlineStr">
        <is>
          <t>Yes</t>
        </is>
      </c>
      <c r="Q40" s="2" t="n">
        <v>1</v>
      </c>
      <c r="R40" s="2" t="n"/>
      <c r="S40" s="4" t="n">
        <v>42578</v>
      </c>
      <c r="T40" s="4" t="n">
        <v>42578</v>
      </c>
      <c r="U40" s="2" t="inlineStr">
        <is>
          <t>Relative only</t>
        </is>
      </c>
      <c r="V40" s="2" t="inlineStr">
        <is>
          <t>Assigned: decision day</t>
        </is>
      </c>
      <c r="W40" s="2" t="n"/>
      <c r="X40" s="2" t="n"/>
      <c r="Y40" s="2" t="n"/>
      <c r="Z40" s="2" t="n"/>
      <c r="AA40" s="2" t="n"/>
      <c r="AB40" s="2" t="n"/>
      <c r="AC40" s="2" t="n"/>
      <c r="AD40" s="2" t="n"/>
      <c r="AE40" s="2" t="n"/>
      <c r="AF40" s="2" t="n"/>
      <c r="AG40" s="2" t="n"/>
      <c r="AH40" s="2" t="inlineStr">
        <is>
          <t>Target</t>
        </is>
      </c>
      <c r="AI40" s="2" t="inlineStr">
        <is>
          <t>Lower offer than rivals</t>
        </is>
      </c>
      <c r="AJ40" s="2" t="inlineStr">
        <is>
          <t>Stated</t>
        </is>
      </c>
      <c r="AK40" s="2" t="n">
        <v>30</v>
      </c>
      <c r="AL40" s="2" t="inlineStr">
        <is>
          <t>R038</t>
        </is>
      </c>
      <c r="AM40" s="2" t="inlineStr">
        <is>
          <t>PWRR-G&amp;W</t>
        </is>
      </c>
    </row>
    <row r="41" ht="118" customHeight="1">
      <c r="A41" s="2" t="n">
        <v>40</v>
      </c>
      <c r="B41" s="2" t="inlineStr">
        <is>
          <t>07/27/2016 (notice given subsequently)</t>
        </is>
      </c>
      <c r="C41" s="2" t="inlineStr">
        <is>
          <t>Party D</t>
        </is>
      </c>
      <c r="D41" s="2" t="inlineStr">
        <is>
          <t>Dropped by target</t>
        </is>
      </c>
      <c r="E41" s="2" t="n">
        <v>1</v>
      </c>
      <c r="F41" s="2" t="inlineStr">
        <is>
          <t>2</t>
        </is>
      </c>
      <c r="G41" s="2" t="inlineStr">
        <is>
          <t>Financial</t>
        </is>
      </c>
      <c r="H41" s="2" t="inlineStr">
        <is>
          <t>Told it was no longer involved after the 07/27/2016 selection of G&amp;W and Party B (stated comparative reason: the two continuing bids were higher). Stage left: Round 2.</t>
        </is>
      </c>
      <c r="I41" s="2" t="n"/>
      <c r="J41" s="2" t="n"/>
      <c r="K41" s="2" t="inlineStr">
        <is>
          <t>Stated (notice). “representatives of GHF subsequently contacted the remaining bidders to inform them that they were no longer involved in the process.” (P-023, p.30). Convention: notice undated; working date = the decision day (Assigned: decision day).</t>
        </is>
      </c>
      <c r="L41" s="3" t="inlineStr">
        <is>
          <t>P-023</t>
        </is>
      </c>
      <c r="M41" s="2" t="inlineStr">
        <is>
          <t>Q5</t>
        </is>
      </c>
      <c r="N41" s="2" t="n"/>
      <c r="O41" s="2" t="inlineStr">
        <is>
          <t>R040</t>
        </is>
      </c>
      <c r="P41" s="2" t="inlineStr">
        <is>
          <t>Yes</t>
        </is>
      </c>
      <c r="Q41" s="2" t="n">
        <v>1</v>
      </c>
      <c r="R41" s="2" t="n"/>
      <c r="S41" s="4" t="n">
        <v>42578</v>
      </c>
      <c r="T41" s="4" t="n">
        <v>42578</v>
      </c>
      <c r="U41" s="2" t="inlineStr">
        <is>
          <t>Relative only</t>
        </is>
      </c>
      <c r="V41" s="2" t="inlineStr">
        <is>
          <t>Assigned: decision day</t>
        </is>
      </c>
      <c r="W41" s="2" t="n"/>
      <c r="X41" s="2" t="n"/>
      <c r="Y41" s="2" t="n"/>
      <c r="Z41" s="2" t="n"/>
      <c r="AA41" s="2" t="n"/>
      <c r="AB41" s="2" t="n"/>
      <c r="AC41" s="2" t="n"/>
      <c r="AD41" s="2" t="n"/>
      <c r="AE41" s="2" t="n"/>
      <c r="AF41" s="2" t="n"/>
      <c r="AG41" s="2" t="n"/>
      <c r="AH41" s="2" t="inlineStr">
        <is>
          <t>Target</t>
        </is>
      </c>
      <c r="AI41" s="2" t="inlineStr">
        <is>
          <t>Lower offer than rivals</t>
        </is>
      </c>
      <c r="AJ41" s="2" t="inlineStr">
        <is>
          <t>Stated</t>
        </is>
      </c>
      <c r="AK41" s="2" t="n">
        <v>30</v>
      </c>
      <c r="AL41" s="2" t="inlineStr">
        <is>
          <t>R038</t>
        </is>
      </c>
      <c r="AM41" s="2" t="inlineStr">
        <is>
          <t>PWRR-G&amp;W</t>
        </is>
      </c>
    </row>
    <row r="42" ht="118" customHeight="1">
      <c r="A42" s="2" t="n">
        <v>41</v>
      </c>
      <c r="B42" s="2" t="inlineStr">
        <is>
          <t>07/27/2016 (notice given subsequently)</t>
        </is>
      </c>
      <c r="C42" s="2" t="inlineStr">
        <is>
          <t>Party E</t>
        </is>
      </c>
      <c r="D42" s="2" t="inlineStr">
        <is>
          <t>Dropped by target</t>
        </is>
      </c>
      <c r="E42" s="2" t="n">
        <v>1</v>
      </c>
      <c r="F42" s="2" t="inlineStr">
        <is>
          <t>2</t>
        </is>
      </c>
      <c r="G42" s="2" t="inlineStr">
        <is>
          <t>Strategic</t>
        </is>
      </c>
      <c r="H42" s="2" t="inlineStr">
        <is>
          <t>Told it was no longer involved after the 07/27/2016 selection of G&amp;W and Party B (stated comparative reason: the two continuing bids were higher). Stage left: Round 2.</t>
        </is>
      </c>
      <c r="I42" s="2" t="n"/>
      <c r="J42" s="2" t="n"/>
      <c r="K42" s="2" t="inlineStr">
        <is>
          <t>Stated (notice). “representatives of GHF subsequently contacted the remaining bidders to inform them that they were no longer involved in the process.” (P-023, p.30). Convention: notice undated; working date = the decision day (Assigned: decision day).</t>
        </is>
      </c>
      <c r="L42" s="3" t="inlineStr">
        <is>
          <t>P-023</t>
        </is>
      </c>
      <c r="M42" s="2" t="inlineStr">
        <is>
          <t>Q5</t>
        </is>
      </c>
      <c r="N42" s="2" t="n"/>
      <c r="O42" s="2" t="inlineStr">
        <is>
          <t>R041</t>
        </is>
      </c>
      <c r="P42" s="2" t="inlineStr">
        <is>
          <t>Yes</t>
        </is>
      </c>
      <c r="Q42" s="2" t="n">
        <v>1</v>
      </c>
      <c r="R42" s="2" t="n"/>
      <c r="S42" s="4" t="n">
        <v>42578</v>
      </c>
      <c r="T42" s="4" t="n">
        <v>42578</v>
      </c>
      <c r="U42" s="2" t="inlineStr">
        <is>
          <t>Relative only</t>
        </is>
      </c>
      <c r="V42" s="2" t="inlineStr">
        <is>
          <t>Assigned: decision day</t>
        </is>
      </c>
      <c r="W42" s="2" t="n"/>
      <c r="X42" s="2" t="n"/>
      <c r="Y42" s="2" t="n"/>
      <c r="Z42" s="2" t="n"/>
      <c r="AA42" s="2" t="n"/>
      <c r="AB42" s="2" t="n"/>
      <c r="AC42" s="2" t="n"/>
      <c r="AD42" s="2" t="n"/>
      <c r="AE42" s="2" t="n"/>
      <c r="AF42" s="2" t="n"/>
      <c r="AG42" s="2" t="n"/>
      <c r="AH42" s="2" t="inlineStr">
        <is>
          <t>Target</t>
        </is>
      </c>
      <c r="AI42" s="2" t="inlineStr">
        <is>
          <t>Lower offer than rivals</t>
        </is>
      </c>
      <c r="AJ42" s="2" t="inlineStr">
        <is>
          <t>Stated</t>
        </is>
      </c>
      <c r="AK42" s="2" t="n">
        <v>30</v>
      </c>
      <c r="AL42" s="2" t="inlineStr">
        <is>
          <t>R038</t>
        </is>
      </c>
      <c r="AM42" s="2" t="inlineStr">
        <is>
          <t>PWRR-G&amp;W</t>
        </is>
      </c>
    </row>
    <row r="43" ht="118" customHeight="1">
      <c r="A43" s="2" t="n">
        <v>42</v>
      </c>
      <c r="B43" s="2" t="inlineStr">
        <is>
          <t>07/27/2016 (notice given subsequently)</t>
        </is>
      </c>
      <c r="C43" s="2" t="inlineStr">
        <is>
          <t>Party F</t>
        </is>
      </c>
      <c r="D43" s="2" t="inlineStr">
        <is>
          <t>Dropped by target</t>
        </is>
      </c>
      <c r="E43" s="2" t="n">
        <v>1</v>
      </c>
      <c r="F43" s="2" t="inlineStr">
        <is>
          <t>2</t>
        </is>
      </c>
      <c r="G43" s="2" t="inlineStr">
        <is>
          <t>Strategic</t>
        </is>
      </c>
      <c r="H43" s="2" t="inlineStr">
        <is>
          <t>Told it was no longer involved after the 07/27/2016 selection of G&amp;W and Party B (stated comparative reason: the two continuing bids were higher). Stage left: Round 2.</t>
        </is>
      </c>
      <c r="I43" s="2" t="n"/>
      <c r="J43" s="2" t="n"/>
      <c r="K43" s="2" t="inlineStr">
        <is>
          <t>Stated (notice). “representatives of GHF subsequently contacted the remaining bidders to inform them that they were no longer involved in the process.” (P-023, p.30). Convention: notice undated; working date = the decision day (Assigned: decision day).</t>
        </is>
      </c>
      <c r="L43" s="3" t="inlineStr">
        <is>
          <t>P-023</t>
        </is>
      </c>
      <c r="M43" s="2" t="inlineStr">
        <is>
          <t>Q5</t>
        </is>
      </c>
      <c r="N43" s="2" t="n"/>
      <c r="O43" s="2" t="inlineStr">
        <is>
          <t>R042</t>
        </is>
      </c>
      <c r="P43" s="2" t="inlineStr">
        <is>
          <t>Yes</t>
        </is>
      </c>
      <c r="Q43" s="2" t="n">
        <v>1</v>
      </c>
      <c r="R43" s="2" t="n"/>
      <c r="S43" s="4" t="n">
        <v>42578</v>
      </c>
      <c r="T43" s="4" t="n">
        <v>42578</v>
      </c>
      <c r="U43" s="2" t="inlineStr">
        <is>
          <t>Relative only</t>
        </is>
      </c>
      <c r="V43" s="2" t="inlineStr">
        <is>
          <t>Assigned: decision day</t>
        </is>
      </c>
      <c r="W43" s="2" t="n"/>
      <c r="X43" s="2" t="n"/>
      <c r="Y43" s="2" t="n"/>
      <c r="Z43" s="2" t="n"/>
      <c r="AA43" s="2" t="n"/>
      <c r="AB43" s="2" t="n"/>
      <c r="AC43" s="2" t="n"/>
      <c r="AD43" s="2" t="n"/>
      <c r="AE43" s="2" t="n"/>
      <c r="AF43" s="2" t="n"/>
      <c r="AG43" s="2" t="n"/>
      <c r="AH43" s="2" t="inlineStr">
        <is>
          <t>Target</t>
        </is>
      </c>
      <c r="AI43" s="2" t="inlineStr">
        <is>
          <t>Lower offer than rivals</t>
        </is>
      </c>
      <c r="AJ43" s="2" t="inlineStr">
        <is>
          <t>Stated</t>
        </is>
      </c>
      <c r="AK43" s="2" t="n">
        <v>30</v>
      </c>
      <c r="AL43" s="2" t="inlineStr">
        <is>
          <t>R038</t>
        </is>
      </c>
      <c r="AM43" s="2" t="inlineStr">
        <is>
          <t>PWRR-G&amp;W</t>
        </is>
      </c>
    </row>
    <row r="44" ht="118" customHeight="1">
      <c r="A44" s="2" t="n">
        <v>43</v>
      </c>
      <c r="B44" s="2" t="inlineStr">
        <is>
          <t>By 07/27/2016</t>
        </is>
      </c>
      <c r="C44" s="2" t="inlineStr">
        <is>
          <t>Party A</t>
        </is>
      </c>
      <c r="D44" s="2" t="inlineStr">
        <is>
          <t>Did not submit</t>
        </is>
      </c>
      <c r="E44" s="2" t="n">
        <v>1</v>
      </c>
      <c r="F44" s="2" t="inlineStr">
        <is>
          <t>2</t>
        </is>
      </c>
      <c r="G44" s="2" t="inlineStr">
        <is>
          <t>Strategic</t>
        </is>
      </c>
      <c r="H44" s="2" t="inlineStr">
        <is>
          <t>Inferred: identity — Party A is not named in the 07/27/2016 continuing set (G&amp;W and Party B) or in any later event. Recommended reading: already counted inside R020 (the 16 non-submitters at the 05/19 IOI deadline — no Party A bid is reported and its last named activity precedes the IOI solicitation). Alternative covering rows: R021 (two excluded low bidders) or R034/R035 (the two non-submitting LOI bidders). Count 0 — no new bidder unit; no cohort count is moved to a name.</t>
        </is>
      </c>
      <c r="I44" s="2" t="n"/>
      <c r="J44" s="2" t="n"/>
      <c r="K44" s="2" t="inlineStr">
        <is>
          <t>Inferred: identity. Premises: Party A is last named in April 2016 (P-009, p.28, memorandum recipients) and never again; the first identified continuing set that excludes it is “G&amp;W and Party B” (P-023, p.30). The filing does not identify which anonymous exit was Party A’s own. Label follows the recommended covering cohort (Did not submit, R020); agency is not established from the arithmetic.</t>
        </is>
      </c>
      <c r="L44" s="3" t="inlineStr">
        <is>
          <t>P-006; P-009; P-023</t>
        </is>
      </c>
      <c r="M44" s="2" t="inlineStr">
        <is>
          <t>Q3; Q5</t>
        </is>
      </c>
      <c r="N44" s="2" t="n"/>
      <c r="O44" s="2" t="inlineStr">
        <is>
          <t>R043</t>
        </is>
      </c>
      <c r="P44" s="2" t="inlineStr">
        <is>
          <t>Yes</t>
        </is>
      </c>
      <c r="Q44" s="2" t="n">
        <v>0</v>
      </c>
      <c r="R44" s="2" t="n"/>
      <c r="S44" s="4" t="n">
        <v>42578</v>
      </c>
      <c r="T44" s="4" t="n">
        <v>42578</v>
      </c>
      <c r="U44" s="2" t="inlineStr">
        <is>
          <t>Relative only</t>
        </is>
      </c>
      <c r="V44" s="2" t="inlineStr">
        <is>
          <t>Assigned: decision day</t>
        </is>
      </c>
      <c r="W44" s="2" t="n"/>
      <c r="X44" s="2" t="n"/>
      <c r="Y44" s="2" t="n"/>
      <c r="Z44" s="2" t="n"/>
      <c r="AA44" s="2" t="n"/>
      <c r="AB44" s="2" t="n"/>
      <c r="AC44" s="2" t="n"/>
      <c r="AD44" s="2" t="n"/>
      <c r="AE44" s="2" t="n"/>
      <c r="AF44" s="2" t="n"/>
      <c r="AG44" s="2" t="n"/>
      <c r="AH44" s="2" t="inlineStr">
        <is>
          <t>Unknown</t>
        </is>
      </c>
      <c r="AI44" s="2" t="inlineStr">
        <is>
          <t>Not stated</t>
        </is>
      </c>
      <c r="AJ44" s="2" t="inlineStr">
        <is>
          <t>Inferred: identity</t>
        </is>
      </c>
      <c r="AK44" s="2" t="n">
        <v>30</v>
      </c>
      <c r="AL44" s="2" t="inlineStr">
        <is>
          <t>R020 (recommended); R021; R034; R035</t>
        </is>
      </c>
      <c r="AM44" s="2" t="inlineStr">
        <is>
          <t>PWRR-G&amp;W</t>
        </is>
      </c>
    </row>
    <row r="45" ht="118" customHeight="1">
      <c r="A45" s="2" t="n">
        <v>44</v>
      </c>
      <c r="B45" s="2" t="inlineStr">
        <is>
          <t>07/29/2016</t>
        </is>
      </c>
      <c r="C45" s="2" t="inlineStr">
        <is>
          <t>Party D</t>
        </is>
      </c>
      <c r="D45" s="2" t="inlineStr">
        <is>
          <t>Re-entered</t>
        </is>
      </c>
      <c r="E45" s="2" t="n">
        <v>1</v>
      </c>
      <c r="F45" s="2" t="inlineStr">
        <is>
          <t>3</t>
        </is>
      </c>
      <c r="G45" s="2" t="inlineStr">
        <is>
          <t>Financial</t>
        </is>
      </c>
      <c r="H45" s="2" t="inlineStr">
        <is>
          <t>GHF calls; D expressed interest in reengaging and enhancing its offer — renewed participation after the 07/27/2016 drop (see R040); revised LOI followed on 08/01/2016.</t>
        </is>
      </c>
      <c r="I45" s="2" t="n"/>
      <c r="J45" s="2" t="n"/>
      <c r="K45" s="2" t="inlineStr">
        <is>
          <t>Stated. “On July 29, 2016, representatives of GHF had calls with Party D and Party E. During those calls, Party D and Party E both expressed interest in reengaging and enhancing their offers.” (P-024, p.30).</t>
        </is>
      </c>
      <c r="L45" s="3" t="inlineStr">
        <is>
          <t>P-024</t>
        </is>
      </c>
      <c r="M45" s="2" t="inlineStr">
        <is>
          <t>Q7</t>
        </is>
      </c>
      <c r="N45" s="2" t="n"/>
      <c r="O45" s="2" t="inlineStr">
        <is>
          <t>R044</t>
        </is>
      </c>
      <c r="P45" s="2" t="inlineStr">
        <is>
          <t>Yes</t>
        </is>
      </c>
      <c r="Q45" s="2" t="n">
        <v>1</v>
      </c>
      <c r="R45" s="4" t="n">
        <v>42580</v>
      </c>
      <c r="S45" s="4" t="n">
        <v>42580</v>
      </c>
      <c r="T45" s="4" t="n">
        <v>42580</v>
      </c>
      <c r="U45" s="2" t="inlineStr">
        <is>
          <t>Reported day</t>
        </is>
      </c>
      <c r="V45" s="2" t="inlineStr">
        <is>
          <t>Reported</t>
        </is>
      </c>
      <c r="W45" s="2" t="n"/>
      <c r="X45" s="2" t="n"/>
      <c r="Y45" s="2" t="n"/>
      <c r="Z45" s="2" t="n"/>
      <c r="AA45" s="2" t="n"/>
      <c r="AB45" s="2" t="n"/>
      <c r="AC45" s="2" t="n"/>
      <c r="AD45" s="2" t="n"/>
      <c r="AE45" s="2" t="n"/>
      <c r="AF45" s="2" t="n"/>
      <c r="AG45" s="2" t="n"/>
      <c r="AH45" s="2" t="n"/>
      <c r="AI45" s="2" t="n"/>
      <c r="AJ45" s="2" t="n"/>
      <c r="AK45" s="2" t="n">
        <v>30</v>
      </c>
      <c r="AL45" s="2" t="inlineStr">
        <is>
          <t>R040; R046</t>
        </is>
      </c>
      <c r="AM45" s="2" t="inlineStr">
        <is>
          <t>PWRR-G&amp;W</t>
        </is>
      </c>
    </row>
    <row r="46" ht="118" customHeight="1">
      <c r="A46" s="2" t="n">
        <v>45</v>
      </c>
      <c r="B46" s="2" t="inlineStr">
        <is>
          <t>07/29/2016</t>
        </is>
      </c>
      <c r="C46" s="2" t="inlineStr">
        <is>
          <t>Party E</t>
        </is>
      </c>
      <c r="D46" s="2" t="inlineStr">
        <is>
          <t>Re-entered</t>
        </is>
      </c>
      <c r="E46" s="2" t="n">
        <v>1</v>
      </c>
      <c r="F46" s="2" t="inlineStr">
        <is>
          <t>3</t>
        </is>
      </c>
      <c r="G46" s="2" t="inlineStr">
        <is>
          <t>Strategic</t>
        </is>
      </c>
      <c r="H46" s="2" t="inlineStr">
        <is>
          <t>GHF calls; E expressed interest in reengaging and enhancing its offer — renewed participation after the 07/27/2016 drop (see R041); revised LOI followed on 08/01/2016.</t>
        </is>
      </c>
      <c r="I46" s="2" t="n"/>
      <c r="J46" s="2" t="n"/>
      <c r="K46" s="2" t="inlineStr">
        <is>
          <t>Stated. “On July 29, 2016, representatives of GHF had calls with Party D and Party E. During those calls, Party D and Party E both expressed interest in reengaging and enhancing their offers.” (P-024, p.30).</t>
        </is>
      </c>
      <c r="L46" s="3" t="inlineStr">
        <is>
          <t>P-024</t>
        </is>
      </c>
      <c r="M46" s="2" t="inlineStr">
        <is>
          <t>Q7</t>
        </is>
      </c>
      <c r="N46" s="2" t="n"/>
      <c r="O46" s="2" t="inlineStr">
        <is>
          <t>R045</t>
        </is>
      </c>
      <c r="P46" s="2" t="inlineStr">
        <is>
          <t>Yes</t>
        </is>
      </c>
      <c r="Q46" s="2" t="n">
        <v>1</v>
      </c>
      <c r="R46" s="4" t="n">
        <v>42580</v>
      </c>
      <c r="S46" s="4" t="n">
        <v>42580</v>
      </c>
      <c r="T46" s="4" t="n">
        <v>42580</v>
      </c>
      <c r="U46" s="2" t="inlineStr">
        <is>
          <t>Reported day</t>
        </is>
      </c>
      <c r="V46" s="2" t="inlineStr">
        <is>
          <t>Reported</t>
        </is>
      </c>
      <c r="W46" s="2" t="n"/>
      <c r="X46" s="2" t="n"/>
      <c r="Y46" s="2" t="n"/>
      <c r="Z46" s="2" t="n"/>
      <c r="AA46" s="2" t="n"/>
      <c r="AB46" s="2" t="n"/>
      <c r="AC46" s="2" t="n"/>
      <c r="AD46" s="2" t="n"/>
      <c r="AE46" s="2" t="n"/>
      <c r="AF46" s="2" t="n"/>
      <c r="AG46" s="2" t="n"/>
      <c r="AH46" s="2" t="n"/>
      <c r="AI46" s="2" t="n"/>
      <c r="AJ46" s="2" t="n"/>
      <c r="AK46" s="2" t="n">
        <v>30</v>
      </c>
      <c r="AL46" s="2" t="inlineStr">
        <is>
          <t>R041; R047</t>
        </is>
      </c>
      <c r="AM46" s="2" t="inlineStr">
        <is>
          <t>PWRR-G&amp;W</t>
        </is>
      </c>
    </row>
    <row r="47" ht="118" customHeight="1">
      <c r="A47" s="2" t="n">
        <v>46</v>
      </c>
      <c r="B47" s="2" t="inlineStr">
        <is>
          <t>08/01/2016</t>
        </is>
      </c>
      <c r="C47" s="2" t="inlineStr">
        <is>
          <t>Party D (financial buyer)</t>
        </is>
      </c>
      <c r="D47" s="2" t="inlineStr">
        <is>
          <t>Bid</t>
        </is>
      </c>
      <c r="E47" s="2" t="n">
        <v>1</v>
      </c>
      <c r="F47" s="2" t="inlineStr">
        <is>
          <t>3</t>
        </is>
      </c>
      <c r="G47" s="2" t="inlineStr">
        <is>
          <t>Financial</t>
        </is>
      </c>
      <c r="H47" s="2" t="inlineStr">
        <is>
          <t>Revised LOI: $24.00 per share, with a 30-day due diligence period; D also requested that the Company commit not to sign with another bidder during that period (request reported and declined on 08/02, R049). Formal documentation carried from its July mark-ups.</t>
        </is>
      </c>
      <c r="I47" s="2" t="inlineStr">
        <is>
          <t>Formal</t>
        </is>
      </c>
      <c r="J47" s="2" t="inlineStr">
        <is>
          <t>Heavy</t>
        </is>
      </c>
      <c r="K47" s="2" t="inlineStr">
        <is>
          <t>Stated. “On August 1, 2016, Party D submitted a revised LOI at a price of $24.00 per share and Party E submitted a revised LOI, along with financing support, from Party F, at a price of $23.81 per share. Both revised proposals contained a 30-day due diligence period.” (P-024, p.30). Formal carried (July mark-ups, P-015, p.29); Heavy (30-day diligence); exclusivity-like no-sign request: “Party D declined to shorten its due diligence period and requested that the Company commit that it would not enter into an agreement with another bidder during its 30-day due diligence period.” (P-024, p.30).</t>
        </is>
      </c>
      <c r="L47" s="3" t="inlineStr">
        <is>
          <t>P-015; P-024</t>
        </is>
      </c>
      <c r="M47" s="2" t="inlineStr">
        <is>
          <t>Q6</t>
        </is>
      </c>
      <c r="N47" s="2" t="n"/>
      <c r="O47" s="2" t="inlineStr">
        <is>
          <t>R046</t>
        </is>
      </c>
      <c r="P47" s="2" t="inlineStr">
        <is>
          <t>Yes</t>
        </is>
      </c>
      <c r="Q47" s="2" t="n">
        <v>1</v>
      </c>
      <c r="R47" s="4" t="n">
        <v>42583</v>
      </c>
      <c r="S47" s="4" t="n">
        <v>42583</v>
      </c>
      <c r="T47" s="4" t="n">
        <v>42583</v>
      </c>
      <c r="U47" s="2" t="inlineStr">
        <is>
          <t>Reported day</t>
        </is>
      </c>
      <c r="V47" s="2" t="inlineStr">
        <is>
          <t>Reported</t>
        </is>
      </c>
      <c r="W47" s="5" t="n">
        <v>24</v>
      </c>
      <c r="X47" s="5" t="n">
        <v>24</v>
      </c>
      <c r="Y47" s="2" t="inlineStr">
        <is>
          <t>Point</t>
        </is>
      </c>
      <c r="Z47" s="2" t="inlineStr">
        <is>
          <t>Stated</t>
        </is>
      </c>
      <c r="AA47" s="2" t="inlineStr">
        <is>
          <t>USD</t>
        </is>
      </c>
      <c r="AB47" s="2" t="inlineStr">
        <is>
          <t>Not stated</t>
        </is>
      </c>
      <c r="AC47" s="2" t="n"/>
      <c r="AD47" s="2" t="inlineStr">
        <is>
          <t>Fin: not stated; DD required: substantive (30 days); DD open: yes; Excl: requested (30 days)</t>
        </is>
      </c>
      <c r="AE47" s="2" t="n"/>
      <c r="AF47" s="2" t="n"/>
      <c r="AG47" s="2" t="n"/>
      <c r="AH47" s="2" t="n"/>
      <c r="AI47" s="2" t="n"/>
      <c r="AJ47" s="2" t="n"/>
      <c r="AK47" s="2" t="n">
        <v>30</v>
      </c>
      <c r="AL47" s="2" t="inlineStr">
        <is>
          <t>revises R031; R044; R049</t>
        </is>
      </c>
      <c r="AM47" s="2" t="inlineStr">
        <is>
          <t>PWRR-G&amp;W</t>
        </is>
      </c>
    </row>
    <row r="48" ht="118" customHeight="1">
      <c r="A48" s="2" t="n">
        <v>47</v>
      </c>
      <c r="B48" s="2" t="inlineStr">
        <is>
          <t>08/01/2016</t>
        </is>
      </c>
      <c r="C48" s="2" t="inlineStr">
        <is>
          <t>Party E (strategic buyer)</t>
        </is>
      </c>
      <c r="D48" s="2" t="inlineStr">
        <is>
          <t>Bid</t>
        </is>
      </c>
      <c r="E48" s="2" t="n">
        <v>1</v>
      </c>
      <c r="F48" s="2" t="inlineStr">
        <is>
          <t>3</t>
        </is>
      </c>
      <c r="G48" s="2" t="inlineStr">
        <is>
          <t>Strategic</t>
        </is>
      </c>
      <c r="H48" s="2" t="inlineStr">
        <is>
          <t>Support: Party F (financing) — revised LOI at $23.81 per share with a 30-day due diligence period, submitted along with financing support from Party F. Related rows point to Party F’s earlier independent bid (R033); F had already exited on 07/27/2016 (R042), so it gets no new row and no Re-entered (support is not a bidding-group change).</t>
        </is>
      </c>
      <c r="I48" s="2" t="inlineStr">
        <is>
          <t>Informal</t>
        </is>
      </c>
      <c r="J48" s="2" t="inlineStr">
        <is>
          <t>Heavy</t>
        </is>
      </c>
      <c r="K48" s="2" t="inlineStr">
        <is>
          <t>Stated. “Party E submitted a revised LOI, along with financing support, from Party F, at a price of $23.81 per share. Both revised proposals contained a 30-day due diligence period.” (P-024, p.30). Formality Informal (E’s issues summary only; no mark-up reported for E). Conditions Heavy (30-day diligence); financing support represented but commitment level not stated.</t>
        </is>
      </c>
      <c r="L48" s="3" t="inlineStr">
        <is>
          <t>P-024; P-032</t>
        </is>
      </c>
      <c r="M48" s="2" t="inlineStr">
        <is>
          <t>Q6</t>
        </is>
      </c>
      <c r="N48" s="2" t="n"/>
      <c r="O48" s="2" t="inlineStr">
        <is>
          <t>R047</t>
        </is>
      </c>
      <c r="P48" s="2" t="inlineStr">
        <is>
          <t>Yes</t>
        </is>
      </c>
      <c r="Q48" s="2" t="n">
        <v>1</v>
      </c>
      <c r="R48" s="4" t="n">
        <v>42583</v>
      </c>
      <c r="S48" s="4" t="n">
        <v>42583</v>
      </c>
      <c r="T48" s="4" t="n">
        <v>42583</v>
      </c>
      <c r="U48" s="2" t="inlineStr">
        <is>
          <t>Reported day</t>
        </is>
      </c>
      <c r="V48" s="2" t="inlineStr">
        <is>
          <t>Reported</t>
        </is>
      </c>
      <c r="W48" s="5" t="n">
        <v>23.81</v>
      </c>
      <c r="X48" s="5" t="n">
        <v>23.81</v>
      </c>
      <c r="Y48" s="2" t="inlineStr">
        <is>
          <t>Point</t>
        </is>
      </c>
      <c r="Z48" s="2" t="inlineStr">
        <is>
          <t>Stated</t>
        </is>
      </c>
      <c r="AA48" s="2" t="inlineStr">
        <is>
          <t>USD</t>
        </is>
      </c>
      <c r="AB48" s="2" t="inlineStr">
        <is>
          <t>Not stated</t>
        </is>
      </c>
      <c r="AC48" s="2" t="n"/>
      <c r="AD48" s="2" t="inlineStr">
        <is>
          <t>Fin: represented; DD required: substantive (30 days); DD open: yes; Excl: not stated</t>
        </is>
      </c>
      <c r="AE48" s="2" t="n"/>
      <c r="AF48" s="2" t="n"/>
      <c r="AG48" s="2" t="n"/>
      <c r="AH48" s="2" t="n"/>
      <c r="AI48" s="2" t="n"/>
      <c r="AJ48" s="2" t="n"/>
      <c r="AK48" s="2" t="n">
        <v>30</v>
      </c>
      <c r="AL48" s="2" t="inlineStr">
        <is>
          <t>revises R030; R033 (Party F prior bid); R045; R048</t>
        </is>
      </c>
      <c r="AM48" s="2" t="inlineStr">
        <is>
          <t>PWRR-G&amp;W</t>
        </is>
      </c>
    </row>
    <row r="49" ht="118" customHeight="1">
      <c r="A49" s="2" t="n">
        <v>48</v>
      </c>
      <c r="B49" s="2" t="inlineStr">
        <is>
          <t>08/02/2016</t>
        </is>
      </c>
      <c r="C49" s="2" t="inlineStr">
        <is>
          <t>Party E (strategic buyer)</t>
        </is>
      </c>
      <c r="D49" s="2" t="inlineStr">
        <is>
          <t>Bid</t>
        </is>
      </c>
      <c r="E49" s="2" t="n">
        <v>1</v>
      </c>
      <c r="F49" s="2" t="inlineStr">
        <is>
          <t>3</t>
        </is>
      </c>
      <c r="G49" s="2" t="inlineStr">
        <is>
          <t>Strategic</t>
        </is>
      </c>
      <c r="H49" s="2" t="inlineStr">
        <is>
          <t>Bid reversion — withdrew its revised $23.81 proposal and confirmed its original $21.26 per-share proposal (with its 60-day exclusivity condition). A withdrawal of the higher proposal while confirming the older one is a reversion, not a process withdrawal.</t>
        </is>
      </c>
      <c r="I49" s="2" t="inlineStr">
        <is>
          <t>Informal</t>
        </is>
      </c>
      <c r="J49" s="2" t="inlineStr">
        <is>
          <t>Heavy</t>
        </is>
      </c>
      <c r="K49" s="2" t="inlineStr">
        <is>
          <t>Stated. “Party E withdrew its revised proposal on August 2, 2016 (but confirmed its original proposal of $21.26 per share)” (P-024, p.30). Convention: price carried forward from R030 (not restated); conditions reassessed from the confirmed original (60-day exclusive diligence/negotiation period).</t>
        </is>
      </c>
      <c r="L49" s="3" t="inlineStr">
        <is>
          <t>P-024; P-018</t>
        </is>
      </c>
      <c r="M49" s="2" t="inlineStr">
        <is>
          <t>Q6</t>
        </is>
      </c>
      <c r="N49" s="2" t="n"/>
      <c r="O49" s="2" t="inlineStr">
        <is>
          <t>R048</t>
        </is>
      </c>
      <c r="P49" s="2" t="inlineStr">
        <is>
          <t>Yes</t>
        </is>
      </c>
      <c r="Q49" s="2" t="n">
        <v>0</v>
      </c>
      <c r="R49" s="4" t="n">
        <v>42584</v>
      </c>
      <c r="S49" s="4" t="n">
        <v>42584</v>
      </c>
      <c r="T49" s="4" t="n">
        <v>42584</v>
      </c>
      <c r="U49" s="2" t="inlineStr">
        <is>
          <t>Reported day</t>
        </is>
      </c>
      <c r="V49" s="2" t="inlineStr">
        <is>
          <t>Reported</t>
        </is>
      </c>
      <c r="W49" s="5" t="n">
        <v>21.26</v>
      </c>
      <c r="X49" s="5" t="n">
        <v>21.26</v>
      </c>
      <c r="Y49" s="2" t="inlineStr">
        <is>
          <t>Point</t>
        </is>
      </c>
      <c r="Z49" s="2" t="inlineStr">
        <is>
          <t>Carried forward</t>
        </is>
      </c>
      <c r="AA49" s="2" t="inlineStr">
        <is>
          <t>USD</t>
        </is>
      </c>
      <c r="AB49" s="2" t="inlineStr">
        <is>
          <t>Not stated</t>
        </is>
      </c>
      <c r="AC49" s="2" t="n"/>
      <c r="AD49" s="2" t="inlineStr">
        <is>
          <t>Fin: not stated; DD required: substantive (60 days); DD open: yes; Excl: requested (60 days)</t>
        </is>
      </c>
      <c r="AE49" s="2" t="n"/>
      <c r="AF49" s="2" t="n"/>
      <c r="AG49" s="2" t="n"/>
      <c r="AH49" s="2" t="n"/>
      <c r="AI49" s="2" t="n"/>
      <c r="AJ49" s="2" t="n"/>
      <c r="AK49" s="2" t="n">
        <v>30</v>
      </c>
      <c r="AL49" s="2" t="inlineStr">
        <is>
          <t>withdraws R047; reverts to R030; closed by R057</t>
        </is>
      </c>
      <c r="AM49" s="2" t="inlineStr">
        <is>
          <t>PWRR-G&amp;W</t>
        </is>
      </c>
    </row>
    <row r="50" ht="118" customHeight="1">
      <c r="A50" s="2" t="n">
        <v>49</v>
      </c>
      <c r="B50" s="2" t="inlineStr">
        <is>
          <t>08/02/2016</t>
        </is>
      </c>
      <c r="C50" s="2" t="inlineStr">
        <is>
          <t>Party D (financial buyer)</t>
        </is>
      </c>
      <c r="D50" s="2" t="inlineStr">
        <is>
          <t>Participation paused</t>
        </is>
      </c>
      <c r="E50" s="2" t="n">
        <v>1</v>
      </c>
      <c r="F50" s="2" t="inlineStr">
        <is>
          <t>3</t>
        </is>
      </c>
      <c r="G50" s="2" t="inlineStr">
        <is>
          <t>Financial</t>
        </is>
      </c>
      <c r="H50" s="2" t="inlineStr">
        <is>
          <t>D declined to shorten its 30-day diligence period and requested that the Company commit not to sign with another bidder during it; the Company declined (given the active interest of Party B and G&amp;W); D then indicated it would not proceed with further due diligence “at that time”. Treated as the bidder’s own stated temporary stop (a pause is not an exit); closed at signing (R056).</t>
        </is>
      </c>
      <c r="I50" s="2" t="n"/>
      <c r="J50" s="2" t="n"/>
      <c r="K50" s="2" t="inlineStr">
        <is>
          <t>Stated. “Party D declined to shorten its due diligence period and requested that the Company commit that it would not enter into an agreement with another bidder during its 30-day due diligence period. In light of the active interest of Party B and G&amp;W, the Company declined to make such a commitment, at which point Party D indicated that it would not proceed with further due diligence at that time.” (P-024, p.30).</t>
        </is>
      </c>
      <c r="L50" s="3" t="inlineStr">
        <is>
          <t>P-024</t>
        </is>
      </c>
      <c r="M50" s="2" t="inlineStr">
        <is>
          <t>Q5; Q6</t>
        </is>
      </c>
      <c r="N50" s="2" t="n"/>
      <c r="O50" s="2" t="inlineStr">
        <is>
          <t>R049</t>
        </is>
      </c>
      <c r="P50" s="2" t="inlineStr">
        <is>
          <t>Yes</t>
        </is>
      </c>
      <c r="Q50" s="2" t="n">
        <v>1</v>
      </c>
      <c r="R50" s="4" t="n">
        <v>42584</v>
      </c>
      <c r="S50" s="4" t="n">
        <v>42584</v>
      </c>
      <c r="T50" s="4" t="n">
        <v>42584</v>
      </c>
      <c r="U50" s="2" t="inlineStr">
        <is>
          <t>Reported day</t>
        </is>
      </c>
      <c r="V50" s="2" t="inlineStr">
        <is>
          <t>Reported</t>
        </is>
      </c>
      <c r="W50" s="2" t="n"/>
      <c r="X50" s="2" t="n"/>
      <c r="Y50" s="2" t="n"/>
      <c r="Z50" s="2" t="n"/>
      <c r="AA50" s="2" t="n"/>
      <c r="AB50" s="2" t="n"/>
      <c r="AC50" s="2" t="n"/>
      <c r="AD50" s="2" t="n"/>
      <c r="AE50" s="2" t="n"/>
      <c r="AF50" s="2" t="n"/>
      <c r="AG50" s="2" t="n"/>
      <c r="AH50" s="2" t="inlineStr">
        <is>
          <t>Bidder</t>
        </is>
      </c>
      <c r="AI50" s="2" t="inlineStr">
        <is>
          <t>Terms or process</t>
        </is>
      </c>
      <c r="AJ50" s="2" t="inlineStr">
        <is>
          <t>Stated</t>
        </is>
      </c>
      <c r="AK50" s="2" t="n">
        <v>30</v>
      </c>
      <c r="AL50" s="2" t="inlineStr">
        <is>
          <t>see R046; closed by R056</t>
        </is>
      </c>
      <c r="AM50" s="2" t="inlineStr">
        <is>
          <t>PWRR-G&amp;W</t>
        </is>
      </c>
    </row>
    <row r="51" ht="118" customHeight="1">
      <c r="A51" s="2" t="n">
        <v>50</v>
      </c>
      <c r="B51" s="2" t="inlineStr">
        <is>
          <t>08/04/2016</t>
        </is>
      </c>
      <c r="C51" s="2" t="inlineStr">
        <is>
          <t>Transaction Committee</t>
        </is>
      </c>
      <c r="D51" s="2" t="inlineStr">
        <is>
          <t>Target decision</t>
        </is>
      </c>
      <c r="E51" s="2" t="n">
        <v>1</v>
      </c>
      <c r="F51" s="2" t="inlineStr">
        <is>
          <t>3</t>
        </is>
      </c>
      <c r="G51" s="2" t="n"/>
      <c r="H51" s="2" t="inlineStr">
        <is>
          <t>Preferred-bidder decision: continue diligence and negotiations with both G&amp;W and Party B, but given Party B’s higher price, prioritize Party B and complete the merger-agreement negotiation with Party B. Contemporaneous on-site diligence by both bidders ran 07/27–08/11/2016.</t>
        </is>
      </c>
      <c r="I51" s="2" t="n"/>
      <c r="J51" s="2" t="n"/>
      <c r="K51" s="2" t="inlineStr">
        <is>
          <t>Stated. “the Transaction Committee directed the management team and representatives of each of BMO and Hinckley Allen to continue diligence and negotiations with both G&amp;W and Party B, but given the higher price offered by Party B, to prioritize Party B and proceed to complete the negotiation of the merger agreement with Party B.” (P-026, p.31).</t>
        </is>
      </c>
      <c r="L51" s="3" t="inlineStr">
        <is>
          <t>P-026</t>
        </is>
      </c>
      <c r="M51" s="2" t="inlineStr">
        <is>
          <t>Q1</t>
        </is>
      </c>
      <c r="N51" s="2" t="n"/>
      <c r="O51" s="2" t="inlineStr">
        <is>
          <t>R050</t>
        </is>
      </c>
      <c r="P51" s="2" t="inlineStr">
        <is>
          <t>Yes</t>
        </is>
      </c>
      <c r="Q51" s="2" t="n"/>
      <c r="R51" s="4" t="n">
        <v>42586</v>
      </c>
      <c r="S51" s="4" t="n">
        <v>42586</v>
      </c>
      <c r="T51" s="4" t="n">
        <v>42586</v>
      </c>
      <c r="U51" s="2" t="inlineStr">
        <is>
          <t>Reported day</t>
        </is>
      </c>
      <c r="V51" s="2" t="inlineStr">
        <is>
          <t>Reported</t>
        </is>
      </c>
      <c r="W51" s="2" t="n"/>
      <c r="X51" s="2" t="n"/>
      <c r="Y51" s="2" t="n"/>
      <c r="Z51" s="2" t="n"/>
      <c r="AA51" s="2" t="n"/>
      <c r="AB51" s="2" t="n"/>
      <c r="AC51" s="2" t="n"/>
      <c r="AD51" s="2" t="n"/>
      <c r="AE51" s="2" t="n"/>
      <c r="AF51" s="2" t="n"/>
      <c r="AG51" s="2" t="n"/>
      <c r="AH51" s="2" t="n"/>
      <c r="AI51" s="2" t="n"/>
      <c r="AJ51" s="2" t="n"/>
      <c r="AK51" s="2" t="n">
        <v>31</v>
      </c>
      <c r="AL51" s="2" t="inlineStr">
        <is>
          <t>R051; R052</t>
        </is>
      </c>
      <c r="AM51" s="2" t="inlineStr">
        <is>
          <t>PWRR-G&amp;W</t>
        </is>
      </c>
    </row>
    <row r="52" ht="118" customHeight="1">
      <c r="A52" s="2" t="n">
        <v>51</v>
      </c>
      <c r="B52" s="2" t="inlineStr">
        <is>
          <t>08/04/2016</t>
        </is>
      </c>
      <c r="C52" s="2" t="inlineStr">
        <is>
          <t>Party B (potential strategic buyer)</t>
        </is>
      </c>
      <c r="D52" s="2" t="inlineStr">
        <is>
          <t>Bid reaffirmed</t>
        </is>
      </c>
      <c r="E52" s="2" t="n">
        <v>1</v>
      </c>
      <c r="F52" s="2" t="inlineStr">
        <is>
          <t>3</t>
        </is>
      </c>
      <c r="G52" s="2" t="inlineStr">
        <is>
          <t>Strategic</t>
        </is>
      </c>
      <c r="H52" s="2" t="inlineStr">
        <is>
          <t>Reaffirmed by: returned draft — Party B’s legal counsel provided a revised merger agreement draft; $24.00 carried forward (not restated). Flagged for review (late reconfirmation).</t>
        </is>
      </c>
      <c r="I52" s="2" t="inlineStr">
        <is>
          <t>Formal</t>
        </is>
      </c>
      <c r="J52" s="2" t="inlineStr">
        <is>
          <t>Light</t>
        </is>
      </c>
      <c r="K52" s="2" t="inlineStr">
        <is>
          <t>Late reconfirmation per the three-part test. (a) Target moved to finalize with B: “to prioritize Party B and proceed to complete the negotiation of the merger agreement with Party B” (P-026, p.31). (b) B’s latest priced row (R029) sits in Round 2 (Not final). (c) Bidder-side act: “On August 4, 2016, legal counsel for Party B provided a revised draft of the merger agreement” (P-027, p.31). $24.00 carried forward; Formal (returned draft, signal 1); Light (only an expedited diligence review attached); DD open: yes (on-site diligence ran 07/27–08/11, P-026, p.31).</t>
        </is>
      </c>
      <c r="L52" s="3" t="inlineStr">
        <is>
          <t>P-026; P-027; P-016</t>
        </is>
      </c>
      <c r="M52" s="2" t="inlineStr">
        <is>
          <t>Q6</t>
        </is>
      </c>
      <c r="N52" s="2" t="n"/>
      <c r="O52" s="2" t="inlineStr">
        <is>
          <t>R051</t>
        </is>
      </c>
      <c r="P52" s="2" t="inlineStr">
        <is>
          <t>Yes</t>
        </is>
      </c>
      <c r="Q52" s="2" t="n">
        <v>1</v>
      </c>
      <c r="R52" s="4" t="n">
        <v>42586</v>
      </c>
      <c r="S52" s="4" t="n">
        <v>42586</v>
      </c>
      <c r="T52" s="4" t="n">
        <v>42586</v>
      </c>
      <c r="U52" s="2" t="inlineStr">
        <is>
          <t>Reported day</t>
        </is>
      </c>
      <c r="V52" s="2" t="inlineStr">
        <is>
          <t>Reported</t>
        </is>
      </c>
      <c r="W52" s="5" t="n">
        <v>24</v>
      </c>
      <c r="X52" s="5" t="n">
        <v>24</v>
      </c>
      <c r="Y52" s="2" t="inlineStr">
        <is>
          <t>Point</t>
        </is>
      </c>
      <c r="Z52" s="2" t="inlineStr">
        <is>
          <t>Carried forward</t>
        </is>
      </c>
      <c r="AA52" s="2" t="inlineStr">
        <is>
          <t>USD</t>
        </is>
      </c>
      <c r="AB52" s="2" t="inlineStr">
        <is>
          <t>Not stated</t>
        </is>
      </c>
      <c r="AC52" s="2" t="n"/>
      <c r="AD52" s="2" t="inlineStr">
        <is>
          <t>Fin: not stated; DD required: confirmatory; DD open: yes; Excl: none</t>
        </is>
      </c>
      <c r="AE52" s="2" t="n"/>
      <c r="AF52" s="2" t="n"/>
      <c r="AG52" s="2" t="n"/>
      <c r="AH52" s="2" t="n"/>
      <c r="AI52" s="2" t="n"/>
      <c r="AJ52" s="2" t="n"/>
      <c r="AK52" s="2" t="n">
        <v>31</v>
      </c>
      <c r="AL52" s="2" t="inlineStr">
        <is>
          <t>reaffirms R029; R050; superseded by R055</t>
        </is>
      </c>
      <c r="AM52" s="2" t="inlineStr">
        <is>
          <t>PWRR-G&amp;W</t>
        </is>
      </c>
    </row>
    <row r="53" ht="118" customHeight="1">
      <c r="A53" s="2" t="n">
        <v>52</v>
      </c>
      <c r="B53" s="2" t="inlineStr">
        <is>
          <t>08/09/2016</t>
        </is>
      </c>
      <c r="C53" s="2" t="inlineStr">
        <is>
          <t>Transaction Committee / BMO; G&amp;W</t>
        </is>
      </c>
      <c r="D53" s="2" t="inlineStr">
        <is>
          <t>Material process update</t>
        </is>
      </c>
      <c r="E53" s="2" t="n">
        <v>1</v>
      </c>
      <c r="F53" s="2" t="inlineStr">
        <is>
          <t>3</t>
        </is>
      </c>
      <c r="G53" s="2" t="n"/>
      <c r="H53" s="2" t="inlineStr">
        <is>
          <t>Committee directed BMO to inform G&amp;W that the Company intended to enter a merger agreement with another bidder; G&amp;W requested to continue its due diligence (including physical diligence on 08/10 and 08/11) to potentially facilitate an improved offer, which was granted. Consequential for the outcome: G&amp;W then improved to $25.00 (R054).</t>
        </is>
      </c>
      <c r="I53" s="2" t="n"/>
      <c r="J53" s="2" t="n"/>
      <c r="K53" s="2" t="inlineStr">
        <is>
          <t>Stated. “the Transaction Committee directed representatives of BMO to inform G&amp;W that the Company intended to enter into a merger agreement with another bidder. G&amp;W requested that it be allowed to continue its due diligence, including physical due diligence on August 10 and August 11, 2016, to potentially facilitate an improved offer, which request was granted.” (P-027, p.31).</t>
        </is>
      </c>
      <c r="L53" s="3" t="inlineStr">
        <is>
          <t>P-027</t>
        </is>
      </c>
      <c r="M53" s="2" t="inlineStr"/>
      <c r="N53" s="2" t="n"/>
      <c r="O53" s="2" t="inlineStr">
        <is>
          <t>R052</t>
        </is>
      </c>
      <c r="P53" s="2" t="inlineStr">
        <is>
          <t>Yes</t>
        </is>
      </c>
      <c r="Q53" s="2" t="n"/>
      <c r="R53" s="4" t="n">
        <v>42591</v>
      </c>
      <c r="S53" s="4" t="n">
        <v>42591</v>
      </c>
      <c r="T53" s="4" t="n">
        <v>42591</v>
      </c>
      <c r="U53" s="2" t="inlineStr">
        <is>
          <t>Reported day</t>
        </is>
      </c>
      <c r="V53" s="2" t="inlineStr">
        <is>
          <t>Reported</t>
        </is>
      </c>
      <c r="W53" s="2" t="n"/>
      <c r="X53" s="2" t="n"/>
      <c r="Y53" s="2" t="n"/>
      <c r="Z53" s="2" t="n"/>
      <c r="AA53" s="2" t="n"/>
      <c r="AB53" s="2" t="n"/>
      <c r="AC53" s="2" t="n"/>
      <c r="AD53" s="2" t="n"/>
      <c r="AE53" s="2" t="n"/>
      <c r="AF53" s="2" t="n"/>
      <c r="AG53" s="2" t="n"/>
      <c r="AH53" s="2" t="n"/>
      <c r="AI53" s="2" t="n"/>
      <c r="AJ53" s="2" t="n"/>
      <c r="AK53" s="2" t="n">
        <v>31</v>
      </c>
      <c r="AL53" s="2" t="inlineStr">
        <is>
          <t>R054</t>
        </is>
      </c>
      <c r="AM53" s="2" t="inlineStr">
        <is>
          <t>PWRR-G&amp;W</t>
        </is>
      </c>
    </row>
    <row r="54" ht="118" customHeight="1">
      <c r="A54" s="2" t="n">
        <v>53</v>
      </c>
      <c r="B54" s="2" t="inlineStr">
        <is>
          <t>08/10/2016</t>
        </is>
      </c>
      <c r="C54" s="2" t="inlineStr">
        <is>
          <t>Simpson Thacher &amp; Bartlett LLP, legal counsel to G&amp;W</t>
        </is>
      </c>
      <c r="D54" s="2" t="inlineStr">
        <is>
          <t>Adviser service observed</t>
        </is>
      </c>
      <c r="E54" s="2" t="n">
        <v>1</v>
      </c>
      <c r="F54" s="2" t="inlineStr">
        <is>
          <t>3</t>
        </is>
      </c>
      <c r="G54" s="2" t="n"/>
      <c r="H54" s="2" t="inlineStr">
        <is>
          <t>G&amp;W’s legal counsel; services first observed in discussions with Hinckley Allen on the draft merger agreement and voting agreement provided to G&amp;W on 08/03/2016; negotiated and finalized the transaction documents. Engagement date not disclosed.</t>
        </is>
      </c>
      <c r="I54" s="2" t="n"/>
      <c r="J54" s="2" t="n"/>
      <c r="K54" s="2" t="inlineStr">
        <is>
          <t>Stated (service observed). “On August 10, 2016, representatives of Hinckley Allen and Simpson Thacher &amp; Bartlett LLP (which we refer to as “Simpson Thacher”), G&amp;W’s legal counsel, discussed various provisions of the draft merger agreement and voting agreement that had been provided to G&amp;W on August 3, 2016” (P-027, p.31). Convention: no engagement date shown; the earliest supported service date is used.</t>
        </is>
      </c>
      <c r="L54" s="3" t="inlineStr">
        <is>
          <t>P-027; P-028; P-033</t>
        </is>
      </c>
      <c r="M54" s="2" t="inlineStr"/>
      <c r="N54" s="2" t="n"/>
      <c r="O54" s="2" t="inlineStr">
        <is>
          <t>R053</t>
        </is>
      </c>
      <c r="P54" s="2" t="inlineStr">
        <is>
          <t>Yes</t>
        </is>
      </c>
      <c r="Q54" s="2" t="n"/>
      <c r="R54" s="4" t="n">
        <v>42592</v>
      </c>
      <c r="S54" s="4" t="n">
        <v>42592</v>
      </c>
      <c r="T54" s="4" t="n">
        <v>42592</v>
      </c>
      <c r="U54" s="2" t="inlineStr">
        <is>
          <t>Reported day</t>
        </is>
      </c>
      <c r="V54" s="2" t="inlineStr">
        <is>
          <t>Reported</t>
        </is>
      </c>
      <c r="W54" s="2" t="n"/>
      <c r="X54" s="2" t="n"/>
      <c r="Y54" s="2" t="n"/>
      <c r="Z54" s="2" t="n"/>
      <c r="AA54" s="2" t="n"/>
      <c r="AB54" s="2" t="n"/>
      <c r="AC54" s="2" t="n"/>
      <c r="AD54" s="2" t="n"/>
      <c r="AE54" s="2" t="n"/>
      <c r="AF54" s="2" t="n"/>
      <c r="AG54" s="2" t="n"/>
      <c r="AH54" s="2" t="n"/>
      <c r="AI54" s="2" t="n"/>
      <c r="AJ54" s="2" t="n"/>
      <c r="AK54" s="2" t="n">
        <v>31</v>
      </c>
      <c r="AL54" s="2" t="inlineStr">
        <is>
          <t>R058</t>
        </is>
      </c>
      <c r="AM54" s="2" t="inlineStr">
        <is>
          <t>PWRR-G&amp;W</t>
        </is>
      </c>
    </row>
    <row r="55" ht="118" customHeight="1">
      <c r="A55" s="2" t="n">
        <v>54</v>
      </c>
      <c r="B55" s="2" t="inlineStr">
        <is>
          <t>08/12/2016</t>
        </is>
      </c>
      <c r="C55" s="2" t="inlineStr">
        <is>
          <t>G&amp;W (Genesee &amp; Wyoming Inc.)</t>
        </is>
      </c>
      <c r="D55" s="2" t="inlineStr">
        <is>
          <t>Bid</t>
        </is>
      </c>
      <c r="E55" s="2" t="n">
        <v>1</v>
      </c>
      <c r="F55" s="2" t="inlineStr">
        <is>
          <t>3</t>
        </is>
      </c>
      <c r="G55" s="2" t="inlineStr">
        <is>
          <t>Strategic</t>
        </is>
      </c>
      <c r="H55" s="2" t="inlineStr">
        <is>
          <t>Revised LOI: $25.00 per share in cash; previously proposed CVR excluded; mark-ups of the merger agreement and voting agreement; offer to expire at 6:00 p.m. on the following day (08/13/2016). Submitted after BMO told G&amp;W the Company intended to sign with another bidder (R052).</t>
        </is>
      </c>
      <c r="I55" s="2" t="inlineStr">
        <is>
          <t>Formal</t>
        </is>
      </c>
      <c r="J55" s="2" t="inlineStr">
        <is>
          <t>Light</t>
        </is>
      </c>
      <c r="K55" s="2" t="inlineStr">
        <is>
          <t>Stated. “G&amp;W submitted a revised LOI to acquire the Company for a price of $25.00 per share in cash, which excluded the previously proposed CVR, together with mark-ups of the merger agreement and the voting agreement. G&amp;W’s LOI further indicated that the offer would expire at 6:00 p.m. on the following day.” (P-028, p.31). Formality Formal (returned mark-ups and price set during definitive negotiation); conditions Light (no diligence condition attached; physical diligence completed 08/11, P-027, p.31; priced all in cash).</t>
        </is>
      </c>
      <c r="L55" s="3" t="inlineStr">
        <is>
          <t>P-027; P-028</t>
        </is>
      </c>
      <c r="M55" s="2" t="inlineStr">
        <is>
          <t>Q6</t>
        </is>
      </c>
      <c r="N55" s="2" t="n"/>
      <c r="O55" s="2" t="inlineStr">
        <is>
          <t>R054</t>
        </is>
      </c>
      <c r="P55" s="2" t="inlineStr">
        <is>
          <t>Yes</t>
        </is>
      </c>
      <c r="Q55" s="2" t="n">
        <v>1</v>
      </c>
      <c r="R55" s="4" t="n">
        <v>42594</v>
      </c>
      <c r="S55" s="4" t="n">
        <v>42594</v>
      </c>
      <c r="T55" s="4" t="n">
        <v>42594</v>
      </c>
      <c r="U55" s="2" t="inlineStr">
        <is>
          <t>Reported day</t>
        </is>
      </c>
      <c r="V55" s="2" t="inlineStr">
        <is>
          <t>Reported</t>
        </is>
      </c>
      <c r="W55" s="5" t="n">
        <v>25</v>
      </c>
      <c r="X55" s="5" t="n">
        <v>25</v>
      </c>
      <c r="Y55" s="2" t="inlineStr">
        <is>
          <t>Point</t>
        </is>
      </c>
      <c r="Z55" s="2" t="inlineStr">
        <is>
          <t>Stated</t>
        </is>
      </c>
      <c r="AA55" s="2" t="inlineStr">
        <is>
          <t>USD</t>
        </is>
      </c>
      <c r="AB55" s="2" t="inlineStr">
        <is>
          <t>Yes</t>
        </is>
      </c>
      <c r="AC55" s="5" t="n">
        <v>25</v>
      </c>
      <c r="AD55" s="2" t="inlineStr">
        <is>
          <t>Fin: not stated; DD required: none; DD open: no; Excl: none</t>
        </is>
      </c>
      <c r="AE55" s="2" t="n"/>
      <c r="AF55" s="2" t="n"/>
      <c r="AG55" s="2" t="n"/>
      <c r="AH55" s="2" t="n"/>
      <c r="AI55" s="2" t="n"/>
      <c r="AJ55" s="2" t="n"/>
      <c r="AK55" s="2" t="n">
        <v>31</v>
      </c>
      <c r="AL55" s="2" t="inlineStr">
        <is>
          <t>revises R037; closed by R058</t>
        </is>
      </c>
      <c r="AM55" s="2" t="inlineStr">
        <is>
          <t>PWRR-G&amp;W</t>
        </is>
      </c>
    </row>
    <row r="56" ht="118" customHeight="1">
      <c r="A56" s="2" t="n">
        <v>55</v>
      </c>
      <c r="B56" s="2" t="inlineStr">
        <is>
          <t>08/12/2016</t>
        </is>
      </c>
      <c r="C56" s="2" t="inlineStr">
        <is>
          <t>Party B (potential strategic buyer)</t>
        </is>
      </c>
      <c r="D56" s="2" t="inlineStr">
        <is>
          <t>Not selected at signing</t>
        </is>
      </c>
      <c r="E56" s="2" t="n">
        <v>1</v>
      </c>
      <c r="F56" s="2" t="inlineStr">
        <is>
          <t>3</t>
        </is>
      </c>
      <c r="G56" s="2" t="inlineStr">
        <is>
          <t>Strategic</t>
        </is>
      </c>
      <c r="H56" s="2" t="inlineStr">
        <is>
          <t>Still bidding when the Board chose G&amp;W: at the Board’s request BMO asked Party B whether it would increase its price and Party B declined. Exit reason: Would not improve earlier offer (asked to improve and declined); agency remains with the target’s selection.</t>
        </is>
      </c>
      <c r="I56" s="2" t="n"/>
      <c r="J56" s="2" t="n"/>
      <c r="K56" s="2" t="inlineStr">
        <is>
          <t>Stated. “At the request of the Board, representatives of BMO then contacted Party B to determine if it would increase its offer price. Party B indicated that it would not increase its price.” (P-031, p.32). “The Board determined that the G&amp;W offer represented the superior proposal.” (P-032, p.32).</t>
        </is>
      </c>
      <c r="L56" s="3" t="inlineStr">
        <is>
          <t>P-031; P-032</t>
        </is>
      </c>
      <c r="M56" s="2" t="inlineStr">
        <is>
          <t>Q5</t>
        </is>
      </c>
      <c r="N56" s="2" t="n"/>
      <c r="O56" s="2" t="inlineStr">
        <is>
          <t>R055</t>
        </is>
      </c>
      <c r="P56" s="2" t="inlineStr">
        <is>
          <t>Yes</t>
        </is>
      </c>
      <c r="Q56" s="2" t="n">
        <v>1</v>
      </c>
      <c r="R56" s="4" t="n">
        <v>42594</v>
      </c>
      <c r="S56" s="4" t="n">
        <v>42594</v>
      </c>
      <c r="T56" s="4" t="n">
        <v>42594</v>
      </c>
      <c r="U56" s="2" t="inlineStr">
        <is>
          <t>Reported day</t>
        </is>
      </c>
      <c r="V56" s="2" t="inlineStr">
        <is>
          <t>Reported</t>
        </is>
      </c>
      <c r="W56" s="2" t="n"/>
      <c r="X56" s="2" t="n"/>
      <c r="Y56" s="2" t="n"/>
      <c r="Z56" s="2" t="n"/>
      <c r="AA56" s="2" t="n"/>
      <c r="AB56" s="2" t="n"/>
      <c r="AC56" s="2" t="n"/>
      <c r="AD56" s="2" t="n"/>
      <c r="AE56" s="2" t="n"/>
      <c r="AF56" s="2" t="n"/>
      <c r="AG56" s="2" t="n"/>
      <c r="AH56" s="2" t="inlineStr">
        <is>
          <t>Target</t>
        </is>
      </c>
      <c r="AI56" s="2" t="inlineStr">
        <is>
          <t>Would not improve earlier offer</t>
        </is>
      </c>
      <c r="AJ56" s="2" t="inlineStr">
        <is>
          <t>Stated</t>
        </is>
      </c>
      <c r="AK56" s="2" t="n">
        <v>32</v>
      </c>
      <c r="AL56" s="2" t="inlineStr">
        <is>
          <t>R051; R058</t>
        </is>
      </c>
      <c r="AM56" s="2" t="inlineStr">
        <is>
          <t>PWRR-G&amp;W</t>
        </is>
      </c>
    </row>
    <row r="57" ht="118" customHeight="1">
      <c r="A57" s="2" t="n">
        <v>56</v>
      </c>
      <c r="B57" s="2" t="inlineStr">
        <is>
          <t>By 08/12/2016</t>
        </is>
      </c>
      <c r="C57" s="2" t="inlineStr">
        <is>
          <t>Party D (financial buyer)</t>
        </is>
      </c>
      <c r="D57" s="2" t="inlineStr">
        <is>
          <t>Not selected at signing</t>
        </is>
      </c>
      <c r="E57" s="2" t="n">
        <v>1</v>
      </c>
      <c r="F57" s="2" t="inlineStr">
        <is>
          <t>3</t>
        </is>
      </c>
      <c r="G57" s="2" t="inlineStr">
        <is>
          <t>Financial</t>
        </is>
      </c>
      <c r="H57" s="2" t="inlineStr">
        <is>
          <t>Inferred: silent — last reported activity was D’s 08/02/2016 pause (R049); the filing never mentions D again; closed at signing as a bidder still live in the process. No notice to D is reported; no invented motive or exit.</t>
        </is>
      </c>
      <c r="I57" s="2" t="n"/>
      <c r="J57" s="2" t="n"/>
      <c r="K57" s="2" t="inlineStr">
        <is>
          <t>Inferred: silent. Last appearance: “Party D indicated that it would not proceed with further due diligence at that time” (P-024, p.30); the next identified transition is the 08/12/2016 signing (P-033, p.32), with only G&amp;W named as acquirer. Closing convention (section 10.2).</t>
        </is>
      </c>
      <c r="L57" s="3" t="inlineStr">
        <is>
          <t>P-024; P-033</t>
        </is>
      </c>
      <c r="M57" s="2" t="inlineStr">
        <is>
          <t>Q5</t>
        </is>
      </c>
      <c r="N57" s="2" t="n"/>
      <c r="O57" s="2" t="inlineStr">
        <is>
          <t>R056</t>
        </is>
      </c>
      <c r="P57" s="2" t="inlineStr">
        <is>
          <t>Yes</t>
        </is>
      </c>
      <c r="Q57" s="2" t="n">
        <v>1</v>
      </c>
      <c r="R57" s="2" t="n"/>
      <c r="S57" s="4" t="n">
        <v>42594</v>
      </c>
      <c r="T57" s="4" t="n">
        <v>42594</v>
      </c>
      <c r="U57" s="2" t="inlineStr">
        <is>
          <t>Relative only</t>
        </is>
      </c>
      <c r="V57" s="2" t="inlineStr">
        <is>
          <t>Assigned: bound</t>
        </is>
      </c>
      <c r="W57" s="2" t="n"/>
      <c r="X57" s="2" t="n"/>
      <c r="Y57" s="2" t="n"/>
      <c r="Z57" s="2" t="n"/>
      <c r="AA57" s="2" t="n"/>
      <c r="AB57" s="2" t="n"/>
      <c r="AC57" s="2" t="n"/>
      <c r="AD57" s="2" t="n"/>
      <c r="AE57" s="2" t="n"/>
      <c r="AF57" s="2" t="n"/>
      <c r="AG57" s="2" t="n"/>
      <c r="AH57" s="2" t="inlineStr">
        <is>
          <t>Unknown</t>
        </is>
      </c>
      <c r="AI57" s="2" t="inlineStr">
        <is>
          <t>Not stated</t>
        </is>
      </c>
      <c r="AJ57" s="2" t="inlineStr">
        <is>
          <t>Inferred: silent</t>
        </is>
      </c>
      <c r="AK57" s="2" t="n">
        <v>32</v>
      </c>
      <c r="AL57" s="2" t="inlineStr">
        <is>
          <t>R049; R058</t>
        </is>
      </c>
      <c r="AM57" s="2" t="inlineStr">
        <is>
          <t>PWRR-G&amp;W</t>
        </is>
      </c>
    </row>
    <row r="58" ht="118" customHeight="1">
      <c r="A58" s="2" t="n">
        <v>57</v>
      </c>
      <c r="B58" s="2" t="inlineStr">
        <is>
          <t>By 08/12/2016</t>
        </is>
      </c>
      <c r="C58" s="2" t="inlineStr">
        <is>
          <t>Party E (strategic buyer)</t>
        </is>
      </c>
      <c r="D58" s="2" t="inlineStr">
        <is>
          <t>Not selected at signing</t>
        </is>
      </c>
      <c r="E58" s="2" t="n">
        <v>1</v>
      </c>
      <c r="F58" s="2" t="inlineStr">
        <is>
          <t>3</t>
        </is>
      </c>
      <c r="G58" s="2" t="inlineStr">
        <is>
          <t>Strategic</t>
        </is>
      </c>
      <c r="H58" s="2" t="inlineStr">
        <is>
          <t>Inferred: silent — last reported activity was E’s 08/02/2016 reversion to its $21.26 proposal (R048); the filing never mentions E again; closed at signing as a bidder still live in the process. No notice to E is reported.</t>
        </is>
      </c>
      <c r="I58" s="2" t="n"/>
      <c r="J58" s="2" t="n"/>
      <c r="K58" s="2" t="inlineStr">
        <is>
          <t>Inferred: silent. Last appearance: “Party E withdrew its revised proposal on August 2, 2016 (but confirmed its original proposal of $21.26 per share)” (P-024, p.30); the next identified transition is the 08/12/2016 signing (P-033, p.32), with only G&amp;W named as acquirer. Closing convention (section 10.2).</t>
        </is>
      </c>
      <c r="L58" s="3" t="inlineStr">
        <is>
          <t>P-024; P-033</t>
        </is>
      </c>
      <c r="M58" s="2" t="inlineStr">
        <is>
          <t>Q5</t>
        </is>
      </c>
      <c r="N58" s="2" t="n"/>
      <c r="O58" s="2" t="inlineStr">
        <is>
          <t>R057</t>
        </is>
      </c>
      <c r="P58" s="2" t="inlineStr">
        <is>
          <t>Yes</t>
        </is>
      </c>
      <c r="Q58" s="2" t="n">
        <v>1</v>
      </c>
      <c r="R58" s="2" t="n"/>
      <c r="S58" s="4" t="n">
        <v>42594</v>
      </c>
      <c r="T58" s="4" t="n">
        <v>42594</v>
      </c>
      <c r="U58" s="2" t="inlineStr">
        <is>
          <t>Relative only</t>
        </is>
      </c>
      <c r="V58" s="2" t="inlineStr">
        <is>
          <t>Assigned: bound</t>
        </is>
      </c>
      <c r="W58" s="2" t="n"/>
      <c r="X58" s="2" t="n"/>
      <c r="Y58" s="2" t="n"/>
      <c r="Z58" s="2" t="n"/>
      <c r="AA58" s="2" t="n"/>
      <c r="AB58" s="2" t="n"/>
      <c r="AC58" s="2" t="n"/>
      <c r="AD58" s="2" t="n"/>
      <c r="AE58" s="2" t="n"/>
      <c r="AF58" s="2" t="n"/>
      <c r="AG58" s="2" t="n"/>
      <c r="AH58" s="2" t="inlineStr">
        <is>
          <t>Unknown</t>
        </is>
      </c>
      <c r="AI58" s="2" t="inlineStr">
        <is>
          <t>Not stated</t>
        </is>
      </c>
      <c r="AJ58" s="2" t="inlineStr">
        <is>
          <t>Inferred: silent</t>
        </is>
      </c>
      <c r="AK58" s="2" t="n">
        <v>32</v>
      </c>
      <c r="AL58" s="2" t="inlineStr">
        <is>
          <t>R048; R058</t>
        </is>
      </c>
      <c r="AM58" s="2" t="inlineStr">
        <is>
          <t>PWRR-G&amp;W</t>
        </is>
      </c>
    </row>
    <row r="59" ht="118" customHeight="1">
      <c r="A59" s="2" t="n">
        <v>58</v>
      </c>
      <c r="B59" s="2" t="inlineStr">
        <is>
          <t>08/12/2016</t>
        </is>
      </c>
      <c r="C59" s="2" t="inlineStr">
        <is>
          <t>Company and G&amp;W (Pullman Acquisition Sub Inc.)</t>
        </is>
      </c>
      <c r="D59" s="2" t="inlineStr">
        <is>
          <t>Merger agreement signed</t>
        </is>
      </c>
      <c r="E59" s="2" t="n">
        <v>1</v>
      </c>
      <c r="F59" s="2" t="inlineStr">
        <is>
          <t>3</t>
        </is>
      </c>
      <c r="G59" s="2" t="inlineStr">
        <is>
          <t>Strategic</t>
        </is>
      </c>
      <c r="H59" s="2" t="inlineStr">
        <is>
          <t>Agreed consideration: $25.00 in cash per share of common stock; each preferred share deemed converted (100-for-1) into 100 common shares plus accrued/unpaid dividends (X-008, p.50; X-015, p.27). Merger Sub merges into the Company, which survives as a wholly-owned G&amp;W subsidiary. Eder Trusts voting agreement executed (842,742 common shares / 500 preferred; X-013, p.72). Termination fee $3,785,000 (≈3% of transaction value; G&amp;W’s draft reduced from 3.85%) (X-010, p.55). Outside date 12/31/2016, or 02/28/2017 if only STB approval remains (X-016, p.8). Closing conditions include class votes, no injunction, and STB approval or voting-trust comfort (X-009, p.52). No go-shop — non-solicitation with a fiduciary out and matching rights. Board approved (Director Smith recused) after BMO’s oral fairness opinion, confirmed in writing 08/12/2016 (P-032, p.32). Signing is not a new bid: price/formality cells left blank.</t>
        </is>
      </c>
      <c r="I59" s="2" t="n"/>
      <c r="J59" s="2" t="n"/>
      <c r="K59" s="2" t="inlineStr">
        <is>
          <t>Stated. “Shortly thereafter, Hinckley Allen and Simpson Thacher finalized the transaction documents and the Company and G&amp;W executed the merger agreement, and the Company, G&amp;W and the Eder Trusts executed the voting agreement.” (P-033, p.32). Consideration and terms per X-008; X-010; X-013; X-016.</t>
        </is>
      </c>
      <c r="L59" s="3" t="inlineStr">
        <is>
          <t>P-032; P-033; X-008; X-009; X-010; X-013; X-015; X-016</t>
        </is>
      </c>
      <c r="M59" s="2" t="inlineStr">
        <is>
          <t>Q8</t>
        </is>
      </c>
      <c r="N59" s="2" t="n"/>
      <c r="O59" s="2" t="inlineStr">
        <is>
          <t>R058</t>
        </is>
      </c>
      <c r="P59" s="2" t="inlineStr">
        <is>
          <t>Yes</t>
        </is>
      </c>
      <c r="Q59" s="2" t="n"/>
      <c r="R59" s="4" t="n">
        <v>42594</v>
      </c>
      <c r="S59" s="4" t="n">
        <v>42594</v>
      </c>
      <c r="T59" s="4" t="n">
        <v>42594</v>
      </c>
      <c r="U59" s="2" t="inlineStr">
        <is>
          <t>Reported day</t>
        </is>
      </c>
      <c r="V59" s="2" t="inlineStr">
        <is>
          <t>Reported</t>
        </is>
      </c>
      <c r="W59" s="2" t="n"/>
      <c r="X59" s="2" t="n"/>
      <c r="Y59" s="2" t="n"/>
      <c r="Z59" s="2" t="n"/>
      <c r="AA59" s="2" t="n"/>
      <c r="AB59" s="2" t="n"/>
      <c r="AC59" s="2" t="n"/>
      <c r="AD59" s="2" t="n"/>
      <c r="AE59" s="2" t="n"/>
      <c r="AF59" s="2" t="n"/>
      <c r="AG59" s="2" t="n"/>
      <c r="AH59" s="2" t="n"/>
      <c r="AI59" s="2" t="n"/>
      <c r="AJ59" s="2" t="n"/>
      <c r="AK59" s="2" t="n">
        <v>32</v>
      </c>
      <c r="AL59" s="2" t="inlineStr">
        <is>
          <t>R054; R055; R059</t>
        </is>
      </c>
      <c r="AM59" s="2" t="inlineStr">
        <is>
          <t>PWRR-G&amp;W</t>
        </is>
      </c>
    </row>
    <row r="60" ht="118" customHeight="1">
      <c r="A60" s="2" t="n">
        <v>59</v>
      </c>
      <c r="B60" s="2" t="inlineStr">
        <is>
          <t>08/15/2016</t>
        </is>
      </c>
      <c r="C60" s="2" t="inlineStr">
        <is>
          <t>Company (issuer) / G&amp;W</t>
        </is>
      </c>
      <c r="D60" s="2" t="inlineStr">
        <is>
          <t>Merger announced</t>
        </is>
      </c>
      <c r="E60" s="2" t="n">
        <v>1</v>
      </c>
      <c r="F60" s="2" t="inlineStr">
        <is>
          <t>post</t>
        </is>
      </c>
      <c r="G60" s="2" t="inlineStr">
        <is>
          <t>Strategic</t>
        </is>
      </c>
      <c r="H60" s="2" t="inlineStr">
        <is>
          <t>Press release publicly announced the transaction before the opening of NASDAQ trading on Monday, 08/15/2016.</t>
        </is>
      </c>
      <c r="I60" s="2" t="n"/>
      <c r="J60" s="2" t="n"/>
      <c r="K60" s="2" t="inlineStr">
        <is>
          <t>Stated. “The Company issued a press release publicly announcing the transaction on Monday, August 15, 2016 prior to the opening of trading of the Company’s common stock on the NASDAQ.” (P-033, p.32).</t>
        </is>
      </c>
      <c r="L60" s="3" t="inlineStr">
        <is>
          <t>P-033</t>
        </is>
      </c>
      <c r="M60" s="2" t="inlineStr"/>
      <c r="N60" s="2" t="n"/>
      <c r="O60" s="2" t="inlineStr">
        <is>
          <t>R059</t>
        </is>
      </c>
      <c r="P60" s="2" t="inlineStr">
        <is>
          <t>Yes</t>
        </is>
      </c>
      <c r="Q60" s="2" t="n"/>
      <c r="R60" s="4" t="n">
        <v>42597</v>
      </c>
      <c r="S60" s="4" t="n">
        <v>42597</v>
      </c>
      <c r="T60" s="4" t="n">
        <v>42597</v>
      </c>
      <c r="U60" s="2" t="inlineStr">
        <is>
          <t>Reported day</t>
        </is>
      </c>
      <c r="V60" s="2" t="inlineStr">
        <is>
          <t>Reported</t>
        </is>
      </c>
      <c r="W60" s="2" t="n"/>
      <c r="X60" s="2" t="n"/>
      <c r="Y60" s="2" t="n"/>
      <c r="Z60" s="2" t="n"/>
      <c r="AA60" s="2" t="n"/>
      <c r="AB60" s="2" t="n"/>
      <c r="AC60" s="2" t="n"/>
      <c r="AD60" s="2" t="n"/>
      <c r="AE60" s="2" t="n"/>
      <c r="AF60" s="2" t="n"/>
      <c r="AG60" s="2" t="n"/>
      <c r="AH60" s="2" t="n"/>
      <c r="AI60" s="2" t="n"/>
      <c r="AJ60" s="2" t="n"/>
      <c r="AK60" s="2" t="n">
        <v>32</v>
      </c>
      <c r="AL60" s="2" t="inlineStr">
        <is>
          <t>R058</t>
        </is>
      </c>
      <c r="AM60" s="2" t="inlineStr">
        <is>
          <t>PWRR-G&amp;W</t>
        </is>
      </c>
    </row>
    <row r="61" ht="118" customHeight="1">
      <c r="A61" s="2" t="n">
        <v>60</v>
      </c>
      <c r="B61" s="2" t="inlineStr">
        <is>
          <t>09/06/2016</t>
        </is>
      </c>
      <c r="C61" s="2" t="inlineStr">
        <is>
          <t>Board of Directors / BMO Capital Markets Corp.</t>
        </is>
      </c>
      <c r="D61" s="2" t="inlineStr">
        <is>
          <t>Material process update</t>
        </is>
      </c>
      <c r="E61" s="2" t="n">
        <v>1</v>
      </c>
      <c r="F61" s="2" t="inlineStr">
        <is>
          <t>post</t>
        </is>
      </c>
      <c r="G61" s="2" t="n"/>
      <c r="H61" s="2" t="inlineStr">
        <is>
          <t>Post-signing: the Board considered BMO’s report that it had inadvertently failed to identify a BMO affiliate’s participation in G&amp;W’s existing secured syndicated debt facility (approximately 5% of the syndicate; revenue of $1–$5 million since 01/01/2014; X-006/X-007, p.41–42); the Board determined the relationship was not material to BMO’s independence and confirmed continued comfort with BMO’s engagement and opinion.</t>
        </is>
      </c>
      <c r="I61" s="2" t="n"/>
      <c r="J61" s="2" t="n"/>
      <c r="K61" s="2" t="inlineStr">
        <is>
          <t>Stated. “representatives of BMO advised the Board that when checking to determine if there were any financial advisory or financing relationships with G&amp;W, it had inadvertently failed to identify that a BMO affiliate has a participation in G&amp;W’s existing secured syndicated debt facility” ... “On September 6, 2016, the Board considered this new information, determined this relationship was not material to BMO’s independence and confirmed that the Board remained comfortable with the engagement and opinion of BMO.” (P-034, p.32); facility detail X-007, p.42.</t>
        </is>
      </c>
      <c r="L61" s="3" t="inlineStr">
        <is>
          <t>P-034; X-006; X-007</t>
        </is>
      </c>
      <c r="M61" s="2" t="inlineStr"/>
      <c r="N61" s="2" t="n"/>
      <c r="O61" s="2" t="inlineStr">
        <is>
          <t>R060</t>
        </is>
      </c>
      <c r="P61" s="2" t="inlineStr">
        <is>
          <t>Yes</t>
        </is>
      </c>
      <c r="Q61" s="2" t="n"/>
      <c r="R61" s="4" t="n">
        <v>42619</v>
      </c>
      <c r="S61" s="4" t="n">
        <v>42619</v>
      </c>
      <c r="T61" s="4" t="n">
        <v>42619</v>
      </c>
      <c r="U61" s="2" t="inlineStr">
        <is>
          <t>Reported day</t>
        </is>
      </c>
      <c r="V61" s="2" t="inlineStr">
        <is>
          <t>Reported</t>
        </is>
      </c>
      <c r="W61" s="2" t="n"/>
      <c r="X61" s="2" t="n"/>
      <c r="Y61" s="2" t="n"/>
      <c r="Z61" s="2" t="n"/>
      <c r="AA61" s="2" t="n"/>
      <c r="AB61" s="2" t="n"/>
      <c r="AC61" s="2" t="n"/>
      <c r="AD61" s="2" t="n"/>
      <c r="AE61" s="2" t="n"/>
      <c r="AF61" s="2" t="n"/>
      <c r="AG61" s="2" t="n"/>
      <c r="AH61" s="2" t="n"/>
      <c r="AI61" s="2" t="n"/>
      <c r="AJ61" s="2" t="n"/>
      <c r="AK61" s="2" t="n">
        <v>32</v>
      </c>
      <c r="AL61" s="2" t="inlineStr">
        <is>
          <t>R002; R058</t>
        </is>
      </c>
      <c r="AM61" s="2" t="inlineStr">
        <is>
          <t>PWRR-G&amp;W</t>
        </is>
      </c>
    </row>
  </sheetData>
  <autoFilter ref="A1:AM61"/>
  <conditionalFormatting sqref="B2:AM61">
    <cfRule type="expression" priority="1" dxfId="0" stopIfTrue="0">
      <formula>AND($A2&lt;&gt;"",NOT(ISNA(MATCH($A2,'AI original'!$A$2:$A$61,0))),NOT(EXACT(B2&amp;"",INDEX('AI original'!$B$2:$AM$61,MATCH($A2,'AI original'!$A$2:$A$61,0),COLUMN()-1)&amp;"")))</formula>
    </cfRule>
    <cfRule type="expression" priority="2" dxfId="0" stopIfTrue="0">
      <formula>AND($A2&lt;&gt;"",ISNA(MATCH($A2,'AI original'!$A$2:$A$61,0)))</formula>
    </cfRule>
  </conditionalFormatting>
  <dataValidations count="15">
    <dataValidation sqref="D2:D61" showDropDown="0" showInputMessage="0" showErrorMessage="0" allowBlank="1" errorTitle="Controlled category" error="Use a value from the Lists sheet" type="list">
      <formula1>Lists!$A$2:$A$41</formula1>
    </dataValidation>
    <dataValidation sqref="G2:G61" showDropDown="0" showInputMessage="0" showErrorMessage="0" allowBlank="1" errorTitle="Controlled category" error="Use a value from the Lists sheet" type="list">
      <formula1>Lists!$B$2:$B$5</formula1>
    </dataValidation>
    <dataValidation sqref="I2:I61" showDropDown="0" showInputMessage="0" showErrorMessage="0" allowBlank="1" errorTitle="Controlled category" error="Use a value from the Lists sheet" type="list">
      <formula1>Lists!$C$2:$C$5</formula1>
    </dataValidation>
    <dataValidation sqref="J2:J61" showDropDown="0" showInputMessage="0" showErrorMessage="0" allowBlank="1" errorTitle="Controlled category" error="Use a value from the Lists sheet" type="list">
      <formula1>Lists!$D$2:$D$6</formula1>
    </dataValidation>
    <dataValidation sqref="P2:P61" showDropDown="0" showInputMessage="0" showErrorMessage="0" allowBlank="1" errorTitle="Controlled category" error="Use a value from the Lists sheet" type="list">
      <formula1>Lists!$E$2:$E$3</formula1>
    </dataValidation>
    <dataValidation sqref="U2:U61" showDropDown="0" showInputMessage="0" showErrorMessage="0" allowBlank="1" errorTitle="Controlled category" error="Use a value from the Lists sheet" type="list">
      <formula1>Lists!$F$2:$F$7</formula1>
    </dataValidation>
    <dataValidation sqref="V2:V61" showDropDown="0" showInputMessage="0" showErrorMessage="0" allowBlank="1" errorTitle="Controlled category" error="Use a value from the Lists sheet" type="list">
      <formula1>Lists!$G$2:$G$8</formula1>
    </dataValidation>
    <dataValidation sqref="Y2:Y61" showDropDown="0" showInputMessage="0" showErrorMessage="0" allowBlank="1" errorTitle="Controlled category" error="Use a value from the Lists sheet" type="list">
      <formula1>Lists!$H$2:$H$6</formula1>
    </dataValidation>
    <dataValidation sqref="Z2:Z61" showDropDown="0" showInputMessage="0" showErrorMessage="0" allowBlank="1" errorTitle="Controlled category" error="Use a value from the Lists sheet" type="list">
      <formula1>Lists!$I$2:$I$4</formula1>
    </dataValidation>
    <dataValidation sqref="AB2:AB61" showDropDown="0" showInputMessage="0" showErrorMessage="0" allowBlank="1" errorTitle="Controlled category" error="Use a value from the Lists sheet" type="list">
      <formula1>Lists!$J$2:$J$4</formula1>
    </dataValidation>
    <dataValidation sqref="AF2:AF61" showDropDown="0" showInputMessage="0" showErrorMessage="0" allowBlank="1" errorTitle="Controlled category" error="Use a value from the Lists sheet" type="list">
      <formula1>Lists!$K$2:$K$7</formula1>
    </dataValidation>
    <dataValidation sqref="AG2:AG61" showDropDown="0" showInputMessage="0" showErrorMessage="0" allowBlank="1" errorTitle="Controlled category" error="Use a value from the Lists sheet" type="list">
      <formula1>Lists!$L$2:$L$4</formula1>
    </dataValidation>
    <dataValidation sqref="AH2:AH61" showDropDown="0" showInputMessage="0" showErrorMessage="0" allowBlank="1" errorTitle="Controlled category" error="Use a value from the Lists sheet" type="list">
      <formula1>Lists!$M$2:$M$5</formula1>
    </dataValidation>
    <dataValidation sqref="AI2:AI61" showDropDown="0" showInputMessage="0" showErrorMessage="0" allowBlank="1" errorTitle="Controlled category" error="Use a value from the Lists sheet" type="list">
      <formula1>Lists!$N$2:$N$10</formula1>
    </dataValidation>
    <dataValidation sqref="AJ2:AJ61" showDropDown="0" showInputMessage="0" showErrorMessage="0" allowBlank="1" errorTitle="Controlled category" error="Use a value from the Lists sheet" type="list">
      <formula1>Lists!$O$2:$O$6</formula1>
    </dataValidation>
  </dataValidations>
  <hyperlinks>
    <hyperlink ref="L2" location="'Source text'!$A$3" tooltip="main source paragraph"/>
    <hyperlink ref="L3" location="'Source text'!$A$3" tooltip="main source paragraph"/>
    <hyperlink ref="L4" location="'Source text'!$A$4" tooltip="main source paragraph"/>
    <hyperlink ref="L5" location="'Source text'!$A$6" tooltip="main source paragraph"/>
    <hyperlink ref="L6" location="'Source text'!$A$7" tooltip="main source paragraph"/>
    <hyperlink ref="L7" location="'Source text'!$A$7" tooltip="main source paragraph"/>
    <hyperlink ref="L8" location="'Source text'!$A$7" tooltip="main source paragraph"/>
    <hyperlink ref="L9" location="'Source text'!$A$7" tooltip="main source paragraph"/>
    <hyperlink ref="L10" location="'Source text'!$A$7" tooltip="main source paragraph"/>
    <hyperlink ref="L11" location="'Source text'!$A$7" tooltip="main source paragraph"/>
    <hyperlink ref="L12" location="'Source text'!$A$7" tooltip="main source paragraph"/>
    <hyperlink ref="L13" location="'Source text'!$A$8" tooltip="main source paragraph"/>
    <hyperlink ref="L14" location="'Source text'!$A$9" tooltip="main source paragraph"/>
    <hyperlink ref="L15" location="'Source text'!$A$9" tooltip="main source paragraph"/>
    <hyperlink ref="L16" location="'Source text'!$A$9" tooltip="main source paragraph"/>
    <hyperlink ref="L17" location="'Source text'!$A$11" tooltip="main source paragraph"/>
    <hyperlink ref="L18" location="'Source text'!$A$11" tooltip="main source paragraph"/>
    <hyperlink ref="L19" location="'Source text'!$A$12" tooltip="main source paragraph"/>
    <hyperlink ref="L20" location="'Source text'!$A$12" tooltip="main source paragraph"/>
    <hyperlink ref="L21" location="'Source text'!$A$12" tooltip="main source paragraph"/>
    <hyperlink ref="L22" location="'Source text'!$A$12" tooltip="main source paragraph"/>
    <hyperlink ref="L23" location="'Source text'!$A$12" tooltip="main source paragraph"/>
    <hyperlink ref="L24" location="'Source text'!$A$13" tooltip="main source paragraph"/>
    <hyperlink ref="L25" location="'Source text'!$A$15" tooltip="main source paragraph"/>
    <hyperlink ref="L26" location="'Source text'!$A$15" tooltip="main source paragraph"/>
    <hyperlink ref="L27" location="'Source text'!$A$15" tooltip="main source paragraph"/>
    <hyperlink ref="L28" location="'Source text'!$A$15" tooltip="main source paragraph"/>
    <hyperlink ref="L29" location="'Source text'!$A$13" tooltip="main source paragraph"/>
    <hyperlink ref="L30" location="'Source text'!$A$17" tooltip="main source paragraph"/>
    <hyperlink ref="L31" location="'Source text'!$A$19" tooltip="main source paragraph"/>
    <hyperlink ref="L32" location="'Source text'!$A$20" tooltip="main source paragraph"/>
    <hyperlink ref="L33" location="'Source text'!$A$21" tooltip="main source paragraph"/>
    <hyperlink ref="L34" location="'Source text'!$A$22" tooltip="main source paragraph"/>
    <hyperlink ref="L35" location="'Source text'!$A$23" tooltip="main source paragraph"/>
    <hyperlink ref="L36" location="'Source text'!$A$23" tooltip="main source paragraph"/>
    <hyperlink ref="L37" location="'Source text'!$A$18" tooltip="main source paragraph"/>
    <hyperlink ref="L38" location="'Source text'!$A$18" tooltip="main source paragraph"/>
    <hyperlink ref="L39" location="'Source text'!$A$24" tooltip="main source paragraph"/>
    <hyperlink ref="L40" location="'Source text'!$A$24" tooltip="main source paragraph"/>
    <hyperlink ref="L41" location="'Source text'!$A$24" tooltip="main source paragraph"/>
    <hyperlink ref="L42" location="'Source text'!$A$24" tooltip="main source paragraph"/>
    <hyperlink ref="L43" location="'Source text'!$A$24" tooltip="main source paragraph"/>
    <hyperlink ref="L44" location="'Source text'!$A$24" tooltip="main source paragraph"/>
    <hyperlink ref="L45" location="'Source text'!$A$25" tooltip="main source paragraph"/>
    <hyperlink ref="L46" location="'Source text'!$A$25" tooltip="main source paragraph"/>
    <hyperlink ref="L47" location="'Source text'!$A$25" tooltip="main source paragraph"/>
    <hyperlink ref="L48" location="'Source text'!$A$25" tooltip="main source paragraph"/>
    <hyperlink ref="L49" location="'Source text'!$A$25" tooltip="main source paragraph"/>
    <hyperlink ref="L50" location="'Source text'!$A$25" tooltip="main source paragraph"/>
    <hyperlink ref="L51" location="'Source text'!$A$27" tooltip="main source paragraph"/>
    <hyperlink ref="L52" location="'Source text'!$A$28" tooltip="main source paragraph"/>
    <hyperlink ref="L53" location="'Source text'!$A$28" tooltip="main source paragraph"/>
    <hyperlink ref="L54" location="'Source text'!$A$28" tooltip="main source paragraph"/>
    <hyperlink ref="L55" location="'Source text'!$A$29" tooltip="main source paragraph"/>
    <hyperlink ref="L56" location="'Source text'!$A$33" tooltip="main source paragraph"/>
    <hyperlink ref="L57" location="'Source text'!$A$34" tooltip="main source paragraph"/>
    <hyperlink ref="L58" location="'Source text'!$A$34" tooltip="main source paragraph"/>
    <hyperlink ref="L59" location="'Source text'!$A$34" tooltip="main source paragraph"/>
    <hyperlink ref="L60" location="'Source text'!$A$34" tooltip="main source paragraph"/>
    <hyperlink ref="L61" location="'Source text'!$A$35" tooltip="main source paragraph"/>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30" customWidth="1" min="1" max="1"/>
    <col width="150" customWidth="1" min="2" max="2"/>
    <col width="14" customWidth="1" min="3" max="3"/>
  </cols>
  <sheetData>
    <row r="1">
      <c r="A1" s="6" t="inlineStr">
        <is>
          <t>PWRR / GENESEE &amp; WYOMING DEAL LEDGER — SUMMARY</t>
        </is>
      </c>
      <c r="B1" s="2" t="inlineStr"/>
    </row>
    <row r="2">
      <c r="A2" s="2" t="inlineStr">
        <is>
          <t>AI first pass; not human-approved.</t>
        </is>
      </c>
      <c r="B2" s="2" t="inlineStr">
        <is>
          <t>Instruction revision: 19 September 2026 (Pro revision of 18 September 2026). Supplied-source coverage: one SEC filing used — DEFM14A (definitive proxy statement), proxy dated September 19, 2016, filed 2016-09-20, file raw_filing/providence-worcester_2016-09-20_DEFM14A.htm (background pp.27–32). No other source used. Last recheck status: initial build; all checks in this workbook were run on this version (see Questions – Check results); content not yet rechecked after any human edit.</t>
        </is>
      </c>
    </row>
    <row r="3"/>
    <row r="4">
      <c r="A4" s="6" t="inlineStr">
        <is>
          <t>1. STATUS AND COMMERCIAL ACCOUNT</t>
        </is>
      </c>
      <c r="B4" s="2" t="inlineStr"/>
    </row>
    <row r="5">
      <c r="A5" s="2" t="inlineStr">
        <is>
          <t>Commercial account</t>
        </is>
      </c>
      <c r="B5" s="2" t="inlineStr">
        <is>
          <t>Party A’s fourth-quarter 2015 expression of interest in acquiring equity in Providence &amp; Worcester Railroad prompted the Board to engage GHF and, on 03/14/2016, to authorize a broad solicitation of strategic and financial buyers (29 contacted in the week of 03/28/2016; 25 executed confidentiality agreements, plus Party C in July). Nine non-binding IOIs ($17.93–$26.50 per share) arrived 05/19–06/01/2016; the two lowest were excluded and seven bidders advanced on 06/01/2016 to management presentations and a 07/20/2016 LOI round (six LOIs, $19.20–$24.00). On 07/27/2016 the committee selected G&amp;W and Party B for confirmatory diligence and definitive negotiation. G&amp;W’s July bids carried a $1.13/share CVR tied to the South Quay property and asked for a three-week exclusive diligence period; its 07/26 revision raised the price to $22.15, while Party B led at $24.00. After Party B declined to improve on 08/12/2016, G&amp;W submitted a final $25.00 all-cash revised LOI (CVR dropped) with merger-agreement mark-ups and an offer expiry of 6:00 p.m. on 08/13/2016; the Board approved and the parties signed the merger agreement the same day, announcing it on 08/15/2016. Observed outcome: signed merger agreement; no post-signing competing proposal appears in the proxy; closing is not observed (expected Q4 2016).</t>
        </is>
      </c>
    </row>
    <row r="6">
      <c r="A6" s="2" t="inlineStr">
        <is>
          <t>Initiation assessment</t>
        </is>
      </c>
      <c r="B6" s="2" t="inlineStr">
        <is>
          <t>Mixed — bidder-led trigger (Party A’s Q4 2015 unpriced approach) followed by a target-directed broad sale process led by the Board and Transaction Committee. Sequence and evidence: R001–R007.</t>
        </is>
      </c>
    </row>
    <row r="7"/>
    <row r="8">
      <c r="A8" s="6" t="inlineStr">
        <is>
          <t>2. DEAL FACTS</t>
        </is>
      </c>
      <c r="B8" s="2" t="inlineStr"/>
    </row>
    <row r="9">
      <c r="A9" s="2" t="inlineStr">
        <is>
          <t>Target</t>
        </is>
      </c>
      <c r="B9" s="2" t="inlineStr">
        <is>
          <t>Providence and Worcester Railroad Company (PWRR), a Rhode Island corporation; regional freight railroad; NASDAQ: PWX. 4,866,593 common shares and 640 preferred shares outstanding as of the 09/16/2016 record date; preferred is non-listed and converts 100-for-1.</t>
        </is>
      </c>
    </row>
    <row r="10">
      <c r="A10" s="2" t="inlineStr">
        <is>
          <t>Focal acquirer and type</t>
        </is>
      </c>
      <c r="B10" s="2" t="inlineStr">
        <is>
          <t>Genesee &amp; Wyoming Inc. (G&amp;W), a Delaware corporation, NYSE: GWR — Strategic (operating short-line/regional freight railroad group; X-014, p.21). Acquired through Pullman Acquisition Sub Inc., formed 08/12/2016 solely for the merger (P-002 area; R058).</t>
        </is>
      </c>
    </row>
    <row r="11">
      <c r="A11" s="2" t="inlineStr">
        <is>
          <t>Agreed consideration</t>
        </is>
      </c>
      <c r="B11" s="2" t="inlineStr">
        <is>
          <t>$25.00 in cash per share of common stock. Each preferred share is deemed converted (100-for-1) into 100 common shares plus accrued/unpaid dividends, so its holder receives $25.00 per converted share (X-008, p.50). No financing condition (X-003, p.34); termination fee $3,785,000 (~3% of transaction value); non-solicitation with a fiduciary out; no go-shop (X-010, p.55).</t>
        </is>
      </c>
    </row>
    <row r="12">
      <c r="A12" s="2" t="inlineStr">
        <is>
          <t>Signing / announcement / completion</t>
        </is>
      </c>
      <c r="B12" s="2" t="inlineStr">
        <is>
          <t>Signed 08/12/2016; announced 08/15/2016 before the NASDAQ open (R058, R059); expected closing Q4 2016, not observed; outside date 12/31/2016 (02/28/2017 if only STB approval remains) (X-016, p.8).</t>
        </is>
      </c>
    </row>
    <row r="13">
      <c r="A13" s="2" t="inlineStr">
        <is>
          <t>Filing</t>
        </is>
      </c>
      <c r="B13" s="2" t="inlineStr">
        <is>
          <t>DEFM14A proxy statement dated September 19, 2016 (filed 2016-09-20 per filename); source file: raw_filing/providence-worcester_2016-09-20_DEFM14A.htm; background pp.27–32.</t>
        </is>
      </c>
    </row>
    <row r="14">
      <c r="A14" s="2" t="inlineStr">
        <is>
          <t>Market benchmarks</t>
        </is>
      </c>
      <c r="B14" s="2" t="inlineStr">
        <is>
          <t>Closing price $16.30 on 08/12/2016 (last trading day before announcement; the $25.00 consideration represents a 53% premium per the Reasons section) and $24.88 on 09/16/2016 (X-004, p.11; X-002, p.33). Q3 2016 trading high $25.00 (p.71).</t>
        </is>
      </c>
    </row>
    <row r="15"/>
    <row r="16">
      <c r="A16" s="6" t="inlineStr">
        <is>
          <t>3. PROCESS AND ROUND MAP</t>
        </is>
      </c>
      <c r="B16" s="2" t="inlineStr"/>
    </row>
    <row r="17">
      <c r="A17" s="2" t="inlineStr">
        <is>
          <t>Process count</t>
        </is>
      </c>
      <c r="B17" s="2" t="inlineStr">
        <is>
          <t>One process (Process 1). The sale attempt ran continuously from Party A’s Q4 2015 approach through signing on 08/12/2016; no abandonment, dormancy or restart is reported, so no second process. Round 0 holds the pre-opening inbound approach and preparation.</t>
        </is>
      </c>
    </row>
    <row r="18">
      <c r="A18" s="2" t="inlineStr">
        <is>
          <t>Round 0 (pre-opening)</t>
        </is>
      </c>
      <c r="B18" s="2" t="inlineStr">
        <is>
          <t>Q4 2015–03/27/2016: Party A approach (R001); GHF engagement (R002); Board sale decision (R003); Party A management meeting (R004); Transaction Committee authorization (R005). No Round opened row for round 0 by convention.</t>
        </is>
      </c>
    </row>
    <row r="19">
      <c r="A19" s="2" t="inlineStr">
        <is>
          <t>Round 1</t>
        </is>
      </c>
      <c r="B19" s="2" t="inlineStr">
        <is>
          <t>Anchor: first outreach wave, week of 03/28/2016 (R007) — GHF contacted 11 potential strategic buyers and 18 potential financial buyers; IOI deadline set 04/27/2016 for 05/10/2016, revised to 05/19/2016 (R016–R018). Nine IOIs ($17.93–$26.50 envelope) received 05/19–06/01 (R019). Objective: non-binding IOIs. Finality: Not final. Round-bidder tally: 9 (formula in section 5).</t>
        </is>
      </c>
    </row>
    <row r="20">
      <c r="A20" s="2" t="inlineStr">
        <is>
          <t>Round 2</t>
        </is>
      </c>
      <c r="B20" s="2" t="inlineStr">
        <is>
          <t>Opened 06/01/2016 (R022): seven of nine IOI bidders advanced to management presentations and data-site diligence; Party C entered as a late entrant (R024–R027); all buyers instructed mid-June to submit LOIs plus mark-ups by 07/20/2016 (R023, R028); six LOIs received late July (R029–R037). Objective: presentations/diligence then non-binding LOIs. Finality: Not final. Round-bidder tally: 6 (B, G&amp;W, C, D, E, F).</t>
        </is>
      </c>
    </row>
    <row r="21">
      <c r="A21" s="2" t="inlineStr">
        <is>
          <t>Round 3</t>
        </is>
      </c>
      <c r="B21" s="2" t="inlineStr">
        <is>
          <t>Opened 07/27/2016 (R038): selection of G&amp;W and Party B for confirmatory diligence and definitive negotiation; remaining bidders dropped (R039–R042); D and E re-entered 07/29 (R044–R045) and revised their LOIs 08/01 with outcomes 08/02 (R046–R049); Aug 4 prioritization of Party B (R050) and Party B’s late reconfirmation (R051); G&amp;W warning and improved bid (R052–R054); signing 08/12 (R058). Finality: Inferred final (moved to definitive negotiation with selected bidders). Round-bidder tally: 4 (G&amp;W, B, D, E).</t>
        </is>
      </c>
    </row>
    <row r="22">
      <c r="A22" s="2" t="inlineStr">
        <is>
          <t>Post-signing</t>
        </is>
      </c>
      <c r="B22" s="2" t="inlineStr">
        <is>
          <t>08/12/2016 onward: announcement 08/15 (R059); BMO conflict recheck 09/06 (R060); STB petition filed 09/01/2016 and voting-trust agreement submitted 09/14/2016 (X-011/X-012, p.64–65). No go-shop; no post-signing competing proposal observed in the proxy; closing not observed.</t>
        </is>
      </c>
    </row>
    <row r="23">
      <c r="A23" s="2" t="inlineStr">
        <is>
          <t>Deadline map</t>
        </is>
      </c>
      <c r="B23" s="2" t="inlineStr">
        <is>
          <t>05/10/2016 (set 04/27/2016): Extended — postponed to 05/19/2016 (R016–R017). 05/19/2016 (IOI due): Enforced — nine IOIs reviewed and process advanced 06/01; the 05/19–06/01 receipt window straddles the date and no arrival is dated after it (R018; alternative reading in Q2). 07/20/2016 (LOI/mark-up due): Late bids accepted — G&amp;W’s 07/21 LOI was reviewed with the others and advanced (R028).</t>
        </is>
      </c>
    </row>
    <row r="24"/>
    <row r="25">
      <c r="A25" s="6" t="inlineStr">
        <is>
          <t>4. PARTICIPANTS AND ADVISERS</t>
        </is>
      </c>
      <c r="B25" s="2" t="inlineStr"/>
    </row>
    <row r="26">
      <c r="A26" s="2" t="inlineStr">
        <is>
          <t>Named bidders</t>
        </is>
      </c>
      <c r="B26" s="2" t="inlineStr">
        <is>
          <t>Party A — Strategic (Class I rail partner); unpriced Q4 2015 approach; last named April 2016; closed by Count-0 identity row R043 (Did not submit basis, Inferred: identity; likely already inside R020). G&amp;W — Strategic; winner; bids R036, R037, R054; signed R058 (no exit row). Party B — Strategic; $24.00 LOI R029 and late reaffirmation R051; Not selected at signing R055 (Would not improve earlier offer). Party C — Strategic late entrant; IOI $21.00 R026, LOI $19.30 R032; Dropped R039. Party D — Financial; LOI $21.00 R031, revised $24.00 R046; paused R049; closed by inferred R056. Party E — Strategic; LOI $21.26 R030, revised $23.81 with Party F support R047, reverted to $21.26 R048; closed by inferred R057. Party F — Strategic; LOI $19.20 R033; Dropped R042; later gave financing support to E (no membership change).</t>
        </is>
      </c>
    </row>
    <row r="27">
      <c r="A27" s="2" t="inlineStr">
        <is>
          <t>Cohorts (not extra parties)</t>
        </is>
      </c>
      <c r="B27" s="2" t="inlineStr">
        <is>
          <t>11 strategic NDA signers (R010); 14 financial NDA signers (R011); nine IOI bidders, type Unknown (R019); two excluded low bidders, Unknown (R021); 16 non-submitting signers, Unknown (R020); two non-submitting LOI bidders, split strategic/financial (R034–R035). Two additional Class I railroads were contacted but never entered (R014).</t>
        </is>
      </c>
    </row>
    <row r="28">
      <c r="A28" s="2" t="inlineStr">
        <is>
          <t>Ownership / country attributes</t>
        </is>
      </c>
      <c r="B28" s="2" t="inlineStr">
        <is>
          <t>PWRR is US (Rhode Island); G&amp;W is US (Delaware). Eder Trusts hold 842,742 common shares (17.3%) and 500 preferred (78.1%); directors/officers hold ~22.7% of common and ~78.1% of preferred (X-013, p.72). Director Alfred P. Smith (GATX VP; GATX owns 4.92% of common) recused from the process (P-023, p.30).</t>
        </is>
      </c>
    </row>
    <row r="29">
      <c r="A29" s="2" t="inlineStr">
        <is>
          <t>Advisers</t>
        </is>
      </c>
      <c r="B29" s="2" t="inlineStr">
        <is>
          <t>GHF / BMO Capital Markets Corp. — Company financial adviser; GHF engaged 01/27/2016 (R002); BMO acquired GHF’s business 08/01/2016 (one continuing relationship); fee ~$2.52 million; BMO affiliate ~5% lender in G&amp;W’s syndicated facility, reviewed 09/06/2016 (R060). Hinckley, Allen &amp; Snyder LLP — Company legal counsel (services first observed 03/24/2016, R006). Simpson Thacher &amp; Bartlett LLP — G&amp;W legal counsel (services first observed 08/10/2016, R053). Company STB counsel — not named. G&amp;W financial adviser — not disclosed.</t>
        </is>
      </c>
    </row>
    <row r="30"/>
    <row r="31">
      <c r="A31" s="6" t="inlineStr">
        <is>
          <t>5. COUNTS AND AUCTION SCREEN</t>
        </is>
      </c>
      <c r="B31" s="2" t="inlineStr"/>
    </row>
    <row r="32">
      <c r="A32" s="2" t="inlineStr">
        <is>
          <t>Contact tally (ledger-derived)</t>
        </is>
      </c>
      <c r="B32" s="2" t="inlineStr">
        <is>
          <t>Ledger Count sum: Contact rows = 31 (R008 11 + R009 18 + R014 2, plus R004/R012 at Count 0) plus the two Bidder interest rows that carry first-contact tallies (R001 = 1; R024 = 1) = 33 contact-count units. Composition: 29 initial wave + 2 additional Class I railroads + Party A first contact + Party C inbound. Party B’s contact (R015) carries no Count because its membership in the wave cohort is not disclosed. Distinct prospective buyers contacted: 32 (Party A is counted once inside the 29 and again only as the earlier first contact). Filing assertions: 11 strategic + 18 financial contacted; 2 additional Class I railroads approached. The formula below makes the two Bidder interest inclusions explicit.</t>
        </is>
      </c>
      <c r="C32">
        <f>SUMIFS('Deal ledger'!$Q:$Q,'Deal ledger'!$D:$D,"Contact",'Deal ledger'!$P:$P,"Yes")+SUMIFS('Deal ledger'!$Q:$Q,'Deal ledger'!$D:$D,"Bidder interest",'Deal ledger'!$P:$P,"Yes")</f>
        <v/>
      </c>
    </row>
    <row r="33">
      <c r="A33" s="2" t="inlineStr">
        <is>
          <t>NDA tally (ledger-derived)</t>
        </is>
      </c>
      <c r="B33" s="2" t="inlineStr">
        <is>
          <t>Ledger Count sum over NDA signed rows: 26 signer events — 11 strategic signers (R010) + 14 financial signers (R011) + Party C (R025). Filing assertion: 25 confidentiality agreements in the Reasons section (X-001, p.33). Reconciliation: the narrative’s 11 + 14 = 25 is the March–April wave; Party C executed its agreement in early July after approaching the Company (R024–R025). 26 − 25 = 1 = Party C; unresolved whether the Reasons’ 25 includes or excludes Party C (Q3).</t>
        </is>
      </c>
      <c r="C33">
        <f>SUMIFS('Deal ledger'!$Q:$Q,'Deal ledger'!$D:$D,"NDA signed",'Deal ledger'!$P:$P,"Yes")</f>
        <v/>
      </c>
    </row>
    <row r="34">
      <c r="A34" s="2" t="inlineStr">
        <is>
          <t>Round-bidder tallies (ledger-derived)</t>
        </is>
      </c>
      <c r="B34" s="2" t="inlineStr">
        <is>
          <t>Stage-specific submitters/reaffirmers (not unique firms): Round 1 = 9 (R019 envelope cohort); Round 2 = 6 (B R029, E R030, D R031, C R026 and F R033 at Count 1, G&amp;W R036); Round 3 = 4 (D R046, E R047, B R051, G&amp;W R054). Formulas sum Count for Bid and Bid reaffirmed rows by Round, excluding Include = No.</t>
        </is>
      </c>
      <c r="C34">
        <f>SUMIFS('Deal ledger'!$Q:$Q,'Deal ledger'!$F:$F,"1",'Deal ledger'!$D:$D,"Bid",'Deal ledger'!$P:$P,"Yes") &amp; " / " &amp; (SUMIFS('Deal ledger'!$Q:$Q,'Deal ledger'!$F:$F,"2",'Deal ledger'!$D:$D,"Bid",'Deal ledger'!$P:$P,"Yes")+SUMIFS('Deal ledger'!$Q:$Q,'Deal ledger'!$F:$F,"2",'Deal ledger'!$D:$D,"Bid reaffirmed",'Deal ledger'!$P:$P,"Yes")) &amp; " / " &amp; (SUMIFS('Deal ledger'!$Q:$Q,'Deal ledger'!$F:$F,"3",'Deal ledger'!$D:$D,"Bid",'Deal ledger'!$P:$P,"Yes")+SUMIFS('Deal ledger'!$Q:$Q,'Deal ledger'!$F:$F,"3",'Deal ledger'!$D:$D,"Bid reaffirmed",'Deal ledger'!$P:$P,"Yes"))</f>
        <v/>
      </c>
    </row>
    <row r="35">
      <c r="A35" s="2" t="inlineStr">
        <is>
          <t>Per-stage balance</t>
        </is>
      </c>
      <c r="B35" s="2" t="inlineStr">
        <is>
          <t>Round 1: 25 signers − 16 inferred non-submitters (R020) − 2 stated exclusions (R021) = 7 continuing (R022). Round 2: 7 continuing + 1 late entrant (Party C) = 8; − 2 stated non-submitters (R034–R035) − 4 stated drops (R039–R042) = 2 continuing (R038). Round 3: 2 + 2 re-entries (R044–R045) − 3 closures (R055–R057) = 1 winner (G&amp;W). Inferred share of exits: 16 of 18 Round-1 exits (89%) inferred; 2 of 3 Round-3 closures inferred silent (D, E); no inferred identity was converted into a count (R043 Count 0).</t>
        </is>
      </c>
    </row>
    <row r="36">
      <c r="A36" s="2" t="inlineStr">
        <is>
          <t>Outcome tallies (occurrences/units)</t>
        </is>
      </c>
      <c r="B36" s="2" t="inlineStr">
        <is>
          <t>Dropped by target: 2 units (R021) + 4 units (R039–R042). Did not submit: 16 units (R020) + 2 units (R034–R035) + 1 Count-0 identity row (R043, most likely inside R020). Participation paused: 1 (R049). Re-entered: 2 (R044–R045). Not selected at signing: 3 (R055–R057). These are event units, not unique permanent exits.</t>
        </is>
      </c>
    </row>
    <row r="37">
      <c r="A37" s="2" t="inlineStr">
        <is>
          <t>Auction screen</t>
        </is>
      </c>
      <c r="B37" s="2" t="inlineStr">
        <is>
          <t>Met — more than one independent prospective acquiring bidder unit executed bidder-target confidentiality agreements for this process (11 strategic + 14 financial signers in the current attempt, R010–R011, plus Party C, R025). No lender-only, adviser or rollover-holder agreements are counted. Sample eligibility remains a separate research decision.</t>
        </is>
      </c>
    </row>
    <row r="38"/>
    <row r="39">
      <c r="A39" s="6" t="inlineStr">
        <is>
          <t>6. COMPARABILITY AND INPUTS</t>
        </is>
      </c>
      <c r="B39" s="2" t="inlineStr"/>
    </row>
    <row r="40">
      <c r="A40" s="2" t="inlineStr">
        <is>
          <t>Unusual consideration / other scope</t>
        </is>
      </c>
      <c r="B40" s="2" t="inlineStr">
        <is>
          <t>No Other-scope bids in this ledger: every priced proposal was for 100% of the equity. G&amp;W’s July bids included a $1.13/share CVR (South Quay property sale, a contingent cash payment; dropped in the final bid). All-cash = Yes on G&amp;W’s bids; consideration structures for the anonymous cohorts and other parties are not stated, so their all-cash flags are “Not stated” (no inference from bidder type).</t>
        </is>
      </c>
    </row>
    <row r="41">
      <c r="A41" s="2" t="inlineStr">
        <is>
          <t>Share counts and conversion</t>
        </is>
      </c>
      <c r="B41" s="2" t="inlineStr">
        <is>
          <t>4,866,593 common; 640 preferred (100-for-1 conversion; non-cumulative dividend up to $5.00/share/year). Disclosed equity values in the filing ($90–$134 million; $96–$121 million; $108 million) assume preferred conversion and a 100% common-stock basis (P-011, P-012, P-014–P-016).</t>
        </is>
      </c>
    </row>
    <row r="42">
      <c r="A42" s="2" t="inlineStr">
        <is>
          <t>Labelled conversion (optional)</t>
        </is>
      </c>
      <c r="B42" s="2" t="inlineStr">
        <is>
          <t>Preferred consideration on the stated terms: 100 common shares per preferred share × $25.00 = $2,500 per preferred share, before accrued/unpaid dividends. This is a labelled arithmetic conversion of disclosed inputs (X-008, p.50), not an observed bid or market price.</t>
        </is>
      </c>
    </row>
    <row r="43">
      <c r="A43" s="2" t="inlineStr">
        <is>
          <t>Market benchmarks</t>
        </is>
      </c>
      <c r="B43" s="2" t="inlineStr">
        <is>
          <t>$16.30 close 08/12/2016 (53% premium cited); $24.88 close 09/16/2016; Q3 2016 high $25.00 (p.71).</t>
        </is>
      </c>
    </row>
    <row r="44">
      <c r="A44" s="2" t="inlineStr">
        <is>
          <t>Glossary</t>
        </is>
      </c>
      <c r="B44" s="2" t="inlineStr">
        <is>
          <t>NDA = confidentiality/non-disclosure agreement. IOI = indication of interest (here non-binding, May–June 2016). LOI = letter of intent (here non-binding, July 2016). CVR = contingent value right ($1.13/share, tied to the South Quay property sale). Markup = proposed edits to transaction documents (not a signed agreement). STB = U.S. Surface Transportation Board. “Fiduciary out” = the Board’s limited right to change its recommendation/accept a superior proposal before the shareholder vote; “matching rights” = G&amp;W’s right to match such a proposal. Voting trust = mechanism to hold the surviving corporation’s shares pending STB approval. Round 0 = pre-opening stage; “post” = post-signing.</t>
        </is>
      </c>
    </row>
    <row r="45">
      <c r="A45" s="2" t="inlineStr">
        <is>
          <t>Workbook notes</t>
        </is>
      </c>
      <c r="B45" s="2" t="inlineStr">
        <is>
          <t>Deal column value: PWRR-G&amp;W. AI original (hidden) stores a values-only copy of the Deal ledger baseline; red-bold conditional formatting highlights any later change per Row id and column. Include = No excludes a row from Summary SUMIFS. Source links open the cited paragraph on the Source text sheet. This first pass has no reviewer edits yet.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52" customWidth="1" min="3" max="3"/>
    <col width="52" customWidth="1" min="4" max="4"/>
    <col width="30" customWidth="1" min="5" max="5"/>
    <col width="40" customWidth="1" min="6" max="6"/>
    <col width="10" customWidth="1" min="7" max="7"/>
    <col width="24" customWidth="1" min="8" max="8"/>
  </cols>
  <sheetData>
    <row r="1" ht="30" customHeight="1">
      <c r="A1" s="1" t="inlineStr">
        <is>
          <t>Q</t>
        </is>
      </c>
      <c r="B1" s="1" t="inlineStr">
        <is>
          <t>Review topic</t>
        </is>
      </c>
      <c r="C1" s="1" t="inlineStr">
        <is>
          <t>Recommended answer</t>
        </is>
      </c>
      <c r="D1" s="1" t="inlineStr">
        <is>
          <t>Why and source</t>
        </is>
      </c>
      <c r="E1" s="1" t="inlineStr">
        <is>
          <t>Affected rows/fields</t>
        </is>
      </c>
      <c r="F1" s="1" t="inlineStr">
        <is>
          <t>Consequence of changing it</t>
        </is>
      </c>
      <c r="G1" s="1" t="inlineStr">
        <is>
          <t>Status</t>
        </is>
      </c>
      <c r="H1" s="1" t="inlineStr">
        <is>
          <t>Reviewer note</t>
        </is>
      </c>
    </row>
    <row r="2" ht="150" customHeight="1">
      <c r="A2" s="2" t="inlineStr">
        <is>
          <t>Q1</t>
        </is>
      </c>
      <c r="B2" s="2" t="inlineStr">
        <is>
          <t>Process and round map (one process; four stages and rejected anchor candidates)</t>
        </is>
      </c>
      <c r="C2" s="2" t="inlineStr">
        <is>
          <t>Adopt one process (Process 1) with Round 0 (Q4 2015–03/27/2016), Round 1 anchored on the week-of-03/28/2016 outreach, Round 2 from the 06/01/2016 advancement, Round 3 from the 07/27/2016 selection (Inferred final), plus post-signing events. Keep R003 and R005 as rejected Round 1 anchor candidates.</t>
        </is>
      </c>
      <c r="D2" s="2" t="inlineStr">
        <is>
          <t>No abandonment, dormancy or restart is reported between the Q4 2015 approach and signing; the contacts run continuously (P-002–P-023). The first solicitation is the wave itself (P-006, p.28); the 03/24 authorization and 03/14 decision are earlier decision points kept as separate rows so the boundary can be moved.</t>
        </is>
      </c>
      <c r="E2" s="2" t="inlineStr">
        <is>
          <t>R001, R003, R005, R007, R022, R038 (process/round; Round finality)</t>
        </is>
      </c>
      <c r="F2" s="2" t="inlineStr">
        <is>
          <t>Moving the R1 anchor to R003/R005 changes the round in which the initial outreach sits and the stage counts; splitting into two processes would require evidence of abandonment/restart that the filing does not report.</t>
        </is>
      </c>
      <c r="G2" s="7" t="inlineStr">
        <is>
          <t>Pending</t>
        </is>
      </c>
      <c r="H2" s="2" t="inlineStr"/>
    </row>
    <row r="3" ht="150" customHeight="1">
      <c r="A3" s="2" t="inlineStr">
        <is>
          <t>Q2</t>
        </is>
      </c>
      <c r="B3" s="2" t="inlineStr">
        <is>
          <t>Deadline history: 05/19 treatment, 07/20 late acceptance, and the undated late-July LOI window</t>
        </is>
      </c>
      <c r="C3" s="2" t="inlineStr">
        <is>
          <t>Keep 05/10 Extended, 05/19 Enforced, 07/20 Late bids accepted. Keep the five undated late-July LOIs on Working date 07/20 with Date from/to 07/20–07/27 and note that arrivals were probably 07/20–07/22 but that window is not entered as a bound.</t>
        </is>
      </c>
      <c r="D3" s="2" t="inlineStr">
        <is>
          <t>05/10 was postponed (P-010, p.29). The nine IOIs arrived 05/19–06/01 and the process advanced 06/01 (P-011, p.29); the receipt window merely straddles the 05/19 date and no individual arrival is dated after it — the instruction treats a straddling window as not late, so Enforced; a reviewer preferring Late bids accepted for 05/19 would change R018/R017 treatment. G&amp;W’s 07/21 LOI was considered (P-017, p.29; P-023, p.30) — Late bids accepted for 07/20. The 07/27 meeting compared all six LOIs (P-023), so every undated LOI is established received by 07/27.</t>
        </is>
      </c>
      <c r="E3" s="2" t="inlineStr">
        <is>
          <t>R016, R017, R018, R019, R023, R028, R029–R033 (Due date; Deadline treatment; Date from/to; Working date)</t>
        </is>
      </c>
      <c r="F3" s="2" t="inlineStr">
        <is>
          <t>Changing 05/19 to Late bids accepted would relabel the R018 milestone and the Summary deadline map; there is no evidence to extend or revise the 07/20 date.</t>
        </is>
      </c>
      <c r="G3" s="7" t="inlineStr">
        <is>
          <t>Pending</t>
        </is>
      </c>
      <c r="H3" s="2" t="inlineStr"/>
    </row>
    <row r="4" ht="150" customHeight="1">
      <c r="A4" s="2" t="inlineStr">
        <is>
          <t>Q3</t>
        </is>
      </c>
      <c r="B4" s="2" t="inlineStr">
        <is>
          <t>NDA population (25 vs 26), contact reconciliation, and unresolved overlaps</t>
        </is>
      </c>
      <c r="C4" s="2" t="inlineStr">
        <is>
          <t>Record 11 strategic + 14 financial signers for the March–April wave and Party C separately (26 signer events); treat the Reasons section’s “25” as the wave (or as an inconsistency) and flag the one-unit difference. Party B’s contact Count remains blank; the two additional Class I railroads never entered; the two non-submitting LOI bidders are from the seven-plus-Party-C stage population.</t>
        </is>
      </c>
      <c r="D4" s="2" t="inlineStr">
        <is>
          <t>Wave narrative 11 strategic + 14 financial = 25 (P-006, p.28); Reasons says “25 of whom entered into confidentiality agreements… and six of whom submitted non-binding letters of intent” (X-001, p.33) while the six LOIs include Party C, whose July CA is separately described (P-014, p.29). Party B’s cohort membership is not disclosed (P-008, p.28). Two Class I railroads were approached but no NDA/bid is reported (P-008). One strategic and one financial buyer elected not to submit an LOI (P-022, p.30).</t>
        </is>
      </c>
      <c r="E4" s="2" t="inlineStr">
        <is>
          <t>R008–R011, R014, R015, R025, R026, R034, R035 (Count; population descriptions)</t>
        </is>
      </c>
      <c r="F4" s="2" t="inlineStr">
        <is>
          <t>Deciding the 25 includes Party C would reduce the wave signers to 24 and change R010/R011 Counts and both Summary totals; treating Party B as inside the wave would allow Count 1 on R015.</t>
        </is>
      </c>
      <c r="G4" s="7" t="inlineStr">
        <is>
          <t>Pending</t>
        </is>
      </c>
      <c r="H4" s="2" t="inlineStr"/>
    </row>
    <row r="5" ht="150" customHeight="1">
      <c r="A5" s="2" t="inlineStr">
        <is>
          <t>Q4</t>
        </is>
      </c>
      <c r="B5" s="2" t="inlineStr">
        <is>
          <t>Bidder types and anonymity (A–F, cohorts) — no outside identification used</t>
        </is>
      </c>
      <c r="C5" s="2" t="inlineStr">
        <is>
          <t>Keep the filing’s role-based types: A, B, C, E, F and G&amp;W Strategic; D Financial; the nine-IOI cohort, the two excluded bidders, the 16 non-submitters Unknown; the two non-submitting LOI bidders split Strategic/Financial as the filing supplies. Do not attempt to name any anonymous party.</t>
        </is>
      </c>
      <c r="D5" s="2" t="inlineStr">
        <is>
          <t>Party A is a “Class I rail partner” (P-002, p.27); B and C are “potential strategic buyer[s]” (P-008, p.28; P-014, p.29); D is “a financial buyer” (P-019, p.30); E and F are “a strategic buyer” (P-018, P-021, p.30); G&amp;W operates railroads (X-014, p.21). The nine-IOI group and residuals carry no usable type evidence.</t>
        </is>
      </c>
      <c r="E5" s="2" t="inlineStr">
        <is>
          <t>R001, R015, R024–R026, R029–R037, R043 (Type; identity descriptions)</t>
        </is>
      </c>
      <c r="F5" s="2" t="inlineStr">
        <is>
          <t>Reassigning any type would change Summary participant lines and could affect cohort splits; naming anonymous parties from outside knowledge is out of scope by instruction.</t>
        </is>
      </c>
      <c r="G5" s="7" t="inlineStr">
        <is>
          <t>Pending</t>
        </is>
      </c>
      <c r="H5" s="2" t="inlineStr"/>
    </row>
    <row r="6" ht="150" customHeight="1">
      <c r="A6" s="2" t="inlineStr">
        <is>
          <t>Q5</t>
        </is>
      </c>
      <c r="B6" s="2" t="inlineStr">
        <is>
          <t>Inferred/closing outcomes and their agency (every inferred row grouped by transition)</t>
        </is>
      </c>
      <c r="C6" s="2" t="inlineStr">
        <is>
          <t>Accept the closures: R020 (Did not submit, Inferred: residual — 25 − 9 = 16, working 05/19) and R034/R035 (stated non-submissions, by 07/20); R043 (Party A, Inferred: identity, Count 0, first named set excluding it 07/27); R056/R057 (D and E, Inferred: silent at the 08/12 signing). D’s 08/02 statement is treated as Participation paused, not an exit.</t>
        </is>
      </c>
      <c r="D6" s="2" t="inlineStr">
        <is>
          <t>Bases and arithmetic are in section 10.2 of the instruction and each row’s Why cell: R020 uses the 25-signer base and nine submitters (P-006, p.28; P-011, p.29); R043 uses the 07/27 continuation of “G&amp;W and Party B” (P-023, p.30); D/E last appear 08/02 and the next identified transition is signing (P-024, p.30; P-033, p.32). The filing does not state who the two lowest IOIs were or which anonymous exit was Party A’s.</t>
        </is>
      </c>
      <c r="E6" s="2" t="inlineStr">
        <is>
          <t>R020, R021, R034, R035, R043, R049, R056, R057 (Outcome basis; Count; Decided by; Exit reason)</t>
        </is>
      </c>
      <c r="F6" s="2" t="inlineStr">
        <is>
          <t>If the 25-signer base or the nine-submitter set is corrected, R020’s Count and the Round 1 balance change; if Party A is instead mapped to a named exit, only R043’s covering-row list changes — counts must not move to the name.</t>
        </is>
      </c>
      <c r="G6" s="7" t="inlineStr">
        <is>
          <t>Pending</t>
        </is>
      </c>
      <c r="H6" s="2" t="inlineStr"/>
    </row>
    <row r="7" ht="150" customHeight="1">
      <c r="A7" s="2" t="inlineStr">
        <is>
          <t>Q6</t>
        </is>
      </c>
      <c r="B7" s="2" t="inlineStr">
        <is>
          <t>Formality and conditions borderline calls (including the late reconfirmation and every diligence-period Heavy)</t>
        </is>
      </c>
      <c r="C7" s="2" t="inlineStr">
        <is>
          <t>Keep: nine-IOI cohort Informal/Heavy by context (R019); Party C IOI Informal/Heavy (R026); B’s LOI and reaffirmation Formal/Light with “DD required: confirmatory” mapping an expedited diligence review (R029, R051; R051 is a flagged late reconfirmation — Reaffirmed by: returned draft, $24 carried forward); E’s LOIs/reversion Informal/Heavy with the 60-day exclusivity (R030, R047, R048); D Formal/Heavy (R031, R046); C and F Informal/Heavy (R032, R033); G&amp;W Formal/Heavy for the July bids and Formal/Light for the final $25.00 bid with no diligence condition (R036, R037, R054).</t>
        </is>
      </c>
      <c r="D7" s="2" t="inlineStr">
        <is>
          <t>Formal signals: B, G&amp;W and D returned agreement mark-ups (P-015, p.29); E provided only an issues summary (P-015); the final G&amp;W bid carried mark-ups and was priced during definitive negotiation (P-028, p.31). Heavy triggers are stated multi-week/exclusive diligence periods (P-016–P-021, p.29–30; P-024, p.30). B’s reaffirmation meets the three-part late-reconfirmation test (P-026/P-027, p.31).</t>
        </is>
      </c>
      <c r="E7" s="2" t="inlineStr">
        <is>
          <t>R019, R026, R029–R037, R046–R051, R054 (Formality; Conditions level; Conditions detail; Price origin)</t>
        </is>
      </c>
      <c r="F7" s="2" t="inlineStr">
        <is>
          <t>A reviewer treating E’s issues summary as a returned markup would make E Formal; treating B’s expedited review as substantive would make B Heavy; either change alters the deal-history reading but not the outcome.</t>
        </is>
      </c>
      <c r="G7" s="7" t="inlineStr">
        <is>
          <t>Pending</t>
        </is>
      </c>
      <c r="H7" s="2" t="inlineStr"/>
    </row>
    <row r="8" ht="150" customHeight="1">
      <c r="A8" s="2" t="inlineStr">
        <is>
          <t>Q7</t>
        </is>
      </c>
      <c r="B8" s="2" t="inlineStr">
        <is>
          <t>Working-date conventions that decide row order (05/19 IOI window, mid-June, early-July Party C, the five undated LOIs vs G&amp;W 07/21, deadline-revision window, 07/29 re-entries)</t>
        </is>
      </c>
      <c r="C8" s="2" t="inlineStr">
        <is>
          <t>Keep the assigned Working dates and the disclosed methods: R019 05/19 (Assigned: deadline); R023 06/15 (midpoint of 06/11–19); R024/R025 07/05 (midpoint of 07/01–10; R025 Assigned: sequence); R029–R033 07/20 (Assigned: deadline) displayed before G&amp;W’s 07/21 exact LOI — their relative order is not known and is a display convention only; R017 05/08 (midpoint of the derived 04/28–05/18 window); R039–R043 07/27 (Assigned: decision day).</t>
        </is>
      </c>
      <c r="D8" s="2" t="inlineStr">
        <is>
          <t>The instruction’s date rules and the filing’s own sequencing (P-010, P-012, P-014–P-017, P-023). Example: the five undated LOIs cannot be shown to have arrived before G&amp;W’s 07/21 LOI or after their 07/20 deadline; the ledger sorts them at the deadline and says so (R029–R033).</t>
        </is>
      </c>
      <c r="E8" s="2" t="inlineStr">
        <is>
          <t>R017, R019, R023–R035, R039–R045 (Working date; Date basis; Date method; # order)</t>
        </is>
      </c>
      <c r="F8" s="2" t="inlineStr">
        <is>
          <t>Moving any assigned date within its own window would change # order and possibly stage counts; reported and inferred dates are not moved.</t>
        </is>
      </c>
      <c r="G8" s="7" t="inlineStr">
        <is>
          <t>Pending</t>
        </is>
      </c>
      <c r="H8" s="2" t="inlineStr"/>
    </row>
    <row r="9" ht="150" customHeight="1">
      <c r="A9" s="2" t="inlineStr">
        <is>
          <t>Q8</t>
        </is>
      </c>
      <c r="B9" s="2" t="inlineStr">
        <is>
          <t>Post-signing matters, contingent consideration and comparability inputs</t>
        </is>
      </c>
      <c r="C9" s="2" t="inlineStr">
        <is>
          <t>Keep the 09/06/2016 BMO conflict row as a Material process update (R060); keep the CVR ($1.13/share, South Quay) only in G&amp;W’s July bid rows and the Summary; keep the preferred 100-for-1 conversion and the labelled $2,500 per preferred share conversion in the Summary; no go-shop and no observed post-signing competing proposal.</t>
        </is>
      </c>
      <c r="D9" s="2" t="inlineStr">
        <is>
          <t>Background p.32 (P-034) and the financial-analysis Miscellaneous section (X-006/X-007, p.41–42: ~5% affiliate participation; $1–5 million revenue since 01/01/2014). CVR defined in P-017, p.29. Consideration X-008, p.50. No go-shop provision appears in the merger-agreement summaries reviewed.</t>
        </is>
      </c>
      <c r="E9" s="2" t="inlineStr">
        <is>
          <t>R036, R037, R054, R058, R060 (Terms; All cash; Cash at closing; Summary comparability)</t>
        </is>
      </c>
      <c r="F9" s="2" t="inlineStr">
        <is>
          <t>Treating the CVR as non-cash or ignoring the BMO relationship would misstate G&amp;W’s July consideration or the adviser-conflict record; the preferred conversion changes only the Summary conversion, not per-common-share bids.</t>
        </is>
      </c>
      <c r="G9" s="7" t="inlineStr">
        <is>
          <t>Pending</t>
        </is>
      </c>
      <c r="H9" s="2" t="inlineStr"/>
    </row>
    <row r="10"/>
    <row r="11">
      <c r="A11" s="8" t="inlineStr">
        <is>
          <t>SECTION 13 CHECK RESULTS (run on this delivered version)</t>
        </is>
      </c>
    </row>
    <row r="12" ht="96" customHeight="1">
      <c r="A12" s="6" t="inlineStr">
        <is>
          <t>1. Coverage and materiality</t>
        </is>
      </c>
      <c r="B12" s="2" t="inlineStr">
        <is>
          <t>Passed with qualifications</t>
        </is>
      </c>
      <c r="C12" s="2" t="inlineStr">
        <is>
          <t>All disclosed core offers, contacts/NDAs, selections, outcomes, deadlines, signing and publicity are represented (R001–R060). Qualifications: no go-shop exists and no post-signing competition is reported, so none appears; contact-only parties (two Class I railroads) and never-admitted parties have no outcome rows by convention. Routine meetings were folded into related rows.</t>
        </is>
      </c>
    </row>
    <row r="13" ht="96" customHeight="1">
      <c r="A13" s="6" t="inlineStr">
        <is>
          <t>2. Counts and population</t>
        </is>
      </c>
      <c r="B13" s="2" t="inlineStr">
        <is>
          <t>Qualified</t>
        </is>
      </c>
      <c r="C13" s="2" t="inlineStr">
        <is>
          <t>Ledger formulas: contacts 33 units; NDA signers 26 events; round-bidder tallies 9 / 6 / 4. Filing assertions retained: 11+18 contacted; 25 NDA signers; nine IOIs; six LOIs. Unresolved: 25 vs 26 signer reconciliation (Q3) and Party B’s blank contact Count. Per-stage balance shown in Summary section 5; alternative counts are qualified rather than forced.</t>
        </is>
      </c>
    </row>
    <row r="14" ht="96" customHeight="1">
      <c r="A14" s="6" t="inlineStr">
        <is>
          <t>3. Participation continuity</t>
        </is>
      </c>
      <c r="B14" s="2" t="inlineStr">
        <is>
          <t>Passed with qualifications</t>
        </is>
      </c>
      <c r="C14" s="2" t="inlineStr">
        <is>
          <t>Every entered participant ends in a stated outcome, an inferred closing row, or signing; re-entries recorded for D/E (R044–R045). Qualifications: Party A’s exit is a Count-0 identity row (Q5), and the two non-submitting LOI bidders and 16 non-submitters are anonymous residuals. Stock per stage: R1 25−16−2=7; R2 8−2−4=2; R3 2+2−3=1 (winner).</t>
        </is>
      </c>
    </row>
    <row r="15" ht="96" customHeight="1">
      <c r="A15" s="6" t="inlineStr">
        <is>
          <t>4. Dates and order</t>
        </is>
      </c>
      <c r="B15" s="2" t="inlineStr">
        <is>
          <t>Passed (programmatic)</t>
        </is>
      </c>
      <c r="C15" s="2" t="inlineStr">
        <is>
          <t>Sorting by Working date then # reproduces # order (verified by code); no Working date falls outside its own Date from/to; Reported/Inferred labels match Date basis; deadline communication, deadlines and signing are distinct. Application-level date checking (Excel recalculation) not performed.</t>
        </is>
      </c>
    </row>
    <row r="16" ht="96" customHeight="1">
      <c r="A16" s="6" t="inlineStr">
        <is>
          <t>5. Offers and classifications</t>
        </is>
      </c>
      <c r="B16" s="2" t="inlineStr">
        <is>
          <t>Passed with qualifications</t>
        </is>
      </c>
      <c r="C16" s="2" t="inlineStr">
        <is>
          <t>Every Bid and Bid reaffirmed row has Formality, Conditions level and a fixed-format Conditions detail string (verified by code); price kinds/origins, currencies and cash flags agree with the text; signing, reaffirmations, reversions and group envelope are not counted as separate priced submissions. Qualifications: Q6 borderline calls (E’s issues-summary formality; mapping expedited review to confirmatory).</t>
        </is>
      </c>
    </row>
    <row r="17" ht="96" customHeight="1">
      <c r="A17" s="6" t="inlineStr">
        <is>
          <t>6. Structure and consistency</t>
        </is>
      </c>
      <c r="B17" s="2" t="inlineStr">
        <is>
          <t>Passed (programmatic)</t>
        </is>
      </c>
      <c r="C17" s="2" t="inlineStr">
        <is>
          <t>Each numbered round has exactly one Round opened row (R007, R022, R038) with a Round finality value; R007 carries the R1 anchor tag with rejected candidates; every Deadline row has a treatment matching the Summary map; every inferred row opens with its Outcome basis; Page is filled wherever Source is; Date basis/Date method pairs are permitted.</t>
        </is>
      </c>
    </row>
    <row r="18" ht="96" customHeight="1">
      <c r="A18" s="6" t="inlineStr">
        <is>
          <t>7. Evidence</t>
        </is>
      </c>
      <c r="B18" s="2" t="inlineStr">
        <is>
          <t>Passed with declared normalization</t>
        </is>
      </c>
      <c r="C18" s="2" t="inlineStr">
        <is>
          <t>Every quotation in Why and evidence was checked programmatically as an exact substring of its cited Source text paragraph (curly quotes and whitespace normalized only at layout level). Interpretation over and above the quotations (rounds, conventions, agency) is argued in the cells and Questions. Text matching alone is not proof of interpretation.</t>
        </is>
      </c>
    </row>
    <row r="19" ht="96" customHeight="1">
      <c r="A19" s="6" t="inlineStr">
        <is>
          <t>8. Review and workbook operation</t>
        </is>
      </c>
      <c r="B19" s="2" t="inlineStr">
        <is>
          <t>Qualified</t>
        </is>
      </c>
      <c r="C19" s="2" t="inlineStr">
        <is>
          <t>Question links and affected rows resolve to defined Row ids; validations reference the Lists sheet; AI original matches the ledger baseline (row-by-row value comparison by Row id performed); conditional formatting highlights changes by Row id/column. Not performed in a spreadsheet application: formula recalculation, drop-down and hyperlink behavior, and print/layout inspection — LibreOffice is installed but crashed on startup in this environment, so verification was programmatic (openpyxl) only.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11" customWidth="1" min="1" max="1"/>
    <col width="48" customWidth="1" min="2" max="2"/>
    <col width="7" customWidth="1" min="3" max="3"/>
    <col width="140" customWidth="1" min="4" max="4"/>
  </cols>
  <sheetData>
    <row r="1" ht="30" customHeight="1">
      <c r="A1" s="1" t="inlineStr">
        <is>
          <t>Paragraph</t>
        </is>
      </c>
      <c r="B1" s="1" t="inlineStr">
        <is>
          <t>Section</t>
        </is>
      </c>
      <c r="C1" s="1" t="inlineStr">
        <is>
          <t>Page</t>
        </is>
      </c>
      <c r="D1" s="1" t="inlineStr">
        <is>
          <t>Text</t>
        </is>
      </c>
    </row>
    <row r="2" ht="60" customHeight="1">
      <c r="A2" s="2" t="inlineStr">
        <is>
          <t>P-001</t>
        </is>
      </c>
      <c r="B2" s="2" t="inlineStr">
        <is>
          <t>Background of the Merger</t>
        </is>
      </c>
      <c r="C2" s="7" t="n">
        <v>27</v>
      </c>
      <c r="D2" s="2" t="inlineStr">
        <is>
          <t>Background of the Merger</t>
        </is>
      </c>
    </row>
    <row r="3" ht="60" customHeight="1">
      <c r="A3" s="2" t="inlineStr">
        <is>
          <t>P-002</t>
        </is>
      </c>
      <c r="B3" s="2" t="inlineStr">
        <is>
          <t>Background of the Merger</t>
        </is>
      </c>
      <c r="C3" s="7" t="n">
        <v>27</v>
      </c>
      <c r="D3" s="2" t="inlineStr">
        <is>
          <t>In the fourth quarter of 2015, Robert H. Eder (the Company’s Chairman and Chief Executive Officer) and Frank K. Rogers (the Company’s Vice President and Chief Commercial Officer) met with one of the Company’s Class I rail partners (“Party A”) to discuss joint commercial opportunities. During the meeting, Party A suggested possible joint venture arrangements and expressed some interest in acquiring equity in the Company to further develop strategic opportunities and enhance regional connectivity. Upon receiving a report of this meeting, in recognition of its public company obligations, the Board appointed a subcommittee of two independent directors, Frank W. Barrett and Richard W. Anderson, to interview potential investment bankers to represent the Company in possible negotiations with Party A and to assist the Board in evaluating additional strategic options for the realization of shareholder value, including potential change in control transactions. The subcommittee interviewed several investment banking firms, including Greene Holcomb &amp; Fisher LLC (the business of which was subsequently acquired by BMO Capital Markets Corp. and which we refer to as “GHF” prior to such acquisition and “BMO” thereafter). During the executive session of the Board’s regular quarterly meeting held on January 27, 2016 (which Director Alfred P. Smith did not attend), the subcommittee recommended to the Board that the Company retain GHF as its investment banking firm. At that meeting, representatives of GHF discussed with the Board its qualifications and a proposed process should the directors ultimately decide to proceed with a change in control transaction. As part of the interview process, GHF represented to the Company that it would not represent any potential buyer of the Company in connection with an offer to purchase the Company or any person proposing to provide financing in connection with such an offer. Following this presentation, the Board approved the subcommittee’s recommendation and the Company engaged GHF. In selecting GHF, the Board considered, among other things, the fact that GHF was a reputable investment banking firm with substantial experience advising companies in the rail sector and in providing strategic advisory services in general, GHF had recent experience providing strategic advisory services in connection with the sale of a short-line railroad and, in the Board’s opinion, GHF would commit appropriate attention, resources and personnel to the process.</t>
        </is>
      </c>
    </row>
    <row r="4" ht="60" customHeight="1">
      <c r="A4" s="2" t="inlineStr">
        <is>
          <t>P-003</t>
        </is>
      </c>
      <c r="B4" s="2" t="inlineStr">
        <is>
          <t>Background of the Merger</t>
        </is>
      </c>
      <c r="C4" s="7" t="n">
        <v>27</v>
      </c>
      <c r="D4" s="2" t="inlineStr">
        <is>
          <t>At a special meeting of the Board held on March 14, 2016, representatives of GHF discussed their evaluation of the Company’s business operations and strategy for improving operational and financial performance, as well as railroad industry dynamics more generally and their impact on current railroad valuations. Representatives of GHF then proposed a process pursuant to which the Company would proceed with discussions with Party A and also solicit interest from other potential third parties regarding a change in control transaction. The Board considered various factors, including the marketplace, the risks attendant to engaging in the process discussed with representatives of GHF, the Company’s overall strategic position, and the challenges attendant to improving the Company’s financial performance in order to maximize shareholder value and concluded, based upon its examination of these and other factors, that it was in the best interest of the Company</t>
        </is>
      </c>
    </row>
    <row r="5" ht="60" customHeight="1">
      <c r="A5" s="2" t="inlineStr">
        <is>
          <t>P-004</t>
        </is>
      </c>
      <c r="B5" s="2" t="inlineStr">
        <is>
          <t>Background of the Merger (continuation of previous paragraph)</t>
        </is>
      </c>
      <c r="C5" s="7" t="n">
        <v>28</v>
      </c>
      <c r="D5" s="2" t="inlineStr">
        <is>
          <t>and its shareholders to proceed with the transaction strategy discussed with representatives of GHF. In light of the potentially significant time and effort involved in pursuing such exploratory transaction strategy, as well as the possible need to provide guidance to GHF and management on short notice, at the conclusion of the meeting, the Board appointed a special committee of independent directors of the Board (which we refer to as the “Transaction Committee”), composed of Frank W. Barrett (Chair), Richard W. Anderson and James C. Garvey, for the purpose of assisting in the supervision and oversight of the process on the full Board’s behalf and making a recommendation to the full Board. The Transaction Committee did not have the authority to approve or enter into a change of control transaction, which, under Rhode Island law, is an authority that can only be exercised by the full Board. At the time of appointment, Messrs. Barrett and Garvey had been elected by the preferred shareholders and Mr. Anderson had been elected by the common shareholders at the 2015 annual shareholders meeting. At the Company’s 2016 annual shareholders meeting on April 27, 2016, Messrs. Barrett and Anderson were re-elected as directors by the common shareholders and Mr. Garvey was re-elected as a director by the preferred shareholders.</t>
        </is>
      </c>
    </row>
    <row r="6" ht="60" customHeight="1">
      <c r="A6" s="2" t="inlineStr">
        <is>
          <t>P-005</t>
        </is>
      </c>
      <c r="B6" s="2" t="inlineStr">
        <is>
          <t>Background of the Merger</t>
        </is>
      </c>
      <c r="C6" s="7" t="n">
        <v>28</v>
      </c>
      <c r="D6" s="2" t="inlineStr">
        <is>
          <t>On March 22, 2016 and March 23, 2016, Daniel T. Noreck (the Company’s Chief Financial Officer and Treasurer) and other members of the senior management team of the Company met with various representatives of Party A.</t>
        </is>
      </c>
    </row>
    <row r="7" ht="60" customHeight="1">
      <c r="A7" s="2" t="inlineStr">
        <is>
          <t>P-006</t>
        </is>
      </c>
      <c r="B7" s="2" t="inlineStr">
        <is>
          <t>Background of the Merger</t>
        </is>
      </c>
      <c r="C7" s="7" t="n">
        <v>28</v>
      </c>
      <c r="D7" s="2" t="inlineStr">
        <is>
          <t>On March 24, 2016, the Transaction Committee met by telephone conference to discuss the results of management’s meeting with Party A and to discuss next steps in the process. Members of management and representatives of each of GHF and the Company’s legal counsel, Hinckley, Allen &amp; Snyder LLP (which we refer to as “Hinckley Allen”), participated in all meetings of the Transaction Committee, except as otherwise indicated. At this meeting, Mr. Noreck reported that he and other members of the senior management team had met with various representatives of Party A on March 22 and 23, 2016 and had informed Party A of GHF’s engagement. The Transaction Committee authorized GHF to contact Party A as well as other potential buyers to determine their level of interest in a change in control transaction. During the week of March 28, 2016, in accordance with the Transaction Committee’s directives, representatives of GHF contacted 11 potential strategic buyers (including Party A) and 18 potential financial buyers. Each of the potential strategic buyers and 14 potential financial buyers subsequently executed confidentiality agreements. The confidentiality agreements did not contain any “standstill” or similar provision that would prohibit a potential buyer from submitting a proposal or making an offer to acquire the Company.</t>
        </is>
      </c>
    </row>
    <row r="8" ht="60" customHeight="1">
      <c r="A8" s="2" t="inlineStr">
        <is>
          <t>P-007</t>
        </is>
      </c>
      <c r="B8" s="2" t="inlineStr">
        <is>
          <t>Background of the Merger</t>
        </is>
      </c>
      <c r="C8" s="7" t="n">
        <v>28</v>
      </c>
      <c r="D8" s="2" t="inlineStr">
        <is>
          <t>Between April 3, 2016 and April 6, 2016, representatives of GHF and members of the Company’s management held a series of introductory meetings with five potential strategic buyers (including G&amp;W) at the American Short Line and Regional Railroad Association’s 2016 Connections Convention (“2016 Connections Convention”).</t>
        </is>
      </c>
    </row>
    <row r="9" ht="60" customHeight="1">
      <c r="A9" s="2" t="inlineStr">
        <is>
          <t>P-008</t>
        </is>
      </c>
      <c r="B9" s="2" t="inlineStr">
        <is>
          <t>Background of the Merger</t>
        </is>
      </c>
      <c r="C9" s="7" t="n">
        <v>28</v>
      </c>
      <c r="D9" s="2" t="inlineStr">
        <is>
          <t>On April 7, 2016, the Transaction Committee met by telephone conference and discussed the process to date with representatives of GHF. Representatives of GHF reported that they and Company management had held a series of introductory meetings with five potential strategic buyers (including G&amp;W) at the 2016 Connections Convention. Mr. Noreck reported that the Company had also approached two additional Class I railroads to determine their interest in a possible transaction. After discussion, the Transaction Committee authorized representatives of GHF, on behalf of the Company, to contact each of the five interested parties with whom management had met at the 2016 Connections Convention, as well as other potential strategic buyers (including certain Class I railroads) and private equity firms who had entered into confidentiality agreements with the Company to confirm their continuing interest. Subsequently, on April 21, 2016, the Company and representatives of GHF held an introductory meeting with another potential strategic buyer (“Party B”).</t>
        </is>
      </c>
    </row>
    <row r="10" ht="60" customHeight="1">
      <c r="A10" s="2" t="inlineStr">
        <is>
          <t>P-009</t>
        </is>
      </c>
      <c r="B10" s="2" t="inlineStr">
        <is>
          <t>Background of the Merger</t>
        </is>
      </c>
      <c r="C10" s="7" t="n">
        <v>28</v>
      </c>
      <c r="D10" s="2" t="inlineStr">
        <is>
          <t>With the assistance of GHF, the Company prepared a memorandum concerning the Company and its prospects, which was distributed to the potential buyers, including Party A, Party B and G&amp;W, that had executed confidentiality agreements. The Transaction Committee met with representatives of GHF by telephone conference on April 22, 2016 and discussed the status of discussions with potential buyers. On April 27, 2016,</t>
        </is>
      </c>
    </row>
    <row r="11" ht="60" customHeight="1">
      <c r="A11" s="2" t="inlineStr">
        <is>
          <t>P-010</t>
        </is>
      </c>
      <c r="B11" s="2" t="inlineStr">
        <is>
          <t>Background of the Merger (continuation of previous paragraph)</t>
        </is>
      </c>
      <c r="C11" s="7" t="n">
        <v>29</v>
      </c>
      <c r="D11" s="2" t="inlineStr">
        <is>
          <t>the Board met in executive session (without Mr. Eder present) with representatives of GHF and discussed the status of the process, including that each potential buyer had been advised to submit a non-binding indication of interest by May 10, 2016 (which deadline was subsequently postponed to May 19, 2016 to ensure the potential buyers had sufficient time to formulate their most compelling offers).</t>
        </is>
      </c>
    </row>
    <row r="12" ht="60" customHeight="1">
      <c r="A12" s="2" t="inlineStr">
        <is>
          <t>P-011</t>
        </is>
      </c>
      <c r="B12" s="2" t="inlineStr">
        <is>
          <t>Background of the Merger</t>
        </is>
      </c>
      <c r="C12" s="7" t="n">
        <v>29</v>
      </c>
      <c r="D12" s="2" t="inlineStr">
        <is>
          <t>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 The Transaction Committee met by telephone conference on May 23, 2016 and again on June 1, 2016 to consider the IOIs. In view of the substantial amount of management time that would be required for management presentations, the Transaction Committee concluded that the two low bidders should be excluded from that process. The Transaction Committee authorized representatives of GHF to schedule in-person management presentations with the remaining seven potential buyers and allow these parties to conduct additional due diligence. These potential buyers were given access to an internet data site to conduct legal and financial due diligence.</t>
        </is>
      </c>
    </row>
    <row r="13" ht="60" customHeight="1">
      <c r="A13" s="2" t="inlineStr">
        <is>
          <t>P-012</t>
        </is>
      </c>
      <c r="B13" s="2" t="inlineStr">
        <is>
          <t>Background of the Merger</t>
        </is>
      </c>
      <c r="C13" s="7" t="n">
        <v>29</v>
      </c>
      <c r="D13" s="2" t="inlineStr">
        <is>
          <t>In mid-June 2016, at the direction of the Transaction Committee, representatives of GHF instructed all potential buyers to submit non-binding letters of intent (“LOIs”) by July 20, 2016, together with mark-ups of the forms of merger agreement, disclosure letter and voting agreement, which GHF indicated would be posted to the internet data site. Potential buyers were instructed to provide a valuation for the Company based on the purchase of 100% of the outstanding common stock on a dollar per share basis (assuming conversion of the preferred stock into common stock) or the financial terms of any non-cash proposal.</t>
        </is>
      </c>
    </row>
    <row r="14" ht="60" customHeight="1">
      <c r="A14" s="2" t="inlineStr">
        <is>
          <t>P-013</t>
        </is>
      </c>
      <c r="B14" s="2" t="inlineStr">
        <is>
          <t>Background of the Merger</t>
        </is>
      </c>
      <c r="C14" s="7" t="n">
        <v>29</v>
      </c>
      <c r="D14" s="2" t="inlineStr">
        <is>
          <t>On June 29, 2016, the Company posted an initial draft of merger agreement to the internet data site, and on June 30, 2016, the Company posted an initial draft of voting agreement with respect to the common stock and preferred stock held by the Eder Trusts. On July 11, 2016, the Company posted an initial draft of disclosure letter to the internet data site.</t>
        </is>
      </c>
    </row>
    <row r="15" ht="60" customHeight="1">
      <c r="A15" s="2" t="inlineStr">
        <is>
          <t>P-014</t>
        </is>
      </c>
      <c r="B15" s="2" t="inlineStr">
        <is>
          <t>Background of the Merger</t>
        </is>
      </c>
      <c r="C15" s="7" t="n">
        <v>29</v>
      </c>
      <c r="D15" s="2" t="inlineStr">
        <is>
          <t>Over the course of June and July 2016, each of the potential buyers and their respective advisors engaged in due diligence of the Company’s business and financial condition, including holding meetings with certain members of the Company’s management team. The Transaction Committee met on June 30, 2016 to receive a status update on the management presentations and due diligence efforts of the potential buyers. In early July 2016, a potential strategic buyer that had not previously been part of the process (“Party C”) approached the Company’s management and expressed interest in acquiring the Company. After executing a confidentiality agreement, Party C was provided the memorandum concerning the Company provided to the other potential buyers. On July 12, 2016, Party C submitted an IOI with an offer price per share of $21.00 (implying an equity value of $108 million). Subsequently, Party C was provided access to the internet data site and the Company’s management held a management presentation with Party C by telephone on July 14, 2016.</t>
        </is>
      </c>
    </row>
    <row r="16" ht="60" customHeight="1">
      <c r="A16" s="2" t="inlineStr">
        <is>
          <t>P-015</t>
        </is>
      </c>
      <c r="B16" s="2" t="inlineStr">
        <is>
          <t>Background of the Merger</t>
        </is>
      </c>
      <c r="C16" s="7" t="n">
        <v>29</v>
      </c>
      <c r="D16" s="2" t="inlineStr">
        <is>
          <t>In late July 2016, the Company received six LOIs with offer prices per share ranging from $19.20 to $24.00 (implying equity values of $96 million to $121 million). Party B, G&amp;W and another bidder (“Party D”) also provided mark-ups of the draft merger agreement and voting agreement. One bidder (“Party E”) provided a summary of material issues and proposed changes to the merger agreement and voting agreement with respect to those issues.</t>
        </is>
      </c>
    </row>
    <row r="17" ht="60" customHeight="1">
      <c r="A17" s="2" t="inlineStr">
        <is>
          <t>P-016</t>
        </is>
      </c>
      <c r="B17" s="2" t="inlineStr">
        <is>
          <t>Background of the Merger</t>
        </is>
      </c>
      <c r="C17" s="7" t="n">
        <v>29</v>
      </c>
      <c r="D17" s="2" t="inlineStr">
        <is>
          <t>Party B submitted an LOI to acquire the Company for a price of $24.00 per share (subject to an expedited diligence review).</t>
        </is>
      </c>
    </row>
    <row r="18" ht="60" customHeight="1">
      <c r="A18" s="2" t="inlineStr">
        <is>
          <t>P-017</t>
        </is>
      </c>
      <c r="B18" s="2" t="inlineStr">
        <is>
          <t>Background of the Merger</t>
        </is>
      </c>
      <c r="C18" s="7" t="n">
        <v>29</v>
      </c>
      <c r="D18" s="2" t="inlineStr">
        <is>
          <t>G&amp;W submitted an LOI on July 21, 2016 to acquire the Company for a price of $21.15 per share (subject to a three-week exclusive diligence period). The price included $20.02 cash at closing and $1.13 in the form of a contingent value right, the value of which was based on the subsequent sale of the Company’s South Quay property (“CVR”). G&amp;W also provided a mark-up of the disclosure letter. On July 26, 2016, in response to feedback from representatives of GHF indicating its price and CVR structure were not competitive, G&amp;W submitted a revised LOI, which increased its offer to $22.15 per share (including $21.02 in cash and $1.13 CVR).</t>
        </is>
      </c>
    </row>
    <row r="19" ht="60" customHeight="1">
      <c r="A19" s="2" t="inlineStr">
        <is>
          <t>P-018</t>
        </is>
      </c>
      <c r="B19" s="2" t="inlineStr">
        <is>
          <t>Background of the Merger</t>
        </is>
      </c>
      <c r="C19" s="7" t="n">
        <v>30</v>
      </c>
      <c r="D19" s="2" t="inlineStr">
        <is>
          <t>Party E (a strategic buyer) submitted an LOI to acquire the Company for a price of $21.26 per share (subject to a 60-day exclusivity period for due diligence and negotiation of definitive documentation).</t>
        </is>
      </c>
    </row>
    <row r="20" ht="60" customHeight="1">
      <c r="A20" s="2" t="inlineStr">
        <is>
          <t>P-019</t>
        </is>
      </c>
      <c r="B20" s="2" t="inlineStr">
        <is>
          <t>Background of the Merger</t>
        </is>
      </c>
      <c r="C20" s="7" t="n">
        <v>30</v>
      </c>
      <c r="D20" s="2" t="inlineStr">
        <is>
          <t>Party D (a financial buyer) submitted an LOI to acquire the Company for a price of $21.00 per share (subject to a four-week diligence period).</t>
        </is>
      </c>
    </row>
    <row r="21" ht="60" customHeight="1">
      <c r="A21" s="2" t="inlineStr">
        <is>
          <t>P-020</t>
        </is>
      </c>
      <c r="B21" s="2" t="inlineStr">
        <is>
          <t>Background of the Merger</t>
        </is>
      </c>
      <c r="C21" s="7" t="n">
        <v>30</v>
      </c>
      <c r="D21" s="2" t="inlineStr">
        <is>
          <t>Party C submitted an LOI to acquire the Company for a price of $19.30 per share (subject to a 30-day diligence period).</t>
        </is>
      </c>
    </row>
    <row r="22" ht="60" customHeight="1">
      <c r="A22" s="2" t="inlineStr">
        <is>
          <t>P-021</t>
        </is>
      </c>
      <c r="B22" s="2" t="inlineStr">
        <is>
          <t>Background of the Merger</t>
        </is>
      </c>
      <c r="C22" s="7" t="n">
        <v>30</v>
      </c>
      <c r="D22" s="2" t="inlineStr">
        <is>
          <t>Party F (a strategic buyer) submitted an LOI to acquire the Company for a price of $19.20 per share (subject to a 30-day due diligence period).</t>
        </is>
      </c>
    </row>
    <row r="23" ht="60" customHeight="1">
      <c r="A23" s="2" t="inlineStr">
        <is>
          <t>P-022</t>
        </is>
      </c>
      <c r="B23" s="2" t="inlineStr">
        <is>
          <t>Background of the Merger</t>
        </is>
      </c>
      <c r="C23" s="7" t="n">
        <v>30</v>
      </c>
      <c r="D23" s="2" t="inlineStr">
        <is>
          <t>In addition to various due diligence requirements, the LOI prices were based on different assumptions and requirements related to transaction expenses and change in control payments, which GHF and the Transaction Committee observed could affect the ultimate offer price. One strategic buyer and one financial buyer elected not to submit an LOI.</t>
        </is>
      </c>
    </row>
    <row r="24" ht="60" customHeight="1">
      <c r="A24" s="2" t="inlineStr">
        <is>
          <t>P-023</t>
        </is>
      </c>
      <c r="B24" s="2" t="inlineStr">
        <is>
          <t>Background of the Merger</t>
        </is>
      </c>
      <c r="C24" s="7" t="n">
        <v>30</v>
      </c>
      <c r="D24" s="2" t="inlineStr">
        <is>
          <t>The Transaction Committee met by telephone conference on July 22, 2016 and in person after the regular quarterly Board meeting on July 27, 2016, to review the LOIs with representatives of GHF. Representatives of GHF reviewed the material financial terms of each LOI, including the offer price, and additional due diligence requested. The Transaction Committee discussed the process for the on-site due diligence requested by the bidders, the delays inherent in managing on-site due diligence by multiple parties and the difficulties of maintaining the confidentiality of the discussions. The Transaction Committee concluded that the Company should proceed with confirmatory due diligence and negotiations with G&amp;W and Party B because of the higher offers made by each of G&amp;W and Party B relative to the other potential buyers. At the direction of the Transaction Committee, representatives of GHF subsequently contacted the remaining bidders to inform them that they were no longer involved in the process. The Transaction Committee updated the independent directors (other than Director Smith) regarding the process at a meeting held immediately prior to the Board’s regular quarterly meeting on July 27, 2016. Director Smith is Vice President and Group Executive, Locomotive Group of GATX Corporation (“GATX”), which owns 4.92% of the Company’s common stock. In order to avoid any potential conflict, Mr. Smith elected to recuse himself from participating in this and other Board meetings at which the bidding process and any potential transaction were to be discussed because of the possibility that GATX might be a potential buyer of the Company.</t>
        </is>
      </c>
    </row>
    <row r="25" ht="60" customHeight="1">
      <c r="A25" s="2" t="inlineStr">
        <is>
          <t>P-024</t>
        </is>
      </c>
      <c r="B25" s="2" t="inlineStr">
        <is>
          <t>Background of the Merger</t>
        </is>
      </c>
      <c r="C25" s="7" t="n">
        <v>30</v>
      </c>
      <c r="D25" s="2" t="inlineStr">
        <is>
          <t>On July 29, 2016, representatives of GHF had calls with Party D and Party E. During those calls, Party D and Party E both expressed interest in reengaging and enhancing their offers. On August 1, 2016, Party D submitted a revised LOI at a price of $24.00 per share and Party E submitted a revised LOI, along with financing support, from Party F, at a price of $23.81 per share. Both revised proposals contained a 30-day due diligence period. The Transaction Committee convened by telephone conference on August 1, 2016, to consider the revised LOIs submitted by Party D and Party E and subsequently directed representatives of BMO (which acquired the business of GHF on August 1, 2016) to clarify certain elements of the revised proposals and the bidders’ respective due diligence requirements. Party E withdrew its revised proposal on August 2, 2016 (but confirmed its original proposal of $21.26 per share) and Party D declined to shorten its due diligence period and requested that the Company commit that it would not enter into an agreement with another bidder during its 30-day due diligence period. In light of the active interest of Party B and G&amp;W, the Company declined to make such a commitment, at which point Party D indicated that it would not proceed with further due diligence at that time.</t>
        </is>
      </c>
    </row>
    <row r="26" ht="60" customHeight="1">
      <c r="A26" s="2" t="inlineStr">
        <is>
          <t>P-025</t>
        </is>
      </c>
      <c r="B26" s="2" t="inlineStr">
        <is>
          <t>Background of the Merger</t>
        </is>
      </c>
      <c r="C26" s="7" t="n">
        <v>30</v>
      </c>
      <c r="D26" s="2" t="inlineStr">
        <is>
          <t>On August 1, 2016, Hinckley Allen provided Party B with a revised merger agreement and voting agreement, reflecting changes from the marked-up documents included with Party B’s LOI. On August 3, 2016, Hinckley Allen provided G&amp;W with a revised merger agreement and voting agreement, reflecting changes from the marked-up documents included with G&amp;W’s LOI. On August 3, 2016, the Company and Hinckley Allen also responded to additional due diligence questions submitted by Party B. On August 4, 2016, the Transaction Committee met by conference call to discuss the process with representatives of BMO and Hinckley Allen on the</t>
        </is>
      </c>
    </row>
    <row r="27" ht="60" customHeight="1">
      <c r="A27" s="2" t="inlineStr">
        <is>
          <t>P-026</t>
        </is>
      </c>
      <c r="B27" s="2" t="inlineStr">
        <is>
          <t>Background of the Merger (continuation of previous paragraph)</t>
        </is>
      </c>
      <c r="C27" s="7" t="n">
        <v>31</v>
      </c>
      <c r="D27" s="2" t="inlineStr">
        <is>
          <t>status of negotiations and due diligence. During that discussion, the Transaction Committee directed the management team and representatives of each of BMO and Hinckley Allen to continue diligence and negotiations with both G&amp;W and Party B, but given the higher price offered by Party B, to prioritize Party B and proceed to complete the negotiation of the merger agreement with Party B. From July 27, 2016 through August 11, 2016, Party B and G&amp;W conducted on-site financial, legal and environmental due diligence, including hi-rail trips to inspect the Company’s track infrastructure.</t>
        </is>
      </c>
    </row>
    <row r="28" ht="60" customHeight="1">
      <c r="A28" s="2" t="inlineStr">
        <is>
          <t>P-027</t>
        </is>
      </c>
      <c r="B28" s="2" t="inlineStr">
        <is>
          <t>Background of the Merger</t>
        </is>
      </c>
      <c r="C28" s="7" t="n">
        <v>31</v>
      </c>
      <c r="D28" s="2" t="inlineStr">
        <is>
          <t>On August 4, 2016, legal counsel for Party B provided a revised draft of the merger agreement and, following negotiations between their respective legal counsels, the Company provided Party B with a revised draft of the merger agreement and disclosure letter on August 5, 2016. On August 9, 2016, the Transaction Committee met by telephone conference to review the status of the negotiations and due diligence. Following that discussion, the Transaction Committee directed representatives of BMO to inform G&amp;W that the Company intended to enter into a merger agreement with another bidder. G&amp;W requested that it be allowed to continue its due diligence, including physical due diligence on August 10 and August 11, 2016, to potentially facilitate an improved offer, which request was granted. On August 10, 2016, representatives of Hinckley Allen and Simpson Thacher &amp; Bartlett LLP (which we refer to as “Simpson Thacher”), G&amp;W’s legal counsel, discussed various provisions of the draft merger agreement and voting agreement that had been provided to G&amp;W on August 3, 2016, and Hinckley Allen provided Simpson Thacher with a revised disclosure letter to accompany the August 3 draft merger agreement. On August 11, 2016, G&amp;W indicated its possible intention to submit a revised LOI on August 12, 2016, having just completed its physical diligence of the Company’s track infrastructure.</t>
        </is>
      </c>
    </row>
    <row r="29" ht="60" customHeight="1">
      <c r="A29" s="2" t="inlineStr">
        <is>
          <t>P-028</t>
        </is>
      </c>
      <c r="B29" s="2" t="inlineStr">
        <is>
          <t>Background of the Merger</t>
        </is>
      </c>
      <c r="C29" s="7" t="n">
        <v>31</v>
      </c>
      <c r="D29" s="2" t="inlineStr">
        <is>
          <t>Based upon progress made in due diligence and the negotiations with Party B during the week of August 8, 2016, meetings of the Transaction Committee and Board were scheduled for August 12, 2016 in anticipation of reviewing final agreements and approving a transaction with Party B. On the morning of August 12, 2016, following a discussion between representatives of BMO and G&amp;W in which G&amp;W indicated it would be submitting a revised LOI, G&amp;W submitted a revised LOI to acquire the Company for a price of $25.00 per share in cash, which excluded the previously proposed CVR, together with mark-ups of the merger agreement and the voting agreement. G&amp;W’s LOI further indicated that the offer would expire at 6:00 p.m. on the following day. Later that day, Simpson Thacher submitted a mark-up of the disclosure letter. Upon receipt of the revised LOI and related merger documents, Hinckley Allen and Simpson Thacher negotiated revisions to the merger agreement and disclosure letter. The Transaction Committee met at 10:30 a.m. on August 12, 2016, and reviewed the status of the negotiations and merger documents with both Party B and G&amp;W. Following that discussion, the Transaction Committee directed representatives of BMO to inform Party B that another party had submitted a revised LOI at a higher price.</t>
        </is>
      </c>
    </row>
    <row r="30" ht="60" customHeight="1">
      <c r="A30" s="2" t="inlineStr">
        <is>
          <t>P-029</t>
        </is>
      </c>
      <c r="B30" s="2" t="inlineStr">
        <is>
          <t>Background of the Merger</t>
        </is>
      </c>
      <c r="C30" s="7" t="n">
        <v>31</v>
      </c>
      <c r="D30" s="2" t="inlineStr">
        <is>
          <t>On the afternoon of August 12, 2016, following the meeting of the Transaction Committee, the Board held a special meeting to review and consider the recommendation of the Transaction Committee with respect to a potential sale transaction. All directors were present in person or by telephone other than Director Smith. The Transaction Committee reported on the process and the status of the negotiations with Party B and G&amp;W. Drafts of the Party B merger agreement, voting agreement and disclosure letter and drafts of the G&amp;W merger agreement, voting agreement and disclosure letter were provided to the directors at the meeting. Hinckley Allen reviewed the material terms of the draft merger agreements provided by Party B and G&amp;W, and the differences between the G&amp;W draft merger agreement and the Party B draft merger agreement. Hinckley Allen also reviewed the Board’s fiduciary obligations in connection with the proposed transaction and responded to questions from the directors. Hinckley Allen advised the Board that both Party B’s and G&amp;W’s draft merger agreements restricted the Company from soliciting a competing proposal, subject to a “fiduciary out” for an unsolicited superior proposal, which required the Company to pay a termination fee equal to 3% of the transaction value in the case of G&amp;W (which the Company had negotiated down from 3.85%) and 3% plus Party B’s transaction expenses (capped at 1% of transaction value) in the case of Party B, in the event the merger agreement was terminated as a result of the Board’s decision to pursue such a proposal.</t>
        </is>
      </c>
    </row>
    <row r="31" ht="60" customHeight="1">
      <c r="A31" s="2" t="inlineStr">
        <is>
          <t>P-030</t>
        </is>
      </c>
      <c r="B31" s="2" t="inlineStr">
        <is>
          <t>Background of the Merger</t>
        </is>
      </c>
      <c r="C31" s="7" t="n">
        <v>31</v>
      </c>
      <c r="D31" s="2" t="inlineStr">
        <is>
          <t>Hinckley Allen advised the Board that the draft merger agreement and disclosure letter for both Party B and G&amp;W had minor differences but were substantively the same, except for the following: (1) the price offered by</t>
        </is>
      </c>
    </row>
    <row r="32" ht="60" customHeight="1">
      <c r="A32" s="2" t="inlineStr">
        <is>
          <t>P-031</t>
        </is>
      </c>
      <c r="B32" s="2" t="inlineStr">
        <is>
          <t>Background of the Merger (continuation of previous paragraph)</t>
        </is>
      </c>
      <c r="C32" s="7" t="n">
        <v>32</v>
      </c>
      <c r="D32" s="2" t="inlineStr">
        <is>
          <t>G&amp;W was $1.00 more per share; (2) the termination fee payable by the Company in the event the Board exercised its “fiduciary out” in order to accept a superior proposal was less under the G&amp;W draft agreement than the Party B draft agreement; and (3) the STB approval process for G&amp;W and Party B would be different since G&amp;W owned connecting railroads. The Board arranged a telephone call with the Company’s STB counsel to discuss the process for obtaining the required regulatory approval or exemption for the transaction, the risks associated with each process, the use of a voting trust to enable an earlier closing of the transaction (as contemplated by the G&amp;W merger agreement) and the likely timeframe for obtaining any regulatory clearance for a transaction with either Party B or G&amp;W. Based upon that discussion, the Board determined that the timeframe for, and the likelihood of, obtaining the required regulatory approval was not materially different for a transaction with G&amp;W versus a transaction with Party B. At the request of the Board, representatives of BMO then contacted Party B to determine if it would increase its offer price. Party B indicated that it would not increase its price.</t>
        </is>
      </c>
    </row>
    <row r="33" ht="60" customHeight="1">
      <c r="A33" s="2" t="inlineStr">
        <is>
          <t>P-032</t>
        </is>
      </c>
      <c r="B33" s="2" t="inlineStr">
        <is>
          <t>Background of the Merger</t>
        </is>
      </c>
      <c r="C33" s="7" t="n">
        <v>32</v>
      </c>
      <c r="D33" s="2" t="inlineStr">
        <is>
          <t>The Board determined that the G&amp;W offer represented the superior proposal. At the request of the Board, representatives of BMO reviewed BMO’s financial analyses supporting its opinion to the Board as to the fairness, from a financial point of view, to the holders of our common stock of the consideration to be received by those holders (other than the Eder Trusts) in the merger pursuant to the merger agreement as of August 12, 2016. At the request of the Board, BMO confirmed that it did not have any existing or contemplated material relationships with G&amp;W in connection with the provision of any financial advisory or financing services to G&amp;W. BMO then rendered an oral opinion to the Board, subsequently confirmed by delivery of a written opinion, dated August 12, 2016 to the effect that, as of that date, and based upon and subject to the various assumptions made, procedures followed, matters considered and qualifications and limitations on the scope of review undertaken by BMO as set forth in its written opinion, the merger consideration to be received by the holders of our common stock in the merger pursuant to the merger agreement was fair, from a financial point of view, to those holders (other than the Eder Trusts). Following a discussion of the terms of the merger agreement and related matters, the Board (other than Director Smith, who recused himself from the August 12, 2016 meeting) (i) determined that the merger agreement, the plan of merger and the merger and other transactions contemplated by the merger agreement are fair to, advisable and in the best interests of the Company and its shareholders, (ii) approved and declared advisable the merger agreement and the transactions contemplated thereby, including the merger and the plan of merger, (iii) directed that the merger agreement be submitted to the Company’s shareholders for approval and (iv) resolved to recommend that the Company’s shareholders approve the merger agreement and the transactions contemplated thereby, including the merger and the plan of merger.</t>
        </is>
      </c>
    </row>
    <row r="34" ht="60" customHeight="1">
      <c r="A34" s="2" t="inlineStr">
        <is>
          <t>P-033</t>
        </is>
      </c>
      <c r="B34" s="2" t="inlineStr">
        <is>
          <t>Background of the Merger</t>
        </is>
      </c>
      <c r="C34" s="7" t="n">
        <v>32</v>
      </c>
      <c r="D34" s="2" t="inlineStr">
        <is>
          <t>Shortly thereafter, Hinckley Allen and Simpson Thacher finalized the transaction documents and the Company and G&amp;W executed the merger agreement, and the Company, G&amp;W and the Eder Trusts executed the voting agreement. The Company issued a press release publicly announcing the transaction on Monday, August 15, 2016 prior to the opening of trading of the Company’s common stock on the NASDAQ.</t>
        </is>
      </c>
    </row>
    <row r="35" ht="60" customHeight="1">
      <c r="A35" s="2" t="inlineStr">
        <is>
          <t>P-034</t>
        </is>
      </c>
      <c r="B35" s="2" t="inlineStr">
        <is>
          <t>Background of the Merger</t>
        </is>
      </c>
      <c r="C35" s="7" t="n">
        <v>32</v>
      </c>
      <c r="D35" s="2" t="inlineStr">
        <is>
          <t>Subsequent to the delivery of BMO’s opinion and the Board’s approval of the merger agreement and voting agreement, representatives of BMO advised the Board that when checking to determine if there were any financial advisory or financing relationships with G&amp;W, it had inadvertently failed to identify that a BMO affiliate has a participation in G&amp;W’s existing secured syndicated debt facility as described under the section titled “Summary of Financial Analysis of BMO Capital Markets Corp.— Miscellaneous ” on page 41. On September 6, 2016, the Board considered this new information, determined this relationship was not material to BMO’s independence and confirmed that the Board remained comfortable with the engagement and opinion of BMO.</t>
        </is>
      </c>
    </row>
    <row r="36" ht="60" customHeight="1">
      <c r="A36" s="2" t="inlineStr">
        <is>
          <t>X-001</t>
        </is>
      </c>
      <c r="B36" s="2" t="inlineStr">
        <is>
          <t>Recommendation of the Board and Reasons for the Merger (process and counts)</t>
        </is>
      </c>
      <c r="C36" s="7" t="n">
        <v>33</v>
      </c>
      <c r="D36" s="2" t="inlineStr">
        <is>
          <t>the fact that the Company conducted a lengthy and thorough process, directed by the Board and the Transaction Committee, during which the Board sought offers to purchase from a broad group of potential bidders, including strategic and financial buyers, 25 of whom entered into confidentiality agreements with the Company and received information related to the Company and six of whom submitted non-binding letters of intent;</t>
        </is>
      </c>
    </row>
    <row r="37" ht="60" customHeight="1">
      <c r="A37" s="2" t="inlineStr">
        <is>
          <t>X-002</t>
        </is>
      </c>
      <c r="B37" s="2" t="inlineStr">
        <is>
          <t>Recommendation of the Board and Reasons for the Merger (premium)</t>
        </is>
      </c>
      <c r="C37" s="7" t="n">
        <v>33</v>
      </c>
      <c r="D37" s="2" t="inlineStr">
        <is>
          <t>the fact that the value of the merger consideration of $25.00 per share in cash represents a 53% premium over the per share closing price of the Company’s common stock of $16.30 on August 12, 2016, the last trading day concluded prior to the Company and G&amp;W entering into the merger agreement;</t>
        </is>
      </c>
    </row>
    <row r="38" ht="60" customHeight="1">
      <c r="A38" s="2" t="inlineStr">
        <is>
          <t>X-003</t>
        </is>
      </c>
      <c r="B38" s="2" t="inlineStr">
        <is>
          <t>Recommendation of the Board and Reasons for the Merger (no financing condition)</t>
        </is>
      </c>
      <c r="C38" s="7" t="n">
        <v>34</v>
      </c>
      <c r="D38" s="2" t="inlineStr">
        <is>
          <t>the absence of a financing condition in the merger agreement and the representation of G&amp;W in the merger agreement as to its financial wherewithal;</t>
        </is>
      </c>
    </row>
    <row r="39" ht="60" customHeight="1">
      <c r="A39" s="2" t="inlineStr">
        <is>
          <t>X-004</t>
        </is>
      </c>
      <c r="B39" s="2" t="inlineStr">
        <is>
          <t>Summary - Market Price of Common Stock</t>
        </is>
      </c>
      <c r="C39" s="7" t="n">
        <v>11</v>
      </c>
      <c r="D39" s="2" t="inlineStr">
        <is>
          <t>Our common stock is listed on the NASDAQ under the trading symbol “PWX”. The closing sale price of Company common stock on the NASDAQ on August 12, 2016, which was the last trading day before we announced the merger, was $16.30. On September 16, 2016, the last trading day before the date of this proxy statement, the closing price of Company common stock on the NASDAQ was $24.88.</t>
        </is>
      </c>
    </row>
    <row r="40" ht="60" customHeight="1">
      <c r="A40" s="2" t="inlineStr">
        <is>
          <t>X-005</t>
        </is>
      </c>
      <c r="B40" s="2" t="inlineStr">
        <is>
          <t>Summary of Financial Analysis of BMO Capital Markets Corp. - Miscellaneous (fees and relationships)</t>
        </is>
      </c>
      <c r="C40" s="7" t="n">
        <v>41</v>
      </c>
      <c r="D40" s="2" t="inlineStr">
        <is>
          <t>In connection with BMO’s services as the Company’s financial advisor and as successor to the business of GHF, the Company will pay BMO an aggregate fee of approximately $2.52 million, a portion of which was paid upon the signing of GHF’s engagement letter with the Company and in three monthly installments thereafter, a portion of which was paid upon delivery of BMO’s opinion, and the remainder and majority of which is payable upon consummation of the merger. In addition, the Company has agreed to reimburse BMO for certain of its expenses and to indemnify BMO and related persons against various potential liabilities arising out of or in connection with its engagement.</t>
        </is>
      </c>
    </row>
    <row r="41" ht="60" customHeight="1">
      <c r="A41" s="2" t="inlineStr">
        <is>
          <t>X-006</t>
        </is>
      </c>
      <c r="B41" s="2" t="inlineStr">
        <is>
          <t>Summary of Financial Analysis - BMO relationships (continuation)</t>
        </is>
      </c>
      <c r="C41" s="7" t="n">
        <v>41</v>
      </c>
      <c r="D41" s="2" t="inlineStr">
        <is>
          <t>In the two years prior to the date of BMO’s opinion, BMO did not have any material relationships, nor were any material relationships mutually understood to be contemplated, in which any compensation was received or was intended to be received by BMO as a result of any such relationship with G&amp;W or any G&amp;W affiliates in</t>
        </is>
      </c>
    </row>
    <row r="42" ht="60" customHeight="1">
      <c r="A42" s="2" t="inlineStr">
        <is>
          <t>X-007</t>
        </is>
      </c>
      <c r="B42" s="2" t="inlineStr">
        <is>
          <t>Summary of Financial Analysis - BMO relationships (BMO affiliate lender in G&amp;W facility)</t>
        </is>
      </c>
      <c r="C42" s="7" t="n">
        <v>42</v>
      </c>
      <c r="D42" s="2" t="inlineStr">
        <is>
          <t>connection with the provision of any financial advisory or financing services by BMO to G&amp;W or any of its affiliates. G&amp;W has a Second Amended and Restated Senior Secured Syndicated Facility Agreement dated as of March 20, 2015 under which an affiliate of BMO is a lender with an approximately 5% participation in the syndicate and for which such affiliate has been paid revenue (fees and interest) between $1 million and $5 million, in the aggregate, since January 1, 2014. In the two years prior to the date of BMO’s opinion, BMO did not have any material relationships, nor were any material relationships mutually understood to be contemplated, in which any compensation was received or was intended to be received by BMO as a result of any such relationship with the Company or its affiliates, other than to act as the Company’s financial advisor in connection with the merger.</t>
        </is>
      </c>
    </row>
    <row r="43" ht="60" customHeight="1">
      <c r="A43" s="2" t="inlineStr">
        <is>
          <t>X-008</t>
        </is>
      </c>
      <c r="B43" s="2" t="inlineStr">
        <is>
          <t>The Merger Agreement - Merger Consideration</t>
        </is>
      </c>
      <c r="C43" s="7" t="n">
        <v>50</v>
      </c>
      <c r="D43" s="2" t="inlineStr">
        <is>
          <t>At the effective time of the merger, each share of preferred stock issued and outstanding immediately prior to the effective time of the merger (other than shares of preferred stock held by any shareholder who is entitled to demand and makes a proper demand for payment of the fair value of such preferred stock pursuant to the RIBCA) shall be deemed to be automatically converted, along with the aggregate accrued or accumulated and unpaid dividends thereon, into 100 shares of common stock (based on the existing conversion ratio of the preferred stock), without any further action by the relevant holder of such preferred stock or the Company. All</t>
        </is>
      </c>
    </row>
    <row r="44" ht="60" customHeight="1">
      <c r="A44" s="2" t="inlineStr">
        <is>
          <t>X-009</t>
        </is>
      </c>
      <c r="B44" s="2" t="inlineStr">
        <is>
          <t>The Merger Agreement - Conditions to the Merger (STB condition)</t>
        </is>
      </c>
      <c r="C44" s="7" t="n">
        <v>52</v>
      </c>
      <c r="D44" s="2" t="inlineStr">
        <is>
          <t>either (i) final approval or authorization of, or exemption by, the STB with respect to the merger has been obtained, and neither the STB nor any other governmental entity shall have imposed any conditions or obligations on the merger (other than immaterial conditions or obligations and required labor protective conditions) or (ii) if the STB has not issued a decision approving, authorizing or exempting the merger (or denying the requested approval, authorization or exemption), then the STB has provided G&amp;W with a written informal opinion that the proposed voting trust submitted by G&amp;W to the STB would insulate G&amp;W from unauthorized control of the Company between the effective time of the merger and receipt of final STB approval, authorization or exemption, as the case may be; and</t>
        </is>
      </c>
    </row>
    <row r="45" ht="60" customHeight="1">
      <c r="A45" s="2" t="inlineStr">
        <is>
          <t>X-010</t>
        </is>
      </c>
      <c r="B45" s="2" t="inlineStr">
        <is>
          <t>The Merger Agreement - Termination Fee</t>
        </is>
      </c>
      <c r="C45" s="7" t="n">
        <v>55</v>
      </c>
      <c r="D45" s="2" t="inlineStr">
        <is>
          <t>Under the terms of the merger agreement, the Company must pay G&amp;W a termination fee of $3,785,000 if:</t>
        </is>
      </c>
    </row>
    <row r="46" ht="60" customHeight="1">
      <c r="A46" s="2" t="inlineStr">
        <is>
          <t>X-011</t>
        </is>
      </c>
      <c r="B46" s="2" t="inlineStr">
        <is>
          <t>Regulatory Approvals Required for the Merger</t>
        </is>
      </c>
      <c r="C46" s="7" t="n">
        <v>64</v>
      </c>
      <c r="D46" s="2" t="inlineStr">
        <is>
          <t>Before G&amp;W may complete the merger and within fifteen business days of the date of the merger agreement, G&amp;W must file with the STB the appropriate documentation for the approval of, authorization of or</t>
        </is>
      </c>
    </row>
    <row r="47" ht="60" customHeight="1">
      <c r="A47" s="2" t="inlineStr">
        <is>
          <t>X-012</t>
        </is>
      </c>
      <c r="B47" s="2" t="inlineStr">
        <is>
          <t>Regulatory Approvals Required for the Merger (continuation, September 2016 filings)</t>
        </is>
      </c>
      <c r="C47" s="7" t="n">
        <v>65</v>
      </c>
      <c r="D47" s="2" t="inlineStr">
        <is>
          <t>exemption by, the STB of the merger. On September 1, 2016, G&amp;W filed a petition for exemption with the STB requesting approval or exemption to complete the merger and control the Company. On September 14, 2016, G&amp;W also submitted a form of voting trust agreement to the STB seeking a written informal opinion that using a voting trust arrangement would insulate G&amp;W from having unauthorized control of the Company if (i) G&amp;W has not received from the STB the approval or exemption of the merger before the effective time of the merger and (ii) the stock of the surviving corporation is placed into the voting trust immediately following the merger.</t>
        </is>
      </c>
    </row>
    <row r="48" ht="60" customHeight="1">
      <c r="A48" s="2" t="inlineStr">
        <is>
          <t>X-013</t>
        </is>
      </c>
      <c r="B48" s="2" t="inlineStr">
        <is>
          <t>The Voting Agreement</t>
        </is>
      </c>
      <c r="C48" s="7" t="n">
        <v>72</v>
      </c>
      <c r="D48" s="2" t="inlineStr">
        <is>
          <t>In connection with the execution of the merger agreement, G&amp;W and the Company entered into a voting agreement with the Robert H. Eder Trust and the Linda Eder Trust (which we refer to as the “Eder Trusts”), which, as of the date of the voting agreement, collectively owned 842,742 shares of common stock and 500 shares of preferred stock. Under the voting agreement, each Eder Trust must vote all of its shares of Company stock:</t>
        </is>
      </c>
    </row>
    <row r="49" ht="60" customHeight="1">
      <c r="A49" s="2" t="inlineStr">
        <is>
          <t>X-014</t>
        </is>
      </c>
      <c r="B49" s="2" t="inlineStr">
        <is>
          <t>The Parties to the Merger Agreement - Genesee &amp; Wyoming Inc.</t>
        </is>
      </c>
      <c r="C49" s="7" t="n">
        <v>21</v>
      </c>
      <c r="D49" s="2" t="inlineStr">
        <is>
          <t>G&amp;W, a Delaware corporation, owns or leases 121 freight railroads worldwide that are organized in 10 operating regions with approximately 7,200 employees and more than 2,800 customers. G&amp;W’s eight North American regions serve 41 U.S. states and four Canadian provinces and include 114 short-line and regional freight railroads with more than 13,000 track-miles. G&amp;W’s Australia Region provides rail freight services in New South Wales, the Northern Territory and South Australia and operates the 1,400-mile Tarcoola-to-Darwin rail line. G&amp;W’s U.K./Europe Region is led by Freightliner, the U.K.’s largest rail maritime intermodal operator and second-largest rail freight company and whose operations also include heavy-haul in Poland and Germany and cross-border intermodal services connecting Northern European seaports with key industrial regions throughout the continent. G&amp;W subsidiaries provide rail service at more than 40 major ports in North America, Australia and Europe and perform contract coal loading and railcar switching for industrial customers.</t>
        </is>
      </c>
    </row>
    <row r="50" ht="60" customHeight="1">
      <c r="A50" s="2" t="inlineStr">
        <is>
          <t>X-015</t>
        </is>
      </c>
      <c r="B50" s="2" t="inlineStr">
        <is>
          <t>Proposal No. 1 - The Merger (General; consideration)</t>
        </is>
      </c>
      <c r="C50" s="7" t="n">
        <v>27</v>
      </c>
      <c r="D50" s="2" t="inlineStr">
        <is>
          <t>Under the terms and conditions set forth in the merger agreement, Merger Sub will merge with and into the Company, with the Company being the surviving corporation and becoming a wholly-owned subsidiary of G&amp;W. At the effective time of the merger, each share of preferred stock outstanding immediately prior to the effective time of the merger, other than preferred stock held by a holder who is entitled to and makes a proper demand for dissenters’ rights, shall be deemed to be automatically converted, along with the aggregate accrued or accumulated and unpaid dividends thereon, into 100 shares of common stock (based on the existing conversion ratio of the preferred stock), without any further action by the holder of such preferred stock or the Company. At the effective time of the merger, each share of common stock issued and outstanding immediately prior to the effective time of the merger (including any preferred stock deemed to be converted into common stock, but excluding shares that are owned by G&amp;W or any of its direct or indirect subsidiaries, including Merger Sub) will be canceled and will be converted automatically into the right to receive $25.00 in cash, without interest.</t>
        </is>
      </c>
    </row>
    <row r="51" ht="60" customHeight="1">
      <c r="A51" s="2" t="inlineStr">
        <is>
          <t>X-016</t>
        </is>
      </c>
      <c r="B51" s="2" t="inlineStr">
        <is>
          <t>The Merger Agreement - Termination of the Merger Agreement (outside date)</t>
        </is>
      </c>
      <c r="C51" s="7" t="n">
        <v>8</v>
      </c>
      <c r="D51" s="2" t="inlineStr">
        <is>
          <t>by G&amp;W or the Company, if the merger is not completed by December 31, 2016 (or, if the only unsatisfied condition is STB approval of the merger, by February 28, 2017) (such date, the “outside date”), provided that the right to terminate the merger agreement under this circumstance will not be available to a party whose failure to fulfill any material obligation under the merger agreement was the cause of or results in the failure of the merger to occur on or before such date; and</t>
        </is>
      </c>
    </row>
  </sheetData>
  <autoFilter ref="A1:D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M6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24" customWidth="1" min="3" max="3"/>
    <col width="17" customWidth="1" min="4" max="4"/>
    <col width="8" customWidth="1" min="5" max="5"/>
    <col width="7" customWidth="1" min="6" max="6"/>
    <col width="11" customWidth="1" min="7" max="7"/>
    <col width="52" customWidth="1" min="8" max="8"/>
    <col width="12" customWidth="1" min="9" max="9"/>
    <col width="11" customWidth="1" min="10" max="10"/>
    <col width="62" customWidth="1" min="11" max="11"/>
    <col width="22" customWidth="1" min="12" max="12"/>
    <col width="10" customWidth="1" min="13" max="13"/>
    <col width="12" customWidth="1" min="14" max="14"/>
    <col width="8" customWidth="1" min="15" max="15"/>
    <col width="8" customWidth="1" min="16" max="16"/>
    <col width="7" customWidth="1" min="17" max="17"/>
    <col width="11" customWidth="1" min="18" max="18"/>
    <col width="11" customWidth="1" min="19" max="19"/>
    <col width="12" customWidth="1" min="20" max="20"/>
    <col width="14" customWidth="1" min="21" max="21"/>
    <col width="16" customWidth="1" min="22" max="22"/>
    <col width="9" customWidth="1" min="23" max="23"/>
    <col width="10" customWidth="1" min="24" max="24"/>
    <col width="14" customWidth="1" min="25" max="25"/>
    <col width="14" customWidth="1" min="26" max="26"/>
    <col width="9" customWidth="1" min="27" max="27"/>
    <col width="10" customWidth="1" min="28" max="28"/>
    <col width="12" customWidth="1" min="29" max="29"/>
    <col width="34" customWidth="1" min="30" max="30"/>
    <col width="11" customWidth="1" min="31" max="31"/>
    <col width="16" customWidth="1" min="32" max="32"/>
    <col width="14" customWidth="1" min="33" max="33"/>
    <col width="11" customWidth="1" min="34" max="34"/>
    <col width="20" customWidth="1" min="35" max="35"/>
    <col width="16" customWidth="1" min="36" max="36"/>
    <col width="6" customWidth="1" min="37" max="37"/>
    <col width="26" customWidth="1" min="38" max="38"/>
    <col width="10" customWidth="1" min="39" max="39"/>
  </cols>
  <sheetData>
    <row r="1">
      <c r="A1" t="inlineStr">
        <is>
          <t>#</t>
        </is>
      </c>
      <c r="B1" t="inlineStr">
        <is>
          <t>When</t>
        </is>
      </c>
      <c r="C1" t="inlineStr">
        <is>
          <t>Who</t>
        </is>
      </c>
      <c r="D1" t="inlineStr">
        <is>
          <t>What happened</t>
        </is>
      </c>
      <c r="E1" t="inlineStr">
        <is>
          <t>Process</t>
        </is>
      </c>
      <c r="F1" t="inlineStr">
        <is>
          <t>Round</t>
        </is>
      </c>
      <c r="G1" t="inlineStr">
        <is>
          <t>Type</t>
        </is>
      </c>
      <c r="H1" t="inlineStr">
        <is>
          <t>Terms or outcome</t>
        </is>
      </c>
      <c r="I1" t="inlineStr">
        <is>
          <t>Formality</t>
        </is>
      </c>
      <c r="J1" t="inlineStr">
        <is>
          <t>Conditions level</t>
        </is>
      </c>
      <c r="K1" t="inlineStr">
        <is>
          <t>Why and evidence</t>
        </is>
      </c>
      <c r="L1" t="inlineStr">
        <is>
          <t>Source</t>
        </is>
      </c>
      <c r="M1" t="inlineStr">
        <is>
          <t>Review</t>
        </is>
      </c>
      <c r="N1" t="inlineStr">
        <is>
          <t>Reviewer note</t>
        </is>
      </c>
      <c r="O1" t="inlineStr">
        <is>
          <t>Row id</t>
        </is>
      </c>
      <c r="P1" t="inlineStr">
        <is>
          <t>Include</t>
        </is>
      </c>
      <c r="Q1" t="inlineStr">
        <is>
          <t>Count</t>
        </is>
      </c>
      <c r="R1" t="inlineStr">
        <is>
          <t>Date from</t>
        </is>
      </c>
      <c r="S1" t="inlineStr">
        <is>
          <t>Date to</t>
        </is>
      </c>
      <c r="T1" t="inlineStr">
        <is>
          <t>Working date</t>
        </is>
      </c>
      <c r="U1" t="inlineStr">
        <is>
          <t>Date basis</t>
        </is>
      </c>
      <c r="V1" t="inlineStr">
        <is>
          <t>Date method</t>
        </is>
      </c>
      <c r="W1" t="inlineStr">
        <is>
          <t>Price low</t>
        </is>
      </c>
      <c r="X1" t="inlineStr">
        <is>
          <t>Price high</t>
        </is>
      </c>
      <c r="Y1" t="inlineStr">
        <is>
          <t>Price kind</t>
        </is>
      </c>
      <c r="Z1" t="inlineStr">
        <is>
          <t>Price origin</t>
        </is>
      </c>
      <c r="AA1" t="inlineStr">
        <is>
          <t>Currency</t>
        </is>
      </c>
      <c r="AB1" t="inlineStr">
        <is>
          <t>All cash</t>
        </is>
      </c>
      <c r="AC1" t="inlineStr">
        <is>
          <t>Cash at closing</t>
        </is>
      </c>
      <c r="AD1" t="inlineStr">
        <is>
          <t>Conditions detail</t>
        </is>
      </c>
      <c r="AE1" t="inlineStr">
        <is>
          <t>Due date</t>
        </is>
      </c>
      <c r="AF1" t="inlineStr">
        <is>
          <t>Deadline treatment</t>
        </is>
      </c>
      <c r="AG1" t="inlineStr">
        <is>
          <t>Round finality</t>
        </is>
      </c>
      <c r="AH1" t="inlineStr">
        <is>
          <t>Decided by</t>
        </is>
      </c>
      <c r="AI1" t="inlineStr">
        <is>
          <t>Exit reason</t>
        </is>
      </c>
      <c r="AJ1" t="inlineStr">
        <is>
          <t>Outcome basis</t>
        </is>
      </c>
      <c r="AK1" t="inlineStr">
        <is>
          <t>Page</t>
        </is>
      </c>
      <c r="AL1" t="inlineStr">
        <is>
          <t>Related rows</t>
        </is>
      </c>
      <c r="AM1" t="inlineStr">
        <is>
          <t>Deal</t>
        </is>
      </c>
    </row>
    <row r="2">
      <c r="A2" t="n">
        <v>1</v>
      </c>
      <c r="B2" t="inlineStr">
        <is>
          <t>Fourth quarter of 2015 (exact date not disclosed)</t>
        </is>
      </c>
      <c r="C2" t="inlineStr">
        <is>
          <t>Party A (a Class I rail partner of the Company)</t>
        </is>
      </c>
      <c r="D2" t="inlineStr">
        <is>
          <t>Bidder interest</t>
        </is>
      </c>
      <c r="E2" t="n">
        <v>1</v>
      </c>
      <c r="F2" t="inlineStr">
        <is>
          <t>0</t>
        </is>
      </c>
      <c r="G2" t="inlineStr">
        <is>
          <t>Strategic</t>
        </is>
      </c>
      <c r="H2" t="inlineStr">
        <is>
          <t>Unpriced acquisition interest: during a meeting on joint commercial opportunities between Company CEO Eder and VP Rogers and Party A, Party A suggested possible joint venture arrangements and expressed some interest in acquiring equity in the Company. Direction: bidder acquisition interest expressed at a Company-initiated commercial meeting; led to the Board’s banker search and the broad sale process.</t>
        </is>
      </c>
      <c r="K2" t="inlineStr">
        <is>
          <t>Stated. “met with one of the Company’s Class I rail partners (“Party A”) to discuss joint commercial opportunities. During the meeting, Party A suggested possible joint venture arrangements and expressed some interest in acquiring equity in the Company” (P-002, p.27). Convention: quarter preserved as an interval; working date is the midpoint (Assigned: midpoint).</t>
        </is>
      </c>
      <c r="L2" t="inlineStr">
        <is>
          <t>P-002</t>
        </is>
      </c>
      <c r="M2" t="inlineStr">
        <is>
          <t>Q1; Q4</t>
        </is>
      </c>
      <c r="O2" t="inlineStr">
        <is>
          <t>R001</t>
        </is>
      </c>
      <c r="P2" t="inlineStr">
        <is>
          <t>Yes</t>
        </is>
      </c>
      <c r="Q2" t="n">
        <v>1</v>
      </c>
      <c r="R2" s="9" t="n">
        <v>42278</v>
      </c>
      <c r="S2" s="9" t="n">
        <v>42369</v>
      </c>
      <c r="T2" s="9" t="n">
        <v>42323</v>
      </c>
      <c r="U2" t="inlineStr">
        <is>
          <t>Reported interval</t>
        </is>
      </c>
      <c r="V2" t="inlineStr">
        <is>
          <t>Assigned: midpoint</t>
        </is>
      </c>
      <c r="AK2" t="n">
        <v>27</v>
      </c>
      <c r="AL2" t="inlineStr">
        <is>
          <t>R008 (11-strategic cohort includes Party A); R043 (identity exit row)</t>
        </is>
      </c>
      <c r="AM2" t="inlineStr">
        <is>
          <t>PWRR-G&amp;W</t>
        </is>
      </c>
    </row>
    <row r="3">
      <c r="A3" t="n">
        <v>2</v>
      </c>
      <c r="B3" t="inlineStr">
        <is>
          <t>01/27/2016</t>
        </is>
      </c>
      <c r="C3" t="inlineStr">
        <is>
          <t>GHF (Greene Holcomb &amp; Fisher LLC), financial adviser to the Company</t>
        </is>
      </c>
      <c r="D3" t="inlineStr">
        <is>
          <t>Adviser engaged</t>
        </is>
      </c>
      <c r="E3" t="n">
        <v>1</v>
      </c>
      <c r="F3" t="inlineStr">
        <is>
          <t>0</t>
        </is>
      </c>
      <c r="H3" t="inlineStr">
        <is>
          <t>Financial adviser to the Company. Engagement approved at the Board’s executive session after the two-director subcommittee (Frank W. Barrett; Richard W. Anderson) interviewed several firms; GHF represented it would not represent any potential buyer of the Company or any person proposing financing; selection rationale: rail-sector experience (including a recent short-line sale). GHF’s business was acquired by BMO Capital Markets Corp. on 08/01/2016 — one continuing adviser relationship (no second adviser row); disclosed aggregate fee ~$2.52 million (X-005, p.41).</t>
        </is>
      </c>
      <c r="K3" t="inlineStr">
        <is>
          <t>Stated. “During the executive session of the Board’s regular quarterly meeting held on January 27, 2016 (which Director Alfred P. Smith did not attend), the subcommittee recommended to the Board that the Company retain GHF as its investment banking firm.” ... “Following this presentation, the Board approved the subcommittee’s recommendation and the Company engaged GHF.” (P-002, p.27).</t>
        </is>
      </c>
      <c r="L3" t="inlineStr">
        <is>
          <t>P-002; X-005</t>
        </is>
      </c>
      <c r="M3" t="inlineStr"/>
      <c r="O3" t="inlineStr">
        <is>
          <t>R002</t>
        </is>
      </c>
      <c r="P3" t="inlineStr">
        <is>
          <t>Yes</t>
        </is>
      </c>
      <c r="R3" s="9" t="n">
        <v>42396</v>
      </c>
      <c r="S3" s="9" t="n">
        <v>42396</v>
      </c>
      <c r="T3" s="9" t="n">
        <v>42396</v>
      </c>
      <c r="U3" t="inlineStr">
        <is>
          <t>Reported day</t>
        </is>
      </c>
      <c r="V3" t="inlineStr">
        <is>
          <t>Reported</t>
        </is>
      </c>
      <c r="AK3" t="n">
        <v>27</v>
      </c>
      <c r="AL3" t="inlineStr">
        <is>
          <t>R003; R060</t>
        </is>
      </c>
      <c r="AM3" t="inlineStr">
        <is>
          <t>PWRR-G&amp;W</t>
        </is>
      </c>
    </row>
    <row r="4">
      <c r="A4" t="n">
        <v>3</v>
      </c>
      <c r="B4" t="inlineStr">
        <is>
          <t>03/14/2016</t>
        </is>
      </c>
      <c r="C4" t="inlineStr">
        <is>
          <t>Board of Directors (Transaction Committee appointed)</t>
        </is>
      </c>
      <c r="D4" t="inlineStr">
        <is>
          <t>Target sale decision</t>
        </is>
      </c>
      <c r="E4" t="n">
        <v>1</v>
      </c>
      <c r="F4" t="inlineStr">
        <is>
          <t>0</t>
        </is>
      </c>
      <c r="H4" t="inlineStr">
        <is>
          <t>Board approved proceeding with GHF’s proposed process — discussions with Party A plus soliciting interest from other third parties in a change in control transaction — and appointed the Transaction Committee (Frank W. Barrett (Chair), Richard W. Anderson, James C. Garvey) to supervise the process for the full Board; the Committee cannot approve a change of control (full-Board authority under Rhode Island law). Kept as a rejected Round 1 anchor candidate: the decision preceded the actual solicitation, which followed the 03/24/2016 authorization (R005) and began at the wave (R007).</t>
        </is>
      </c>
      <c r="K4" t="inlineStr">
        <is>
          <t>Stated. “Representatives of GHF then proposed a process pursuant to which the Company would proceed with discussions with Party A and also solicit interest from other potential third parties regarding a change in control transaction.” ... “and its shareholders to proceed with the transaction strategy discussed with representatives of GHF.” (P-003, p.27; P-004, p.28).</t>
        </is>
      </c>
      <c r="L4" t="inlineStr">
        <is>
          <t>P-003; P-004</t>
        </is>
      </c>
      <c r="M4" t="inlineStr">
        <is>
          <t>Q1</t>
        </is>
      </c>
      <c r="O4" t="inlineStr">
        <is>
          <t>R003</t>
        </is>
      </c>
      <c r="P4" t="inlineStr">
        <is>
          <t>Yes</t>
        </is>
      </c>
      <c r="R4" s="9" t="n">
        <v>42443</v>
      </c>
      <c r="S4" s="9" t="n">
        <v>42443</v>
      </c>
      <c r="T4" s="9" t="n">
        <v>42443</v>
      </c>
      <c r="U4" t="inlineStr">
        <is>
          <t>Reported day</t>
        </is>
      </c>
      <c r="V4" t="inlineStr">
        <is>
          <t>Reported</t>
        </is>
      </c>
      <c r="AK4" t="n">
        <v>27</v>
      </c>
      <c r="AL4" t="inlineStr">
        <is>
          <t>R007 (rejected R1 anchor candidate)</t>
        </is>
      </c>
      <c r="AM4" t="inlineStr">
        <is>
          <t>PWRR-G&amp;W</t>
        </is>
      </c>
    </row>
    <row r="5">
      <c r="A5" t="n">
        <v>4</v>
      </c>
      <c r="B5" t="inlineStr">
        <is>
          <t>03/22/2016–03/23/2016</t>
        </is>
      </c>
      <c r="C5" t="inlineStr">
        <is>
          <t>Company management (CFO Daniel T. Noreck and senior management) and Party A</t>
        </is>
      </c>
      <c r="D5" t="inlineStr">
        <is>
          <t>Contact</t>
        </is>
      </c>
      <c r="E5" t="n">
        <v>1</v>
      </c>
      <c r="F5" t="inlineStr">
        <is>
          <t>0</t>
        </is>
      </c>
      <c r="G5" t="inlineStr">
        <is>
          <t>Strategic</t>
        </is>
      </c>
      <c r="H5" t="inlineStr">
        <is>
          <t>Pre-solicitation contact: senior management met representatives of Party A and informed Party A of GHF’s engagement. Count 0 — Party A is already represented (R001 first contact; inside the R008 11-strategic cohort).</t>
        </is>
      </c>
      <c r="K5" t="inlineStr">
        <is>
          <t>Stated. “On March 22, 2016 and March 23, 2016, Daniel T. Noreck (the Company’s Chief Financial Officer and Treasurer) and other members of the senior management team of the Company met with various representatives of Party A.” ... “had informed Party A of GHF’s engagement.” (P-005, p.28; P-006, p.28). Convention: event spans two days; working date is the first day (Assigned: bound).</t>
        </is>
      </c>
      <c r="L5" t="inlineStr">
        <is>
          <t>P-005; P-006</t>
        </is>
      </c>
      <c r="M5" t="inlineStr"/>
      <c r="O5" t="inlineStr">
        <is>
          <t>R004</t>
        </is>
      </c>
      <c r="P5" t="inlineStr">
        <is>
          <t>Yes</t>
        </is>
      </c>
      <c r="Q5" t="n">
        <v>0</v>
      </c>
      <c r="R5" s="9" t="n">
        <v>42451</v>
      </c>
      <c r="S5" s="9" t="n">
        <v>42452</v>
      </c>
      <c r="T5" s="9" t="n">
        <v>42451</v>
      </c>
      <c r="U5" t="inlineStr">
        <is>
          <t>Reported interval</t>
        </is>
      </c>
      <c r="V5" t="inlineStr">
        <is>
          <t>Assigned: bound</t>
        </is>
      </c>
      <c r="AK5" t="n">
        <v>28</v>
      </c>
      <c r="AL5" t="inlineStr">
        <is>
          <t>covers R001; covered by R008</t>
        </is>
      </c>
      <c r="AM5" t="inlineStr">
        <is>
          <t>PWRR-G&amp;W</t>
        </is>
      </c>
    </row>
    <row r="6">
      <c r="A6" t="n">
        <v>5</v>
      </c>
      <c r="B6" t="inlineStr">
        <is>
          <t>03/24/2016</t>
        </is>
      </c>
      <c r="C6" t="inlineStr">
        <is>
          <t>Transaction Committee</t>
        </is>
      </c>
      <c r="D6" t="inlineStr">
        <is>
          <t>Target decision</t>
        </is>
      </c>
      <c r="E6" t="n">
        <v>1</v>
      </c>
      <c r="F6" t="inlineStr">
        <is>
          <t>0</t>
        </is>
      </c>
      <c r="H6" t="inlineStr">
        <is>
          <t>Committee authorized GHF to contact Party A and other potential buyers to determine their level of interest in a change in control transaction. Kept as a rejected Round 1 anchor candidate: an authorization is not the completed outreach (R007).</t>
        </is>
      </c>
      <c r="K6" t="inlineStr">
        <is>
          <t>Stated. “The Transaction Committee authorized GHF to contact Party A as well as other potential buyers to determine their level of interest in a change in control transaction.” (P-006, p.28).</t>
        </is>
      </c>
      <c r="L6" t="inlineStr">
        <is>
          <t>P-006</t>
        </is>
      </c>
      <c r="M6" t="inlineStr">
        <is>
          <t>Q1</t>
        </is>
      </c>
      <c r="O6" t="inlineStr">
        <is>
          <t>R005</t>
        </is>
      </c>
      <c r="P6" t="inlineStr">
        <is>
          <t>Yes</t>
        </is>
      </c>
      <c r="R6" s="9" t="n">
        <v>42453</v>
      </c>
      <c r="S6" s="9" t="n">
        <v>42453</v>
      </c>
      <c r="T6" s="9" t="n">
        <v>42453</v>
      </c>
      <c r="U6" t="inlineStr">
        <is>
          <t>Reported day</t>
        </is>
      </c>
      <c r="V6" t="inlineStr">
        <is>
          <t>Reported</t>
        </is>
      </c>
      <c r="AK6" t="n">
        <v>28</v>
      </c>
      <c r="AL6" t="inlineStr">
        <is>
          <t>R007 (rejected R1 anchor candidate)</t>
        </is>
      </c>
      <c r="AM6" t="inlineStr">
        <is>
          <t>PWRR-G&amp;W</t>
        </is>
      </c>
    </row>
    <row r="7">
      <c r="A7" t="n">
        <v>6</v>
      </c>
      <c r="B7" t="inlineStr">
        <is>
          <t>03/24/2016</t>
        </is>
      </c>
      <c r="C7" t="inlineStr">
        <is>
          <t>Hinckley, Allen &amp; Snyder LLP, legal counsel to the Company</t>
        </is>
      </c>
      <c r="D7" t="inlineStr">
        <is>
          <t>Adviser service observed</t>
        </is>
      </c>
      <c r="E7" t="n">
        <v>1</v>
      </c>
      <c r="F7" t="inlineStr">
        <is>
          <t>0</t>
        </is>
      </c>
      <c r="H7" t="inlineStr">
        <is>
          <t>Legal counsel to the Company; services first observed when its representatives participated in the Transaction Committee meeting of 03/24/2016; participated in all Transaction Committee meetings (except as noted), reviewed merger terms and fiduciary duties with the Board, and negotiated the transaction documents. Engagement date not disclosed.</t>
        </is>
      </c>
      <c r="K7" t="inlineStr">
        <is>
          <t>Stated (service observed). “Members of management and representatives of each of GHF and the Company’s legal counsel, Hinckley, Allen &amp; Snyder LLP (which we refer to as “Hinckley Allen”), participated in all meetings of the Transaction Committee, except as otherwise indicated.” (P-006, p.28). Convention: no engagement date shown; the earliest supported service date is used (section 5.4).</t>
        </is>
      </c>
      <c r="L7" t="inlineStr">
        <is>
          <t>P-006; P-025; P-026; X-013</t>
        </is>
      </c>
      <c r="M7" t="inlineStr"/>
      <c r="O7" t="inlineStr">
        <is>
          <t>R006</t>
        </is>
      </c>
      <c r="P7" t="inlineStr">
        <is>
          <t>Yes</t>
        </is>
      </c>
      <c r="R7" s="9" t="n">
        <v>42453</v>
      </c>
      <c r="S7" s="9" t="n">
        <v>42453</v>
      </c>
      <c r="T7" s="9" t="n">
        <v>42453</v>
      </c>
      <c r="U7" t="inlineStr">
        <is>
          <t>Reported day</t>
        </is>
      </c>
      <c r="V7" t="inlineStr">
        <is>
          <t>Reported</t>
        </is>
      </c>
      <c r="AK7" t="n">
        <v>28</v>
      </c>
      <c r="AL7" t="inlineStr">
        <is>
          <t>R058</t>
        </is>
      </c>
      <c r="AM7" t="inlineStr">
        <is>
          <t>PWRR-G&amp;W</t>
        </is>
      </c>
    </row>
    <row r="8">
      <c r="A8" t="n">
        <v>7</v>
      </c>
      <c r="B8" t="inlineStr">
        <is>
          <t>Week of 03/28/2016</t>
        </is>
      </c>
      <c r="C8" t="inlineStr">
        <is>
          <t>Transaction Committee / GHF (the Company’s financial adviser)</t>
        </is>
      </c>
      <c r="D8" t="inlineStr">
        <is>
          <t>Round opened</t>
        </is>
      </c>
      <c r="E8" t="n">
        <v>1</v>
      </c>
      <c r="F8" t="inlineStr">
        <is>
          <t>1</t>
        </is>
      </c>
      <c r="H8" t="inlineStr">
        <is>
          <t>R1 anchor: first outreach wave (week of 03/28/2016) — GHF contacted 11 potential strategic buyers (including Party A) and 18 potential financial buyers (29 total). Other candidate anchors rejected: R005 (03/24/2016 Transaction Committee authorization — rejected: the wave itself is the reported first solicitation) and R003 (03/14/2016 Board decision to proceed — rejected: solicitation began only after the 03/24 authorization). Objective: non-binding IOIs. Round finality: Not final — no final/binding stage announced; the round sought non-binding indications (P-011, p.29).</t>
        </is>
      </c>
      <c r="K8" t="inlineStr">
        <is>
          <t>Stated. “During the week of March 28, 2016, in accordance with the Transaction Committee’s directives, representatives of GHF contacted 11 potential strategic buyers (including Party A) and 18 potential financial buyers.” (P-006, p.28). Convention: “week of” window 03/28–04/03 with midpoint working date 03/31; anchor adopted per the smallest-map rule.</t>
        </is>
      </c>
      <c r="L8" t="inlineStr">
        <is>
          <t>P-006; P-011</t>
        </is>
      </c>
      <c r="M8" t="inlineStr">
        <is>
          <t>Q1</t>
        </is>
      </c>
      <c r="O8" t="inlineStr">
        <is>
          <t>R007</t>
        </is>
      </c>
      <c r="P8" t="inlineStr">
        <is>
          <t>Yes</t>
        </is>
      </c>
      <c r="R8" s="9" t="n">
        <v>42457</v>
      </c>
      <c r="S8" s="9" t="n">
        <v>42463</v>
      </c>
      <c r="T8" s="9" t="n">
        <v>42460</v>
      </c>
      <c r="U8" t="inlineStr">
        <is>
          <t>Reported interval</t>
        </is>
      </c>
      <c r="V8" t="inlineStr">
        <is>
          <t>Assigned: midpoint</t>
        </is>
      </c>
      <c r="AG8" t="inlineStr">
        <is>
          <t>Not final</t>
        </is>
      </c>
      <c r="AK8" t="n">
        <v>28</v>
      </c>
      <c r="AL8" t="inlineStr">
        <is>
          <t>R003; R005 (candidate anchors)</t>
        </is>
      </c>
      <c r="AM8" t="inlineStr">
        <is>
          <t>PWRR-G&amp;W</t>
        </is>
      </c>
    </row>
    <row r="9">
      <c r="A9" t="n">
        <v>8</v>
      </c>
      <c r="B9" t="inlineStr">
        <is>
          <t>Week of 03/28/2016</t>
        </is>
      </c>
      <c r="C9" t="inlineStr">
        <is>
          <t>11 potential strategic buyers (including Party A and G&amp;W)</t>
        </is>
      </c>
      <c r="D9" t="inlineStr">
        <is>
          <t>Contact</t>
        </is>
      </c>
      <c r="E9" t="n">
        <v>1</v>
      </c>
      <c r="F9" t="inlineStr">
        <is>
          <t>1</t>
        </is>
      </c>
      <c r="G9" t="inlineStr">
        <is>
          <t>Strategic</t>
        </is>
      </c>
      <c r="H9" t="inlineStr">
        <is>
          <t>Outreach to determine interest in a change in control transaction; all 11 subsequently executed confidentiality agreements (R010). Count 11 — size of the disclosed strategic cohort.</t>
        </is>
      </c>
      <c r="K9" t="inlineStr">
        <is>
          <t>Stated. Same wave quotation as R007 (P-006, p.28); “Each of the potential strategic buyers and 14 potential financial buyers subsequently executed confidentiality agreements.” (P-006, p.28).</t>
        </is>
      </c>
      <c r="L9" t="inlineStr">
        <is>
          <t>P-006</t>
        </is>
      </c>
      <c r="M9" t="inlineStr"/>
      <c r="O9" t="inlineStr">
        <is>
          <t>R008</t>
        </is>
      </c>
      <c r="P9" t="inlineStr">
        <is>
          <t>Yes</t>
        </is>
      </c>
      <c r="Q9" t="n">
        <v>11</v>
      </c>
      <c r="R9" s="9" t="n">
        <v>42457</v>
      </c>
      <c r="S9" s="9" t="n">
        <v>42463</v>
      </c>
      <c r="T9" s="9" t="n">
        <v>42460</v>
      </c>
      <c r="U9" t="inlineStr">
        <is>
          <t>Reported interval</t>
        </is>
      </c>
      <c r="V9" t="inlineStr">
        <is>
          <t>Assigned: midpoint</t>
        </is>
      </c>
      <c r="AK9" t="n">
        <v>28</v>
      </c>
      <c r="AL9" t="inlineStr">
        <is>
          <t>R010 (NDA cohort)</t>
        </is>
      </c>
      <c r="AM9" t="inlineStr">
        <is>
          <t>PWRR-G&amp;W</t>
        </is>
      </c>
    </row>
    <row r="10">
      <c r="A10" t="n">
        <v>9</v>
      </c>
      <c r="B10" t="inlineStr">
        <is>
          <t>Week of 03/28/2016</t>
        </is>
      </c>
      <c r="C10" t="inlineStr">
        <is>
          <t>18 potential financial buyers</t>
        </is>
      </c>
      <c r="D10" t="inlineStr">
        <is>
          <t>Contact</t>
        </is>
      </c>
      <c r="E10" t="n">
        <v>1</v>
      </c>
      <c r="F10" t="inlineStr">
        <is>
          <t>1</t>
        </is>
      </c>
      <c r="G10" t="inlineStr">
        <is>
          <t>Financial</t>
        </is>
      </c>
      <c r="H10" t="inlineStr">
        <is>
          <t>Outreach to determine interest; 14 of the 18 subsequently executed confidentiality agreements (R011). Count 18 contacted (not the 14 signers).</t>
        </is>
      </c>
      <c r="K10" t="inlineStr">
        <is>
          <t>Stated. Same wave quotation as R007 (P-006, p.28); of the 18 contacted, “14 potential financial buyers subsequently executed confidentiality agreements” (P-006, p.28).</t>
        </is>
      </c>
      <c r="L10" t="inlineStr">
        <is>
          <t>P-006</t>
        </is>
      </c>
      <c r="M10" t="inlineStr"/>
      <c r="O10" t="inlineStr">
        <is>
          <t>R009</t>
        </is>
      </c>
      <c r="P10" t="inlineStr">
        <is>
          <t>Yes</t>
        </is>
      </c>
      <c r="Q10" t="n">
        <v>18</v>
      </c>
      <c r="R10" s="9" t="n">
        <v>42457</v>
      </c>
      <c r="S10" s="9" t="n">
        <v>42463</v>
      </c>
      <c r="T10" s="9" t="n">
        <v>42460</v>
      </c>
      <c r="U10" t="inlineStr">
        <is>
          <t>Reported interval</t>
        </is>
      </c>
      <c r="V10" t="inlineStr">
        <is>
          <t>Assigned: midpoint</t>
        </is>
      </c>
      <c r="AK10" t="n">
        <v>28</v>
      </c>
      <c r="AL10" t="inlineStr">
        <is>
          <t>R011 (NDA cohort)</t>
        </is>
      </c>
      <c r="AM10" t="inlineStr">
        <is>
          <t>PWRR-G&amp;W</t>
        </is>
      </c>
    </row>
    <row r="11">
      <c r="A11" t="n">
        <v>10</v>
      </c>
      <c r="B11" t="inlineStr">
        <is>
          <t>After the week of 03/28/2016; exact dates not disclosed</t>
        </is>
      </c>
      <c r="C11" t="inlineStr">
        <is>
          <t>11 potential strategic buyers (including Party A and G&amp;W)</t>
        </is>
      </c>
      <c r="D11" t="inlineStr">
        <is>
          <t>NDA signed</t>
        </is>
      </c>
      <c r="E11" t="n">
        <v>1</v>
      </c>
      <c r="F11" t="inlineStr">
        <is>
          <t>1</t>
        </is>
      </c>
      <c r="G11" t="inlineStr">
        <is>
          <t>Strategic</t>
        </is>
      </c>
      <c r="H11" t="inlineStr">
        <is>
          <t>Executed acquisition-related confidentiality agreements; no “standstill” or similar provision restricting proposals. Signers received the Company memorandum in late April 2016 (folded here; no separate row per section 4). Includes Party A, G&amp;W and (by the filing’s description of memorandum recipients) Party B.</t>
        </is>
      </c>
      <c r="K11" t="inlineStr">
        <is>
          <t>Stated. “Each of the potential strategic buyers and 14 potential financial buyers subsequently executed confidentiality agreements. The confidentiality agreements did not contain any “standstill” or similar provision that would prohibit a potential buyer from submitting a proposal or making an offer to acquire the Company.” (P-006, p.28). Convention: execution day not disclosed; working date follows the outreach rows (Assigned: sequence).</t>
        </is>
      </c>
      <c r="L11" t="inlineStr">
        <is>
          <t>P-006; P-009</t>
        </is>
      </c>
      <c r="M11" t="inlineStr">
        <is>
          <t>Q3</t>
        </is>
      </c>
      <c r="O11" t="inlineStr">
        <is>
          <t>R010</t>
        </is>
      </c>
      <c r="P11" t="inlineStr">
        <is>
          <t>Yes</t>
        </is>
      </c>
      <c r="Q11" t="n">
        <v>11</v>
      </c>
      <c r="R11" s="9" t="n">
        <v>42457</v>
      </c>
      <c r="T11" s="9" t="n">
        <v>42460</v>
      </c>
      <c r="U11" t="inlineStr">
        <is>
          <t>Relative only</t>
        </is>
      </c>
      <c r="V11" t="inlineStr">
        <is>
          <t>Assigned: sequence</t>
        </is>
      </c>
      <c r="AK11" t="n">
        <v>28</v>
      </c>
      <c r="AL11" t="inlineStr">
        <is>
          <t>R008 (contacts); R015 (Party B); R043 (Party A)</t>
        </is>
      </c>
      <c r="AM11" t="inlineStr">
        <is>
          <t>PWRR-G&amp;W</t>
        </is>
      </c>
    </row>
    <row r="12">
      <c r="A12" t="n">
        <v>11</v>
      </c>
      <c r="B12" t="inlineStr">
        <is>
          <t>After the week of 03/28/2016; exact dates not disclosed</t>
        </is>
      </c>
      <c r="C12" t="inlineStr">
        <is>
          <t>14 potential financial buyers</t>
        </is>
      </c>
      <c r="D12" t="inlineStr">
        <is>
          <t>NDA signed</t>
        </is>
      </c>
      <c r="E12" t="n">
        <v>1</v>
      </c>
      <c r="F12" t="inlineStr">
        <is>
          <t>1</t>
        </is>
      </c>
      <c r="G12" t="inlineStr">
        <is>
          <t>Financial</t>
        </is>
      </c>
      <c r="H12" t="inlineStr">
        <is>
          <t>14 of the 18 contacted financial buyers executed confidentiality agreements; no “standstill” provision. Signers received the Company memorandum in late April 2016 (folded here).</t>
        </is>
      </c>
      <c r="K12" t="inlineStr">
        <is>
          <t>Stated. Same quotation as R010 (P-006, p.28). Convention: execution day not disclosed; working date follows the outreach rows (Assigned: sequence).</t>
        </is>
      </c>
      <c r="L12" t="inlineStr">
        <is>
          <t>P-006; P-009</t>
        </is>
      </c>
      <c r="M12" t="inlineStr">
        <is>
          <t>Q3</t>
        </is>
      </c>
      <c r="O12" t="inlineStr">
        <is>
          <t>R011</t>
        </is>
      </c>
      <c r="P12" t="inlineStr">
        <is>
          <t>Yes</t>
        </is>
      </c>
      <c r="Q12" t="n">
        <v>14</v>
      </c>
      <c r="R12" s="9" t="n">
        <v>42457</v>
      </c>
      <c r="T12" s="9" t="n">
        <v>42460</v>
      </c>
      <c r="U12" t="inlineStr">
        <is>
          <t>Relative only</t>
        </is>
      </c>
      <c r="V12" t="inlineStr">
        <is>
          <t>Assigned: sequence</t>
        </is>
      </c>
      <c r="AK12" t="n">
        <v>28</v>
      </c>
      <c r="AL12" t="inlineStr">
        <is>
          <t>R009 (contacts)</t>
        </is>
      </c>
      <c r="AM12" t="inlineStr">
        <is>
          <t>PWRR-G&amp;W</t>
        </is>
      </c>
    </row>
    <row r="13">
      <c r="A13" t="n">
        <v>12</v>
      </c>
      <c r="B13" t="inlineStr">
        <is>
          <t>04/03/2016–04/06/2016</t>
        </is>
      </c>
      <c r="C13" t="inlineStr">
        <is>
          <t>Five potential strategic buyers (including G&amp;W); GHF and Company management</t>
        </is>
      </c>
      <c r="D13" t="inlineStr">
        <is>
          <t>Contact</t>
        </is>
      </c>
      <c r="E13" t="n">
        <v>1</v>
      </c>
      <c r="F13" t="inlineStr">
        <is>
          <t>1</t>
        </is>
      </c>
      <c r="G13" t="inlineStr">
        <is>
          <t>Strategic</t>
        </is>
      </c>
      <c r="H13" t="inlineStr">
        <is>
          <t>Series of introductory meetings at the 2016 Connections Convention. Count 0 — these five are inside the R008 11-strategic cohort; first reported event naming G&amp;W.</t>
        </is>
      </c>
      <c r="K13" t="inlineStr">
        <is>
          <t>Stated. “Between April 3, 2016 and April 6, 2016, representatives of GHF and members of the Company’s management held a series of introductory meetings with five potential strategic buyers (including G&amp;W) at the American Short Line and Regional Railroad Association’s 2016 Connections Convention” (P-007, p.28). Convention: event spans four days; working date is the first day (Assigned: bound).</t>
        </is>
      </c>
      <c r="L13" t="inlineStr">
        <is>
          <t>P-007</t>
        </is>
      </c>
      <c r="M13" t="inlineStr"/>
      <c r="O13" t="inlineStr">
        <is>
          <t>R012</t>
        </is>
      </c>
      <c r="P13" t="inlineStr">
        <is>
          <t>Yes</t>
        </is>
      </c>
      <c r="Q13" t="n">
        <v>0</v>
      </c>
      <c r="R13" s="9" t="n">
        <v>42463</v>
      </c>
      <c r="S13" s="9" t="n">
        <v>42466</v>
      </c>
      <c r="T13" s="9" t="n">
        <v>42463</v>
      </c>
      <c r="U13" t="inlineStr">
        <is>
          <t>Reported interval</t>
        </is>
      </c>
      <c r="V13" t="inlineStr">
        <is>
          <t>Assigned: bound</t>
        </is>
      </c>
      <c r="AK13" t="n">
        <v>28</v>
      </c>
      <c r="AL13" t="inlineStr">
        <is>
          <t>covered by R008</t>
        </is>
      </c>
      <c r="AM13" t="inlineStr">
        <is>
          <t>PWRR-G&amp;W</t>
        </is>
      </c>
    </row>
    <row r="14">
      <c r="A14" t="n">
        <v>13</v>
      </c>
      <c r="B14" t="inlineStr">
        <is>
          <t>04/07/2016</t>
        </is>
      </c>
      <c r="C14" t="inlineStr">
        <is>
          <t>Transaction Committee</t>
        </is>
      </c>
      <c r="D14" t="inlineStr">
        <is>
          <t>Target decision</t>
        </is>
      </c>
      <c r="E14" t="n">
        <v>1</v>
      </c>
      <c r="F14" t="inlineStr">
        <is>
          <t>1</t>
        </is>
      </c>
      <c r="H14" t="inlineStr">
        <is>
          <t>Committee authorized GHF to confirm continuing interest with the five convention parties, other potential strategic buyers (including certain Class I railroads) and private equity firms that had signed confidentiality agreements; CFO Noreck reported two additional Class I railroads had also been approached (R014).</t>
        </is>
      </c>
      <c r="K14" t="inlineStr">
        <is>
          <t>Stated. “the Transaction Committee authorized representatives of GHF, on behalf of the Company, to contact each of the five interested parties with whom management had met at the 2016 Connections Convention, as well as other potential strategic buyers (including certain Class I railroads) and private equity firms who had entered into confidentiality agreements with the Company to confirm their continuing interest.” (P-008, p.28).</t>
        </is>
      </c>
      <c r="L14" t="inlineStr">
        <is>
          <t>P-008</t>
        </is>
      </c>
      <c r="M14" t="inlineStr"/>
      <c r="O14" t="inlineStr">
        <is>
          <t>R013</t>
        </is>
      </c>
      <c r="P14" t="inlineStr">
        <is>
          <t>Yes</t>
        </is>
      </c>
      <c r="R14" s="9" t="n">
        <v>42467</v>
      </c>
      <c r="S14" s="9" t="n">
        <v>42467</v>
      </c>
      <c r="T14" s="9" t="n">
        <v>42467</v>
      </c>
      <c r="U14" t="inlineStr">
        <is>
          <t>Reported day</t>
        </is>
      </c>
      <c r="V14" t="inlineStr">
        <is>
          <t>Reported</t>
        </is>
      </c>
      <c r="AK14" t="n">
        <v>28</v>
      </c>
      <c r="AL14" t="inlineStr">
        <is>
          <t>R014</t>
        </is>
      </c>
      <c r="AM14" t="inlineStr">
        <is>
          <t>PWRR-G&amp;W</t>
        </is>
      </c>
    </row>
    <row r="15">
      <c r="A15" t="n">
        <v>14</v>
      </c>
      <c r="B15" t="inlineStr">
        <is>
          <t>On or before 04/07/2016 (report date; earlier contacts not dated)</t>
        </is>
      </c>
      <c r="C15" t="inlineStr">
        <is>
          <t>Two additional Class I railroads</t>
        </is>
      </c>
      <c r="D15" t="inlineStr">
        <is>
          <t>Contact</t>
        </is>
      </c>
      <c r="E15" t="n">
        <v>1</v>
      </c>
      <c r="F15" t="inlineStr">
        <is>
          <t>1</t>
        </is>
      </c>
      <c r="G15" t="inlineStr">
        <is>
          <t>Strategic</t>
        </is>
      </c>
      <c r="H15" t="inlineStr">
        <is>
          <t>Target-side approaches to determine interest in a possible transaction; additional to the 11 strategic buyers contacted in the March wave. No NDA, bid or outcome is reported: these contact-only parties never entered the process (no closing row).</t>
        </is>
      </c>
      <c r="K15" t="inlineStr">
        <is>
          <t>Stated. “Mr. Noreck reported that the Company had also approached two additional Class I railroads to determine their interest in a possible transaction.” (P-008, p.28). Convention: reported 04/07/2016 only; earlier date not disclosed, so the report day is the assigned bound.</t>
        </is>
      </c>
      <c r="L15" t="inlineStr">
        <is>
          <t>P-008</t>
        </is>
      </c>
      <c r="M15" t="inlineStr">
        <is>
          <t>Q3</t>
        </is>
      </c>
      <c r="O15" t="inlineStr">
        <is>
          <t>R014</t>
        </is>
      </c>
      <c r="P15" t="inlineStr">
        <is>
          <t>Yes</t>
        </is>
      </c>
      <c r="Q15" t="n">
        <v>2</v>
      </c>
      <c r="S15" s="9" t="n">
        <v>42467</v>
      </c>
      <c r="T15" s="9" t="n">
        <v>42467</v>
      </c>
      <c r="U15" t="inlineStr">
        <is>
          <t>Relative only</t>
        </is>
      </c>
      <c r="V15" t="inlineStr">
        <is>
          <t>Assigned: bound</t>
        </is>
      </c>
      <c r="AK15" t="n">
        <v>28</v>
      </c>
      <c r="AL15" t="inlineStr"/>
      <c r="AM15" t="inlineStr">
        <is>
          <t>PWRR-G&amp;W</t>
        </is>
      </c>
    </row>
    <row r="16">
      <c r="A16" t="n">
        <v>15</v>
      </c>
      <c r="B16" t="inlineStr">
        <is>
          <t>04/21/2016</t>
        </is>
      </c>
      <c r="C16" t="inlineStr">
        <is>
          <t>Party B (potential strategic buyer)</t>
        </is>
      </c>
      <c r="D16" t="inlineStr">
        <is>
          <t>Contact</t>
        </is>
      </c>
      <c r="E16" t="n">
        <v>1</v>
      </c>
      <c r="F16" t="inlineStr">
        <is>
          <t>1</t>
        </is>
      </c>
      <c r="G16" t="inlineStr">
        <is>
          <t>Strategic</t>
        </is>
      </c>
      <c r="H16" t="inlineStr">
        <is>
          <t>Company and GHF held an introductory meeting with Party B; Party B had executed a confidentiality agreement by late April (received the Company memorandum). Count left blank: whether Party B is inside the 11-strategic contact cohort (R008) is not disclosed — unresolved overlap, not silently zero.</t>
        </is>
      </c>
      <c r="K16" t="inlineStr">
        <is>
          <t>Stated. “Subsequently, on April 21, 2016, the Company and representatives of GHF held an introductory meeting with another potential strategic buyer (“Party B”).” (P-008, p.28). Overlap qualification: R010 (memo recipients include Party B).</t>
        </is>
      </c>
      <c r="L16" t="inlineStr">
        <is>
          <t>P-008; P-009</t>
        </is>
      </c>
      <c r="M16" t="inlineStr">
        <is>
          <t>Q3</t>
        </is>
      </c>
      <c r="O16" t="inlineStr">
        <is>
          <t>R015</t>
        </is>
      </c>
      <c r="P16" t="inlineStr">
        <is>
          <t>Yes</t>
        </is>
      </c>
      <c r="R16" s="9" t="n">
        <v>42481</v>
      </c>
      <c r="S16" s="9" t="n">
        <v>42481</v>
      </c>
      <c r="T16" s="9" t="n">
        <v>42481</v>
      </c>
      <c r="U16" t="inlineStr">
        <is>
          <t>Reported day</t>
        </is>
      </c>
      <c r="V16" t="inlineStr">
        <is>
          <t>Reported</t>
        </is>
      </c>
      <c r="AK16" t="n">
        <v>28</v>
      </c>
      <c r="AL16" t="inlineStr">
        <is>
          <t>R010; R029</t>
        </is>
      </c>
      <c r="AM16" t="inlineStr">
        <is>
          <t>PWRR-G&amp;W</t>
        </is>
      </c>
    </row>
    <row r="17">
      <c r="A17" t="n">
        <v>16</v>
      </c>
      <c r="B17" t="inlineStr">
        <is>
          <t>04/27/2016</t>
        </is>
      </c>
      <c r="C17" t="inlineStr">
        <is>
          <t>Board of Directors (executive session, without Mr. Eder present)</t>
        </is>
      </c>
      <c r="D17" t="inlineStr">
        <is>
          <t>Deadline set</t>
        </is>
      </c>
      <c r="E17" t="n">
        <v>1</v>
      </c>
      <c r="F17" t="inlineStr">
        <is>
          <t>1</t>
        </is>
      </c>
      <c r="H17" t="inlineStr">
        <is>
          <t>Each potential buyer advised to submit a non-binding indication of interest by 05/10/2016. Deadline treatment: Extended (postponed to 05/19/2016, R017).</t>
        </is>
      </c>
      <c r="K17" t="inlineStr">
        <is>
          <t>Stated. “each potential buyer had been advised to submit a non-binding indication of interest by May 10, 2016 (which deadline was subsequently postponed to May 19, 2016 to ensure the potential buyers had sufficient time to formulate their most compelling offers)” (P-010, p.29).</t>
        </is>
      </c>
      <c r="L17" t="inlineStr">
        <is>
          <t>P-010</t>
        </is>
      </c>
      <c r="M17" t="inlineStr">
        <is>
          <t>Q2</t>
        </is>
      </c>
      <c r="O17" t="inlineStr">
        <is>
          <t>R016</t>
        </is>
      </c>
      <c r="P17" t="inlineStr">
        <is>
          <t>Yes</t>
        </is>
      </c>
      <c r="R17" s="9" t="n">
        <v>42487</v>
      </c>
      <c r="S17" s="9" t="n">
        <v>42487</v>
      </c>
      <c r="T17" s="9" t="n">
        <v>42487</v>
      </c>
      <c r="U17" t="inlineStr">
        <is>
          <t>Reported day</t>
        </is>
      </c>
      <c r="V17" t="inlineStr">
        <is>
          <t>Reported</t>
        </is>
      </c>
      <c r="AE17" s="9" t="n">
        <v>42500</v>
      </c>
      <c r="AF17" t="inlineStr">
        <is>
          <t>Extended</t>
        </is>
      </c>
      <c r="AK17" t="n">
        <v>29</v>
      </c>
      <c r="AL17" t="inlineStr">
        <is>
          <t>R017; R018</t>
        </is>
      </c>
      <c r="AM17" t="inlineStr">
        <is>
          <t>PWRR-G&amp;W</t>
        </is>
      </c>
    </row>
    <row r="18">
      <c r="A18" t="n">
        <v>17</v>
      </c>
      <c r="B18" t="inlineStr">
        <is>
          <t>After 04/27/2016; before 05/19/2016 (exact date not disclosed)</t>
        </is>
      </c>
      <c r="C18" t="inlineStr">
        <is>
          <t>Company (Transaction Committee process)</t>
        </is>
      </c>
      <c r="D18" t="inlineStr">
        <is>
          <t>Deadline revised</t>
        </is>
      </c>
      <c r="E18" t="n">
        <v>1</v>
      </c>
      <c r="F18" t="inlineStr">
        <is>
          <t>1</t>
        </is>
      </c>
      <c r="H18" t="inlineStr">
        <is>
          <t>IOI deadline postponed from 05/10/2016 to 05/19/2016 to ensure the potential buyers had sufficient time to formulate their most compelling offers; requester not disclosed. Deadline treatment shown for the replacement date (R018).</t>
        </is>
      </c>
      <c r="K18" t="inlineStr">
        <is>
          <t>Stated (postponement and reason). “which deadline was subsequently postponed to May 19, 2016 to ensure the potential buyers had sufficient time to formulate their most compelling offers” (P-010, p.29). Convention: postponement date not disclosed; bounded 04/28–05/18 (after the 04/27/2016 meeting, before the new date); working date is the midpoint.</t>
        </is>
      </c>
      <c r="L18" t="inlineStr">
        <is>
          <t>P-010</t>
        </is>
      </c>
      <c r="M18" t="inlineStr">
        <is>
          <t>Q2</t>
        </is>
      </c>
      <c r="O18" t="inlineStr">
        <is>
          <t>R017</t>
        </is>
      </c>
      <c r="P18" t="inlineStr">
        <is>
          <t>Yes</t>
        </is>
      </c>
      <c r="R18" s="9" t="n">
        <v>42488</v>
      </c>
      <c r="S18" s="9" t="n">
        <v>42508</v>
      </c>
      <c r="T18" s="9" t="n">
        <v>42498</v>
      </c>
      <c r="U18" t="inlineStr">
        <is>
          <t>Relative only</t>
        </is>
      </c>
      <c r="V18" t="inlineStr">
        <is>
          <t>Assigned: midpoint</t>
        </is>
      </c>
      <c r="AE18" s="9" t="n">
        <v>42509</v>
      </c>
      <c r="AF18" t="inlineStr">
        <is>
          <t>Enforced</t>
        </is>
      </c>
      <c r="AK18" t="n">
        <v>29</v>
      </c>
      <c r="AL18" t="inlineStr">
        <is>
          <t>R016; R018</t>
        </is>
      </c>
      <c r="AM18" t="inlineStr">
        <is>
          <t>PWRR-G&amp;W</t>
        </is>
      </c>
    </row>
    <row r="19">
      <c r="A19" t="n">
        <v>18</v>
      </c>
      <c r="B19" t="inlineStr">
        <is>
          <t>05/19/2016</t>
        </is>
      </c>
      <c r="C19" t="inlineStr">
        <is>
          <t>Company (IOI deadline)</t>
        </is>
      </c>
      <c r="D19" t="inlineStr">
        <is>
          <t>Deadline</t>
        </is>
      </c>
      <c r="E19" t="n">
        <v>1</v>
      </c>
      <c r="F19" t="inlineStr">
        <is>
          <t>1</t>
        </is>
      </c>
      <c r="H19" t="inlineStr">
        <is>
          <t>IOI due date. Treatment Enforced: the date passed with no extension and the target took its next step (review of the nine IOIs at the 05/23 and 06/01 committee meetings; exclusion of two low bidders; advancement of seven). The receipt window 05/19–06/01 straddles the due date and no individual arrival dates are disclosed, so no arrival is treated as late (alternative reading flagged in Q2).</t>
        </is>
      </c>
      <c r="K19" t="inlineStr">
        <is>
          <t>Stated (due date and what followed). “Between May 19, 2016 and June 1, 2016, the Company received nine written indications of interest (“IOIs”) from potential buyers” ... “The Transaction Committee met by telephone conference on May 23, 2016 and again on June 1, 2016 to consider the IOIs.” (P-011, p.29).</t>
        </is>
      </c>
      <c r="L19" t="inlineStr">
        <is>
          <t>P-011</t>
        </is>
      </c>
      <c r="M19" t="inlineStr">
        <is>
          <t>Q2</t>
        </is>
      </c>
      <c r="O19" t="inlineStr">
        <is>
          <t>R018</t>
        </is>
      </c>
      <c r="P19" t="inlineStr">
        <is>
          <t>Yes</t>
        </is>
      </c>
      <c r="R19" s="9" t="n">
        <v>42509</v>
      </c>
      <c r="S19" s="9" t="n">
        <v>42509</v>
      </c>
      <c r="T19" s="9" t="n">
        <v>42509</v>
      </c>
      <c r="U19" t="inlineStr">
        <is>
          <t>Reported day</t>
        </is>
      </c>
      <c r="V19" t="inlineStr">
        <is>
          <t>Reported</t>
        </is>
      </c>
      <c r="AE19" s="9" t="n">
        <v>42509</v>
      </c>
      <c r="AF19" t="inlineStr">
        <is>
          <t>Enforced</t>
        </is>
      </c>
      <c r="AK19" t="n">
        <v>29</v>
      </c>
      <c r="AL19" t="inlineStr">
        <is>
          <t>R016; R017; R019</t>
        </is>
      </c>
      <c r="AM19" t="inlineStr">
        <is>
          <t>PWRR-G&amp;W</t>
        </is>
      </c>
    </row>
    <row r="20">
      <c r="A20" t="n">
        <v>19</v>
      </c>
      <c r="B20" t="inlineStr">
        <is>
          <t>Between 05/19/2016 and 06/01/2016</t>
        </is>
      </c>
      <c r="C20" t="inlineStr">
        <is>
          <t>Nine IOI bidders (unidentified group of potential buyers)</t>
        </is>
      </c>
      <c r="D20" t="inlineStr">
        <is>
          <t>Bid</t>
        </is>
      </c>
      <c r="E20" t="n">
        <v>1</v>
      </c>
      <c r="F20" t="inlineStr">
        <is>
          <t>1</t>
        </is>
      </c>
      <c r="G20" t="inlineStr">
        <is>
          <t>Unknown</t>
        </is>
      </c>
      <c r="H20" t="inlineStr">
        <is>
          <t>Nine written non-binding IOIs; offer prices $17.93–$26.50 per share (assuming conversion of preferred stock into common stock), implying equity values of $90 million–$134 million. Group price envelope applies only to this group, not to each member. Preliminary indications made before substantive diligence access (data-site access and management presentations came only after the 06/01 decision) — assessed Informal / Heavy by context.</t>
        </is>
      </c>
      <c r="I20" t="inlineStr">
        <is>
          <t>Informal</t>
        </is>
      </c>
      <c r="J20" t="inlineStr">
        <is>
          <t>Heavy</t>
        </is>
      </c>
      <c r="K20" t="inlineStr">
        <is>
          <t>Stated. “the Company received nine written indications of interest (“IOIs”) from potential buyers, with offer prices per share ranging from $17.93 to $26.50 (assuming the conversion of preferred stock into common stock), implying equity values of $90 million to $134 million” (P-011, p.29). Convention: Group envelope; formality default Informal (no formal signal reported); conditions Heavy by context (before substantive diligence access; “These potential buyers were given access to an internet data site to conduct legal and financial due diligence.”, P-011, p.29); working date = the due date inside the response window (Assigned: deadline).</t>
        </is>
      </c>
      <c r="L20" t="inlineStr">
        <is>
          <t>P-011</t>
        </is>
      </c>
      <c r="M20" t="inlineStr">
        <is>
          <t>Q2; Q6</t>
        </is>
      </c>
      <c r="O20" t="inlineStr">
        <is>
          <t>R019</t>
        </is>
      </c>
      <c r="P20" t="inlineStr">
        <is>
          <t>Yes</t>
        </is>
      </c>
      <c r="Q20" t="n">
        <v>9</v>
      </c>
      <c r="R20" s="9" t="n">
        <v>42509</v>
      </c>
      <c r="S20" s="9" t="n">
        <v>42522</v>
      </c>
      <c r="T20" s="9" t="n">
        <v>42509</v>
      </c>
      <c r="U20" t="inlineStr">
        <is>
          <t>Reported interval</t>
        </is>
      </c>
      <c r="V20" t="inlineStr">
        <is>
          <t>Assigned: deadline</t>
        </is>
      </c>
      <c r="W20" t="n">
        <v>17.93</v>
      </c>
      <c r="X20" t="n">
        <v>26.5</v>
      </c>
      <c r="Y20" t="inlineStr">
        <is>
          <t>Group envelope</t>
        </is>
      </c>
      <c r="Z20" t="inlineStr">
        <is>
          <t>Stated</t>
        </is>
      </c>
      <c r="AA20" t="inlineStr">
        <is>
          <t>USD</t>
        </is>
      </c>
      <c r="AB20" t="inlineStr">
        <is>
          <t>Not stated</t>
        </is>
      </c>
      <c r="AD20" t="inlineStr">
        <is>
          <t>Fin: not stated; DD required: not stated; DD open: no; Excl: not stated</t>
        </is>
      </c>
      <c r="AK20" t="n">
        <v>29</v>
      </c>
      <c r="AL20" t="inlineStr">
        <is>
          <t>R020 (non-submitter residual); R021 (two low bidders)</t>
        </is>
      </c>
      <c r="AM20" t="inlineStr">
        <is>
          <t>PWRR-G&amp;W</t>
        </is>
      </c>
    </row>
    <row r="21">
      <c r="A21" t="n">
        <v>20</v>
      </c>
      <c r="B21" t="inlineStr">
        <is>
          <t>By 05/19/2016</t>
        </is>
      </c>
      <c r="C21" t="inlineStr">
        <is>
          <t>16 non-submitting NDA signers (residual cohort)</t>
        </is>
      </c>
      <c r="D21" t="inlineStr">
        <is>
          <t>Did not submit</t>
        </is>
      </c>
      <c r="E21" t="n">
        <v>1</v>
      </c>
      <c r="F21" t="inlineStr">
        <is>
          <t>1</t>
        </is>
      </c>
      <c r="G21" t="inlineStr">
        <is>
          <t>Unknown</t>
        </is>
      </c>
      <c r="H21" t="inlineStr">
        <is>
          <t>Inferred: residual — 25 NDA signers (R010+R011) − 9 IOI submitters (R019) = 16 non-submitters. Base assumes all 25 initial signers were eligible for the IOI solicitation (P-010, p.29); may include Party A (see R043).</t>
        </is>
      </c>
      <c r="K21" t="inlineStr">
        <is>
          <t>Inferred: residual. Base: “Each of the potential strategic buyers and 14 potential financial buyers subsequently executed confidentiality agreements.” (P-006, p.28); “the Company received nine written indications of interest (“IOIs”) from potential buyers” (P-011, p.29). Closing convention (section 10.2): no submission reported; agency and reason not established from the arithmetic.</t>
        </is>
      </c>
      <c r="L21" t="inlineStr">
        <is>
          <t>P-006; P-011</t>
        </is>
      </c>
      <c r="M21" t="inlineStr">
        <is>
          <t>Q5</t>
        </is>
      </c>
      <c r="O21" t="inlineStr">
        <is>
          <t>R020</t>
        </is>
      </c>
      <c r="P21" t="inlineStr">
        <is>
          <t>Yes</t>
        </is>
      </c>
      <c r="Q21" t="n">
        <v>16</v>
      </c>
      <c r="S21" s="9" t="n">
        <v>42509</v>
      </c>
      <c r="T21" s="9" t="n">
        <v>42509</v>
      </c>
      <c r="U21" t="inlineStr">
        <is>
          <t>Relative only</t>
        </is>
      </c>
      <c r="V21" t="inlineStr">
        <is>
          <t>Assigned: deadline</t>
        </is>
      </c>
      <c r="AH21" t="inlineStr">
        <is>
          <t>Unknown</t>
        </is>
      </c>
      <c r="AI21" t="inlineStr">
        <is>
          <t>Not stated</t>
        </is>
      </c>
      <c r="AJ21" t="inlineStr">
        <is>
          <t>Inferred: residual</t>
        </is>
      </c>
      <c r="AK21" t="n">
        <v>29</v>
      </c>
      <c r="AL21" t="inlineStr">
        <is>
          <t>R010; R011; R043 (possible member)</t>
        </is>
      </c>
      <c r="AM21" t="inlineStr">
        <is>
          <t>PWRR-G&amp;W</t>
        </is>
      </c>
    </row>
    <row r="22">
      <c r="A22" t="n">
        <v>21</v>
      </c>
      <c r="B22" t="inlineStr">
        <is>
          <t>06/01/2016 (decision reached over the 05/23 and 06/01 meetings)</t>
        </is>
      </c>
      <c r="C22" t="inlineStr">
        <is>
          <t>Two lowest-priced IOI bidders (unidentified)</t>
        </is>
      </c>
      <c r="D22" t="inlineStr">
        <is>
          <t>Dropped by target</t>
        </is>
      </c>
      <c r="E22" t="n">
        <v>1</v>
      </c>
      <c r="F22" t="inlineStr">
        <is>
          <t>1</t>
        </is>
      </c>
      <c r="G22" t="inlineStr">
        <is>
          <t>Unknown</t>
        </is>
      </c>
      <c r="H22" t="inlineStr">
        <is>
          <t>Stated exclusion from management presentations and further diligence because management time for presentations was substantial; the two lowest of the nine IOIs. Stage left: Round 1. Identity of the two lowest is not disclosed.</t>
        </is>
      </c>
      <c r="K22" t="inlineStr">
        <is>
          <t>Stated. “In view of the substantial amount of management time that would be required for management presentations, the Transaction Committee concluded that the two low bidders should be excluded from that process.” (P-011, p.29). Convention: decision spans the 05/23 and 06/01 meetings; working date is the last meeting day (Assigned: decision day).</t>
        </is>
      </c>
      <c r="L22" t="inlineStr">
        <is>
          <t>P-011</t>
        </is>
      </c>
      <c r="M22" t="inlineStr">
        <is>
          <t>Q5</t>
        </is>
      </c>
      <c r="O22" t="inlineStr">
        <is>
          <t>R021</t>
        </is>
      </c>
      <c r="P22" t="inlineStr">
        <is>
          <t>Yes</t>
        </is>
      </c>
      <c r="Q22" t="n">
        <v>2</v>
      </c>
      <c r="R22" s="9" t="n">
        <v>42513</v>
      </c>
      <c r="S22" s="9" t="n">
        <v>42522</v>
      </c>
      <c r="T22" s="9" t="n">
        <v>42522</v>
      </c>
      <c r="U22" t="inlineStr">
        <is>
          <t>Reported interval</t>
        </is>
      </c>
      <c r="V22" t="inlineStr">
        <is>
          <t>Assigned: decision day</t>
        </is>
      </c>
      <c r="AH22" t="inlineStr">
        <is>
          <t>Target</t>
        </is>
      </c>
      <c r="AI22" t="inlineStr">
        <is>
          <t>Lower offer than rivals</t>
        </is>
      </c>
      <c r="AJ22" t="inlineStr">
        <is>
          <t>Stated</t>
        </is>
      </c>
      <c r="AK22" t="n">
        <v>29</v>
      </c>
      <c r="AL22" t="inlineStr">
        <is>
          <t>R019 (source group); R043 (possible member)</t>
        </is>
      </c>
      <c r="AM22" t="inlineStr">
        <is>
          <t>PWRR-G&amp;W</t>
        </is>
      </c>
    </row>
    <row r="23">
      <c r="A23" t="n">
        <v>22</v>
      </c>
      <c r="B23" t="inlineStr">
        <is>
          <t>06/01/2016</t>
        </is>
      </c>
      <c r="C23" t="inlineStr">
        <is>
          <t>Transaction Committee</t>
        </is>
      </c>
      <c r="D23" t="inlineStr">
        <is>
          <t>Round opened</t>
        </is>
      </c>
      <c r="E23" t="n">
        <v>1</v>
      </c>
      <c r="F23" t="inlineStr">
        <is>
          <t>2</t>
        </is>
      </c>
      <c r="H23" t="inlineStr">
        <is>
          <t>Advancement: seven of the nine IOI bidders selected for in-person management presentations and additional due diligence; internet data-site access granted to those seven; two low bidders excluded (R021). Objective: presentations, diligence and non-binding LOIs. Round finality: Not final — no final/binding stage announced; the next offers were non-binding LOIs (P-012, p.29).</t>
        </is>
      </c>
      <c r="K23" t="inlineStr">
        <is>
          <t>Stated. “The Transaction Committee authorized representatives of GHF to schedule in-person management presentations with the remaining seven potential buyers and allow these parties to conduct additional due diligence. These potential buyers were given access to an internet data site to conduct legal and financial due diligence.” (P-011, p.29).</t>
        </is>
      </c>
      <c r="L23" t="inlineStr">
        <is>
          <t>P-011; P-012</t>
        </is>
      </c>
      <c r="M23" t="inlineStr">
        <is>
          <t>Q1</t>
        </is>
      </c>
      <c r="O23" t="inlineStr">
        <is>
          <t>R022</t>
        </is>
      </c>
      <c r="P23" t="inlineStr">
        <is>
          <t>Yes</t>
        </is>
      </c>
      <c r="R23" s="9" t="n">
        <v>42522</v>
      </c>
      <c r="S23" s="9" t="n">
        <v>42522</v>
      </c>
      <c r="T23" s="9" t="n">
        <v>42522</v>
      </c>
      <c r="U23" t="inlineStr">
        <is>
          <t>Reported day</t>
        </is>
      </c>
      <c r="V23" t="inlineStr">
        <is>
          <t>Reported</t>
        </is>
      </c>
      <c r="AG23" t="inlineStr">
        <is>
          <t>Not final</t>
        </is>
      </c>
      <c r="AK23" t="n">
        <v>29</v>
      </c>
      <c r="AL23" t="inlineStr">
        <is>
          <t>R021; R024</t>
        </is>
      </c>
      <c r="AM23" t="inlineStr">
        <is>
          <t>PWRR-G&amp;W</t>
        </is>
      </c>
    </row>
    <row r="24">
      <c r="A24" t="n">
        <v>23</v>
      </c>
      <c r="B24" t="inlineStr">
        <is>
          <t>Mid-June 2016 (exact date not disclosed)</t>
        </is>
      </c>
      <c r="C24" t="inlineStr">
        <is>
          <t>Transaction Committee / GHF</t>
        </is>
      </c>
      <c r="D24" t="inlineStr">
        <is>
          <t>Deadline set</t>
        </is>
      </c>
      <c r="E24" t="n">
        <v>1</v>
      </c>
      <c r="F24" t="inlineStr">
        <is>
          <t>2</t>
        </is>
      </c>
      <c r="H24" t="inlineStr">
        <is>
          <t>All potential buyers instructed to submit non-binding LOIs by 07/20/2016, together with mark-ups of the merger agreement, disclosure letter and voting agreement to be posted to the data site; valuation to be per share for 100% of the outstanding common stock (assuming preferred conversion) or the financial terms of any non-cash proposal. Drafts posted: merger agreement 06/29/2016; voting agreement (Eder Trusts shares) 06/30/2016; disclosure letter 07/11/2016 (P-013, p.29). Deadline treatment of the 07/20 date: Late bids accepted (R028).</t>
        </is>
      </c>
      <c r="K24" t="inlineStr">
        <is>
          <t>Stated. “In mid-June 2016, at the direction of the Transaction Committee, representatives of GHF instructed all potential buyers to submit non-binding letters of intent (“LOIs”) by July 20, 2016, together with mark-ups of the forms of merger agreement, disclosure letter and voting agreement, which GHF indicated would be posted to the internet data site.” (P-012, p.29). Convention: “mid-June” band 06/11–06/19; working date is the midpoint.</t>
        </is>
      </c>
      <c r="L24" t="inlineStr">
        <is>
          <t>P-012; P-013</t>
        </is>
      </c>
      <c r="M24" t="inlineStr">
        <is>
          <t>Q2</t>
        </is>
      </c>
      <c r="O24" t="inlineStr">
        <is>
          <t>R023</t>
        </is>
      </c>
      <c r="P24" t="inlineStr">
        <is>
          <t>Yes</t>
        </is>
      </c>
      <c r="R24" s="9" t="n">
        <v>42532</v>
      </c>
      <c r="S24" s="9" t="n">
        <v>42540</v>
      </c>
      <c r="T24" s="9" t="n">
        <v>42536</v>
      </c>
      <c r="U24" t="inlineStr">
        <is>
          <t>Approximate window</t>
        </is>
      </c>
      <c r="V24" t="inlineStr">
        <is>
          <t>Assigned: midpoint</t>
        </is>
      </c>
      <c r="AE24" s="9" t="n">
        <v>42571</v>
      </c>
      <c r="AF24" t="inlineStr">
        <is>
          <t>Late bids accepted</t>
        </is>
      </c>
      <c r="AK24" t="n">
        <v>29</v>
      </c>
      <c r="AL24" t="inlineStr">
        <is>
          <t>R028</t>
        </is>
      </c>
      <c r="AM24" t="inlineStr">
        <is>
          <t>PWRR-G&amp;W</t>
        </is>
      </c>
    </row>
    <row r="25">
      <c r="A25" t="n">
        <v>24</v>
      </c>
      <c r="B25" t="inlineStr">
        <is>
          <t>Early July 2016 (exact date not disclosed)</t>
        </is>
      </c>
      <c r="C25" t="inlineStr">
        <is>
          <t>Party C (potential strategic buyer; new entrant)</t>
        </is>
      </c>
      <c r="D25" t="inlineStr">
        <is>
          <t>Bidder interest</t>
        </is>
      </c>
      <c r="E25" t="n">
        <v>1</v>
      </c>
      <c r="F25" t="inlineStr">
        <is>
          <t>2</t>
        </is>
      </c>
      <c r="G25" t="inlineStr">
        <is>
          <t>Strategic</t>
        </is>
      </c>
      <c r="H25" t="inlineStr">
        <is>
          <t>Party C approached the Company’s management and expressed interest in acquiring the Company; it had not previously been part of the process. Direction: inbound. Count 1 — newly represented prospective buyer (first-contact fact carried here).</t>
        </is>
      </c>
      <c r="K25" t="inlineStr">
        <is>
          <t>Stated. “In early July 2016, a potential strategic buyer that had not previously been part of the process (“Party C”) approached the Company’s management and expressed interest in acquiring the Company.” (P-014, p.29). Convention: “early July” band 07/01–07/10; working date is the midpoint.</t>
        </is>
      </c>
      <c r="L25" t="inlineStr">
        <is>
          <t>P-014</t>
        </is>
      </c>
      <c r="M25" t="inlineStr">
        <is>
          <t>Q3</t>
        </is>
      </c>
      <c r="O25" t="inlineStr">
        <is>
          <t>R024</t>
        </is>
      </c>
      <c r="P25" t="inlineStr">
        <is>
          <t>Yes</t>
        </is>
      </c>
      <c r="Q25" t="n">
        <v>1</v>
      </c>
      <c r="R25" s="9" t="n">
        <v>42552</v>
      </c>
      <c r="S25" s="9" t="n">
        <v>42561</v>
      </c>
      <c r="T25" s="9" t="n">
        <v>42556</v>
      </c>
      <c r="U25" t="inlineStr">
        <is>
          <t>Approximate window</t>
        </is>
      </c>
      <c r="V25" t="inlineStr">
        <is>
          <t>Assigned: midpoint</t>
        </is>
      </c>
      <c r="AK25" t="n">
        <v>29</v>
      </c>
      <c r="AL25" t="inlineStr">
        <is>
          <t>R025; R026</t>
        </is>
      </c>
      <c r="AM25" t="inlineStr">
        <is>
          <t>PWRR-G&amp;W</t>
        </is>
      </c>
    </row>
    <row r="26">
      <c r="A26" t="n">
        <v>25</v>
      </c>
      <c r="B26" t="inlineStr">
        <is>
          <t>Early July 2016 (exact date not disclosed)</t>
        </is>
      </c>
      <c r="C26" t="inlineStr">
        <is>
          <t>Party C</t>
        </is>
      </c>
      <c r="D26" t="inlineStr">
        <is>
          <t>NDA signed</t>
        </is>
      </c>
      <c r="E26" t="n">
        <v>1</v>
      </c>
      <c r="F26" t="inlineStr">
        <is>
          <t>2</t>
        </is>
      </c>
      <c r="G26" t="inlineStr">
        <is>
          <t>Strategic</t>
        </is>
      </c>
      <c r="H26" t="inlineStr">
        <is>
          <t>Party C executed a confidentiality agreement and was then provided the memorandum concerning the Company that the other potential buyers had received. Count 1. Execution day not disclosed; working date follows R024 (Assigned: sequence on the early-July band).</t>
        </is>
      </c>
      <c r="K26" t="inlineStr">
        <is>
          <t>Stated. “After executing a confidentiality agreement, Party C was provided the memorandum concerning the Company provided to the other potential buyers.” (P-014, p.29).</t>
        </is>
      </c>
      <c r="L26" t="inlineStr">
        <is>
          <t>P-014</t>
        </is>
      </c>
      <c r="M26" t="inlineStr">
        <is>
          <t>Q3</t>
        </is>
      </c>
      <c r="O26" t="inlineStr">
        <is>
          <t>R025</t>
        </is>
      </c>
      <c r="P26" t="inlineStr">
        <is>
          <t>Yes</t>
        </is>
      </c>
      <c r="Q26" t="n">
        <v>1</v>
      </c>
      <c r="R26" s="9" t="n">
        <v>42552</v>
      </c>
      <c r="S26" s="9" t="n">
        <v>42561</v>
      </c>
      <c r="T26" s="9" t="n">
        <v>42556</v>
      </c>
      <c r="U26" t="inlineStr">
        <is>
          <t>Approximate window</t>
        </is>
      </c>
      <c r="V26" t="inlineStr">
        <is>
          <t>Assigned: sequence</t>
        </is>
      </c>
      <c r="AK26" t="n">
        <v>29</v>
      </c>
      <c r="AL26" t="inlineStr">
        <is>
          <t>R024; R026; R027</t>
        </is>
      </c>
      <c r="AM26" t="inlineStr">
        <is>
          <t>PWRR-G&amp;W</t>
        </is>
      </c>
    </row>
    <row r="27">
      <c r="A27" t="n">
        <v>26</v>
      </c>
      <c r="B27" t="inlineStr">
        <is>
          <t>07/12/2016</t>
        </is>
      </c>
      <c r="C27" t="inlineStr">
        <is>
          <t>Party C</t>
        </is>
      </c>
      <c r="D27" t="inlineStr">
        <is>
          <t>Bid</t>
        </is>
      </c>
      <c r="E27" t="n">
        <v>1</v>
      </c>
      <c r="F27" t="inlineStr">
        <is>
          <t>2</t>
        </is>
      </c>
      <c r="G27" t="inlineStr">
        <is>
          <t>Strategic</t>
        </is>
      </c>
      <c r="H27" t="inlineStr">
        <is>
          <t>IOI at $21.00 per share, implying an equity value of $108 million; made before substantive diligence access (data-site access and a management presentation followed, R027).</t>
        </is>
      </c>
      <c r="I27" t="inlineStr">
        <is>
          <t>Informal</t>
        </is>
      </c>
      <c r="J27" t="inlineStr">
        <is>
          <t>Heavy</t>
        </is>
      </c>
      <c r="K27" t="inlineStr">
        <is>
          <t>Stated. “On July 12, 2016, Party C submitted an IOI with an offer price per share of $21.00 (implying an equity value of $108 million).” (P-014, p.29). Convention: IOI with no formal documentation — Informal; Heavy by context (no substantive diligence access before the indication, P-014, p.29).</t>
        </is>
      </c>
      <c r="L27" t="inlineStr">
        <is>
          <t>P-014</t>
        </is>
      </c>
      <c r="M27" t="inlineStr">
        <is>
          <t>Q6</t>
        </is>
      </c>
      <c r="O27" t="inlineStr">
        <is>
          <t>R026</t>
        </is>
      </c>
      <c r="P27" t="inlineStr">
        <is>
          <t>Yes</t>
        </is>
      </c>
      <c r="Q27" t="n">
        <v>1</v>
      </c>
      <c r="R27" s="9" t="n">
        <v>42563</v>
      </c>
      <c r="S27" s="9" t="n">
        <v>42563</v>
      </c>
      <c r="T27" s="9" t="n">
        <v>42563</v>
      </c>
      <c r="U27" t="inlineStr">
        <is>
          <t>Reported day</t>
        </is>
      </c>
      <c r="V27" t="inlineStr">
        <is>
          <t>Reported</t>
        </is>
      </c>
      <c r="W27" t="n">
        <v>21</v>
      </c>
      <c r="X27" t="n">
        <v>21</v>
      </c>
      <c r="Y27" t="inlineStr">
        <is>
          <t>Point</t>
        </is>
      </c>
      <c r="Z27" t="inlineStr">
        <is>
          <t>Stated</t>
        </is>
      </c>
      <c r="AA27" t="inlineStr">
        <is>
          <t>USD</t>
        </is>
      </c>
      <c r="AB27" t="inlineStr">
        <is>
          <t>Not stated</t>
        </is>
      </c>
      <c r="AD27" t="inlineStr">
        <is>
          <t>Fin: not stated; DD required: not stated; DD open: no; Excl: not stated</t>
        </is>
      </c>
      <c r="AK27" t="n">
        <v>29</v>
      </c>
      <c r="AL27" t="inlineStr">
        <is>
          <t>R027 (catch-up access); R032 (later LOI)</t>
        </is>
      </c>
      <c r="AM27" t="inlineStr">
        <is>
          <t>PWRR-G&amp;W</t>
        </is>
      </c>
    </row>
    <row r="28">
      <c r="A28" t="n">
        <v>27</v>
      </c>
      <c r="B28" t="inlineStr">
        <is>
          <t>07/14/2016</t>
        </is>
      </c>
      <c r="C28" t="inlineStr">
        <is>
          <t>Party C</t>
        </is>
      </c>
      <c r="D28" t="inlineStr">
        <is>
          <t>Information access changed</t>
        </is>
      </c>
      <c r="E28" t="n">
        <v>1</v>
      </c>
      <c r="F28" t="inlineStr">
        <is>
          <t>2</t>
        </is>
      </c>
      <c r="G28" t="inlineStr">
        <is>
          <t>Strategic</t>
        </is>
      </c>
      <c r="H28" t="inlineStr">
        <is>
          <t>Late-entrant catch-up access: after its 07/12/2016 IOI, Party C was provided access to the internet data site and the Company held a management presentation with Party C by telephone. The seven bidders already in the process had received data-site access from 06/01/2016 (R022); no access was withheld from others.</t>
        </is>
      </c>
      <c r="K28" t="inlineStr">
        <is>
          <t>Stated. “Subsequently, Party C was provided access to the internet data site and the Company’s management held a management presentation with Party C by telephone on July 14, 2016.” (P-014, p.29).</t>
        </is>
      </c>
      <c r="L28" t="inlineStr">
        <is>
          <t>P-014</t>
        </is>
      </c>
      <c r="M28" t="inlineStr"/>
      <c r="O28" t="inlineStr">
        <is>
          <t>R027</t>
        </is>
      </c>
      <c r="P28" t="inlineStr">
        <is>
          <t>Yes</t>
        </is>
      </c>
      <c r="R28" s="9" t="n">
        <v>42565</v>
      </c>
      <c r="S28" s="9" t="n">
        <v>42565</v>
      </c>
      <c r="T28" s="9" t="n">
        <v>42565</v>
      </c>
      <c r="U28" t="inlineStr">
        <is>
          <t>Reported day</t>
        </is>
      </c>
      <c r="V28" t="inlineStr">
        <is>
          <t>Reported</t>
        </is>
      </c>
      <c r="AK28" t="n">
        <v>29</v>
      </c>
      <c r="AL28" t="inlineStr">
        <is>
          <t>R022; R026</t>
        </is>
      </c>
      <c r="AM28" t="inlineStr">
        <is>
          <t>PWRR-G&amp;W</t>
        </is>
      </c>
    </row>
    <row r="29">
      <c r="A29" t="n">
        <v>28</v>
      </c>
      <c r="B29" t="inlineStr">
        <is>
          <t>07/20/2016</t>
        </is>
      </c>
      <c r="C29" t="inlineStr">
        <is>
          <t>Company (LOI and mark-up deadline)</t>
        </is>
      </c>
      <c r="D29" t="inlineStr">
        <is>
          <t>Deadline</t>
        </is>
      </c>
      <c r="E29" t="n">
        <v>1</v>
      </c>
      <c r="F29" t="inlineStr">
        <is>
          <t>2</t>
        </is>
      </c>
      <c r="H29" t="inlineStr">
        <is>
          <t>Due date for non-binding LOIs and mark-ups. Treatment Late bids accepted: G&amp;W’s LOI was submitted 07/21/2016 and was reviewed with the others at the 07/22 and 07/27 committee meetings; no revision of the date is reported.</t>
        </is>
      </c>
      <c r="K29" t="inlineStr">
        <is>
          <t>Stated. “by July 20, 2016” (P-012, p.29); “G&amp;W submitted an LOI on July 21, 2016 to acquire the Company for a price of $21.15 per share” (P-017, p.29); “The Transaction Committee met by telephone conference on July 22, 2016 and in person after the regular quarterly Board meeting on July 27, 2016, to review the LOIs with representatives of GHF.” (P-023, p.30).</t>
        </is>
      </c>
      <c r="L29" t="inlineStr">
        <is>
          <t>P-012; P-017; P-023</t>
        </is>
      </c>
      <c r="M29" t="inlineStr">
        <is>
          <t>Q2</t>
        </is>
      </c>
      <c r="O29" t="inlineStr">
        <is>
          <t>R028</t>
        </is>
      </c>
      <c r="P29" t="inlineStr">
        <is>
          <t>Yes</t>
        </is>
      </c>
      <c r="R29" s="9" t="n">
        <v>42571</v>
      </c>
      <c r="S29" s="9" t="n">
        <v>42571</v>
      </c>
      <c r="T29" s="9" t="n">
        <v>42571</v>
      </c>
      <c r="U29" t="inlineStr">
        <is>
          <t>Reported day</t>
        </is>
      </c>
      <c r="V29" t="inlineStr">
        <is>
          <t>Reported</t>
        </is>
      </c>
      <c r="AE29" s="9" t="n">
        <v>42571</v>
      </c>
      <c r="AF29" t="inlineStr">
        <is>
          <t>Late bids accepted</t>
        </is>
      </c>
      <c r="AK29" t="n">
        <v>29</v>
      </c>
      <c r="AL29" t="inlineStr">
        <is>
          <t>R023; R036</t>
        </is>
      </c>
      <c r="AM29" t="inlineStr">
        <is>
          <t>PWRR-G&amp;W</t>
        </is>
      </c>
    </row>
    <row r="30">
      <c r="A30" t="n">
        <v>29</v>
      </c>
      <c r="B30" t="inlineStr">
        <is>
          <t>Late July 2016 (undated; window 07/20–07/27)</t>
        </is>
      </c>
      <c r="C30" t="inlineStr">
        <is>
          <t>Party B (potential strategic buyer)</t>
        </is>
      </c>
      <c r="D30" t="inlineStr">
        <is>
          <t>Bid</t>
        </is>
      </c>
      <c r="E30" t="n">
        <v>1</v>
      </c>
      <c r="F30" t="inlineStr">
        <is>
          <t>2</t>
        </is>
      </c>
      <c r="G30" t="inlineStr">
        <is>
          <t>Strategic</t>
        </is>
      </c>
      <c r="H30" t="inlineStr">
        <is>
          <t>$24.00 per share, subject to an expedited diligence review; Party B also provided mark-ups of the draft merger agreement and voting agreement (formal signal).</t>
        </is>
      </c>
      <c r="I30" t="inlineStr">
        <is>
          <t>Formal</t>
        </is>
      </c>
      <c r="J30" t="inlineStr">
        <is>
          <t>Light</t>
        </is>
      </c>
      <c r="K30" t="inlineStr">
        <is>
          <t>Stated. “Party B submitted an LOI to acquire the Company for a price of $24.00 per share (subject to an expedited diligence review).” (P-016, p.29); mark-ups: “Party B, G&amp;W and another bidder (“Party D”) also provided mark-ups of the draft merger agreement and voting agreement.” (P-015, p.29). Convention: undated; window 07/20–07/27 (the 07/27 meeting compared all six LOIs, P-023, p.30), working date = the 07/20 deadline (Assigned: deadline); order relative to G&amp;W’s 07/21 LOI is not actually known (see R036). Formality Formal (returned agreement mark-ups); conditions Light (only an expedited diligence review attached).</t>
        </is>
      </c>
      <c r="L30" t="inlineStr">
        <is>
          <t>P-015; P-016; P-023</t>
        </is>
      </c>
      <c r="M30" t="inlineStr">
        <is>
          <t>Q2; Q6; Q7</t>
        </is>
      </c>
      <c r="O30" t="inlineStr">
        <is>
          <t>R029</t>
        </is>
      </c>
      <c r="P30" t="inlineStr">
        <is>
          <t>Yes</t>
        </is>
      </c>
      <c r="Q30" t="n">
        <v>1</v>
      </c>
      <c r="R30" s="9" t="n">
        <v>42571</v>
      </c>
      <c r="S30" s="9" t="n">
        <v>42578</v>
      </c>
      <c r="T30" s="9" t="n">
        <v>42571</v>
      </c>
      <c r="U30" t="inlineStr">
        <is>
          <t>Approximate window</t>
        </is>
      </c>
      <c r="V30" t="inlineStr">
        <is>
          <t>Assigned: deadline</t>
        </is>
      </c>
      <c r="W30" t="n">
        <v>24</v>
      </c>
      <c r="X30" t="n">
        <v>24</v>
      </c>
      <c r="Y30" t="inlineStr">
        <is>
          <t>Point</t>
        </is>
      </c>
      <c r="Z30" t="inlineStr">
        <is>
          <t>Stated</t>
        </is>
      </c>
      <c r="AA30" t="inlineStr">
        <is>
          <t>USD</t>
        </is>
      </c>
      <c r="AB30" t="inlineStr">
        <is>
          <t>Not stated</t>
        </is>
      </c>
      <c r="AD30" t="inlineStr">
        <is>
          <t>Fin: not stated; DD required: confirmatory; DD open: yes; Excl: none</t>
        </is>
      </c>
      <c r="AK30" t="n">
        <v>29</v>
      </c>
      <c r="AL30" t="inlineStr">
        <is>
          <t>R038; R051; R055</t>
        </is>
      </c>
      <c r="AM30" t="inlineStr">
        <is>
          <t>PWRR-G&amp;W</t>
        </is>
      </c>
    </row>
    <row r="31">
      <c r="A31" t="n">
        <v>30</v>
      </c>
      <c r="B31" t="inlineStr">
        <is>
          <t>Late July 2016 (undated; window 07/20–07/27)</t>
        </is>
      </c>
      <c r="C31" t="inlineStr">
        <is>
          <t>Party E (strategic buyer)</t>
        </is>
      </c>
      <c r="D31" t="inlineStr">
        <is>
          <t>Bid</t>
        </is>
      </c>
      <c r="E31" t="n">
        <v>1</v>
      </c>
      <c r="F31" t="inlineStr">
        <is>
          <t>2</t>
        </is>
      </c>
      <c r="G31" t="inlineStr">
        <is>
          <t>Strategic</t>
        </is>
      </c>
      <c r="H31" t="inlineStr">
        <is>
          <t>$21.26 per share, subject to a 60-day exclusivity period for due diligence and negotiation of definitive documentation. Party E provided a summary of material issues and proposed changes instead of agreement mark-ups.</t>
        </is>
      </c>
      <c r="I31" t="inlineStr">
        <is>
          <t>Informal</t>
        </is>
      </c>
      <c r="J31" t="inlineStr">
        <is>
          <t>Heavy</t>
        </is>
      </c>
      <c r="K31" t="inlineStr">
        <is>
          <t>Stated. “Party E (a strategic buyer) submitted an LOI to acquire the Company for a price of $21.26 per share (subject to a 60-day exclusivity period for due diligence and negotiation of definitive documentation).” (P-018, p.30); “One bidder (“Party E”) provided a summary of material issues and proposed changes to the merger agreement and voting agreement with respect to those issues.” (P-015, p.29). Formality Informal (issue summary is not a returned agreement markup and no other formal signal); conditions Heavy (stated 60-day exclusive diligence/negotiation period).</t>
        </is>
      </c>
      <c r="L31" t="inlineStr">
        <is>
          <t>P-015; P-018</t>
        </is>
      </c>
      <c r="M31" t="inlineStr">
        <is>
          <t>Q6; Q7</t>
        </is>
      </c>
      <c r="O31" t="inlineStr">
        <is>
          <t>R030</t>
        </is>
      </c>
      <c r="P31" t="inlineStr">
        <is>
          <t>Yes</t>
        </is>
      </c>
      <c r="Q31" t="n">
        <v>1</v>
      </c>
      <c r="R31" s="9" t="n">
        <v>42571</v>
      </c>
      <c r="S31" s="9" t="n">
        <v>42578</v>
      </c>
      <c r="T31" s="9" t="n">
        <v>42571</v>
      </c>
      <c r="U31" t="inlineStr">
        <is>
          <t>Approximate window</t>
        </is>
      </c>
      <c r="V31" t="inlineStr">
        <is>
          <t>Assigned: deadline</t>
        </is>
      </c>
      <c r="W31" t="n">
        <v>21.26</v>
      </c>
      <c r="X31" t="n">
        <v>21.26</v>
      </c>
      <c r="Y31" t="inlineStr">
        <is>
          <t>Point</t>
        </is>
      </c>
      <c r="Z31" t="inlineStr">
        <is>
          <t>Stated</t>
        </is>
      </c>
      <c r="AA31" t="inlineStr">
        <is>
          <t>USD</t>
        </is>
      </c>
      <c r="AB31" t="inlineStr">
        <is>
          <t>Not stated</t>
        </is>
      </c>
      <c r="AD31" t="inlineStr">
        <is>
          <t>Fin: not stated; DD required: substantive (60 days); DD open: yes; Excl: requested (60 days)</t>
        </is>
      </c>
      <c r="AK31" t="n">
        <v>30</v>
      </c>
      <c r="AL31" t="inlineStr">
        <is>
          <t>R038; R047; R048</t>
        </is>
      </c>
      <c r="AM31" t="inlineStr">
        <is>
          <t>PWRR-G&amp;W</t>
        </is>
      </c>
    </row>
    <row r="32">
      <c r="A32" t="n">
        <v>31</v>
      </c>
      <c r="B32" t="inlineStr">
        <is>
          <t>Late July 2016 (undated; window 07/20–07/27)</t>
        </is>
      </c>
      <c r="C32" t="inlineStr">
        <is>
          <t>Party D (financial buyer)</t>
        </is>
      </c>
      <c r="D32" t="inlineStr">
        <is>
          <t>Bid</t>
        </is>
      </c>
      <c r="E32" t="n">
        <v>1</v>
      </c>
      <c r="F32" t="inlineStr">
        <is>
          <t>2</t>
        </is>
      </c>
      <c r="G32" t="inlineStr">
        <is>
          <t>Financial</t>
        </is>
      </c>
      <c r="H32" t="inlineStr">
        <is>
          <t>$21.00 per share, subject to a four-week diligence period; Party D also provided mark-ups of the draft merger agreement and voting agreement.</t>
        </is>
      </c>
      <c r="I32" t="inlineStr">
        <is>
          <t>Formal</t>
        </is>
      </c>
      <c r="J32" t="inlineStr">
        <is>
          <t>Heavy</t>
        </is>
      </c>
      <c r="K32" t="inlineStr">
        <is>
          <t>Stated. “Party D (a financial buyer) submitted an LOI to acquire the Company for a price of $21.00 per share (subject to a four-week diligence period).” (P-019, p.30); mark-ups (P-015, p.29). Formality Formal (returned agreement mark-ups); conditions Heavy (stated four-week diligence period).</t>
        </is>
      </c>
      <c r="L32" t="inlineStr">
        <is>
          <t>P-015; P-019</t>
        </is>
      </c>
      <c r="M32" t="inlineStr">
        <is>
          <t>Q6; Q7</t>
        </is>
      </c>
      <c r="O32" t="inlineStr">
        <is>
          <t>R031</t>
        </is>
      </c>
      <c r="P32" t="inlineStr">
        <is>
          <t>Yes</t>
        </is>
      </c>
      <c r="Q32" t="n">
        <v>1</v>
      </c>
      <c r="R32" s="9" t="n">
        <v>42571</v>
      </c>
      <c r="S32" s="9" t="n">
        <v>42578</v>
      </c>
      <c r="T32" s="9" t="n">
        <v>42571</v>
      </c>
      <c r="U32" t="inlineStr">
        <is>
          <t>Approximate window</t>
        </is>
      </c>
      <c r="V32" t="inlineStr">
        <is>
          <t>Assigned: deadline</t>
        </is>
      </c>
      <c r="W32" t="n">
        <v>21</v>
      </c>
      <c r="X32" t="n">
        <v>21</v>
      </c>
      <c r="Y32" t="inlineStr">
        <is>
          <t>Point</t>
        </is>
      </c>
      <c r="Z32" t="inlineStr">
        <is>
          <t>Stated</t>
        </is>
      </c>
      <c r="AA32" t="inlineStr">
        <is>
          <t>USD</t>
        </is>
      </c>
      <c r="AB32" t="inlineStr">
        <is>
          <t>Not stated</t>
        </is>
      </c>
      <c r="AD32" t="inlineStr">
        <is>
          <t>Fin: not stated; DD required: substantive (4 wks); DD open: yes; Excl: not stated</t>
        </is>
      </c>
      <c r="AK32" t="n">
        <v>30</v>
      </c>
      <c r="AL32" t="inlineStr">
        <is>
          <t>R038; R040; R046</t>
        </is>
      </c>
      <c r="AM32" t="inlineStr">
        <is>
          <t>PWRR-G&amp;W</t>
        </is>
      </c>
    </row>
    <row r="33">
      <c r="A33" t="n">
        <v>32</v>
      </c>
      <c r="B33" t="inlineStr">
        <is>
          <t>Late July 2016 (undated; window 07/20–07/27)</t>
        </is>
      </c>
      <c r="C33" t="inlineStr">
        <is>
          <t>Party C (strategic buyer)</t>
        </is>
      </c>
      <c r="D33" t="inlineStr">
        <is>
          <t>Bid</t>
        </is>
      </c>
      <c r="E33" t="n">
        <v>1</v>
      </c>
      <c r="F33" t="inlineStr">
        <is>
          <t>2</t>
        </is>
      </c>
      <c r="G33" t="inlineStr">
        <is>
          <t>Strategic</t>
        </is>
      </c>
      <c r="H33" t="inlineStr">
        <is>
          <t>$19.30 per share, subject to a 30-day diligence period (below its 07/12/2016 IOI of $21.00). Count 0 — Party C’s first Round-2 bid is R026; this is a same-round subsequent submission.</t>
        </is>
      </c>
      <c r="I33" t="inlineStr">
        <is>
          <t>Informal</t>
        </is>
      </c>
      <c r="J33" t="inlineStr">
        <is>
          <t>Heavy</t>
        </is>
      </c>
      <c r="K33" t="inlineStr">
        <is>
          <t>Stated. “Party C submitted an LOI to acquire the Company for a price of $19.30 per share (subject to a 30-day diligence period).” (P-020, p.30). Formality Informal (no mark-up attributed to C; mark-up list names B, G&amp;W, D — P-015, p.29); conditions Heavy (stated 30-day diligence period).</t>
        </is>
      </c>
      <c r="L33" t="inlineStr">
        <is>
          <t>P-015; P-020</t>
        </is>
      </c>
      <c r="M33" t="inlineStr">
        <is>
          <t>Q6; Q7</t>
        </is>
      </c>
      <c r="O33" t="inlineStr">
        <is>
          <t>R032</t>
        </is>
      </c>
      <c r="P33" t="inlineStr">
        <is>
          <t>Yes</t>
        </is>
      </c>
      <c r="Q33" t="n">
        <v>0</v>
      </c>
      <c r="R33" s="9" t="n">
        <v>42571</v>
      </c>
      <c r="S33" s="9" t="n">
        <v>42578</v>
      </c>
      <c r="T33" s="9" t="n">
        <v>42571</v>
      </c>
      <c r="U33" t="inlineStr">
        <is>
          <t>Approximate window</t>
        </is>
      </c>
      <c r="V33" t="inlineStr">
        <is>
          <t>Assigned: deadline</t>
        </is>
      </c>
      <c r="W33" t="n">
        <v>19.3</v>
      </c>
      <c r="X33" t="n">
        <v>19.3</v>
      </c>
      <c r="Y33" t="inlineStr">
        <is>
          <t>Point</t>
        </is>
      </c>
      <c r="Z33" t="inlineStr">
        <is>
          <t>Stated</t>
        </is>
      </c>
      <c r="AA33" t="inlineStr">
        <is>
          <t>USD</t>
        </is>
      </c>
      <c r="AB33" t="inlineStr">
        <is>
          <t>Not stated</t>
        </is>
      </c>
      <c r="AD33" t="inlineStr">
        <is>
          <t>Fin: not stated; DD required: substantive (30 days); DD open: yes; Excl: not stated</t>
        </is>
      </c>
      <c r="AK33" t="n">
        <v>30</v>
      </c>
      <c r="AL33" t="inlineStr">
        <is>
          <t>covers R026; R038; R039</t>
        </is>
      </c>
      <c r="AM33" t="inlineStr">
        <is>
          <t>PWRR-G&amp;W</t>
        </is>
      </c>
    </row>
    <row r="34">
      <c r="A34" t="n">
        <v>33</v>
      </c>
      <c r="B34" t="inlineStr">
        <is>
          <t>Late July 2016 (undated; window 07/20–07/27)</t>
        </is>
      </c>
      <c r="C34" t="inlineStr">
        <is>
          <t>Party F (strategic buyer)</t>
        </is>
      </c>
      <c r="D34" t="inlineStr">
        <is>
          <t>Bid</t>
        </is>
      </c>
      <c r="E34" t="n">
        <v>1</v>
      </c>
      <c r="F34" t="inlineStr">
        <is>
          <t>2</t>
        </is>
      </c>
      <c r="G34" t="inlineStr">
        <is>
          <t>Strategic</t>
        </is>
      </c>
      <c r="H34" t="inlineStr">
        <is>
          <t>$19.20 per share, subject to a 30-day due diligence period. No mark-up attributed to Party F.</t>
        </is>
      </c>
      <c r="I34" t="inlineStr">
        <is>
          <t>Informal</t>
        </is>
      </c>
      <c r="J34" t="inlineStr">
        <is>
          <t>Heavy</t>
        </is>
      </c>
      <c r="K34" t="inlineStr">
        <is>
          <t>Stated. “Party F (a strategic buyer) submitted an LOI to acquire the Company for a price of $19.20 per share (subject to a 30-day due diligence period).” (P-021, p.30). Formality Informal (no mark-up attributed; mark-up list names B, G&amp;W, D — P-015, p.29); conditions Heavy (stated 30-day diligence period).</t>
        </is>
      </c>
      <c r="L34" t="inlineStr">
        <is>
          <t>P-015; P-021</t>
        </is>
      </c>
      <c r="M34" t="inlineStr">
        <is>
          <t>Q6; Q7</t>
        </is>
      </c>
      <c r="O34" t="inlineStr">
        <is>
          <t>R033</t>
        </is>
      </c>
      <c r="P34" t="inlineStr">
        <is>
          <t>Yes</t>
        </is>
      </c>
      <c r="Q34" t="n">
        <v>1</v>
      </c>
      <c r="R34" s="9" t="n">
        <v>42571</v>
      </c>
      <c r="S34" s="9" t="n">
        <v>42578</v>
      </c>
      <c r="T34" s="9" t="n">
        <v>42571</v>
      </c>
      <c r="U34" t="inlineStr">
        <is>
          <t>Approximate window</t>
        </is>
      </c>
      <c r="V34" t="inlineStr">
        <is>
          <t>Assigned: deadline</t>
        </is>
      </c>
      <c r="W34" t="n">
        <v>19.2</v>
      </c>
      <c r="X34" t="n">
        <v>19.2</v>
      </c>
      <c r="Y34" t="inlineStr">
        <is>
          <t>Point</t>
        </is>
      </c>
      <c r="Z34" t="inlineStr">
        <is>
          <t>Stated</t>
        </is>
      </c>
      <c r="AA34" t="inlineStr">
        <is>
          <t>USD</t>
        </is>
      </c>
      <c r="AB34" t="inlineStr">
        <is>
          <t>Not stated</t>
        </is>
      </c>
      <c r="AD34" t="inlineStr">
        <is>
          <t>Fin: not stated; DD required: substantive (30 days); DD open: yes; Excl: not stated</t>
        </is>
      </c>
      <c r="AK34" t="n">
        <v>30</v>
      </c>
      <c r="AL34" t="inlineStr">
        <is>
          <t>R038; R042; R047 (financing support to E)</t>
        </is>
      </c>
      <c r="AM34" t="inlineStr">
        <is>
          <t>PWRR-G&amp;W</t>
        </is>
      </c>
    </row>
    <row r="35">
      <c r="A35" t="n">
        <v>34</v>
      </c>
      <c r="B35" t="inlineStr">
        <is>
          <t>By 07/20/2016 (election reported in late July; no date)</t>
        </is>
      </c>
      <c r="C35" t="inlineStr">
        <is>
          <t>Unnamed strategic bidder that elected not to submit an LOI</t>
        </is>
      </c>
      <c r="D35" t="inlineStr">
        <is>
          <t>Did not submit</t>
        </is>
      </c>
      <c r="E35" t="n">
        <v>1</v>
      </c>
      <c r="F35" t="inlineStr">
        <is>
          <t>2</t>
        </is>
      </c>
      <c r="G35" t="inlineStr">
        <is>
          <t>Strategic</t>
        </is>
      </c>
      <c r="H35" t="inlineStr">
        <is>
          <t>Stated non-submission: of the bidders in the LOI stage, one strategic buyer elected not to submit. Stage: Round 2. Reason not stated.</t>
        </is>
      </c>
      <c r="K35" t="inlineStr">
        <is>
          <t>Stated. “One strategic buyer and one financial buyer elected not to submit an LOI.” (P-022, p.30). Convention: election undated; working date = the 07/20 deadline (Assigned: deadline). The filing supplies the type split, so the two non-submitters are recorded separately. Overlap with the seven advanced bidders and with Party A is unresolved (Q3).</t>
        </is>
      </c>
      <c r="L35" t="inlineStr">
        <is>
          <t>P-022</t>
        </is>
      </c>
      <c r="M35" t="inlineStr">
        <is>
          <t>Q3; Q5</t>
        </is>
      </c>
      <c r="O35" t="inlineStr">
        <is>
          <t>R034</t>
        </is>
      </c>
      <c r="P35" t="inlineStr">
        <is>
          <t>Yes</t>
        </is>
      </c>
      <c r="Q35" t="n">
        <v>1</v>
      </c>
      <c r="S35" s="9" t="n">
        <v>42571</v>
      </c>
      <c r="T35" s="9" t="n">
        <v>42571</v>
      </c>
      <c r="U35" t="inlineStr">
        <is>
          <t>Relative only</t>
        </is>
      </c>
      <c r="V35" t="inlineStr">
        <is>
          <t>Assigned: deadline</t>
        </is>
      </c>
      <c r="AH35" t="inlineStr">
        <is>
          <t>Bidder</t>
        </is>
      </c>
      <c r="AI35" t="inlineStr">
        <is>
          <t>Not stated</t>
        </is>
      </c>
      <c r="AJ35" t="inlineStr">
        <is>
          <t>Stated</t>
        </is>
      </c>
      <c r="AK35" t="n">
        <v>30</v>
      </c>
      <c r="AL35" t="inlineStr">
        <is>
          <t>R022; R038; R043 (possible member)</t>
        </is>
      </c>
      <c r="AM35" t="inlineStr">
        <is>
          <t>PWRR-G&amp;W</t>
        </is>
      </c>
    </row>
    <row r="36">
      <c r="A36" t="n">
        <v>35</v>
      </c>
      <c r="B36" t="inlineStr">
        <is>
          <t>By 07/20/2016 (election reported in late July; no date)</t>
        </is>
      </c>
      <c r="C36" t="inlineStr">
        <is>
          <t>Unnamed financial bidder that elected not to submit an LOI</t>
        </is>
      </c>
      <c r="D36" t="inlineStr">
        <is>
          <t>Did not submit</t>
        </is>
      </c>
      <c r="E36" t="n">
        <v>1</v>
      </c>
      <c r="F36" t="inlineStr">
        <is>
          <t>2</t>
        </is>
      </c>
      <c r="G36" t="inlineStr">
        <is>
          <t>Financial</t>
        </is>
      </c>
      <c r="H36" t="inlineStr">
        <is>
          <t>Stated non-submission: of the bidders in the LOI stage, one financial buyer elected not to submit. Stage: Round 2. Reason not stated.</t>
        </is>
      </c>
      <c r="K36" t="inlineStr">
        <is>
          <t>Stated. Same quotation as R034 (P-022, p.30). Convention: election undated; working date = the 07/20 deadline (Assigned: deadline).</t>
        </is>
      </c>
      <c r="L36" t="inlineStr">
        <is>
          <t>P-022</t>
        </is>
      </c>
      <c r="M36" t="inlineStr">
        <is>
          <t>Q3; Q5</t>
        </is>
      </c>
      <c r="O36" t="inlineStr">
        <is>
          <t>R035</t>
        </is>
      </c>
      <c r="P36" t="inlineStr">
        <is>
          <t>Yes</t>
        </is>
      </c>
      <c r="Q36" t="n">
        <v>1</v>
      </c>
      <c r="S36" s="9" t="n">
        <v>42571</v>
      </c>
      <c r="T36" s="9" t="n">
        <v>42571</v>
      </c>
      <c r="U36" t="inlineStr">
        <is>
          <t>Relative only</t>
        </is>
      </c>
      <c r="V36" t="inlineStr">
        <is>
          <t>Assigned: deadline</t>
        </is>
      </c>
      <c r="AH36" t="inlineStr">
        <is>
          <t>Bidder</t>
        </is>
      </c>
      <c r="AI36" t="inlineStr">
        <is>
          <t>Not stated</t>
        </is>
      </c>
      <c r="AJ36" t="inlineStr">
        <is>
          <t>Stated</t>
        </is>
      </c>
      <c r="AK36" t="n">
        <v>30</v>
      </c>
      <c r="AL36" t="inlineStr">
        <is>
          <t>R022; R038; R043 (possible member)</t>
        </is>
      </c>
      <c r="AM36" t="inlineStr">
        <is>
          <t>PWRR-G&amp;W</t>
        </is>
      </c>
    </row>
    <row r="37">
      <c r="A37" t="n">
        <v>36</v>
      </c>
      <c r="B37" t="inlineStr">
        <is>
          <t>07/21/2016</t>
        </is>
      </c>
      <c r="C37" t="inlineStr">
        <is>
          <t>G&amp;W (Genesee &amp; Wyoming Inc.)</t>
        </is>
      </c>
      <c r="D37" t="inlineStr">
        <is>
          <t>Bid</t>
        </is>
      </c>
      <c r="E37" t="n">
        <v>1</v>
      </c>
      <c r="F37" t="inlineStr">
        <is>
          <t>2</t>
        </is>
      </c>
      <c r="G37" t="inlineStr">
        <is>
          <t>Strategic</t>
        </is>
      </c>
      <c r="H37" t="inlineStr">
        <is>
          <t>$21.15 per share: $20.02 cash at closing plus $1.13 in the form of a contingent value right (CVR) based on the subsequent sale of the Company’s South Quay property; subject to a three-week exclusive diligence period. G&amp;W provided a mark-up of the disclosure letter plus mark-ups of the merger agreement and voting agreement (P-015, p.29). All cash: Yes (the CVR is a contingent cash payment).</t>
        </is>
      </c>
      <c r="I37" t="inlineStr">
        <is>
          <t>Formal</t>
        </is>
      </c>
      <c r="J37" t="inlineStr">
        <is>
          <t>Heavy</t>
        </is>
      </c>
      <c r="K37" t="inlineStr">
        <is>
          <t>Stated. “G&amp;W submitted an LOI on July 21, 2016 to acquire the Company for a price of $21.15 per share (subject to a three-week exclusive diligence period). The price included $20.02 cash at closing and $1.13 in the form of a contingent value right, the value of which was based on the subsequent sale of the Company’s South Quay property (“CVR”). G&amp;W also provided a mark-up of the disclosure letter.” (P-017, p.29). Formality Formal (bidder-returned agreement mark-ups); conditions Heavy (stated three-week exclusive diligence period).</t>
        </is>
      </c>
      <c r="L37" t="inlineStr">
        <is>
          <t>P-015; P-017</t>
        </is>
      </c>
      <c r="M37" t="inlineStr">
        <is>
          <t>Q6; Q7</t>
        </is>
      </c>
      <c r="O37" t="inlineStr">
        <is>
          <t>R036</t>
        </is>
      </c>
      <c r="P37" t="inlineStr">
        <is>
          <t>Yes</t>
        </is>
      </c>
      <c r="Q37" t="n">
        <v>1</v>
      </c>
      <c r="R37" s="9" t="n">
        <v>42572</v>
      </c>
      <c r="S37" s="9" t="n">
        <v>42572</v>
      </c>
      <c r="T37" s="9" t="n">
        <v>42572</v>
      </c>
      <c r="U37" t="inlineStr">
        <is>
          <t>Reported day</t>
        </is>
      </c>
      <c r="V37" t="inlineStr">
        <is>
          <t>Reported</t>
        </is>
      </c>
      <c r="W37" t="n">
        <v>21.15</v>
      </c>
      <c r="X37" t="n">
        <v>21.15</v>
      </c>
      <c r="Y37" t="inlineStr">
        <is>
          <t>Point</t>
        </is>
      </c>
      <c r="Z37" t="inlineStr">
        <is>
          <t>Stated</t>
        </is>
      </c>
      <c r="AA37" t="inlineStr">
        <is>
          <t>USD</t>
        </is>
      </c>
      <c r="AB37" t="inlineStr">
        <is>
          <t>Yes</t>
        </is>
      </c>
      <c r="AC37" t="n">
        <v>20.02</v>
      </c>
      <c r="AD37" t="inlineStr">
        <is>
          <t>Fin: not stated; DD required: substantive (3 wks); DD open: yes; Excl: requested (3 wks)</t>
        </is>
      </c>
      <c r="AK37" t="n">
        <v>29</v>
      </c>
      <c r="AL37" t="inlineStr">
        <is>
          <t>R037; R038</t>
        </is>
      </c>
      <c r="AM37" t="inlineStr">
        <is>
          <t>PWRR-G&amp;W</t>
        </is>
      </c>
    </row>
    <row r="38">
      <c r="A38" t="n">
        <v>37</v>
      </c>
      <c r="B38" t="inlineStr">
        <is>
          <t>07/26/2016</t>
        </is>
      </c>
      <c r="C38" t="inlineStr">
        <is>
          <t>G&amp;W (Genesee &amp; Wyoming Inc.)</t>
        </is>
      </c>
      <c r="D38" t="inlineStr">
        <is>
          <t>Bid</t>
        </is>
      </c>
      <c r="E38" t="n">
        <v>1</v>
      </c>
      <c r="F38" t="inlineStr">
        <is>
          <t>2</t>
        </is>
      </c>
      <c r="G38" t="inlineStr">
        <is>
          <t>Strategic</t>
        </is>
      </c>
      <c r="H38" t="inlineStr">
        <is>
          <t>Revised LOI: $22.15 per share (including $21.02 in cash and $1.13 CVR), submitted in response to GHF feedback that G&amp;W’s price and CVR structure were not competitive. Count 0 — same bidder and round as R036. Conditions reassessed: no change reported, so the three-week exclusive diligence condition is carried.</t>
        </is>
      </c>
      <c r="I38" t="inlineStr">
        <is>
          <t>Formal</t>
        </is>
      </c>
      <c r="J38" t="inlineStr">
        <is>
          <t>Heavy</t>
        </is>
      </c>
      <c r="K38" t="inlineStr">
        <is>
          <t>Stated. “On July 26, 2016, in response to feedback from representatives of GHF indicating its price and CVR structure were not competitive, G&amp;W submitted a revised LOI, which increased its offer to $22.15 per share (including $21.02 in cash and $1.13 CVR).” (P-017, p.29).</t>
        </is>
      </c>
      <c r="L38" t="inlineStr">
        <is>
          <t>P-017</t>
        </is>
      </c>
      <c r="M38" t="inlineStr">
        <is>
          <t>Q6</t>
        </is>
      </c>
      <c r="O38" t="inlineStr">
        <is>
          <t>R037</t>
        </is>
      </c>
      <c r="P38" t="inlineStr">
        <is>
          <t>Yes</t>
        </is>
      </c>
      <c r="Q38" t="n">
        <v>0</v>
      </c>
      <c r="R38" s="9" t="n">
        <v>42577</v>
      </c>
      <c r="S38" s="9" t="n">
        <v>42577</v>
      </c>
      <c r="T38" s="9" t="n">
        <v>42577</v>
      </c>
      <c r="U38" t="inlineStr">
        <is>
          <t>Reported day</t>
        </is>
      </c>
      <c r="V38" t="inlineStr">
        <is>
          <t>Reported</t>
        </is>
      </c>
      <c r="W38" t="n">
        <v>22.15</v>
      </c>
      <c r="X38" t="n">
        <v>22.15</v>
      </c>
      <c r="Y38" t="inlineStr">
        <is>
          <t>Point</t>
        </is>
      </c>
      <c r="Z38" t="inlineStr">
        <is>
          <t>Stated</t>
        </is>
      </c>
      <c r="AA38" t="inlineStr">
        <is>
          <t>USD</t>
        </is>
      </c>
      <c r="AB38" t="inlineStr">
        <is>
          <t>Yes</t>
        </is>
      </c>
      <c r="AC38" t="n">
        <v>21.02</v>
      </c>
      <c r="AD38" t="inlineStr">
        <is>
          <t>Fin: not stated; DD required: substantive (3 wks); DD open: yes; Excl: requested (3 wks)</t>
        </is>
      </c>
      <c r="AK38" t="n">
        <v>29</v>
      </c>
      <c r="AL38" t="inlineStr">
        <is>
          <t>revises R036; further revised by R054</t>
        </is>
      </c>
      <c r="AM38" t="inlineStr">
        <is>
          <t>PWRR-G&amp;W</t>
        </is>
      </c>
    </row>
    <row r="39">
      <c r="A39" t="n">
        <v>38</v>
      </c>
      <c r="B39" t="inlineStr">
        <is>
          <t>07/27/2016</t>
        </is>
      </c>
      <c r="C39" t="inlineStr">
        <is>
          <t>Transaction Committee (after the regular quarterly Board meeting)</t>
        </is>
      </c>
      <c r="D39" t="inlineStr">
        <is>
          <t>Round opened</t>
        </is>
      </c>
      <c r="E39" t="n">
        <v>1</v>
      </c>
      <c r="F39" t="inlineStr">
        <is>
          <t>3</t>
        </is>
      </c>
      <c r="H39" t="inlineStr">
        <is>
          <t>Selection: the Committee concluded to proceed with confirmatory due diligence and negotiations with G&amp;W and Party B because of their higher offers; GHF subsequently told the remaining bidders they were no longer involved. Round finality: Inferred final — no finality words, but the target moved to definitive negotiation with selected bidders (confirmatory due diligence and completion of the merger agreement). Director Smith (GATX, 4.92% holder) recused.</t>
        </is>
      </c>
      <c r="K39" t="inlineStr">
        <is>
          <t>Stated. “The Transaction Committee concluded that the Company should proceed with confirmatory due diligence and negotiations with G&amp;W and Party B because of the higher offers made by each of G&amp;W and Party B relative to the other potential buyers. At the direction of the Transaction Committee, representatives of GHF subsequently contacted the remaining bidders to inform them that they were no longer involved in the process.” (P-023, p.30).</t>
        </is>
      </c>
      <c r="L39" t="inlineStr">
        <is>
          <t>P-023</t>
        </is>
      </c>
      <c r="M39" t="inlineStr">
        <is>
          <t>Q1</t>
        </is>
      </c>
      <c r="O39" t="inlineStr">
        <is>
          <t>R038</t>
        </is>
      </c>
      <c r="P39" t="inlineStr">
        <is>
          <t>Yes</t>
        </is>
      </c>
      <c r="R39" s="9" t="n">
        <v>42578</v>
      </c>
      <c r="S39" s="9" t="n">
        <v>42578</v>
      </c>
      <c r="T39" s="9" t="n">
        <v>42578</v>
      </c>
      <c r="U39" t="inlineStr">
        <is>
          <t>Reported day</t>
        </is>
      </c>
      <c r="V39" t="inlineStr">
        <is>
          <t>Reported</t>
        </is>
      </c>
      <c r="AG39" t="inlineStr">
        <is>
          <t>Inferred final</t>
        </is>
      </c>
      <c r="AK39" t="n">
        <v>30</v>
      </c>
      <c r="AL39" t="inlineStr">
        <is>
          <t>R021; R022; R039–R043</t>
        </is>
      </c>
      <c r="AM39" t="inlineStr">
        <is>
          <t>PWRR-G&amp;W</t>
        </is>
      </c>
    </row>
    <row r="40">
      <c r="A40" t="n">
        <v>39</v>
      </c>
      <c r="B40" t="inlineStr">
        <is>
          <t>07/27/2016 (notice given subsequently)</t>
        </is>
      </c>
      <c r="C40" t="inlineStr">
        <is>
          <t>Party C</t>
        </is>
      </c>
      <c r="D40" t="inlineStr">
        <is>
          <t>Dropped by target</t>
        </is>
      </c>
      <c r="E40" t="n">
        <v>1</v>
      </c>
      <c r="F40" t="inlineStr">
        <is>
          <t>2</t>
        </is>
      </c>
      <c r="G40" t="inlineStr">
        <is>
          <t>Strategic</t>
        </is>
      </c>
      <c r="H40" t="inlineStr">
        <is>
          <t>Told it was no longer involved after the 07/27/2016 selection of G&amp;W and Party B (stated comparative reason: the two continuing bids were higher). Stage left: Round 2.</t>
        </is>
      </c>
      <c r="K40" t="inlineStr">
        <is>
          <t>Stated (notice). “representatives of GHF subsequently contacted the remaining bidders to inform them that they were no longer involved in the process.” (P-023, p.30). Convention: notice undated; working date = the decision day (Assigned: decision day).</t>
        </is>
      </c>
      <c r="L40" t="inlineStr">
        <is>
          <t>P-023</t>
        </is>
      </c>
      <c r="M40" t="inlineStr">
        <is>
          <t>Q5</t>
        </is>
      </c>
      <c r="O40" t="inlineStr">
        <is>
          <t>R039</t>
        </is>
      </c>
      <c r="P40" t="inlineStr">
        <is>
          <t>Yes</t>
        </is>
      </c>
      <c r="Q40" t="n">
        <v>1</v>
      </c>
      <c r="S40" s="9" t="n">
        <v>42578</v>
      </c>
      <c r="T40" s="9" t="n">
        <v>42578</v>
      </c>
      <c r="U40" t="inlineStr">
        <is>
          <t>Relative only</t>
        </is>
      </c>
      <c r="V40" t="inlineStr">
        <is>
          <t>Assigned: decision day</t>
        </is>
      </c>
      <c r="AH40" t="inlineStr">
        <is>
          <t>Target</t>
        </is>
      </c>
      <c r="AI40" t="inlineStr">
        <is>
          <t>Lower offer than rivals</t>
        </is>
      </c>
      <c r="AJ40" t="inlineStr">
        <is>
          <t>Stated</t>
        </is>
      </c>
      <c r="AK40" t="n">
        <v>30</v>
      </c>
      <c r="AL40" t="inlineStr">
        <is>
          <t>R038</t>
        </is>
      </c>
      <c r="AM40" t="inlineStr">
        <is>
          <t>PWRR-G&amp;W</t>
        </is>
      </c>
    </row>
    <row r="41">
      <c r="A41" t="n">
        <v>40</v>
      </c>
      <c r="B41" t="inlineStr">
        <is>
          <t>07/27/2016 (notice given subsequently)</t>
        </is>
      </c>
      <c r="C41" t="inlineStr">
        <is>
          <t>Party D</t>
        </is>
      </c>
      <c r="D41" t="inlineStr">
        <is>
          <t>Dropped by target</t>
        </is>
      </c>
      <c r="E41" t="n">
        <v>1</v>
      </c>
      <c r="F41" t="inlineStr">
        <is>
          <t>2</t>
        </is>
      </c>
      <c r="G41" t="inlineStr">
        <is>
          <t>Financial</t>
        </is>
      </c>
      <c r="H41" t="inlineStr">
        <is>
          <t>Told it was no longer involved after the 07/27/2016 selection of G&amp;W and Party B (stated comparative reason: the two continuing bids were higher). Stage left: Round 2.</t>
        </is>
      </c>
      <c r="K41" t="inlineStr">
        <is>
          <t>Stated (notice). “representatives of GHF subsequently contacted the remaining bidders to inform them that they were no longer involved in the process.” (P-023, p.30). Convention: notice undated; working date = the decision day (Assigned: decision day).</t>
        </is>
      </c>
      <c r="L41" t="inlineStr">
        <is>
          <t>P-023</t>
        </is>
      </c>
      <c r="M41" t="inlineStr">
        <is>
          <t>Q5</t>
        </is>
      </c>
      <c r="O41" t="inlineStr">
        <is>
          <t>R040</t>
        </is>
      </c>
      <c r="P41" t="inlineStr">
        <is>
          <t>Yes</t>
        </is>
      </c>
      <c r="Q41" t="n">
        <v>1</v>
      </c>
      <c r="S41" s="9" t="n">
        <v>42578</v>
      </c>
      <c r="T41" s="9" t="n">
        <v>42578</v>
      </c>
      <c r="U41" t="inlineStr">
        <is>
          <t>Relative only</t>
        </is>
      </c>
      <c r="V41" t="inlineStr">
        <is>
          <t>Assigned: decision day</t>
        </is>
      </c>
      <c r="AH41" t="inlineStr">
        <is>
          <t>Target</t>
        </is>
      </c>
      <c r="AI41" t="inlineStr">
        <is>
          <t>Lower offer than rivals</t>
        </is>
      </c>
      <c r="AJ41" t="inlineStr">
        <is>
          <t>Stated</t>
        </is>
      </c>
      <c r="AK41" t="n">
        <v>30</v>
      </c>
      <c r="AL41" t="inlineStr">
        <is>
          <t>R038</t>
        </is>
      </c>
      <c r="AM41" t="inlineStr">
        <is>
          <t>PWRR-G&amp;W</t>
        </is>
      </c>
    </row>
    <row r="42">
      <c r="A42" t="n">
        <v>41</v>
      </c>
      <c r="B42" t="inlineStr">
        <is>
          <t>07/27/2016 (notice given subsequently)</t>
        </is>
      </c>
      <c r="C42" t="inlineStr">
        <is>
          <t>Party E</t>
        </is>
      </c>
      <c r="D42" t="inlineStr">
        <is>
          <t>Dropped by target</t>
        </is>
      </c>
      <c r="E42" t="n">
        <v>1</v>
      </c>
      <c r="F42" t="inlineStr">
        <is>
          <t>2</t>
        </is>
      </c>
      <c r="G42" t="inlineStr">
        <is>
          <t>Strategic</t>
        </is>
      </c>
      <c r="H42" t="inlineStr">
        <is>
          <t>Told it was no longer involved after the 07/27/2016 selection of G&amp;W and Party B (stated comparative reason: the two continuing bids were higher). Stage left: Round 2.</t>
        </is>
      </c>
      <c r="K42" t="inlineStr">
        <is>
          <t>Stated (notice). “representatives of GHF subsequently contacted the remaining bidders to inform them that they were no longer involved in the process.” (P-023, p.30). Convention: notice undated; working date = the decision day (Assigned: decision day).</t>
        </is>
      </c>
      <c r="L42" t="inlineStr">
        <is>
          <t>P-023</t>
        </is>
      </c>
      <c r="M42" t="inlineStr">
        <is>
          <t>Q5</t>
        </is>
      </c>
      <c r="O42" t="inlineStr">
        <is>
          <t>R041</t>
        </is>
      </c>
      <c r="P42" t="inlineStr">
        <is>
          <t>Yes</t>
        </is>
      </c>
      <c r="Q42" t="n">
        <v>1</v>
      </c>
      <c r="S42" s="9" t="n">
        <v>42578</v>
      </c>
      <c r="T42" s="9" t="n">
        <v>42578</v>
      </c>
      <c r="U42" t="inlineStr">
        <is>
          <t>Relative only</t>
        </is>
      </c>
      <c r="V42" t="inlineStr">
        <is>
          <t>Assigned: decision day</t>
        </is>
      </c>
      <c r="AH42" t="inlineStr">
        <is>
          <t>Target</t>
        </is>
      </c>
      <c r="AI42" t="inlineStr">
        <is>
          <t>Lower offer than rivals</t>
        </is>
      </c>
      <c r="AJ42" t="inlineStr">
        <is>
          <t>Stated</t>
        </is>
      </c>
      <c r="AK42" t="n">
        <v>30</v>
      </c>
      <c r="AL42" t="inlineStr">
        <is>
          <t>R038</t>
        </is>
      </c>
      <c r="AM42" t="inlineStr">
        <is>
          <t>PWRR-G&amp;W</t>
        </is>
      </c>
    </row>
    <row r="43">
      <c r="A43" t="n">
        <v>42</v>
      </c>
      <c r="B43" t="inlineStr">
        <is>
          <t>07/27/2016 (notice given subsequently)</t>
        </is>
      </c>
      <c r="C43" t="inlineStr">
        <is>
          <t>Party F</t>
        </is>
      </c>
      <c r="D43" t="inlineStr">
        <is>
          <t>Dropped by target</t>
        </is>
      </c>
      <c r="E43" t="n">
        <v>1</v>
      </c>
      <c r="F43" t="inlineStr">
        <is>
          <t>2</t>
        </is>
      </c>
      <c r="G43" t="inlineStr">
        <is>
          <t>Strategic</t>
        </is>
      </c>
      <c r="H43" t="inlineStr">
        <is>
          <t>Told it was no longer involved after the 07/27/2016 selection of G&amp;W and Party B (stated comparative reason: the two continuing bids were higher). Stage left: Round 2.</t>
        </is>
      </c>
      <c r="K43" t="inlineStr">
        <is>
          <t>Stated (notice). “representatives of GHF subsequently contacted the remaining bidders to inform them that they were no longer involved in the process.” (P-023, p.30). Convention: notice undated; working date = the decision day (Assigned: decision day).</t>
        </is>
      </c>
      <c r="L43" t="inlineStr">
        <is>
          <t>P-023</t>
        </is>
      </c>
      <c r="M43" t="inlineStr">
        <is>
          <t>Q5</t>
        </is>
      </c>
      <c r="O43" t="inlineStr">
        <is>
          <t>R042</t>
        </is>
      </c>
      <c r="P43" t="inlineStr">
        <is>
          <t>Yes</t>
        </is>
      </c>
      <c r="Q43" t="n">
        <v>1</v>
      </c>
      <c r="S43" s="9" t="n">
        <v>42578</v>
      </c>
      <c r="T43" s="9" t="n">
        <v>42578</v>
      </c>
      <c r="U43" t="inlineStr">
        <is>
          <t>Relative only</t>
        </is>
      </c>
      <c r="V43" t="inlineStr">
        <is>
          <t>Assigned: decision day</t>
        </is>
      </c>
      <c r="AH43" t="inlineStr">
        <is>
          <t>Target</t>
        </is>
      </c>
      <c r="AI43" t="inlineStr">
        <is>
          <t>Lower offer than rivals</t>
        </is>
      </c>
      <c r="AJ43" t="inlineStr">
        <is>
          <t>Stated</t>
        </is>
      </c>
      <c r="AK43" t="n">
        <v>30</v>
      </c>
      <c r="AL43" t="inlineStr">
        <is>
          <t>R038</t>
        </is>
      </c>
      <c r="AM43" t="inlineStr">
        <is>
          <t>PWRR-G&amp;W</t>
        </is>
      </c>
    </row>
    <row r="44">
      <c r="A44" t="n">
        <v>43</v>
      </c>
      <c r="B44" t="inlineStr">
        <is>
          <t>By 07/27/2016</t>
        </is>
      </c>
      <c r="C44" t="inlineStr">
        <is>
          <t>Party A</t>
        </is>
      </c>
      <c r="D44" t="inlineStr">
        <is>
          <t>Did not submit</t>
        </is>
      </c>
      <c r="E44" t="n">
        <v>1</v>
      </c>
      <c r="F44" t="inlineStr">
        <is>
          <t>2</t>
        </is>
      </c>
      <c r="G44" t="inlineStr">
        <is>
          <t>Strategic</t>
        </is>
      </c>
      <c r="H44" t="inlineStr">
        <is>
          <t>Inferred: identity — Party A is not named in the 07/27/2016 continuing set (G&amp;W and Party B) or in any later event. Recommended reading: already counted inside R020 (the 16 non-submitters at the 05/19 IOI deadline — no Party A bid is reported and its last named activity precedes the IOI solicitation). Alternative covering rows: R021 (two excluded low bidders) or R034/R035 (the two non-submitting LOI bidders). Count 0 — no new bidder unit; no cohort count is moved to a name.</t>
        </is>
      </c>
      <c r="K44" t="inlineStr">
        <is>
          <t>Inferred: identity. Premises: Party A is last named in April 2016 (P-009, p.28, memorandum recipients) and never again; the first identified continuing set that excludes it is “G&amp;W and Party B” (P-023, p.30). The filing does not identify which anonymous exit was Party A’s own. Label follows the recommended covering cohort (Did not submit, R020); agency is not established from the arithmetic.</t>
        </is>
      </c>
      <c r="L44" t="inlineStr">
        <is>
          <t>P-006; P-009; P-023</t>
        </is>
      </c>
      <c r="M44" t="inlineStr">
        <is>
          <t>Q3; Q5</t>
        </is>
      </c>
      <c r="O44" t="inlineStr">
        <is>
          <t>R043</t>
        </is>
      </c>
      <c r="P44" t="inlineStr">
        <is>
          <t>Yes</t>
        </is>
      </c>
      <c r="Q44" t="n">
        <v>0</v>
      </c>
      <c r="S44" s="9" t="n">
        <v>42578</v>
      </c>
      <c r="T44" s="9" t="n">
        <v>42578</v>
      </c>
      <c r="U44" t="inlineStr">
        <is>
          <t>Relative only</t>
        </is>
      </c>
      <c r="V44" t="inlineStr">
        <is>
          <t>Assigned: decision day</t>
        </is>
      </c>
      <c r="AH44" t="inlineStr">
        <is>
          <t>Unknown</t>
        </is>
      </c>
      <c r="AI44" t="inlineStr">
        <is>
          <t>Not stated</t>
        </is>
      </c>
      <c r="AJ44" t="inlineStr">
        <is>
          <t>Inferred: identity</t>
        </is>
      </c>
      <c r="AK44" t="n">
        <v>30</v>
      </c>
      <c r="AL44" t="inlineStr">
        <is>
          <t>R020 (recommended); R021; R034; R035</t>
        </is>
      </c>
      <c r="AM44" t="inlineStr">
        <is>
          <t>PWRR-G&amp;W</t>
        </is>
      </c>
    </row>
    <row r="45">
      <c r="A45" t="n">
        <v>44</v>
      </c>
      <c r="B45" t="inlineStr">
        <is>
          <t>07/29/2016</t>
        </is>
      </c>
      <c r="C45" t="inlineStr">
        <is>
          <t>Party D</t>
        </is>
      </c>
      <c r="D45" t="inlineStr">
        <is>
          <t>Re-entered</t>
        </is>
      </c>
      <c r="E45" t="n">
        <v>1</v>
      </c>
      <c r="F45" t="inlineStr">
        <is>
          <t>3</t>
        </is>
      </c>
      <c r="G45" t="inlineStr">
        <is>
          <t>Financial</t>
        </is>
      </c>
      <c r="H45" t="inlineStr">
        <is>
          <t>GHF calls; D expressed interest in reengaging and enhancing its offer — renewed participation after the 07/27/2016 drop (see R040); revised LOI followed on 08/01/2016.</t>
        </is>
      </c>
      <c r="K45" t="inlineStr">
        <is>
          <t>Stated. “On July 29, 2016, representatives of GHF had calls with Party D and Party E. During those calls, Party D and Party E both expressed interest in reengaging and enhancing their offers.” (P-024, p.30).</t>
        </is>
      </c>
      <c r="L45" t="inlineStr">
        <is>
          <t>P-024</t>
        </is>
      </c>
      <c r="M45" t="inlineStr">
        <is>
          <t>Q7</t>
        </is>
      </c>
      <c r="O45" t="inlineStr">
        <is>
          <t>R044</t>
        </is>
      </c>
      <c r="P45" t="inlineStr">
        <is>
          <t>Yes</t>
        </is>
      </c>
      <c r="Q45" t="n">
        <v>1</v>
      </c>
      <c r="R45" s="9" t="n">
        <v>42580</v>
      </c>
      <c r="S45" s="9" t="n">
        <v>42580</v>
      </c>
      <c r="T45" s="9" t="n">
        <v>42580</v>
      </c>
      <c r="U45" t="inlineStr">
        <is>
          <t>Reported day</t>
        </is>
      </c>
      <c r="V45" t="inlineStr">
        <is>
          <t>Reported</t>
        </is>
      </c>
      <c r="AK45" t="n">
        <v>30</v>
      </c>
      <c r="AL45" t="inlineStr">
        <is>
          <t>R040; R046</t>
        </is>
      </c>
      <c r="AM45" t="inlineStr">
        <is>
          <t>PWRR-G&amp;W</t>
        </is>
      </c>
    </row>
    <row r="46">
      <c r="A46" t="n">
        <v>45</v>
      </c>
      <c r="B46" t="inlineStr">
        <is>
          <t>07/29/2016</t>
        </is>
      </c>
      <c r="C46" t="inlineStr">
        <is>
          <t>Party E</t>
        </is>
      </c>
      <c r="D46" t="inlineStr">
        <is>
          <t>Re-entered</t>
        </is>
      </c>
      <c r="E46" t="n">
        <v>1</v>
      </c>
      <c r="F46" t="inlineStr">
        <is>
          <t>3</t>
        </is>
      </c>
      <c r="G46" t="inlineStr">
        <is>
          <t>Strategic</t>
        </is>
      </c>
      <c r="H46" t="inlineStr">
        <is>
          <t>GHF calls; E expressed interest in reengaging and enhancing its offer — renewed participation after the 07/27/2016 drop (see R041); revised LOI followed on 08/01/2016.</t>
        </is>
      </c>
      <c r="K46" t="inlineStr">
        <is>
          <t>Stated. “On July 29, 2016, representatives of GHF had calls with Party D and Party E. During those calls, Party D and Party E both expressed interest in reengaging and enhancing their offers.” (P-024, p.30).</t>
        </is>
      </c>
      <c r="L46" t="inlineStr">
        <is>
          <t>P-024</t>
        </is>
      </c>
      <c r="M46" t="inlineStr">
        <is>
          <t>Q7</t>
        </is>
      </c>
      <c r="O46" t="inlineStr">
        <is>
          <t>R045</t>
        </is>
      </c>
      <c r="P46" t="inlineStr">
        <is>
          <t>Yes</t>
        </is>
      </c>
      <c r="Q46" t="n">
        <v>1</v>
      </c>
      <c r="R46" s="9" t="n">
        <v>42580</v>
      </c>
      <c r="S46" s="9" t="n">
        <v>42580</v>
      </c>
      <c r="T46" s="9" t="n">
        <v>42580</v>
      </c>
      <c r="U46" t="inlineStr">
        <is>
          <t>Reported day</t>
        </is>
      </c>
      <c r="V46" t="inlineStr">
        <is>
          <t>Reported</t>
        </is>
      </c>
      <c r="AK46" t="n">
        <v>30</v>
      </c>
      <c r="AL46" t="inlineStr">
        <is>
          <t>R041; R047</t>
        </is>
      </c>
      <c r="AM46" t="inlineStr">
        <is>
          <t>PWRR-G&amp;W</t>
        </is>
      </c>
    </row>
    <row r="47">
      <c r="A47" t="n">
        <v>46</v>
      </c>
      <c r="B47" t="inlineStr">
        <is>
          <t>08/01/2016</t>
        </is>
      </c>
      <c r="C47" t="inlineStr">
        <is>
          <t>Party D (financial buyer)</t>
        </is>
      </c>
      <c r="D47" t="inlineStr">
        <is>
          <t>Bid</t>
        </is>
      </c>
      <c r="E47" t="n">
        <v>1</v>
      </c>
      <c r="F47" t="inlineStr">
        <is>
          <t>3</t>
        </is>
      </c>
      <c r="G47" t="inlineStr">
        <is>
          <t>Financial</t>
        </is>
      </c>
      <c r="H47" t="inlineStr">
        <is>
          <t>Revised LOI: $24.00 per share, with a 30-day due diligence period; D also requested that the Company commit not to sign with another bidder during that period (request reported and declined on 08/02, R049). Formal documentation carried from its July mark-ups.</t>
        </is>
      </c>
      <c r="I47" t="inlineStr">
        <is>
          <t>Formal</t>
        </is>
      </c>
      <c r="J47" t="inlineStr">
        <is>
          <t>Heavy</t>
        </is>
      </c>
      <c r="K47" t="inlineStr">
        <is>
          <t>Stated. “On August 1, 2016, Party D submitted a revised LOI at a price of $24.00 per share and Party E submitted a revised LOI, along with financing support, from Party F, at a price of $23.81 per share. Both revised proposals contained a 30-day due diligence period.” (P-024, p.30). Formal carried (July mark-ups, P-015, p.29); Heavy (30-day diligence); exclusivity-like no-sign request: “Party D declined to shorten its due diligence period and requested that the Company commit that it would not enter into an agreement with another bidder during its 30-day due diligence period.” (P-024, p.30).</t>
        </is>
      </c>
      <c r="L47" t="inlineStr">
        <is>
          <t>P-015; P-024</t>
        </is>
      </c>
      <c r="M47" t="inlineStr">
        <is>
          <t>Q6</t>
        </is>
      </c>
      <c r="O47" t="inlineStr">
        <is>
          <t>R046</t>
        </is>
      </c>
      <c r="P47" t="inlineStr">
        <is>
          <t>Yes</t>
        </is>
      </c>
      <c r="Q47" t="n">
        <v>1</v>
      </c>
      <c r="R47" s="9" t="n">
        <v>42583</v>
      </c>
      <c r="S47" s="9" t="n">
        <v>42583</v>
      </c>
      <c r="T47" s="9" t="n">
        <v>42583</v>
      </c>
      <c r="U47" t="inlineStr">
        <is>
          <t>Reported day</t>
        </is>
      </c>
      <c r="V47" t="inlineStr">
        <is>
          <t>Reported</t>
        </is>
      </c>
      <c r="W47" t="n">
        <v>24</v>
      </c>
      <c r="X47" t="n">
        <v>24</v>
      </c>
      <c r="Y47" t="inlineStr">
        <is>
          <t>Point</t>
        </is>
      </c>
      <c r="Z47" t="inlineStr">
        <is>
          <t>Stated</t>
        </is>
      </c>
      <c r="AA47" t="inlineStr">
        <is>
          <t>USD</t>
        </is>
      </c>
      <c r="AB47" t="inlineStr">
        <is>
          <t>Not stated</t>
        </is>
      </c>
      <c r="AD47" t="inlineStr">
        <is>
          <t>Fin: not stated; DD required: substantive (30 days); DD open: yes; Excl: requested (30 days)</t>
        </is>
      </c>
      <c r="AK47" t="n">
        <v>30</v>
      </c>
      <c r="AL47" t="inlineStr">
        <is>
          <t>revises R031; R044; R049</t>
        </is>
      </c>
      <c r="AM47" t="inlineStr">
        <is>
          <t>PWRR-G&amp;W</t>
        </is>
      </c>
    </row>
    <row r="48">
      <c r="A48" t="n">
        <v>47</v>
      </c>
      <c r="B48" t="inlineStr">
        <is>
          <t>08/01/2016</t>
        </is>
      </c>
      <c r="C48" t="inlineStr">
        <is>
          <t>Party E (strategic buyer)</t>
        </is>
      </c>
      <c r="D48" t="inlineStr">
        <is>
          <t>Bid</t>
        </is>
      </c>
      <c r="E48" t="n">
        <v>1</v>
      </c>
      <c r="F48" t="inlineStr">
        <is>
          <t>3</t>
        </is>
      </c>
      <c r="G48" t="inlineStr">
        <is>
          <t>Strategic</t>
        </is>
      </c>
      <c r="H48" t="inlineStr">
        <is>
          <t>Support: Party F (financing) — revised LOI at $23.81 per share with a 30-day due diligence period, submitted along with financing support from Party F. Related rows point to Party F’s earlier independent bid (R033); F had already exited on 07/27/2016 (R042), so it gets no new row and no Re-entered (support is not a bidding-group change).</t>
        </is>
      </c>
      <c r="I48" t="inlineStr">
        <is>
          <t>Informal</t>
        </is>
      </c>
      <c r="J48" t="inlineStr">
        <is>
          <t>Heavy</t>
        </is>
      </c>
      <c r="K48" t="inlineStr">
        <is>
          <t>Stated. “Party E submitted a revised LOI, along with financing support, from Party F, at a price of $23.81 per share. Both revised proposals contained a 30-day due diligence period.” (P-024, p.30). Formality Informal (E’s issues summary only; no mark-up reported for E). Conditions Heavy (30-day diligence); financing support represented but commitment level not stated.</t>
        </is>
      </c>
      <c r="L48" t="inlineStr">
        <is>
          <t>P-024; P-032</t>
        </is>
      </c>
      <c r="M48" t="inlineStr">
        <is>
          <t>Q6</t>
        </is>
      </c>
      <c r="O48" t="inlineStr">
        <is>
          <t>R047</t>
        </is>
      </c>
      <c r="P48" t="inlineStr">
        <is>
          <t>Yes</t>
        </is>
      </c>
      <c r="Q48" t="n">
        <v>1</v>
      </c>
      <c r="R48" s="9" t="n">
        <v>42583</v>
      </c>
      <c r="S48" s="9" t="n">
        <v>42583</v>
      </c>
      <c r="T48" s="9" t="n">
        <v>42583</v>
      </c>
      <c r="U48" t="inlineStr">
        <is>
          <t>Reported day</t>
        </is>
      </c>
      <c r="V48" t="inlineStr">
        <is>
          <t>Reported</t>
        </is>
      </c>
      <c r="W48" t="n">
        <v>23.81</v>
      </c>
      <c r="X48" t="n">
        <v>23.81</v>
      </c>
      <c r="Y48" t="inlineStr">
        <is>
          <t>Point</t>
        </is>
      </c>
      <c r="Z48" t="inlineStr">
        <is>
          <t>Stated</t>
        </is>
      </c>
      <c r="AA48" t="inlineStr">
        <is>
          <t>USD</t>
        </is>
      </c>
      <c r="AB48" t="inlineStr">
        <is>
          <t>Not stated</t>
        </is>
      </c>
      <c r="AD48" t="inlineStr">
        <is>
          <t>Fin: represented; DD required: substantive (30 days); DD open: yes; Excl: not stated</t>
        </is>
      </c>
      <c r="AK48" t="n">
        <v>30</v>
      </c>
      <c r="AL48" t="inlineStr">
        <is>
          <t>revises R030; R033 (Party F prior bid); R045; R048</t>
        </is>
      </c>
      <c r="AM48" t="inlineStr">
        <is>
          <t>PWRR-G&amp;W</t>
        </is>
      </c>
    </row>
    <row r="49">
      <c r="A49" t="n">
        <v>48</v>
      </c>
      <c r="B49" t="inlineStr">
        <is>
          <t>08/02/2016</t>
        </is>
      </c>
      <c r="C49" t="inlineStr">
        <is>
          <t>Party E (strategic buyer)</t>
        </is>
      </c>
      <c r="D49" t="inlineStr">
        <is>
          <t>Bid</t>
        </is>
      </c>
      <c r="E49" t="n">
        <v>1</v>
      </c>
      <c r="F49" t="inlineStr">
        <is>
          <t>3</t>
        </is>
      </c>
      <c r="G49" t="inlineStr">
        <is>
          <t>Strategic</t>
        </is>
      </c>
      <c r="H49" t="inlineStr">
        <is>
          <t>Bid reversion — withdrew its revised $23.81 proposal and confirmed its original $21.26 per-share proposal (with its 60-day exclusivity condition). A withdrawal of the higher proposal while confirming the older one is a reversion, not a process withdrawal.</t>
        </is>
      </c>
      <c r="I49" t="inlineStr">
        <is>
          <t>Informal</t>
        </is>
      </c>
      <c r="J49" t="inlineStr">
        <is>
          <t>Heavy</t>
        </is>
      </c>
      <c r="K49" t="inlineStr">
        <is>
          <t>Stated. “Party E withdrew its revised proposal on August 2, 2016 (but confirmed its original proposal of $21.26 per share)” (P-024, p.30). Convention: price carried forward from R030 (not restated); conditions reassessed from the confirmed original (60-day exclusive diligence/negotiation period).</t>
        </is>
      </c>
      <c r="L49" t="inlineStr">
        <is>
          <t>P-024; P-018</t>
        </is>
      </c>
      <c r="M49" t="inlineStr">
        <is>
          <t>Q6</t>
        </is>
      </c>
      <c r="O49" t="inlineStr">
        <is>
          <t>R048</t>
        </is>
      </c>
      <c r="P49" t="inlineStr">
        <is>
          <t>Yes</t>
        </is>
      </c>
      <c r="Q49" t="n">
        <v>0</v>
      </c>
      <c r="R49" s="9" t="n">
        <v>42584</v>
      </c>
      <c r="S49" s="9" t="n">
        <v>42584</v>
      </c>
      <c r="T49" s="9" t="n">
        <v>42584</v>
      </c>
      <c r="U49" t="inlineStr">
        <is>
          <t>Reported day</t>
        </is>
      </c>
      <c r="V49" t="inlineStr">
        <is>
          <t>Reported</t>
        </is>
      </c>
      <c r="W49" t="n">
        <v>21.26</v>
      </c>
      <c r="X49" t="n">
        <v>21.26</v>
      </c>
      <c r="Y49" t="inlineStr">
        <is>
          <t>Point</t>
        </is>
      </c>
      <c r="Z49" t="inlineStr">
        <is>
          <t>Carried forward</t>
        </is>
      </c>
      <c r="AA49" t="inlineStr">
        <is>
          <t>USD</t>
        </is>
      </c>
      <c r="AB49" t="inlineStr">
        <is>
          <t>Not stated</t>
        </is>
      </c>
      <c r="AD49" t="inlineStr">
        <is>
          <t>Fin: not stated; DD required: substantive (60 days); DD open: yes; Excl: requested (60 days)</t>
        </is>
      </c>
      <c r="AK49" t="n">
        <v>30</v>
      </c>
      <c r="AL49" t="inlineStr">
        <is>
          <t>withdraws R047; reverts to R030; closed by R057</t>
        </is>
      </c>
      <c r="AM49" t="inlineStr">
        <is>
          <t>PWRR-G&amp;W</t>
        </is>
      </c>
    </row>
    <row r="50">
      <c r="A50" t="n">
        <v>49</v>
      </c>
      <c r="B50" t="inlineStr">
        <is>
          <t>08/02/2016</t>
        </is>
      </c>
      <c r="C50" t="inlineStr">
        <is>
          <t>Party D (financial buyer)</t>
        </is>
      </c>
      <c r="D50" t="inlineStr">
        <is>
          <t>Participation paused</t>
        </is>
      </c>
      <c r="E50" t="n">
        <v>1</v>
      </c>
      <c r="F50" t="inlineStr">
        <is>
          <t>3</t>
        </is>
      </c>
      <c r="G50" t="inlineStr">
        <is>
          <t>Financial</t>
        </is>
      </c>
      <c r="H50" t="inlineStr">
        <is>
          <t>D declined to shorten its 30-day diligence period and requested that the Company commit not to sign with another bidder during it; the Company declined (given the active interest of Party B and G&amp;W); D then indicated it would not proceed with further due diligence “at that time”. Treated as the bidder’s own stated temporary stop (a pause is not an exit); closed at signing (R056).</t>
        </is>
      </c>
      <c r="K50" t="inlineStr">
        <is>
          <t>Stated. “Party D declined to shorten its due diligence period and requested that the Company commit that it would not enter into an agreement with another bidder during its 30-day due diligence period. In light of the active interest of Party B and G&amp;W, the Company declined to make such a commitment, at which point Party D indicated that it would not proceed with further due diligence at that time.” (P-024, p.30).</t>
        </is>
      </c>
      <c r="L50" t="inlineStr">
        <is>
          <t>P-024</t>
        </is>
      </c>
      <c r="M50" t="inlineStr">
        <is>
          <t>Q5; Q6</t>
        </is>
      </c>
      <c r="O50" t="inlineStr">
        <is>
          <t>R049</t>
        </is>
      </c>
      <c r="P50" t="inlineStr">
        <is>
          <t>Yes</t>
        </is>
      </c>
      <c r="Q50" t="n">
        <v>1</v>
      </c>
      <c r="R50" s="9" t="n">
        <v>42584</v>
      </c>
      <c r="S50" s="9" t="n">
        <v>42584</v>
      </c>
      <c r="T50" s="9" t="n">
        <v>42584</v>
      </c>
      <c r="U50" t="inlineStr">
        <is>
          <t>Reported day</t>
        </is>
      </c>
      <c r="V50" t="inlineStr">
        <is>
          <t>Reported</t>
        </is>
      </c>
      <c r="AH50" t="inlineStr">
        <is>
          <t>Bidder</t>
        </is>
      </c>
      <c r="AI50" t="inlineStr">
        <is>
          <t>Terms or process</t>
        </is>
      </c>
      <c r="AJ50" t="inlineStr">
        <is>
          <t>Stated</t>
        </is>
      </c>
      <c r="AK50" t="n">
        <v>30</v>
      </c>
      <c r="AL50" t="inlineStr">
        <is>
          <t>see R046; closed by R056</t>
        </is>
      </c>
      <c r="AM50" t="inlineStr">
        <is>
          <t>PWRR-G&amp;W</t>
        </is>
      </c>
    </row>
    <row r="51">
      <c r="A51" t="n">
        <v>50</v>
      </c>
      <c r="B51" t="inlineStr">
        <is>
          <t>08/04/2016</t>
        </is>
      </c>
      <c r="C51" t="inlineStr">
        <is>
          <t>Transaction Committee</t>
        </is>
      </c>
      <c r="D51" t="inlineStr">
        <is>
          <t>Target decision</t>
        </is>
      </c>
      <c r="E51" t="n">
        <v>1</v>
      </c>
      <c r="F51" t="inlineStr">
        <is>
          <t>3</t>
        </is>
      </c>
      <c r="H51" t="inlineStr">
        <is>
          <t>Preferred-bidder decision: continue diligence and negotiations with both G&amp;W and Party B, but given Party B’s higher price, prioritize Party B and complete the merger-agreement negotiation with Party B. Contemporaneous on-site diligence by both bidders ran 07/27–08/11/2016.</t>
        </is>
      </c>
      <c r="K51" t="inlineStr">
        <is>
          <t>Stated. “the Transaction Committee directed the management team and representatives of each of BMO and Hinckley Allen to continue diligence and negotiations with both G&amp;W and Party B, but given the higher price offered by Party B, to prioritize Party B and proceed to complete the negotiation of the merger agreement with Party B.” (P-026, p.31).</t>
        </is>
      </c>
      <c r="L51" t="inlineStr">
        <is>
          <t>P-026</t>
        </is>
      </c>
      <c r="M51" t="inlineStr">
        <is>
          <t>Q1</t>
        </is>
      </c>
      <c r="O51" t="inlineStr">
        <is>
          <t>R050</t>
        </is>
      </c>
      <c r="P51" t="inlineStr">
        <is>
          <t>Yes</t>
        </is>
      </c>
      <c r="R51" s="9" t="n">
        <v>42586</v>
      </c>
      <c r="S51" s="9" t="n">
        <v>42586</v>
      </c>
      <c r="T51" s="9" t="n">
        <v>42586</v>
      </c>
      <c r="U51" t="inlineStr">
        <is>
          <t>Reported day</t>
        </is>
      </c>
      <c r="V51" t="inlineStr">
        <is>
          <t>Reported</t>
        </is>
      </c>
      <c r="AK51" t="n">
        <v>31</v>
      </c>
      <c r="AL51" t="inlineStr">
        <is>
          <t>R051; R052</t>
        </is>
      </c>
      <c r="AM51" t="inlineStr">
        <is>
          <t>PWRR-G&amp;W</t>
        </is>
      </c>
    </row>
    <row r="52">
      <c r="A52" t="n">
        <v>51</v>
      </c>
      <c r="B52" t="inlineStr">
        <is>
          <t>08/04/2016</t>
        </is>
      </c>
      <c r="C52" t="inlineStr">
        <is>
          <t>Party B (potential strategic buyer)</t>
        </is>
      </c>
      <c r="D52" t="inlineStr">
        <is>
          <t>Bid reaffirmed</t>
        </is>
      </c>
      <c r="E52" t="n">
        <v>1</v>
      </c>
      <c r="F52" t="inlineStr">
        <is>
          <t>3</t>
        </is>
      </c>
      <c r="G52" t="inlineStr">
        <is>
          <t>Strategic</t>
        </is>
      </c>
      <c r="H52" t="inlineStr">
        <is>
          <t>Reaffirmed by: returned draft — Party B’s legal counsel provided a revised merger agreement draft; $24.00 carried forward (not restated). Flagged for review (late reconfirmation).</t>
        </is>
      </c>
      <c r="I52" t="inlineStr">
        <is>
          <t>Formal</t>
        </is>
      </c>
      <c r="J52" t="inlineStr">
        <is>
          <t>Light</t>
        </is>
      </c>
      <c r="K52" t="inlineStr">
        <is>
          <t>Late reconfirmation per the three-part test. (a) Target moved to finalize with B: “to prioritize Party B and proceed to complete the negotiation of the merger agreement with Party B” (P-026, p.31). (b) B’s latest priced row (R029) sits in Round 2 (Not final). (c) Bidder-side act: “On August 4, 2016, legal counsel for Party B provided a revised draft of the merger agreement” (P-027, p.31). $24.00 carried forward; Formal (returned draft, signal 1); Light (only an expedited diligence review attached); DD open: yes (on-site diligence ran 07/27–08/11, P-026, p.31).</t>
        </is>
      </c>
      <c r="L52" t="inlineStr">
        <is>
          <t>P-026; P-027; P-016</t>
        </is>
      </c>
      <c r="M52" t="inlineStr">
        <is>
          <t>Q6</t>
        </is>
      </c>
      <c r="O52" t="inlineStr">
        <is>
          <t>R051</t>
        </is>
      </c>
      <c r="P52" t="inlineStr">
        <is>
          <t>Yes</t>
        </is>
      </c>
      <c r="Q52" t="n">
        <v>1</v>
      </c>
      <c r="R52" s="9" t="n">
        <v>42586</v>
      </c>
      <c r="S52" s="9" t="n">
        <v>42586</v>
      </c>
      <c r="T52" s="9" t="n">
        <v>42586</v>
      </c>
      <c r="U52" t="inlineStr">
        <is>
          <t>Reported day</t>
        </is>
      </c>
      <c r="V52" t="inlineStr">
        <is>
          <t>Reported</t>
        </is>
      </c>
      <c r="W52" t="n">
        <v>24</v>
      </c>
      <c r="X52" t="n">
        <v>24</v>
      </c>
      <c r="Y52" t="inlineStr">
        <is>
          <t>Point</t>
        </is>
      </c>
      <c r="Z52" t="inlineStr">
        <is>
          <t>Carried forward</t>
        </is>
      </c>
      <c r="AA52" t="inlineStr">
        <is>
          <t>USD</t>
        </is>
      </c>
      <c r="AB52" t="inlineStr">
        <is>
          <t>Not stated</t>
        </is>
      </c>
      <c r="AD52" t="inlineStr">
        <is>
          <t>Fin: not stated; DD required: confirmatory; DD open: yes; Excl: none</t>
        </is>
      </c>
      <c r="AK52" t="n">
        <v>31</v>
      </c>
      <c r="AL52" t="inlineStr">
        <is>
          <t>reaffirms R029; R050; superseded by R055</t>
        </is>
      </c>
      <c r="AM52" t="inlineStr">
        <is>
          <t>PWRR-G&amp;W</t>
        </is>
      </c>
    </row>
    <row r="53">
      <c r="A53" t="n">
        <v>52</v>
      </c>
      <c r="B53" t="inlineStr">
        <is>
          <t>08/09/2016</t>
        </is>
      </c>
      <c r="C53" t="inlineStr">
        <is>
          <t>Transaction Committee / BMO; G&amp;W</t>
        </is>
      </c>
      <c r="D53" t="inlineStr">
        <is>
          <t>Material process update</t>
        </is>
      </c>
      <c r="E53" t="n">
        <v>1</v>
      </c>
      <c r="F53" t="inlineStr">
        <is>
          <t>3</t>
        </is>
      </c>
      <c r="H53" t="inlineStr">
        <is>
          <t>Committee directed BMO to inform G&amp;W that the Company intended to enter a merger agreement with another bidder; G&amp;W requested to continue its due diligence (including physical diligence on 08/10 and 08/11) to potentially facilitate an improved offer, which was granted. Consequential for the outcome: G&amp;W then improved to $25.00 (R054).</t>
        </is>
      </c>
      <c r="K53" t="inlineStr">
        <is>
          <t>Stated. “the Transaction Committee directed representatives of BMO to inform G&amp;W that the Company intended to enter into a merger agreement with another bidder. G&amp;W requested that it be allowed to continue its due diligence, including physical due diligence on August 10 and August 11, 2016, to potentially facilitate an improved offer, which request was granted.” (P-027, p.31).</t>
        </is>
      </c>
      <c r="L53" t="inlineStr">
        <is>
          <t>P-027</t>
        </is>
      </c>
      <c r="M53" t="inlineStr"/>
      <c r="O53" t="inlineStr">
        <is>
          <t>R052</t>
        </is>
      </c>
      <c r="P53" t="inlineStr">
        <is>
          <t>Yes</t>
        </is>
      </c>
      <c r="R53" s="9" t="n">
        <v>42591</v>
      </c>
      <c r="S53" s="9" t="n">
        <v>42591</v>
      </c>
      <c r="T53" s="9" t="n">
        <v>42591</v>
      </c>
      <c r="U53" t="inlineStr">
        <is>
          <t>Reported day</t>
        </is>
      </c>
      <c r="V53" t="inlineStr">
        <is>
          <t>Reported</t>
        </is>
      </c>
      <c r="AK53" t="n">
        <v>31</v>
      </c>
      <c r="AL53" t="inlineStr">
        <is>
          <t>R054</t>
        </is>
      </c>
      <c r="AM53" t="inlineStr">
        <is>
          <t>PWRR-G&amp;W</t>
        </is>
      </c>
    </row>
    <row r="54">
      <c r="A54" t="n">
        <v>53</v>
      </c>
      <c r="B54" t="inlineStr">
        <is>
          <t>08/10/2016</t>
        </is>
      </c>
      <c r="C54" t="inlineStr">
        <is>
          <t>Simpson Thacher &amp; Bartlett LLP, legal counsel to G&amp;W</t>
        </is>
      </c>
      <c r="D54" t="inlineStr">
        <is>
          <t>Adviser service observed</t>
        </is>
      </c>
      <c r="E54" t="n">
        <v>1</v>
      </c>
      <c r="F54" t="inlineStr">
        <is>
          <t>3</t>
        </is>
      </c>
      <c r="H54" t="inlineStr">
        <is>
          <t>G&amp;W’s legal counsel; services first observed in discussions with Hinckley Allen on the draft merger agreement and voting agreement provided to G&amp;W on 08/03/2016; negotiated and finalized the transaction documents. Engagement date not disclosed.</t>
        </is>
      </c>
      <c r="K54" t="inlineStr">
        <is>
          <t>Stated (service observed). “On August 10, 2016, representatives of Hinckley Allen and Simpson Thacher &amp; Bartlett LLP (which we refer to as “Simpson Thacher”), G&amp;W’s legal counsel, discussed various provisions of the draft merger agreement and voting agreement that had been provided to G&amp;W on August 3, 2016” (P-027, p.31). Convention: no engagement date shown; the earliest supported service date is used.</t>
        </is>
      </c>
      <c r="L54" t="inlineStr">
        <is>
          <t>P-027; P-028; P-033</t>
        </is>
      </c>
      <c r="M54" t="inlineStr"/>
      <c r="O54" t="inlineStr">
        <is>
          <t>R053</t>
        </is>
      </c>
      <c r="P54" t="inlineStr">
        <is>
          <t>Yes</t>
        </is>
      </c>
      <c r="R54" s="9" t="n">
        <v>42592</v>
      </c>
      <c r="S54" s="9" t="n">
        <v>42592</v>
      </c>
      <c r="T54" s="9" t="n">
        <v>42592</v>
      </c>
      <c r="U54" t="inlineStr">
        <is>
          <t>Reported day</t>
        </is>
      </c>
      <c r="V54" t="inlineStr">
        <is>
          <t>Reported</t>
        </is>
      </c>
      <c r="AK54" t="n">
        <v>31</v>
      </c>
      <c r="AL54" t="inlineStr">
        <is>
          <t>R058</t>
        </is>
      </c>
      <c r="AM54" t="inlineStr">
        <is>
          <t>PWRR-G&amp;W</t>
        </is>
      </c>
    </row>
    <row r="55">
      <c r="A55" t="n">
        <v>54</v>
      </c>
      <c r="B55" t="inlineStr">
        <is>
          <t>08/12/2016</t>
        </is>
      </c>
      <c r="C55" t="inlineStr">
        <is>
          <t>G&amp;W (Genesee &amp; Wyoming Inc.)</t>
        </is>
      </c>
      <c r="D55" t="inlineStr">
        <is>
          <t>Bid</t>
        </is>
      </c>
      <c r="E55" t="n">
        <v>1</v>
      </c>
      <c r="F55" t="inlineStr">
        <is>
          <t>3</t>
        </is>
      </c>
      <c r="G55" t="inlineStr">
        <is>
          <t>Strategic</t>
        </is>
      </c>
      <c r="H55" t="inlineStr">
        <is>
          <t>Revised LOI: $25.00 per share in cash; previously proposed CVR excluded; mark-ups of the merger agreement and voting agreement; offer to expire at 6:00 p.m. on the following day (08/13/2016). Submitted after BMO told G&amp;W the Company intended to sign with another bidder (R052).</t>
        </is>
      </c>
      <c r="I55" t="inlineStr">
        <is>
          <t>Formal</t>
        </is>
      </c>
      <c r="J55" t="inlineStr">
        <is>
          <t>Light</t>
        </is>
      </c>
      <c r="K55" t="inlineStr">
        <is>
          <t>Stated. “G&amp;W submitted a revised LOI to acquire the Company for a price of $25.00 per share in cash, which excluded the previously proposed CVR, together with mark-ups of the merger agreement and the voting agreement. G&amp;W’s LOI further indicated that the offer would expire at 6:00 p.m. on the following day.” (P-028, p.31). Formality Formal (returned mark-ups and price set during definitive negotiation); conditions Light (no diligence condition attached; physical diligence completed 08/11, P-027, p.31; priced all in cash).</t>
        </is>
      </c>
      <c r="L55" t="inlineStr">
        <is>
          <t>P-027; P-028</t>
        </is>
      </c>
      <c r="M55" t="inlineStr">
        <is>
          <t>Q6</t>
        </is>
      </c>
      <c r="O55" t="inlineStr">
        <is>
          <t>R054</t>
        </is>
      </c>
      <c r="P55" t="inlineStr">
        <is>
          <t>Yes</t>
        </is>
      </c>
      <c r="Q55" t="n">
        <v>1</v>
      </c>
      <c r="R55" s="9" t="n">
        <v>42594</v>
      </c>
      <c r="S55" s="9" t="n">
        <v>42594</v>
      </c>
      <c r="T55" s="9" t="n">
        <v>42594</v>
      </c>
      <c r="U55" t="inlineStr">
        <is>
          <t>Reported day</t>
        </is>
      </c>
      <c r="V55" t="inlineStr">
        <is>
          <t>Reported</t>
        </is>
      </c>
      <c r="W55" t="n">
        <v>25</v>
      </c>
      <c r="X55" t="n">
        <v>25</v>
      </c>
      <c r="Y55" t="inlineStr">
        <is>
          <t>Point</t>
        </is>
      </c>
      <c r="Z55" t="inlineStr">
        <is>
          <t>Stated</t>
        </is>
      </c>
      <c r="AA55" t="inlineStr">
        <is>
          <t>USD</t>
        </is>
      </c>
      <c r="AB55" t="inlineStr">
        <is>
          <t>Yes</t>
        </is>
      </c>
      <c r="AC55" t="n">
        <v>25</v>
      </c>
      <c r="AD55" t="inlineStr">
        <is>
          <t>Fin: not stated; DD required: none; DD open: no; Excl: none</t>
        </is>
      </c>
      <c r="AK55" t="n">
        <v>31</v>
      </c>
      <c r="AL55" t="inlineStr">
        <is>
          <t>revises R037; closed by R058</t>
        </is>
      </c>
      <c r="AM55" t="inlineStr">
        <is>
          <t>PWRR-G&amp;W</t>
        </is>
      </c>
    </row>
    <row r="56">
      <c r="A56" t="n">
        <v>55</v>
      </c>
      <c r="B56" t="inlineStr">
        <is>
          <t>08/12/2016</t>
        </is>
      </c>
      <c r="C56" t="inlineStr">
        <is>
          <t>Party B (potential strategic buyer)</t>
        </is>
      </c>
      <c r="D56" t="inlineStr">
        <is>
          <t>Not selected at signing</t>
        </is>
      </c>
      <c r="E56" t="n">
        <v>1</v>
      </c>
      <c r="F56" t="inlineStr">
        <is>
          <t>3</t>
        </is>
      </c>
      <c r="G56" t="inlineStr">
        <is>
          <t>Strategic</t>
        </is>
      </c>
      <c r="H56" t="inlineStr">
        <is>
          <t>Still bidding when the Board chose G&amp;W: at the Board’s request BMO asked Party B whether it would increase its price and Party B declined. Exit reason: Would not improve earlier offer (asked to improve and declined); agency remains with the target’s selection.</t>
        </is>
      </c>
      <c r="K56" t="inlineStr">
        <is>
          <t>Stated. “At the request of the Board, representatives of BMO then contacted Party B to determine if it would increase its offer price. Party B indicated that it would not increase its price.” (P-031, p.32). “The Board determined that the G&amp;W offer represented the superior proposal.” (P-032, p.32).</t>
        </is>
      </c>
      <c r="L56" t="inlineStr">
        <is>
          <t>P-031; P-032</t>
        </is>
      </c>
      <c r="M56" t="inlineStr">
        <is>
          <t>Q5</t>
        </is>
      </c>
      <c r="O56" t="inlineStr">
        <is>
          <t>R055</t>
        </is>
      </c>
      <c r="P56" t="inlineStr">
        <is>
          <t>Yes</t>
        </is>
      </c>
      <c r="Q56" t="n">
        <v>1</v>
      </c>
      <c r="R56" s="9" t="n">
        <v>42594</v>
      </c>
      <c r="S56" s="9" t="n">
        <v>42594</v>
      </c>
      <c r="T56" s="9" t="n">
        <v>42594</v>
      </c>
      <c r="U56" t="inlineStr">
        <is>
          <t>Reported day</t>
        </is>
      </c>
      <c r="V56" t="inlineStr">
        <is>
          <t>Reported</t>
        </is>
      </c>
      <c r="AH56" t="inlineStr">
        <is>
          <t>Target</t>
        </is>
      </c>
      <c r="AI56" t="inlineStr">
        <is>
          <t>Would not improve earlier offer</t>
        </is>
      </c>
      <c r="AJ56" t="inlineStr">
        <is>
          <t>Stated</t>
        </is>
      </c>
      <c r="AK56" t="n">
        <v>32</v>
      </c>
      <c r="AL56" t="inlineStr">
        <is>
          <t>R051; R058</t>
        </is>
      </c>
      <c r="AM56" t="inlineStr">
        <is>
          <t>PWRR-G&amp;W</t>
        </is>
      </c>
    </row>
    <row r="57">
      <c r="A57" t="n">
        <v>56</v>
      </c>
      <c r="B57" t="inlineStr">
        <is>
          <t>By 08/12/2016</t>
        </is>
      </c>
      <c r="C57" t="inlineStr">
        <is>
          <t>Party D (financial buyer)</t>
        </is>
      </c>
      <c r="D57" t="inlineStr">
        <is>
          <t>Not selected at signing</t>
        </is>
      </c>
      <c r="E57" t="n">
        <v>1</v>
      </c>
      <c r="F57" t="inlineStr">
        <is>
          <t>3</t>
        </is>
      </c>
      <c r="G57" t="inlineStr">
        <is>
          <t>Financial</t>
        </is>
      </c>
      <c r="H57" t="inlineStr">
        <is>
          <t>Inferred: silent — last reported activity was D’s 08/02/2016 pause (R049); the filing never mentions D again; closed at signing as a bidder still live in the process. No notice to D is reported; no invented motive or exit.</t>
        </is>
      </c>
      <c r="K57" t="inlineStr">
        <is>
          <t>Inferred: silent. Last appearance: “Party D indicated that it would not proceed with further due diligence at that time” (P-024, p.30); the next identified transition is the 08/12/2016 signing (P-033, p.32), with only G&amp;W named as acquirer. Closing convention (section 10.2).</t>
        </is>
      </c>
      <c r="L57" t="inlineStr">
        <is>
          <t>P-024; P-033</t>
        </is>
      </c>
      <c r="M57" t="inlineStr">
        <is>
          <t>Q5</t>
        </is>
      </c>
      <c r="O57" t="inlineStr">
        <is>
          <t>R056</t>
        </is>
      </c>
      <c r="P57" t="inlineStr">
        <is>
          <t>Yes</t>
        </is>
      </c>
      <c r="Q57" t="n">
        <v>1</v>
      </c>
      <c r="S57" s="9" t="n">
        <v>42594</v>
      </c>
      <c r="T57" s="9" t="n">
        <v>42594</v>
      </c>
      <c r="U57" t="inlineStr">
        <is>
          <t>Relative only</t>
        </is>
      </c>
      <c r="V57" t="inlineStr">
        <is>
          <t>Assigned: bound</t>
        </is>
      </c>
      <c r="AH57" t="inlineStr">
        <is>
          <t>Unknown</t>
        </is>
      </c>
      <c r="AI57" t="inlineStr">
        <is>
          <t>Not stated</t>
        </is>
      </c>
      <c r="AJ57" t="inlineStr">
        <is>
          <t>Inferred: silent</t>
        </is>
      </c>
      <c r="AK57" t="n">
        <v>32</v>
      </c>
      <c r="AL57" t="inlineStr">
        <is>
          <t>R049; R058</t>
        </is>
      </c>
      <c r="AM57" t="inlineStr">
        <is>
          <t>PWRR-G&amp;W</t>
        </is>
      </c>
    </row>
    <row r="58">
      <c r="A58" t="n">
        <v>57</v>
      </c>
      <c r="B58" t="inlineStr">
        <is>
          <t>By 08/12/2016</t>
        </is>
      </c>
      <c r="C58" t="inlineStr">
        <is>
          <t>Party E (strategic buyer)</t>
        </is>
      </c>
      <c r="D58" t="inlineStr">
        <is>
          <t>Not selected at signing</t>
        </is>
      </c>
      <c r="E58" t="n">
        <v>1</v>
      </c>
      <c r="F58" t="inlineStr">
        <is>
          <t>3</t>
        </is>
      </c>
      <c r="G58" t="inlineStr">
        <is>
          <t>Strategic</t>
        </is>
      </c>
      <c r="H58" t="inlineStr">
        <is>
          <t>Inferred: silent — last reported activity was E’s 08/02/2016 reversion to its $21.26 proposal (R048); the filing never mentions E again; closed at signing as a bidder still live in the process. No notice to E is reported.</t>
        </is>
      </c>
      <c r="K58" t="inlineStr">
        <is>
          <t>Inferred: silent. Last appearance: “Party E withdrew its revised proposal on August 2, 2016 (but confirmed its original proposal of $21.26 per share)” (P-024, p.30); the next identified transition is the 08/12/2016 signing (P-033, p.32), with only G&amp;W named as acquirer. Closing convention (section 10.2).</t>
        </is>
      </c>
      <c r="L58" t="inlineStr">
        <is>
          <t>P-024; P-033</t>
        </is>
      </c>
      <c r="M58" t="inlineStr">
        <is>
          <t>Q5</t>
        </is>
      </c>
      <c r="O58" t="inlineStr">
        <is>
          <t>R057</t>
        </is>
      </c>
      <c r="P58" t="inlineStr">
        <is>
          <t>Yes</t>
        </is>
      </c>
      <c r="Q58" t="n">
        <v>1</v>
      </c>
      <c r="S58" s="9" t="n">
        <v>42594</v>
      </c>
      <c r="T58" s="9" t="n">
        <v>42594</v>
      </c>
      <c r="U58" t="inlineStr">
        <is>
          <t>Relative only</t>
        </is>
      </c>
      <c r="V58" t="inlineStr">
        <is>
          <t>Assigned: bound</t>
        </is>
      </c>
      <c r="AH58" t="inlineStr">
        <is>
          <t>Unknown</t>
        </is>
      </c>
      <c r="AI58" t="inlineStr">
        <is>
          <t>Not stated</t>
        </is>
      </c>
      <c r="AJ58" t="inlineStr">
        <is>
          <t>Inferred: silent</t>
        </is>
      </c>
      <c r="AK58" t="n">
        <v>32</v>
      </c>
      <c r="AL58" t="inlineStr">
        <is>
          <t>R048; R058</t>
        </is>
      </c>
      <c r="AM58" t="inlineStr">
        <is>
          <t>PWRR-G&amp;W</t>
        </is>
      </c>
    </row>
    <row r="59">
      <c r="A59" t="n">
        <v>58</v>
      </c>
      <c r="B59" t="inlineStr">
        <is>
          <t>08/12/2016</t>
        </is>
      </c>
      <c r="C59" t="inlineStr">
        <is>
          <t>Company and G&amp;W (Pullman Acquisition Sub Inc.)</t>
        </is>
      </c>
      <c r="D59" t="inlineStr">
        <is>
          <t>Merger agreement signed</t>
        </is>
      </c>
      <c r="E59" t="n">
        <v>1</v>
      </c>
      <c r="F59" t="inlineStr">
        <is>
          <t>3</t>
        </is>
      </c>
      <c r="G59" t="inlineStr">
        <is>
          <t>Strategic</t>
        </is>
      </c>
      <c r="H59" t="inlineStr">
        <is>
          <t>Agreed consideration: $25.00 in cash per share of common stock; each preferred share deemed converted (100-for-1) into 100 common shares plus accrued/unpaid dividends (X-008, p.50; X-015, p.27). Merger Sub merges into the Company, which survives as a wholly-owned G&amp;W subsidiary. Eder Trusts voting agreement executed (842,742 common shares / 500 preferred; X-013, p.72). Termination fee $3,785,000 (≈3% of transaction value; G&amp;W’s draft reduced from 3.85%) (X-010, p.55). Outside date 12/31/2016, or 02/28/2017 if only STB approval remains (X-016, p.8). Closing conditions include class votes, no injunction, and STB approval or voting-trust comfort (X-009, p.52). No go-shop — non-solicitation with a fiduciary out and matching rights. Board approved (Director Smith recused) after BMO’s oral fairness opinion, confirmed in writing 08/12/2016 (P-032, p.32). Signing is not a new bid: price/formality cells left blank.</t>
        </is>
      </c>
      <c r="K59" t="inlineStr">
        <is>
          <t>Stated. “Shortly thereafter, Hinckley Allen and Simpson Thacher finalized the transaction documents and the Company and G&amp;W executed the merger agreement, and the Company, G&amp;W and the Eder Trusts executed the voting agreement.” (P-033, p.32). Consideration and terms per X-008; X-010; X-013; X-016.</t>
        </is>
      </c>
      <c r="L59" t="inlineStr">
        <is>
          <t>P-032; P-033; X-008; X-009; X-010; X-013; X-015; X-016</t>
        </is>
      </c>
      <c r="M59" t="inlineStr">
        <is>
          <t>Q8</t>
        </is>
      </c>
      <c r="O59" t="inlineStr">
        <is>
          <t>R058</t>
        </is>
      </c>
      <c r="P59" t="inlineStr">
        <is>
          <t>Yes</t>
        </is>
      </c>
      <c r="R59" s="9" t="n">
        <v>42594</v>
      </c>
      <c r="S59" s="9" t="n">
        <v>42594</v>
      </c>
      <c r="T59" s="9" t="n">
        <v>42594</v>
      </c>
      <c r="U59" t="inlineStr">
        <is>
          <t>Reported day</t>
        </is>
      </c>
      <c r="V59" t="inlineStr">
        <is>
          <t>Reported</t>
        </is>
      </c>
      <c r="AK59" t="n">
        <v>32</v>
      </c>
      <c r="AL59" t="inlineStr">
        <is>
          <t>R054; R055; R059</t>
        </is>
      </c>
      <c r="AM59" t="inlineStr">
        <is>
          <t>PWRR-G&amp;W</t>
        </is>
      </c>
    </row>
    <row r="60">
      <c r="A60" t="n">
        <v>59</v>
      </c>
      <c r="B60" t="inlineStr">
        <is>
          <t>08/15/2016</t>
        </is>
      </c>
      <c r="C60" t="inlineStr">
        <is>
          <t>Company (issuer) / G&amp;W</t>
        </is>
      </c>
      <c r="D60" t="inlineStr">
        <is>
          <t>Merger announced</t>
        </is>
      </c>
      <c r="E60" t="n">
        <v>1</v>
      </c>
      <c r="F60" t="inlineStr">
        <is>
          <t>post</t>
        </is>
      </c>
      <c r="G60" t="inlineStr">
        <is>
          <t>Strategic</t>
        </is>
      </c>
      <c r="H60" t="inlineStr">
        <is>
          <t>Press release publicly announced the transaction before the opening of NASDAQ trading on Monday, 08/15/2016.</t>
        </is>
      </c>
      <c r="K60" t="inlineStr">
        <is>
          <t>Stated. “The Company issued a press release publicly announcing the transaction on Monday, August 15, 2016 prior to the opening of trading of the Company’s common stock on the NASDAQ.” (P-033, p.32).</t>
        </is>
      </c>
      <c r="L60" t="inlineStr">
        <is>
          <t>P-033</t>
        </is>
      </c>
      <c r="M60" t="inlineStr"/>
      <c r="O60" t="inlineStr">
        <is>
          <t>R059</t>
        </is>
      </c>
      <c r="P60" t="inlineStr">
        <is>
          <t>Yes</t>
        </is>
      </c>
      <c r="R60" s="9" t="n">
        <v>42597</v>
      </c>
      <c r="S60" s="9" t="n">
        <v>42597</v>
      </c>
      <c r="T60" s="9" t="n">
        <v>42597</v>
      </c>
      <c r="U60" t="inlineStr">
        <is>
          <t>Reported day</t>
        </is>
      </c>
      <c r="V60" t="inlineStr">
        <is>
          <t>Reported</t>
        </is>
      </c>
      <c r="AK60" t="n">
        <v>32</v>
      </c>
      <c r="AL60" t="inlineStr">
        <is>
          <t>R058</t>
        </is>
      </c>
      <c r="AM60" t="inlineStr">
        <is>
          <t>PWRR-G&amp;W</t>
        </is>
      </c>
    </row>
    <row r="61">
      <c r="A61" t="n">
        <v>60</v>
      </c>
      <c r="B61" t="inlineStr">
        <is>
          <t>09/06/2016</t>
        </is>
      </c>
      <c r="C61" t="inlineStr">
        <is>
          <t>Board of Directors / BMO Capital Markets Corp.</t>
        </is>
      </c>
      <c r="D61" t="inlineStr">
        <is>
          <t>Material process update</t>
        </is>
      </c>
      <c r="E61" t="n">
        <v>1</v>
      </c>
      <c r="F61" t="inlineStr">
        <is>
          <t>post</t>
        </is>
      </c>
      <c r="H61" t="inlineStr">
        <is>
          <t>Post-signing: the Board considered BMO’s report that it had inadvertently failed to identify a BMO affiliate’s participation in G&amp;W’s existing secured syndicated debt facility (approximately 5% of the syndicate; revenue of $1–$5 million since 01/01/2014; X-006/X-007, p.41–42); the Board determined the relationship was not material to BMO’s independence and confirmed continued comfort with BMO’s engagement and opinion.</t>
        </is>
      </c>
      <c r="K61" t="inlineStr">
        <is>
          <t>Stated. “representatives of BMO advised the Board that when checking to determine if there were any financial advisory or financing relationships with G&amp;W, it had inadvertently failed to identify that a BMO affiliate has a participation in G&amp;W’s existing secured syndicated debt facility” ... “On September 6, 2016, the Board considered this new information, determined this relationship was not material to BMO’s independence and confirmed that the Board remained comfortable with the engagement and opinion of BMO.” (P-034, p.32); facility detail X-007, p.42.</t>
        </is>
      </c>
      <c r="L61" t="inlineStr">
        <is>
          <t>P-034; X-006; X-007</t>
        </is>
      </c>
      <c r="M61" t="inlineStr"/>
      <c r="O61" t="inlineStr">
        <is>
          <t>R060</t>
        </is>
      </c>
      <c r="P61" t="inlineStr">
        <is>
          <t>Yes</t>
        </is>
      </c>
      <c r="R61" s="9" t="n">
        <v>42619</v>
      </c>
      <c r="S61" s="9" t="n">
        <v>42619</v>
      </c>
      <c r="T61" s="9" t="n">
        <v>42619</v>
      </c>
      <c r="U61" t="inlineStr">
        <is>
          <t>Reported day</t>
        </is>
      </c>
      <c r="V61" t="inlineStr">
        <is>
          <t>Reported</t>
        </is>
      </c>
      <c r="AK61" t="n">
        <v>32</v>
      </c>
      <c r="AL61" t="inlineStr">
        <is>
          <t>R002; R058</t>
        </is>
      </c>
      <c r="AM61" t="inlineStr">
        <is>
          <t>PWRR-G&amp;W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cols>
    <col width="15" customWidth="1" min="1" max="1"/>
    <col width="12" customWidth="1" min="2" max="2"/>
    <col width="12" customWidth="1" min="3" max="3"/>
    <col width="18" customWidth="1" min="4" max="4"/>
    <col width="12" customWidth="1" min="5" max="5"/>
    <col width="12" customWidth="1" min="6" max="6"/>
    <col width="13" customWidth="1" min="7" max="7"/>
    <col width="12" customWidth="1" min="8" max="8"/>
    <col width="14" customWidth="1" min="9" max="9"/>
    <col width="12" customWidth="1" min="10" max="10"/>
    <col width="20" customWidth="1" min="11" max="11"/>
    <col width="16" customWidth="1" min="12" max="12"/>
    <col width="12" customWidth="1" min="13" max="13"/>
    <col width="13" customWidth="1" min="14" max="14"/>
    <col width="15" customWidth="1" min="15" max="15"/>
  </cols>
  <sheetData>
    <row r="1">
      <c r="A1" s="8" t="inlineStr">
        <is>
          <t>What happened</t>
        </is>
      </c>
      <c r="B1" s="8" t="inlineStr">
        <is>
          <t>Type</t>
        </is>
      </c>
      <c r="C1" s="8" t="inlineStr">
        <is>
          <t>Formality</t>
        </is>
      </c>
      <c r="D1" s="8" t="inlineStr">
        <is>
          <t>Conditions level</t>
        </is>
      </c>
      <c r="E1" s="8" t="inlineStr">
        <is>
          <t>Include</t>
        </is>
      </c>
      <c r="F1" s="8" t="inlineStr">
        <is>
          <t>Date basis</t>
        </is>
      </c>
      <c r="G1" s="8" t="inlineStr">
        <is>
          <t>Date method</t>
        </is>
      </c>
      <c r="H1" s="8" t="inlineStr">
        <is>
          <t>Price kind</t>
        </is>
      </c>
      <c r="I1" s="8" t="inlineStr">
        <is>
          <t>Price origin</t>
        </is>
      </c>
      <c r="J1" s="8" t="inlineStr">
        <is>
          <t>All cash</t>
        </is>
      </c>
      <c r="K1" s="8" t="inlineStr">
        <is>
          <t>Deadline treatment</t>
        </is>
      </c>
      <c r="L1" s="8" t="inlineStr">
        <is>
          <t>Round finality</t>
        </is>
      </c>
      <c r="M1" s="8" t="inlineStr">
        <is>
          <t>Decided by</t>
        </is>
      </c>
      <c r="N1" s="8" t="inlineStr">
        <is>
          <t>Exit reason</t>
        </is>
      </c>
      <c r="O1" s="8" t="inlineStr">
        <is>
          <t>Outcome basis</t>
        </is>
      </c>
    </row>
    <row r="2">
      <c r="A2" t="inlineStr">
        <is>
          <t>Target interest</t>
        </is>
      </c>
      <c r="B2" t="inlineStr">
        <is>
          <t>Strategic</t>
        </is>
      </c>
      <c r="C2" t="inlineStr">
        <is>
          <t>Formal</t>
        </is>
      </c>
      <c r="D2" t="inlineStr">
        <is>
          <t>None</t>
        </is>
      </c>
      <c r="E2" t="inlineStr">
        <is>
          <t>Yes</t>
        </is>
      </c>
      <c r="F2" t="inlineStr">
        <is>
          <t>Reported day</t>
        </is>
      </c>
      <c r="G2" t="inlineStr">
        <is>
          <t>Reported</t>
        </is>
      </c>
      <c r="H2" t="inlineStr">
        <is>
          <t>Point</t>
        </is>
      </c>
      <c r="I2" t="inlineStr">
        <is>
          <t>Stated</t>
        </is>
      </c>
      <c r="J2" t="inlineStr">
        <is>
          <t>Yes</t>
        </is>
      </c>
      <c r="K2" t="inlineStr">
        <is>
          <t>Enforced</t>
        </is>
      </c>
      <c r="L2" t="inlineStr">
        <is>
          <t>Announced as final</t>
        </is>
      </c>
      <c r="M2" t="inlineStr">
        <is>
          <t>Bidder</t>
        </is>
      </c>
      <c r="N2" t="inlineStr">
        <is>
          <t>Value below market price</t>
        </is>
      </c>
      <c r="O2" t="inlineStr">
        <is>
          <t>Stated</t>
        </is>
      </c>
    </row>
    <row r="3">
      <c r="A3" t="inlineStr">
        <is>
          <t>Bidder interest</t>
        </is>
      </c>
      <c r="B3" t="inlineStr">
        <is>
          <t>Financial</t>
        </is>
      </c>
      <c r="C3" t="inlineStr">
        <is>
          <t>Informal</t>
        </is>
      </c>
      <c r="D3" t="inlineStr">
        <is>
          <t>Light</t>
        </is>
      </c>
      <c r="E3" t="inlineStr">
        <is>
          <t>No</t>
        </is>
      </c>
      <c r="F3" t="inlineStr">
        <is>
          <t>Inferred day</t>
        </is>
      </c>
      <c r="G3" t="inlineStr">
        <is>
          <t>Inferred</t>
        </is>
      </c>
      <c r="H3" t="inlineStr">
        <is>
          <t>Bidder range</t>
        </is>
      </c>
      <c r="I3" t="inlineStr">
        <is>
          <t>Carried forward</t>
        </is>
      </c>
      <c r="J3" t="inlineStr">
        <is>
          <t>No</t>
        </is>
      </c>
      <c r="K3" t="inlineStr">
        <is>
          <t>Extended</t>
        </is>
      </c>
      <c r="L3" t="inlineStr">
        <is>
          <t>Inferred final</t>
        </is>
      </c>
      <c r="M3" t="inlineStr">
        <is>
          <t>Target</t>
        </is>
      </c>
      <c r="N3" t="inlineStr">
        <is>
          <t>Value at or below market price</t>
        </is>
      </c>
      <c r="O3" t="inlineStr">
        <is>
          <t>Inferred: residual</t>
        </is>
      </c>
    </row>
    <row r="4">
      <c r="A4" t="inlineStr">
        <is>
          <t>Target sale decision</t>
        </is>
      </c>
      <c r="B4" t="inlineStr">
        <is>
          <t>Mixed</t>
        </is>
      </c>
      <c r="C4" t="inlineStr">
        <is>
          <t>Insufficient evidence</t>
        </is>
      </c>
      <c r="D4" t="inlineStr">
        <is>
          <t>Heavy</t>
        </is>
      </c>
      <c r="F4" t="inlineStr">
        <is>
          <t>Reported interval</t>
        </is>
      </c>
      <c r="G4" t="inlineStr">
        <is>
          <t>Assigned: deadline</t>
        </is>
      </c>
      <c r="H4" t="inlineStr">
        <is>
          <t>Group envelope</t>
        </is>
      </c>
      <c r="I4" t="inlineStr">
        <is>
          <t>Inferred</t>
        </is>
      </c>
      <c r="J4" t="inlineStr">
        <is>
          <t>Not stated</t>
        </is>
      </c>
      <c r="K4" t="inlineStr">
        <is>
          <t>Late bids accepted</t>
        </is>
      </c>
      <c r="L4" t="inlineStr">
        <is>
          <t>Not final</t>
        </is>
      </c>
      <c r="M4" t="inlineStr">
        <is>
          <t>Both</t>
        </is>
      </c>
      <c r="N4" t="inlineStr">
        <is>
          <t>Value below earlier offer</t>
        </is>
      </c>
      <c r="O4" t="inlineStr">
        <is>
          <t>Inferred: exclusivity</t>
        </is>
      </c>
    </row>
    <row r="5">
      <c r="A5" t="inlineStr">
        <is>
          <t>Activist pressure</t>
        </is>
      </c>
      <c r="B5" t="inlineStr">
        <is>
          <t>Unknown</t>
        </is>
      </c>
      <c r="C5" t="inlineStr">
        <is>
          <t>Varies</t>
        </is>
      </c>
      <c r="D5" t="inlineStr">
        <is>
          <t>Insufficient evidence</t>
        </is>
      </c>
      <c r="F5" t="inlineStr">
        <is>
          <t>Approximate window</t>
        </is>
      </c>
      <c r="G5" t="inlineStr">
        <is>
          <t>Assigned: decision day</t>
        </is>
      </c>
      <c r="H5" t="inlineStr">
        <is>
          <t>Bound only</t>
        </is>
      </c>
      <c r="K5" t="inlineStr">
        <is>
          <t>Passed without action</t>
        </is>
      </c>
      <c r="M5" t="inlineStr">
        <is>
          <t>Unknown</t>
        </is>
      </c>
      <c r="N5" t="inlineStr">
        <is>
          <t>Value at earlier offer</t>
        </is>
      </c>
      <c r="O5" t="inlineStr">
        <is>
          <t>Inferred: silent</t>
        </is>
      </c>
    </row>
    <row r="6">
      <c r="A6" t="inlineStr">
        <is>
          <t>Activist involvement</t>
        </is>
      </c>
      <c r="D6" t="inlineStr">
        <is>
          <t>Varies</t>
        </is>
      </c>
      <c r="F6" t="inlineStr">
        <is>
          <t>Relative only</t>
        </is>
      </c>
      <c r="G6" t="inlineStr">
        <is>
          <t>Assigned: midpoint</t>
        </is>
      </c>
      <c r="H6" t="inlineStr">
        <is>
          <t>Undisclosed</t>
        </is>
      </c>
      <c r="K6" t="inlineStr">
        <is>
          <t>Unclear</t>
        </is>
      </c>
      <c r="N6" t="inlineStr">
        <is>
          <t>Would not improve earlier offer</t>
        </is>
      </c>
      <c r="O6" t="inlineStr">
        <is>
          <t>Inferred: identity</t>
        </is>
      </c>
    </row>
    <row r="7">
      <c r="A7" t="inlineStr">
        <is>
          <t>Adviser engaged</t>
        </is>
      </c>
      <c r="F7" t="inlineStr">
        <is>
          <t>Undated</t>
        </is>
      </c>
      <c r="G7" t="inlineStr">
        <is>
          <t>Assigned: bound</t>
        </is>
      </c>
      <c r="K7" t="inlineStr">
        <is>
          <t>No deadline stated</t>
        </is>
      </c>
      <c r="N7" t="inlineStr">
        <is>
          <t>Lower offer than rivals</t>
        </is>
      </c>
    </row>
    <row r="8">
      <c r="A8" t="inlineStr">
        <is>
          <t>Adviser service observed</t>
        </is>
      </c>
      <c r="G8" t="inlineStr">
        <is>
          <t>Assigned: sequence</t>
        </is>
      </c>
      <c r="N8" t="inlineStr">
        <is>
          <t>Terms or process</t>
        </is>
      </c>
    </row>
    <row r="9">
      <c r="A9" t="inlineStr">
        <is>
          <t>Adviser ended</t>
        </is>
      </c>
      <c r="N9" t="inlineStr">
        <is>
          <t>Other stated reason</t>
        </is>
      </c>
    </row>
    <row r="10">
      <c r="A10" t="inlineStr">
        <is>
          <t>Contact</t>
        </is>
      </c>
      <c r="N10" t="inlineStr">
        <is>
          <t>Not stated</t>
        </is>
      </c>
    </row>
    <row r="11">
      <c r="A11" t="inlineStr">
        <is>
          <t>NDA signed</t>
        </is>
      </c>
    </row>
    <row r="12">
      <c r="A12" t="inlineStr">
        <is>
          <t>Round opened</t>
        </is>
      </c>
    </row>
    <row r="13">
      <c r="A13" t="inlineStr">
        <is>
          <t>Deadline set</t>
        </is>
      </c>
    </row>
    <row r="14">
      <c r="A14" t="inlineStr">
        <is>
          <t>Deadline revised</t>
        </is>
      </c>
    </row>
    <row r="15">
      <c r="A15" t="inlineStr">
        <is>
          <t>Deadline</t>
        </is>
      </c>
    </row>
    <row r="16">
      <c r="A16" t="inlineStr">
        <is>
          <t>Target decision</t>
        </is>
      </c>
    </row>
    <row r="17">
      <c r="A17" t="inlineStr">
        <is>
          <t>Information access changed</t>
        </is>
      </c>
    </row>
    <row r="18">
      <c r="A18" t="inlineStr">
        <is>
          <t>Material process update</t>
        </is>
      </c>
    </row>
    <row r="19">
      <c r="A19" t="inlineStr">
        <is>
          <t>Exclusivity changed</t>
        </is>
      </c>
    </row>
    <row r="20">
      <c r="A20" t="inlineStr">
        <is>
          <t>Bid</t>
        </is>
      </c>
    </row>
    <row r="21">
      <c r="A21" t="inlineStr">
        <is>
          <t>Bid reaffirmed</t>
        </is>
      </c>
    </row>
    <row r="22">
      <c r="A22" t="inlineStr">
        <is>
          <t>Offer update</t>
        </is>
      </c>
    </row>
    <row r="23">
      <c r="A23" t="inlineStr">
        <is>
          <t>Other-scope bid</t>
        </is>
      </c>
    </row>
    <row r="24">
      <c r="A24" t="inlineStr">
        <is>
          <t>Valuation statement</t>
        </is>
      </c>
    </row>
    <row r="25">
      <c r="A25" t="inlineStr">
        <is>
          <t>Bidding group changed</t>
        </is>
      </c>
    </row>
    <row r="26">
      <c r="A26" t="inlineStr">
        <is>
          <t>Joined group</t>
        </is>
      </c>
    </row>
    <row r="27">
      <c r="A27" t="inlineStr">
        <is>
          <t>Dropped by target</t>
        </is>
      </c>
    </row>
    <row r="28">
      <c r="A28" t="inlineStr">
        <is>
          <t>Withdrew</t>
        </is>
      </c>
    </row>
    <row r="29">
      <c r="A29" t="inlineStr">
        <is>
          <t>Did not submit</t>
        </is>
      </c>
    </row>
    <row r="30">
      <c r="A30" t="inlineStr">
        <is>
          <t>Participation paused</t>
        </is>
      </c>
    </row>
    <row r="31">
      <c r="A31" t="inlineStr">
        <is>
          <t>Re-entered</t>
        </is>
      </c>
    </row>
    <row r="32">
      <c r="A32" t="inlineStr">
        <is>
          <t>Not selected at signing</t>
        </is>
      </c>
    </row>
    <row r="33">
      <c r="A33" t="inlineStr">
        <is>
          <t>Sale process announced</t>
        </is>
      </c>
    </row>
    <row r="34">
      <c r="A34" t="inlineStr">
        <is>
          <t>Bid announced</t>
        </is>
      </c>
    </row>
    <row r="35">
      <c r="A35" t="inlineStr">
        <is>
          <t>Merger announced</t>
        </is>
      </c>
    </row>
    <row r="36">
      <c r="A36" t="inlineStr">
        <is>
          <t>Merger agreement signed</t>
        </is>
      </c>
    </row>
    <row r="37">
      <c r="A37" t="inlineStr">
        <is>
          <t>Go-shop changed</t>
        </is>
      </c>
    </row>
    <row r="38">
      <c r="A38" t="inlineStr">
        <is>
          <t>Process terminated</t>
        </is>
      </c>
    </row>
    <row r="39">
      <c r="A39" t="inlineStr">
        <is>
          <t>Process restarted</t>
        </is>
      </c>
    </row>
    <row r="40">
      <c r="A40" t="inlineStr">
        <is>
          <t>Agreement terminated</t>
        </is>
      </c>
    </row>
    <row r="41">
      <c r="A41"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extraction first pass</dc:creator>
  <dc:title xmlns:dc="http://purl.org/dc/elements/1.1/">PWRR / G&amp;W deal ledger (SEC Dealer Ledger Extraction, Pro revision 19 Sep 2026)</dc:title>
  <dc:description xmlns:dc="http://purl.org/dc/elements/1.1/">Extraction from DEFM14A filed 2016-09-20 (Providence &amp; Worcester / Genesee &amp; Wyoming).</dc:description>
  <dcterms:created xmlns:dcterms="http://purl.org/dc/terms/" xmlns:xsi="http://www.w3.org/2001/XMLSchema-instance" xsi:type="dcterms:W3CDTF">2026-09-19T13:40:14Z</dcterms:created>
  <dcterms:modified xmlns:dcterms="http://purl.org/dc/terms/" xmlns:xsi="http://www.w3.org/2001/XMLSchema-instance" xsi:type="dcterms:W3CDTF">2026-09-19T13:40:14Z</dcterms:modified>
</cp:coreProperties>
</file>