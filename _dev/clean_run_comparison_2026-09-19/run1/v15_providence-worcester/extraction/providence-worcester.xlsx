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Summary" sheetId="2" state="visible" r:id="rId2"/>
    <sheet xmlns:r="http://schemas.openxmlformats.org/officeDocument/2006/relationships" name="Questions" sheetId="3" state="visible" r:id="rId3"/>
    <sheet xmlns:r="http://schemas.openxmlformats.org/officeDocument/2006/relationships" name="Source text" sheetId="4" state="visible" r:id="rId4"/>
    <sheet xmlns:r="http://schemas.openxmlformats.org/officeDocument/2006/relationships" name="Lists" sheetId="5" state="hidden" r:id="rId5"/>
  </sheets>
  <definedNames>
    <definedName name="_xlnm._FilterDatabase" localSheetId="0" hidden="1">'Deal ledger'!$A$1:$AM$54</definedName>
    <definedName name="_xlnm._FilterDatabase" localSheetId="2" hidden="1">'Questions'!$A$1:$H$8</definedName>
    <definedName name="_xlnm._FilterDatabase" localSheetId="3" hidden="1">'Source text'!$A$1:$D$56</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8">
    <font>
      <name val="Calibri"/>
      <family val="2"/>
      <color theme="1"/>
      <sz val="11"/>
      <scheme val="minor"/>
    </font>
    <font>
      <b val="1"/>
      <color rgb="00FFFFFF"/>
      <sz val="10"/>
    </font>
    <font>
      <color rgb="000563C1"/>
      <sz val="10"/>
      <u val="single"/>
    </font>
    <font>
      <sz val="10"/>
    </font>
    <font>
      <b val="1"/>
      <sz val="12"/>
    </font>
    <font>
      <b val="1"/>
      <color rgb="001F3864"/>
      <sz val="11"/>
    </font>
    <font>
      <b val="1"/>
      <sz val="10"/>
    </font>
    <font>
      <b val="1"/>
    </font>
  </fonts>
  <fills count="4">
    <fill>
      <patternFill/>
    </fill>
    <fill>
      <patternFill patternType="gray125"/>
    </fill>
    <fill>
      <patternFill patternType="solid">
        <fgColor rgb="001F3864"/>
      </patternFill>
    </fill>
    <fill>
      <patternFill patternType="solid">
        <fgColor rgb="00D9E1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165" fontId="0" fillId="0" borderId="1" applyAlignment="1" pivotButton="0" quotePrefix="0" xfId="0">
      <alignment vertical="top" wrapText="1"/>
    </xf>
    <xf numFmtId="2" fontId="0" fillId="0" borderId="1" applyAlignment="1" pivotButton="0" quotePrefix="0" xfId="0">
      <alignment vertical="top" wrapText="1"/>
    </xf>
    <xf numFmtId="0" fontId="4" fillId="0" borderId="0" pivotButton="0" quotePrefix="0" xfId="0"/>
    <xf numFmtId="0" fontId="5" fillId="3" borderId="0" pivotButton="0" quotePrefix="0" xfId="0"/>
    <xf numFmtId="0" fontId="0" fillId="3" borderId="0" pivotButton="0" quotePrefix="0" xfId="0"/>
    <xf numFmtId="0" fontId="6" fillId="0" borderId="0" applyAlignment="1" pivotButton="0" quotePrefix="0" xfId="0">
      <alignment vertical="top" wrapText="1"/>
    </xf>
    <xf numFmtId="0" fontId="0" fillId="0" borderId="0" applyAlignment="1" pivotButton="0" quotePrefix="0" xfId="0">
      <alignment vertical="top" wrapText="1"/>
    </xf>
    <xf numFmtId="1" fontId="0" fillId="0" borderId="0" applyAlignment="1" pivotButton="0" quotePrefix="0" xfId="0">
      <alignment vertical="top" wrapText="1"/>
    </xf>
    <xf numFmtId="0" fontId="0" fillId="0" borderId="0" applyAlignment="1" pivotButton="0" quotePrefix="0" xfId="0">
      <alignment horizontal="center"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AM5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30" customWidth="1" min="3" max="3"/>
    <col width="20" customWidth="1" min="4" max="4"/>
    <col width="8" customWidth="1" min="5" max="5"/>
    <col width="7" customWidth="1" min="6" max="6"/>
    <col width="12" customWidth="1" min="7" max="7"/>
    <col width="66" customWidth="1" min="8" max="8"/>
    <col width="12" customWidth="1" min="9" max="9"/>
    <col width="13" customWidth="1" min="10" max="10"/>
    <col width="78" customWidth="1" min="11" max="11"/>
    <col width="20" customWidth="1" min="12" max="12"/>
    <col width="9" customWidth="1" min="13" max="13"/>
    <col width="26" customWidth="1" min="14" max="14"/>
    <col hidden="1" outlineLevel="1" width="8" customWidth="1" min="15" max="16"/>
    <col hidden="1" outlineLevel="1" width="13" customWidth="1" min="16" max="16"/>
    <col hidden="1" outlineLevel="1" width="7" customWidth="1" min="17" max="17"/>
    <col hidden="1" outlineLevel="1" width="11" customWidth="1" min="18" max="22"/>
    <col hidden="1" outlineLevel="1" width="13" customWidth="1" min="19" max="19"/>
    <col hidden="1" outlineLevel="1" width="13" customWidth="1" min="20" max="20"/>
    <col hidden="1" outlineLevel="1" width="13" customWidth="1" min="21" max="21"/>
    <col hidden="1" outlineLevel="1" width="13" customWidth="1" min="22" max="22"/>
    <col hidden="1" outlineLevel="1" width="9" customWidth="1" min="23" max="27"/>
    <col hidden="1" outlineLevel="1" width="13" customWidth="1" min="24" max="24"/>
    <col hidden="1" outlineLevel="1" width="13" customWidth="1" min="25" max="25"/>
    <col hidden="1" outlineLevel="1" width="13" customWidth="1" min="26" max="26"/>
    <col hidden="1" outlineLevel="1" width="13" customWidth="1" min="27" max="27"/>
    <col hidden="1" outlineLevel="1" width="10" customWidth="1" min="28" max="29"/>
    <col hidden="1" outlineLevel="1" width="13" customWidth="1" min="29" max="29"/>
    <col hidden="1" outlineLevel="1" width="50" customWidth="1" min="30" max="30"/>
    <col hidden="1" outlineLevel="1" width="11" customWidth="1" min="31" max="33"/>
    <col hidden="1" outlineLevel="1" width="13" customWidth="1" min="32" max="32"/>
    <col hidden="1" outlineLevel="1" width="13" customWidth="1" min="33" max="33"/>
    <col hidden="1" outlineLevel="1" width="10" customWidth="1" min="34" max="36"/>
    <col hidden="1" outlineLevel="1" width="13" customWidth="1" min="35" max="35"/>
    <col hidden="1" outlineLevel="1" width="13" customWidth="1" min="36" max="36"/>
    <col hidden="1" outlineLevel="1" width="6" customWidth="1" min="37" max="37"/>
    <col hidden="1" outlineLevel="1" width="20" customWidth="1" min="38" max="38"/>
    <col hidden="1" outlineLevel="1" width="12" customWidth="1" min="39" max="39"/>
  </cols>
  <sheetData>
    <row r="1" ht="30" customHeight="1">
      <c r="A1" s="1" t="inlineStr">
        <is>
          <t>#</t>
        </is>
      </c>
      <c r="B1" s="1" t="inlineStr">
        <is>
          <t>When</t>
        </is>
      </c>
      <c r="C1" s="1" t="inlineStr">
        <is>
          <t>Who</t>
        </is>
      </c>
      <c r="D1" s="1" t="inlineStr">
        <is>
          <t>What happened</t>
        </is>
      </c>
      <c r="E1" s="1" t="inlineStr">
        <is>
          <t>Process</t>
        </is>
      </c>
      <c r="F1" s="1" t="inlineStr">
        <is>
          <t>Round</t>
        </is>
      </c>
      <c r="G1" s="1" t="inlineStr">
        <is>
          <t>Type</t>
        </is>
      </c>
      <c r="H1" s="1" t="inlineStr">
        <is>
          <t>Terms or outcome</t>
        </is>
      </c>
      <c r="I1" s="1" t="inlineStr">
        <is>
          <t>Formality</t>
        </is>
      </c>
      <c r="J1" s="1" t="inlineStr">
        <is>
          <t>Conditions level</t>
        </is>
      </c>
      <c r="K1" s="1" t="inlineStr">
        <is>
          <t>Why and evidence</t>
        </is>
      </c>
      <c r="L1" s="1" t="inlineStr">
        <is>
          <t>Source</t>
        </is>
      </c>
      <c r="M1" s="1" t="inlineStr">
        <is>
          <t>Review</t>
        </is>
      </c>
      <c r="N1" s="1" t="inlineStr">
        <is>
          <t>Reviewer note</t>
        </is>
      </c>
      <c r="O1" s="1" t="inlineStr">
        <is>
          <t>Row id</t>
        </is>
      </c>
      <c r="P1" s="1" t="inlineStr">
        <is>
          <t>Include</t>
        </is>
      </c>
      <c r="Q1" s="1" t="inlineStr">
        <is>
          <t>Count</t>
        </is>
      </c>
      <c r="R1" s="1" t="inlineStr">
        <is>
          <t>Date from</t>
        </is>
      </c>
      <c r="S1" s="1" t="inlineStr">
        <is>
          <t>Date to</t>
        </is>
      </c>
      <c r="T1" s="1" t="inlineStr">
        <is>
          <t>Working date</t>
        </is>
      </c>
      <c r="U1" s="1" t="inlineStr">
        <is>
          <t>Date basis</t>
        </is>
      </c>
      <c r="V1" s="1" t="inlineStr">
        <is>
          <t>Date method</t>
        </is>
      </c>
      <c r="W1" s="1" t="inlineStr">
        <is>
          <t>Price low</t>
        </is>
      </c>
      <c r="X1" s="1" t="inlineStr">
        <is>
          <t>Price high</t>
        </is>
      </c>
      <c r="Y1" s="1" t="inlineStr">
        <is>
          <t>Price kind</t>
        </is>
      </c>
      <c r="Z1" s="1" t="inlineStr">
        <is>
          <t>Price origin</t>
        </is>
      </c>
      <c r="AA1" s="1" t="inlineStr">
        <is>
          <t>Currency</t>
        </is>
      </c>
      <c r="AB1" s="1" t="inlineStr">
        <is>
          <t>All cash</t>
        </is>
      </c>
      <c r="AC1" s="1" t="inlineStr">
        <is>
          <t>Cash at closing</t>
        </is>
      </c>
      <c r="AD1" s="1" t="inlineStr">
        <is>
          <t>Conditions detail</t>
        </is>
      </c>
      <c r="AE1" s="1" t="inlineStr">
        <is>
          <t>Due date</t>
        </is>
      </c>
      <c r="AF1" s="1" t="inlineStr">
        <is>
          <t>Deadline treatment</t>
        </is>
      </c>
      <c r="AG1" s="1" t="inlineStr">
        <is>
          <t>Round finality</t>
        </is>
      </c>
      <c r="AH1" s="1" t="inlineStr">
        <is>
          <t>Decided by</t>
        </is>
      </c>
      <c r="AI1" s="1" t="inlineStr">
        <is>
          <t>Exit reason</t>
        </is>
      </c>
      <c r="AJ1" s="1" t="inlineStr">
        <is>
          <t>Outcome basis</t>
        </is>
      </c>
      <c r="AK1" s="1" t="inlineStr">
        <is>
          <t>Page</t>
        </is>
      </c>
      <c r="AL1" s="1" t="inlineStr">
        <is>
          <t>Related rows</t>
        </is>
      </c>
      <c r="AM1" s="1" t="inlineStr">
        <is>
          <t>Deal</t>
        </is>
      </c>
    </row>
    <row r="2" ht="105.6" customHeight="1">
      <c r="A2" s="2" t="n">
        <v>1</v>
      </c>
      <c r="B2" s="3" t="inlineStr">
        <is>
          <t>Q4 2015 (day not disclosed)</t>
        </is>
      </c>
      <c r="C2" s="4" t="inlineStr">
        <is>
          <t>Party A (unnamed Class I rail partner)</t>
        </is>
      </c>
      <c r="D2" s="4" t="inlineStr">
        <is>
          <t>Bidder interest</t>
        </is>
      </c>
      <c r="E2" s="2" t="n">
        <v>1</v>
      </c>
      <c r="F2" s="2" t="n">
        <v>0</v>
      </c>
      <c r="G2" s="4" t="inlineStr">
        <is>
          <t>Strategic</t>
        </is>
      </c>
      <c r="H2" s="4" t="inlineStr">
        <is>
          <t>Party A suggested possible joint venture arrangements and expressed interest in acquiring equity in the Company during a meeting with Chairman/CEO Eder and VP Rogers called to discuss joint commercial opportunities; bidder-initiated first contact; no price discussed. Led to the Board’s banker search (R002).</t>
        </is>
      </c>
      <c r="I2" s="4" t="inlineStr"/>
      <c r="J2" s="4" t="inlineStr"/>
      <c r="K2" s="4" t="inlineStr">
        <is>
          <t>Stated: the meeting, Party A’s suggestion and its interest; direction bidder→target; no price. Count 1 = newly represented individual (contact tally). Date: "In the fourth quarter of 2015" — quarter interval, no day; Working date is the calendar midpoint (Convention; Assigned: midpoint). Quote: "During the meeting, Party A suggested possible joint venture arrangements and expressed some interest in acquiring equity in the Company to further develop strategic opportunities and enhance regional connectivity." (P-001, p27)</t>
        </is>
      </c>
      <c r="L2" s="5" t="inlineStr">
        <is>
          <t>P-001</t>
        </is>
      </c>
      <c r="M2" s="4" t="inlineStr"/>
      <c r="N2" s="4" t="inlineStr"/>
      <c r="O2" s="2" t="inlineStr">
        <is>
          <t>R001</t>
        </is>
      </c>
      <c r="P2" s="4" t="inlineStr">
        <is>
          <t>Yes</t>
        </is>
      </c>
      <c r="Q2" s="2" t="n">
        <v>1</v>
      </c>
      <c r="R2" s="6" t="n">
        <v>42278</v>
      </c>
      <c r="S2" s="6" t="n">
        <v>42369</v>
      </c>
      <c r="T2" s="6" t="n">
        <v>42323</v>
      </c>
      <c r="U2" s="4" t="inlineStr">
        <is>
          <t>Reported interval</t>
        </is>
      </c>
      <c r="V2" s="4" t="inlineStr">
        <is>
          <t>Assigned: midpoint</t>
        </is>
      </c>
      <c r="W2" s="4" t="n"/>
      <c r="X2" s="4" t="n"/>
      <c r="Y2" s="4" t="inlineStr"/>
      <c r="Z2" s="4" t="inlineStr"/>
      <c r="AA2" s="4" t="inlineStr"/>
      <c r="AB2" s="4" t="inlineStr"/>
      <c r="AC2" s="4" t="n"/>
      <c r="AD2" s="4" t="inlineStr"/>
      <c r="AE2" s="4" t="n"/>
      <c r="AF2" s="4" t="inlineStr"/>
      <c r="AG2" s="4" t="inlineStr"/>
      <c r="AH2" s="4" t="inlineStr"/>
      <c r="AI2" s="4" t="inlineStr"/>
      <c r="AJ2" s="4" t="inlineStr"/>
      <c r="AK2" s="2" t="n">
        <v>27</v>
      </c>
      <c r="AL2" s="4" t="inlineStr">
        <is>
          <t>R002; R017</t>
        </is>
      </c>
      <c r="AM2" s="4" t="inlineStr">
        <is>
          <t>PWRR-G&amp;W</t>
        </is>
      </c>
    </row>
    <row r="3" ht="171.6" customHeight="1">
      <c r="A3" s="2" t="n">
        <v>2</v>
      </c>
      <c r="B3" s="3" t="inlineStr">
        <is>
          <t>01/27/2016</t>
        </is>
      </c>
      <c r="C3" s="4" t="inlineStr">
        <is>
          <t>Providence and Worcester Railroad Company (Board) / GHF</t>
        </is>
      </c>
      <c r="D3" s="4" t="inlineStr">
        <is>
          <t>Adviser engaged</t>
        </is>
      </c>
      <c r="E3" s="2" t="n">
        <v>1</v>
      </c>
      <c r="F3" s="2" t="n">
        <v>0</v>
      </c>
      <c r="G3" s="4" t="inlineStr"/>
      <c r="H3" s="4" t="inlineStr">
        <is>
          <t>Retained GHF (Greene Holcomb &amp; Fisher LLC) as investment banking firm after a subcommittee of two independent directors (Barrett, Anderson) interviewed several firms; subcommittee recommended retention and the Board approved on 01/27/2016; GHF represented it would not represent any potential buyer of the Company or any person proposing financing; GHF’s business acquired by BMO Capital Markets Corp. on 08/01/2016 (successor — one adviser relationship); rendered the 08/12/2016 fairness opinion (oral, confirmed in writing); fee approximately $2.52 million; on 09/06/2016 the Board reviewed BMO’s disclosure that a BMO affiliate holds an approximately 5% participation in G&amp;W’s senior secured syndicated facility and confirmed it was not material to BMO’s independence.</t>
        </is>
      </c>
      <c r="I3" s="4" t="inlineStr"/>
      <c r="J3" s="4" t="inlineStr"/>
      <c r="K3" s="4" t="inlineStr">
        <is>
          <t>Stated: retention and approval on 01/27/2016; selection process; no-conflict representation; later dates (BMO succession, opinion, fee, conflict review). Quotes: "During the executive session of the Board’s regular quarterly meeting held on January 27, 2016 (which Director Alfred P. Smith did not attend), the subcommittee recommended to the Board that the Company retain GHF as its investment banking firm." (P-001, p27); "an affiliate of BMO is a lender with an approximately 5% participation in the syndicate" (X-011, p42); "the Company will pay BMO an aggregate fee of approximately $2.52 million" (X-010, p41).</t>
        </is>
      </c>
      <c r="L3" s="5" t="inlineStr">
        <is>
          <t>P-001; X-009; X-010; X-011</t>
        </is>
      </c>
      <c r="M3" s="4" t="inlineStr"/>
      <c r="N3" s="4" t="inlineStr"/>
      <c r="O3" s="2" t="inlineStr">
        <is>
          <t>R002</t>
        </is>
      </c>
      <c r="P3" s="4" t="inlineStr">
        <is>
          <t>Yes</t>
        </is>
      </c>
      <c r="Q3" s="2" t="n"/>
      <c r="R3" s="6" t="n">
        <v>42396</v>
      </c>
      <c r="S3" s="6" t="n">
        <v>42396</v>
      </c>
      <c r="T3" s="6" t="n">
        <v>42396</v>
      </c>
      <c r="U3" s="4" t="inlineStr">
        <is>
          <t>Reported day</t>
        </is>
      </c>
      <c r="V3" s="4" t="inlineStr">
        <is>
          <t>Reported</t>
        </is>
      </c>
      <c r="W3" s="4" t="n"/>
      <c r="X3" s="4" t="n"/>
      <c r="Y3" s="4" t="inlineStr"/>
      <c r="Z3" s="4" t="inlineStr"/>
      <c r="AA3" s="4" t="inlineStr"/>
      <c r="AB3" s="4" t="inlineStr"/>
      <c r="AC3" s="4" t="n"/>
      <c r="AD3" s="4" t="inlineStr"/>
      <c r="AE3" s="4" t="n"/>
      <c r="AF3" s="4" t="inlineStr"/>
      <c r="AG3" s="4" t="inlineStr"/>
      <c r="AH3" s="4" t="inlineStr"/>
      <c r="AI3" s="4" t="inlineStr"/>
      <c r="AJ3" s="4" t="inlineStr"/>
      <c r="AK3" s="2" t="n">
        <v>27</v>
      </c>
      <c r="AL3" s="4" t="inlineStr">
        <is>
          <t>R003</t>
        </is>
      </c>
      <c r="AM3" s="4" t="inlineStr">
        <is>
          <t>PWRR-G&amp;W</t>
        </is>
      </c>
    </row>
    <row r="4" ht="132" customHeight="1">
      <c r="A4" s="2" t="n">
        <v>3</v>
      </c>
      <c r="B4" s="3" t="inlineStr">
        <is>
          <t>03/14/2016</t>
        </is>
      </c>
      <c r="C4" s="4" t="inlineStr">
        <is>
          <t>Board of Directors</t>
        </is>
      </c>
      <c r="D4" s="4" t="inlineStr">
        <is>
          <t>Target sale decision</t>
        </is>
      </c>
      <c r="E4" s="2" t="n">
        <v>1</v>
      </c>
      <c r="F4" s="2" t="n">
        <v>0</v>
      </c>
      <c r="G4" s="4" t="inlineStr"/>
      <c r="H4" s="4" t="inlineStr">
        <is>
          <t>Special Board meeting: GHF presented its evaluation of the business and industry and proposed a process — discussions with Party A plus solicitation of other potential third parties for a change in control transaction; Board concluded it was in the Company’s best interest to proceed and appointed the Transaction Committee (Barrett (Chair), Anderson, Garvey) to supervise the process and recommend to the full Board; the Committee could not approve or enter a change of control transaction (full-Board authority under Rhode Island law). Candidate R1 anchor (rejected — R007).</t>
        </is>
      </c>
      <c r="I4" s="4" t="inlineStr"/>
      <c r="J4" s="4" t="inlineStr"/>
      <c r="K4" s="4" t="inlineStr">
        <is>
          <t>Stated: meeting, GHF proposal, Board conclusion, Committee appointment and its limits; Date: Reported day. Candidate R1 anchor rejected: the first outreach began the week of 03/28/2016, about two weeks later — outside the “about a week” execution test (Convention). Quote: "Representatives of GHF then proposed a process pursuant to which the Company would proceed with discussions with Party A and also solicit interest from other potential third parties regarding a change in control transaction." (P-002, p27)</t>
        </is>
      </c>
      <c r="L4" s="5" t="inlineStr">
        <is>
          <t>P-002; P-003</t>
        </is>
      </c>
      <c r="M4" s="4" t="inlineStr">
        <is>
          <t>Q1</t>
        </is>
      </c>
      <c r="N4" s="4" t="inlineStr"/>
      <c r="O4" s="2" t="inlineStr">
        <is>
          <t>R003</t>
        </is>
      </c>
      <c r="P4" s="4" t="inlineStr">
        <is>
          <t>Yes</t>
        </is>
      </c>
      <c r="Q4" s="2" t="n"/>
      <c r="R4" s="6" t="n">
        <v>42443</v>
      </c>
      <c r="S4" s="6" t="n">
        <v>42443</v>
      </c>
      <c r="T4" s="6" t="n">
        <v>42443</v>
      </c>
      <c r="U4" s="4" t="inlineStr">
        <is>
          <t>Reported day</t>
        </is>
      </c>
      <c r="V4" s="4" t="inlineStr">
        <is>
          <t>Reported</t>
        </is>
      </c>
      <c r="W4" s="4" t="n"/>
      <c r="X4" s="4" t="n"/>
      <c r="Y4" s="4" t="inlineStr"/>
      <c r="Z4" s="4" t="inlineStr"/>
      <c r="AA4" s="4" t="inlineStr"/>
      <c r="AB4" s="4" t="inlineStr"/>
      <c r="AC4" s="4" t="n"/>
      <c r="AD4" s="4" t="inlineStr"/>
      <c r="AE4" s="4" t="n"/>
      <c r="AF4" s="4" t="inlineStr"/>
      <c r="AG4" s="4" t="inlineStr"/>
      <c r="AH4" s="4" t="inlineStr"/>
      <c r="AI4" s="4" t="inlineStr"/>
      <c r="AJ4" s="4" t="inlineStr"/>
      <c r="AK4" s="2" t="n">
        <v>27</v>
      </c>
      <c r="AL4" s="4" t="inlineStr">
        <is>
          <t>R004; R007</t>
        </is>
      </c>
      <c r="AM4" s="4" t="inlineStr">
        <is>
          <t>PWRR-G&amp;W</t>
        </is>
      </c>
    </row>
    <row r="5" ht="118.8" customHeight="1">
      <c r="A5" s="2" t="n">
        <v>4</v>
      </c>
      <c r="B5" s="3" t="inlineStr">
        <is>
          <t>03/24/2016</t>
        </is>
      </c>
      <c r="C5" s="4" t="inlineStr">
        <is>
          <t>Transaction Committee</t>
        </is>
      </c>
      <c r="D5" s="4" t="inlineStr">
        <is>
          <t>Target decision</t>
        </is>
      </c>
      <c r="E5" s="2" t="n">
        <v>1</v>
      </c>
      <c r="F5" s="2" t="n">
        <v>0</v>
      </c>
      <c r="G5" s="4" t="inlineStr"/>
      <c r="H5" s="4" t="inlineStr">
        <is>
          <t>Following management’s 03/22–23/2016 meetings with Party A (Party A informed of GHF’s engagement), the Committee authorized GHF to contact Party A and other potential buyers to determine their interest in a change in control transaction. Candidate R1 anchor (rejected — outreach wave preferred; R007).</t>
        </is>
      </c>
      <c r="I5" s="4" t="inlineStr"/>
      <c r="J5" s="4" t="inlineStr"/>
      <c r="K5" s="4" t="inlineStr">
        <is>
          <t>Stated: the meetings (03/22–23), the authorization and its scope; Date: Reported day. Candidate anchor note: outreach began during the week of 03/28/2016, within about a week of this authorization, so it is the alternative anchor under the decision rule, but the first outreach wave takes precedence (Convention). Quotes: "had met with various representatives of Party A on March 22 and 23, 2016 and had informed Party A of GHF’s engagement" (P-005, p28); "The Transaction Committee authorized GHF to contact Party A as well as other potential buyers to determine their level of interest in a change in control transaction." (P-005, p28)</t>
        </is>
      </c>
      <c r="L5" s="5" t="inlineStr">
        <is>
          <t>P-004; P-005</t>
        </is>
      </c>
      <c r="M5" s="4" t="inlineStr">
        <is>
          <t>Q1</t>
        </is>
      </c>
      <c r="N5" s="4" t="inlineStr"/>
      <c r="O5" s="2" t="inlineStr">
        <is>
          <t>R004</t>
        </is>
      </c>
      <c r="P5" s="4" t="inlineStr">
        <is>
          <t>Yes</t>
        </is>
      </c>
      <c r="Q5" s="2" t="n"/>
      <c r="R5" s="6" t="n">
        <v>42453</v>
      </c>
      <c r="S5" s="6" t="n">
        <v>42453</v>
      </c>
      <c r="T5" s="6" t="n">
        <v>42453</v>
      </c>
      <c r="U5" s="4" t="inlineStr">
        <is>
          <t>Reported day</t>
        </is>
      </c>
      <c r="V5" s="4" t="inlineStr">
        <is>
          <t>Reported</t>
        </is>
      </c>
      <c r="W5" s="4" t="n"/>
      <c r="X5" s="4" t="n"/>
      <c r="Y5" s="4" t="inlineStr"/>
      <c r="Z5" s="4" t="inlineStr"/>
      <c r="AA5" s="4" t="inlineStr"/>
      <c r="AB5" s="4" t="inlineStr"/>
      <c r="AC5" s="4" t="n"/>
      <c r="AD5" s="4" t="inlineStr"/>
      <c r="AE5" s="4" t="n"/>
      <c r="AF5" s="4" t="inlineStr"/>
      <c r="AG5" s="4" t="inlineStr"/>
      <c r="AH5" s="4" t="inlineStr"/>
      <c r="AI5" s="4" t="inlineStr"/>
      <c r="AJ5" s="4" t="inlineStr"/>
      <c r="AK5" s="2" t="n">
        <v>28</v>
      </c>
      <c r="AL5" s="4" t="inlineStr">
        <is>
          <t>R003; R007</t>
        </is>
      </c>
      <c r="AM5" s="4" t="inlineStr">
        <is>
          <t>PWRR-G&amp;W</t>
        </is>
      </c>
    </row>
    <row r="6" ht="105.6" customHeight="1">
      <c r="A6" s="2" t="n">
        <v>5</v>
      </c>
      <c r="B6" s="3" t="inlineStr">
        <is>
          <t>week of 03/28/2016</t>
        </is>
      </c>
      <c r="C6" s="4" t="inlineStr">
        <is>
          <t>11 potential strategic buyers (cohort; incl. Party A and G&amp;W)</t>
        </is>
      </c>
      <c r="D6" s="4" t="inlineStr">
        <is>
          <t>Contact</t>
        </is>
      </c>
      <c r="E6" s="2" t="n">
        <v>1</v>
      </c>
      <c r="F6" s="2" t="n">
        <v>1</v>
      </c>
      <c r="G6" s="4" t="inlineStr">
        <is>
          <t>Strategic</t>
        </is>
      </c>
      <c r="H6" s="4" t="inlineStr">
        <is>
          <t>Outreach wave (strategic): GHF contacted 11 potential strategic buyers (including Party A) to determine their interest in a change in control transaction; the 18 financial buyers contacted in the same wave are recorded at R006; two additional Class I railroads approached by management are recorded separately (R010); five strategic buyers (including G&amp;W) had introductory meetings at the 2016 Connections Convention 04/03–04/06 (folded into R011).</t>
        </is>
      </c>
      <c r="I6" s="4" t="inlineStr"/>
      <c r="J6" s="4" t="inlineStr"/>
      <c r="K6" s="4" t="inlineStr">
        <is>
          <t>Stated: cohort size (11) and purpose; split by type as supplied by the filing (Convention). Count 11. Date: "During the week of March 28, 2016" — the week’s first day is used as the sort key (Convention; Assigned: bound). Quote: "During the week of March 28, 2016, in accordance with the Transaction Committee’s directives, representatives of GHF contacted 11 potential strategic buyers (including Party A) and 18 potential financial buyers." (P-005, p28)</t>
        </is>
      </c>
      <c r="L6" s="5" t="inlineStr">
        <is>
          <t>P-005</t>
        </is>
      </c>
      <c r="M6" s="4" t="inlineStr">
        <is>
          <t>Q3</t>
        </is>
      </c>
      <c r="N6" s="4" t="inlineStr"/>
      <c r="O6" s="2" t="inlineStr">
        <is>
          <t>R005</t>
        </is>
      </c>
      <c r="P6" s="4" t="inlineStr">
        <is>
          <t>Yes</t>
        </is>
      </c>
      <c r="Q6" s="2" t="n">
        <v>11</v>
      </c>
      <c r="R6" s="6" t="n">
        <v>42457</v>
      </c>
      <c r="S6" s="6" t="n">
        <v>42463</v>
      </c>
      <c r="T6" s="6" t="n">
        <v>42457</v>
      </c>
      <c r="U6" s="4" t="inlineStr">
        <is>
          <t>Reported interval</t>
        </is>
      </c>
      <c r="V6" s="4" t="inlineStr">
        <is>
          <t>Assigned: bound</t>
        </is>
      </c>
      <c r="W6" s="4" t="n"/>
      <c r="X6" s="4" t="n"/>
      <c r="Y6" s="4" t="inlineStr"/>
      <c r="Z6" s="4" t="inlineStr"/>
      <c r="AA6" s="4" t="inlineStr"/>
      <c r="AB6" s="4" t="inlineStr"/>
      <c r="AC6" s="4" t="n"/>
      <c r="AD6" s="4" t="inlineStr"/>
      <c r="AE6" s="4" t="n"/>
      <c r="AF6" s="4" t="inlineStr"/>
      <c r="AG6" s="4" t="inlineStr"/>
      <c r="AH6" s="4" t="inlineStr"/>
      <c r="AI6" s="4" t="inlineStr"/>
      <c r="AJ6" s="4" t="inlineStr"/>
      <c r="AK6" s="2" t="n">
        <v>28</v>
      </c>
      <c r="AL6" s="4" t="inlineStr">
        <is>
          <t>R006; R008; R009; R010; R007</t>
        </is>
      </c>
      <c r="AM6" s="4" t="inlineStr">
        <is>
          <t>PWRR-G&amp;W</t>
        </is>
      </c>
    </row>
    <row r="7" ht="52.8" customHeight="1">
      <c r="A7" s="2" t="n">
        <v>6</v>
      </c>
      <c r="B7" s="3" t="inlineStr">
        <is>
          <t>week of 03/28/2016</t>
        </is>
      </c>
      <c r="C7" s="4" t="inlineStr">
        <is>
          <t>18 potential financial buyers (cohort)</t>
        </is>
      </c>
      <c r="D7" s="4" t="inlineStr">
        <is>
          <t>Contact</t>
        </is>
      </c>
      <c r="E7" s="2" t="n">
        <v>1</v>
      </c>
      <c r="F7" s="2" t="n">
        <v>1</v>
      </c>
      <c r="G7" s="4" t="inlineStr">
        <is>
          <t>Financial</t>
        </is>
      </c>
      <c r="H7" s="4" t="inlineStr">
        <is>
          <t>Outreach wave (financial): GHF contacted 18 potential financial buyers to determine their interest in a change in control transaction; 14 of them later executed confidentiality agreements (R009); the strategic cohort is R005.</t>
        </is>
      </c>
      <c r="I7" s="4" t="inlineStr"/>
      <c r="J7" s="4" t="inlineStr"/>
      <c r="K7" s="4" t="inlineStr">
        <is>
          <t>Stated: cohort size (18) and purpose; split by type as supplied by the filing (Convention). Count 18. Date: same wave, week’s first day as sort key (Assigned: bound). Quote: as at R005 (P-005, p28).</t>
        </is>
      </c>
      <c r="L7" s="5" t="inlineStr">
        <is>
          <t>P-005</t>
        </is>
      </c>
      <c r="M7" s="4" t="inlineStr">
        <is>
          <t>Q3</t>
        </is>
      </c>
      <c r="N7" s="4" t="inlineStr"/>
      <c r="O7" s="2" t="inlineStr">
        <is>
          <t>R006</t>
        </is>
      </c>
      <c r="P7" s="4" t="inlineStr">
        <is>
          <t>Yes</t>
        </is>
      </c>
      <c r="Q7" s="2" t="n">
        <v>18</v>
      </c>
      <c r="R7" s="6" t="n">
        <v>42457</v>
      </c>
      <c r="S7" s="6" t="n">
        <v>42463</v>
      </c>
      <c r="T7" s="6" t="n">
        <v>42457</v>
      </c>
      <c r="U7" s="4" t="inlineStr">
        <is>
          <t>Reported interval</t>
        </is>
      </c>
      <c r="V7" s="4" t="inlineStr">
        <is>
          <t>Assigned: bound</t>
        </is>
      </c>
      <c r="W7" s="4" t="n"/>
      <c r="X7" s="4" t="n"/>
      <c r="Y7" s="4" t="inlineStr"/>
      <c r="Z7" s="4" t="inlineStr"/>
      <c r="AA7" s="4" t="inlineStr"/>
      <c r="AB7" s="4" t="inlineStr"/>
      <c r="AC7" s="4" t="n"/>
      <c r="AD7" s="4" t="inlineStr"/>
      <c r="AE7" s="4" t="n"/>
      <c r="AF7" s="4" t="inlineStr"/>
      <c r="AG7" s="4" t="inlineStr"/>
      <c r="AH7" s="4" t="inlineStr"/>
      <c r="AI7" s="4" t="inlineStr"/>
      <c r="AJ7" s="4" t="inlineStr"/>
      <c r="AK7" s="2" t="n">
        <v>28</v>
      </c>
      <c r="AL7" s="4" t="inlineStr">
        <is>
          <t>R005; R009; R010</t>
        </is>
      </c>
      <c r="AM7" s="4" t="inlineStr">
        <is>
          <t>PWRR-G&amp;W</t>
        </is>
      </c>
    </row>
    <row r="8" ht="92.39999999999999" customHeight="1">
      <c r="A8" s="2" t="n">
        <v>7</v>
      </c>
      <c r="B8" s="3" t="inlineStr">
        <is>
          <t>week of 03/28/2016</t>
        </is>
      </c>
      <c r="C8" s="4" t="inlineStr">
        <is>
          <t>Company / GHF</t>
        </is>
      </c>
      <c r="D8" s="4" t="inlineStr">
        <is>
          <t>Round opened</t>
        </is>
      </c>
      <c r="E8" s="2" t="n">
        <v>1</v>
      </c>
      <c r="F8" s="2" t="n">
        <v>1</v>
      </c>
      <c r="G8" s="4" t="inlineStr"/>
      <c r="H8" s="4" t="inlineStr">
        <is>
          <t>R1 anchor: first outreach wave (week of 03/28/2016; R005/R006) — other candidate anchors: R003 (03/14/2016 Board decision to proceed; outreach began about two weeks later) and R004 (03/24/2016 Committee authorization; outreach began the following week); rejected because the first outreach wave takes precedence. Round finality: Not final — the IOI solicitation was non-binding and no final or binding stage was announced.</t>
        </is>
      </c>
      <c r="I8" s="4" t="inlineStr"/>
      <c r="J8" s="4" t="inlineStr"/>
      <c r="K8" s="4" t="inlineStr">
        <is>
          <t>Convention: R1 opens at the first outreach wave (rule 1); candidate anchors retained as their own rows. Stated evidence: the contact wave and the subsequent confidentiality agreements and non-binding IOI solicitation (P-005; P-009). Round finality: Not final — no announcement; a non-binding IOI stage (Convention). Date: week’s first day as sort key (Assigned: bound).</t>
        </is>
      </c>
      <c r="L8" s="5" t="inlineStr">
        <is>
          <t>P-005; P-009</t>
        </is>
      </c>
      <c r="M8" s="4" t="inlineStr">
        <is>
          <t>Q1</t>
        </is>
      </c>
      <c r="N8" s="4" t="inlineStr"/>
      <c r="O8" s="2" t="inlineStr">
        <is>
          <t>R007</t>
        </is>
      </c>
      <c r="P8" s="4" t="inlineStr">
        <is>
          <t>Yes</t>
        </is>
      </c>
      <c r="Q8" s="2" t="n"/>
      <c r="R8" s="4" t="n"/>
      <c r="S8" s="4" t="n"/>
      <c r="T8" s="6" t="n">
        <v>42457</v>
      </c>
      <c r="U8" s="4" t="inlineStr">
        <is>
          <t>Reported interval</t>
        </is>
      </c>
      <c r="V8" s="4" t="inlineStr">
        <is>
          <t>Assigned: bound</t>
        </is>
      </c>
      <c r="W8" s="4" t="n"/>
      <c r="X8" s="4" t="n"/>
      <c r="Y8" s="4" t="inlineStr"/>
      <c r="Z8" s="4" t="inlineStr"/>
      <c r="AA8" s="4" t="inlineStr"/>
      <c r="AB8" s="4" t="inlineStr"/>
      <c r="AC8" s="4" t="n"/>
      <c r="AD8" s="4" t="inlineStr"/>
      <c r="AE8" s="4" t="n"/>
      <c r="AF8" s="4" t="inlineStr"/>
      <c r="AG8" s="4" t="inlineStr">
        <is>
          <t>Not final</t>
        </is>
      </c>
      <c r="AH8" s="4" t="inlineStr"/>
      <c r="AI8" s="4" t="inlineStr"/>
      <c r="AJ8" s="4" t="inlineStr"/>
      <c r="AK8" s="2" t="n">
        <v>28</v>
      </c>
      <c r="AL8" s="4" t="inlineStr">
        <is>
          <t>R003; R004; R005; R006; R020; R035</t>
        </is>
      </c>
      <c r="AM8" s="4" t="inlineStr">
        <is>
          <t>PWRR-G&amp;W</t>
        </is>
      </c>
    </row>
    <row r="9" ht="105.6" customHeight="1">
      <c r="A9" s="2" t="n">
        <v>8</v>
      </c>
      <c r="B9" s="3" t="inlineStr">
        <is>
          <t>after 03/28/2016 (exact dates not disclosed)</t>
        </is>
      </c>
      <c r="C9" s="4" t="inlineStr">
        <is>
          <t>11 potential strategic buyers (cohort; incl. Party A and G&amp;W)</t>
        </is>
      </c>
      <c r="D9" s="4" t="inlineStr">
        <is>
          <t>NDA signed</t>
        </is>
      </c>
      <c r="E9" s="2" t="n">
        <v>1</v>
      </c>
      <c r="F9" s="2" t="n">
        <v>1</v>
      </c>
      <c r="G9" s="4" t="inlineStr">
        <is>
          <t>Strategic</t>
        </is>
      </c>
      <c r="H9" s="4" t="inlineStr">
        <is>
          <t>All 11 contacted potential strategic buyers executed confidentiality agreements; agreements contained no standstill or similar provision; signers later received the Company memorandum and, when advanced, internet data-site access (R018). G&amp;W, Party A and Party B are covered by this cohort (no separate NDA rows).</t>
        </is>
      </c>
      <c r="I9" s="4" t="inlineStr"/>
      <c r="J9" s="4" t="inlineStr"/>
      <c r="K9" s="4" t="inlineStr">
        <is>
          <t>Stated: cohort size (11), execution and no-standstill terms. Inferred/Convention: execution followed the contacts; no day disclosed; Working date = the lower bound of the contact wave (Assigned: bound). Count 11. Quote: "Each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 (P-005, p28)</t>
        </is>
      </c>
      <c r="L9" s="5" t="inlineStr">
        <is>
          <t>P-005</t>
        </is>
      </c>
      <c r="M9" s="4" t="inlineStr">
        <is>
          <t>Q3</t>
        </is>
      </c>
      <c r="N9" s="4" t="inlineStr"/>
      <c r="O9" s="2" t="inlineStr">
        <is>
          <t>R008</t>
        </is>
      </c>
      <c r="P9" s="4" t="inlineStr">
        <is>
          <t>Yes</t>
        </is>
      </c>
      <c r="Q9" s="2" t="n">
        <v>11</v>
      </c>
      <c r="R9" s="6" t="n">
        <v>42457</v>
      </c>
      <c r="S9" s="4" t="n"/>
      <c r="T9" s="6" t="n">
        <v>42457</v>
      </c>
      <c r="U9" s="4" t="inlineStr">
        <is>
          <t>Relative only</t>
        </is>
      </c>
      <c r="V9" s="4" t="inlineStr">
        <is>
          <t>Assigned: bound</t>
        </is>
      </c>
      <c r="W9" s="4" t="n"/>
      <c r="X9" s="4" t="n"/>
      <c r="Y9" s="4" t="inlineStr"/>
      <c r="Z9" s="4" t="inlineStr"/>
      <c r="AA9" s="4" t="inlineStr"/>
      <c r="AB9" s="4" t="inlineStr"/>
      <c r="AC9" s="4" t="n"/>
      <c r="AD9" s="4" t="inlineStr"/>
      <c r="AE9" s="4" t="n"/>
      <c r="AF9" s="4" t="inlineStr"/>
      <c r="AG9" s="4" t="inlineStr"/>
      <c r="AH9" s="4" t="inlineStr"/>
      <c r="AI9" s="4" t="inlineStr"/>
      <c r="AJ9" s="4" t="inlineStr"/>
      <c r="AK9" s="2" t="n">
        <v>28</v>
      </c>
      <c r="AL9" s="4" t="inlineStr">
        <is>
          <t>R005; R009; R022</t>
        </is>
      </c>
      <c r="AM9" s="4" t="inlineStr">
        <is>
          <t>PWRR-G&amp;W</t>
        </is>
      </c>
    </row>
    <row r="10" ht="52.8" customHeight="1">
      <c r="A10" s="2" t="n">
        <v>9</v>
      </c>
      <c r="B10" s="3" t="inlineStr">
        <is>
          <t>after 03/28/2016 (exact dates not disclosed)</t>
        </is>
      </c>
      <c r="C10" s="4" t="inlineStr">
        <is>
          <t>14 potential financial buyers (cohort)</t>
        </is>
      </c>
      <c r="D10" s="4" t="inlineStr">
        <is>
          <t>NDA signed</t>
        </is>
      </c>
      <c r="E10" s="2" t="n">
        <v>1</v>
      </c>
      <c r="F10" s="2" t="n">
        <v>1</v>
      </c>
      <c r="G10" s="4" t="inlineStr">
        <is>
          <t>Financial</t>
        </is>
      </c>
      <c r="H10" s="4" t="inlineStr">
        <is>
          <t>14 of the 18 contacted potential financial buyers executed confidentiality agreements (four did not); agreements contained no standstill or similar provision; signers received the memorandum and, when advanced, data-site access.</t>
        </is>
      </c>
      <c r="I10" s="4" t="inlineStr"/>
      <c r="J10" s="4" t="inlineStr"/>
      <c r="K10" s="4" t="inlineStr">
        <is>
          <t>Stated: cohort size (14 of 18) and no-standstill terms. Inferred/Convention: execution followed the contacts; no day disclosed; Working date = the lower bound of the contact wave (Assigned: bound). Count 14. Quote: as at R008 (P-005, p28).</t>
        </is>
      </c>
      <c r="L10" s="5" t="inlineStr">
        <is>
          <t>P-005</t>
        </is>
      </c>
      <c r="M10" s="4" t="inlineStr">
        <is>
          <t>Q3</t>
        </is>
      </c>
      <c r="N10" s="4" t="inlineStr"/>
      <c r="O10" s="2" t="inlineStr">
        <is>
          <t>R009</t>
        </is>
      </c>
      <c r="P10" s="4" t="inlineStr">
        <is>
          <t>Yes</t>
        </is>
      </c>
      <c r="Q10" s="2" t="n">
        <v>14</v>
      </c>
      <c r="R10" s="6" t="n">
        <v>42457</v>
      </c>
      <c r="S10" s="4" t="n"/>
      <c r="T10" s="6" t="n">
        <v>42457</v>
      </c>
      <c r="U10" s="4" t="inlineStr">
        <is>
          <t>Relative only</t>
        </is>
      </c>
      <c r="V10" s="4" t="inlineStr">
        <is>
          <t>Assigned: bound</t>
        </is>
      </c>
      <c r="W10" s="4" t="n"/>
      <c r="X10" s="4" t="n"/>
      <c r="Y10" s="4" t="inlineStr"/>
      <c r="Z10" s="4" t="inlineStr"/>
      <c r="AA10" s="4" t="inlineStr"/>
      <c r="AB10" s="4" t="inlineStr"/>
      <c r="AC10" s="4" t="n"/>
      <c r="AD10" s="4" t="inlineStr"/>
      <c r="AE10" s="4" t="n"/>
      <c r="AF10" s="4" t="inlineStr"/>
      <c r="AG10" s="4" t="inlineStr"/>
      <c r="AH10" s="4" t="inlineStr"/>
      <c r="AI10" s="4" t="inlineStr"/>
      <c r="AJ10" s="4" t="inlineStr"/>
      <c r="AK10" s="2" t="n">
        <v>28</v>
      </c>
      <c r="AL10" s="4" t="inlineStr">
        <is>
          <t>R005; R008</t>
        </is>
      </c>
      <c r="AM10" s="4" t="inlineStr">
        <is>
          <t>PWRR-G&amp;W</t>
        </is>
      </c>
    </row>
    <row r="11" ht="79.19999999999999" customHeight="1">
      <c r="A11" s="2" t="n">
        <v>10</v>
      </c>
      <c r="B11" s="3" t="inlineStr">
        <is>
          <t>by 04/07/2016 (day not disclosed)</t>
        </is>
      </c>
      <c r="C11" s="4" t="inlineStr">
        <is>
          <t>Two additional Class I railroads (unnamed)</t>
        </is>
      </c>
      <c r="D11" s="4" t="inlineStr">
        <is>
          <t>Contact</t>
        </is>
      </c>
      <c r="E11" s="2" t="n">
        <v>1</v>
      </c>
      <c r="F11" s="2" t="n">
        <v>1</v>
      </c>
      <c r="G11" s="4" t="inlineStr">
        <is>
          <t>Strategic</t>
        </is>
      </c>
      <c r="H11" s="4" t="inlineStr">
        <is>
          <t>Management also approached two additional Class I railroads to determine their interest in a possible transaction; treated as additive to the 29 GHF contacts (reading "additional"); possible overlap with the 11 contacted strategic buyers is unresolved (Q3).</t>
        </is>
      </c>
      <c r="I11" s="4" t="inlineStr"/>
      <c r="J11" s="4" t="inlineStr"/>
      <c r="K11" s="4" t="inlineStr">
        <is>
          <t>Stated: two unnamed Class I railroads approached and the purpose; date inferred as by the 04/07/2016 Committee report (upper bound; Assigned: bound). Reading “additional” = beyond the GHF wave is preferred; overlap with the 11 strategic buyers not stated (flagged, Q3). Quote: "Mr. Noreck reported that the Company had also approached two additional Class I railroads to determine their interest in a possible transaction." (P-007, p28)</t>
        </is>
      </c>
      <c r="L11" s="5" t="inlineStr">
        <is>
          <t>P-007</t>
        </is>
      </c>
      <c r="M11" s="4" t="inlineStr">
        <is>
          <t>Q3</t>
        </is>
      </c>
      <c r="N11" s="4" t="inlineStr"/>
      <c r="O11" s="2" t="inlineStr">
        <is>
          <t>R010</t>
        </is>
      </c>
      <c r="P11" s="4" t="inlineStr">
        <is>
          <t>Yes</t>
        </is>
      </c>
      <c r="Q11" s="2" t="n">
        <v>2</v>
      </c>
      <c r="R11" s="4" t="n"/>
      <c r="S11" s="6" t="n">
        <v>42467</v>
      </c>
      <c r="T11" s="6" t="n">
        <v>42467</v>
      </c>
      <c r="U11" s="4" t="inlineStr">
        <is>
          <t>Relative only</t>
        </is>
      </c>
      <c r="V11" s="4" t="inlineStr">
        <is>
          <t>Assigned: bound</t>
        </is>
      </c>
      <c r="W11" s="4" t="n"/>
      <c r="X11" s="4" t="n"/>
      <c r="Y11" s="4" t="inlineStr"/>
      <c r="Z11" s="4" t="inlineStr"/>
      <c r="AA11" s="4" t="inlineStr"/>
      <c r="AB11" s="4" t="inlineStr"/>
      <c r="AC11" s="4" t="n"/>
      <c r="AD11" s="4" t="inlineStr"/>
      <c r="AE11" s="4" t="n"/>
      <c r="AF11" s="4" t="inlineStr"/>
      <c r="AG11" s="4" t="inlineStr"/>
      <c r="AH11" s="4" t="inlineStr"/>
      <c r="AI11" s="4" t="inlineStr"/>
      <c r="AJ11" s="4" t="inlineStr"/>
      <c r="AK11" s="2" t="n">
        <v>28</v>
      </c>
      <c r="AL11" s="4" t="inlineStr">
        <is>
          <t>R005; R011</t>
        </is>
      </c>
      <c r="AM11" s="4" t="inlineStr">
        <is>
          <t>PWRR-G&amp;W</t>
        </is>
      </c>
    </row>
    <row r="12" ht="105.6" customHeight="1">
      <c r="A12" s="2" t="n">
        <v>11</v>
      </c>
      <c r="B12" s="3" t="inlineStr">
        <is>
          <t>04/07/2016</t>
        </is>
      </c>
      <c r="C12" s="4" t="inlineStr">
        <is>
          <t>Transaction Committee</t>
        </is>
      </c>
      <c r="D12" s="4" t="inlineStr">
        <is>
          <t>Target decision</t>
        </is>
      </c>
      <c r="E12" s="2" t="n">
        <v>1</v>
      </c>
      <c r="F12" s="2" t="n">
        <v>1</v>
      </c>
      <c r="G12" s="4" t="inlineStr"/>
      <c r="H12" s="4" t="inlineStr">
        <is>
          <t>Committee discussed the process to date; authorized GHF to contact the five interested parties met at the 2016 Connections Convention (including G&amp;W) plus other potential strategic buyers and NDA-holding private equity firms to confirm continuing interest; Party B’s introductory meeting followed on 04/21/2016.</t>
        </is>
      </c>
      <c r="I12" s="4" t="inlineStr"/>
      <c r="J12" s="4" t="inlineStr"/>
      <c r="K12" s="4" t="inlineStr">
        <is>
          <t>Stated: meeting date, authorization scope and purpose; Date: Reported day. Quote: "After discussion, 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 (P-007, p28)</t>
        </is>
      </c>
      <c r="L12" s="5" t="inlineStr">
        <is>
          <t>P-007; P-008</t>
        </is>
      </c>
      <c r="M12" s="4" t="inlineStr"/>
      <c r="N12" s="4" t="inlineStr"/>
      <c r="O12" s="2" t="inlineStr">
        <is>
          <t>R011</t>
        </is>
      </c>
      <c r="P12" s="4" t="inlineStr">
        <is>
          <t>Yes</t>
        </is>
      </c>
      <c r="Q12" s="2" t="n"/>
      <c r="R12" s="6" t="n">
        <v>42467</v>
      </c>
      <c r="S12" s="6" t="n">
        <v>42467</v>
      </c>
      <c r="T12" s="6" t="n">
        <v>42467</v>
      </c>
      <c r="U12" s="4" t="inlineStr">
        <is>
          <t>Reported day</t>
        </is>
      </c>
      <c r="V12" s="4" t="inlineStr">
        <is>
          <t>Reported</t>
        </is>
      </c>
      <c r="W12" s="4" t="n"/>
      <c r="X12" s="4" t="n"/>
      <c r="Y12" s="4" t="inlineStr"/>
      <c r="Z12" s="4" t="inlineStr"/>
      <c r="AA12" s="4" t="inlineStr"/>
      <c r="AB12" s="4" t="inlineStr"/>
      <c r="AC12" s="4" t="n"/>
      <c r="AD12" s="4" t="inlineStr"/>
      <c r="AE12" s="4" t="n"/>
      <c r="AF12" s="4" t="inlineStr"/>
      <c r="AG12" s="4" t="inlineStr"/>
      <c r="AH12" s="4" t="inlineStr"/>
      <c r="AI12" s="4" t="inlineStr"/>
      <c r="AJ12" s="4" t="inlineStr"/>
      <c r="AK12" s="2" t="n">
        <v>28</v>
      </c>
      <c r="AL12" s="4" t="inlineStr">
        <is>
          <t>R010; R012</t>
        </is>
      </c>
      <c r="AM12" s="4" t="inlineStr">
        <is>
          <t>PWRR-G&amp;W</t>
        </is>
      </c>
    </row>
    <row r="13" ht="79.19999999999999" customHeight="1">
      <c r="A13" s="2" t="n">
        <v>12</v>
      </c>
      <c r="B13" s="3" t="inlineStr">
        <is>
          <t>on or before 04/27/2016; due 05/10/2016</t>
        </is>
      </c>
      <c r="C13" s="4" t="inlineStr">
        <is>
          <t>Company / Board of Directors</t>
        </is>
      </c>
      <c r="D13" s="4" t="inlineStr">
        <is>
          <t>Deadline set</t>
        </is>
      </c>
      <c r="E13" s="2" t="n">
        <v>1</v>
      </c>
      <c r="F13" s="2" t="n">
        <v>1</v>
      </c>
      <c r="G13" s="4" t="inlineStr"/>
      <c r="H13" s="4" t="inlineStr">
        <is>
          <t>IOI due date: each potential buyer was advised to submit a non-binding indication of interest by 05/10/2016; superseded by the 05/19/2016 postponement (R013). Due date 05/10/2016; treatment Extended (moved by a revision before arrival).</t>
        </is>
      </c>
      <c r="I13" s="4" t="inlineStr"/>
      <c r="J13" s="4" t="inlineStr"/>
      <c r="K13" s="4" t="inlineStr">
        <is>
          <t>Stated: the advice and the 05/10/2016 due date; advice date bounded by the 04/27/2016 Board discussion (Convention; Assigned: bound). Quote: "each potential buyer had been advised to submit a non-binding indication of interest by May 10, 2016 (which deadline was subsequently postponed to May 19, 2016 to ensure the potential buyers had sufficient time to formulate their most compelling offers)" (P-009, p29)</t>
        </is>
      </c>
      <c r="L13" s="5" t="inlineStr">
        <is>
          <t>P-009; P-008</t>
        </is>
      </c>
      <c r="M13" s="4" t="inlineStr">
        <is>
          <t>Q2</t>
        </is>
      </c>
      <c r="N13" s="4" t="inlineStr"/>
      <c r="O13" s="2" t="inlineStr">
        <is>
          <t>R012</t>
        </is>
      </c>
      <c r="P13" s="4" t="inlineStr">
        <is>
          <t>Yes</t>
        </is>
      </c>
      <c r="Q13" s="2" t="n"/>
      <c r="R13" s="4" t="n"/>
      <c r="S13" s="6" t="n">
        <v>42487</v>
      </c>
      <c r="T13" s="6" t="n">
        <v>42487</v>
      </c>
      <c r="U13" s="4" t="inlineStr">
        <is>
          <t>Relative only</t>
        </is>
      </c>
      <c r="V13" s="4" t="inlineStr">
        <is>
          <t>Assigned: bound</t>
        </is>
      </c>
      <c r="W13" s="4" t="n"/>
      <c r="X13" s="4" t="n"/>
      <c r="Y13" s="4" t="inlineStr"/>
      <c r="Z13" s="4" t="inlineStr"/>
      <c r="AA13" s="4" t="inlineStr"/>
      <c r="AB13" s="4" t="inlineStr"/>
      <c r="AC13" s="4" t="n"/>
      <c r="AD13" s="4" t="inlineStr"/>
      <c r="AE13" s="6" t="n">
        <v>42500</v>
      </c>
      <c r="AF13" s="4" t="inlineStr">
        <is>
          <t>Extended</t>
        </is>
      </c>
      <c r="AG13" s="4" t="inlineStr"/>
      <c r="AH13" s="4" t="inlineStr"/>
      <c r="AI13" s="4" t="inlineStr"/>
      <c r="AJ13" s="4" t="inlineStr"/>
      <c r="AK13" s="2" t="n">
        <v>29</v>
      </c>
      <c r="AL13" s="4" t="inlineStr">
        <is>
          <t>R013; R014</t>
        </is>
      </c>
      <c r="AM13" s="4" t="inlineStr">
        <is>
          <t>PWRR-G&amp;W</t>
        </is>
      </c>
    </row>
    <row r="14" ht="52.8" customHeight="1">
      <c r="A14" s="2" t="n">
        <v>13</v>
      </c>
      <c r="B14" s="3" t="inlineStr">
        <is>
          <t>after 04/27/2016; due date changed 05/10/2016 → 05/19/2016</t>
        </is>
      </c>
      <c r="C14" s="4" t="inlineStr">
        <is>
          <t>Company</t>
        </is>
      </c>
      <c r="D14" s="4" t="inlineStr">
        <is>
          <t>Deadline revised</t>
        </is>
      </c>
      <c r="E14" s="2" t="n">
        <v>1</v>
      </c>
      <c r="F14" s="2" t="n">
        <v>1</v>
      </c>
      <c r="G14" s="4" t="inlineStr"/>
      <c r="H14" s="4" t="inlineStr">
        <is>
          <t>IOI deadline postponed from 05/10/2016 to 05/19/2016 "to ensure the potential buyers had sufficient time to formulate their most compelling offers"; requester not disclosed; new due date 05/19/2016 (treatment Enforced).</t>
        </is>
      </c>
      <c r="I14" s="4" t="inlineStr"/>
      <c r="J14" s="4" t="inlineStr"/>
      <c r="K14" s="4" t="inlineStr">
        <is>
          <t>Stated: old and new due dates and the purpose; no requester disclosed. Date: "subsequently" postponed — bounded by the 04/27/2016 report and the 05/19/2016 new date; Working date is the window midpoint (Convention; Assigned: midpoint). Quote: as at R012 (P-009, p29).</t>
        </is>
      </c>
      <c r="L14" s="5" t="inlineStr">
        <is>
          <t>P-009</t>
        </is>
      </c>
      <c r="M14" s="4" t="inlineStr">
        <is>
          <t>Q2</t>
        </is>
      </c>
      <c r="N14" s="4" t="inlineStr"/>
      <c r="O14" s="2" t="inlineStr">
        <is>
          <t>R013</t>
        </is>
      </c>
      <c r="P14" s="4" t="inlineStr">
        <is>
          <t>Yes</t>
        </is>
      </c>
      <c r="Q14" s="2" t="n"/>
      <c r="R14" s="6" t="n">
        <v>42488</v>
      </c>
      <c r="S14" s="6" t="n">
        <v>42509</v>
      </c>
      <c r="T14" s="6" t="n">
        <v>42498</v>
      </c>
      <c r="U14" s="4" t="inlineStr">
        <is>
          <t>Relative only</t>
        </is>
      </c>
      <c r="V14" s="4" t="inlineStr">
        <is>
          <t>Assigned: midpoint</t>
        </is>
      </c>
      <c r="W14" s="4" t="n"/>
      <c r="X14" s="4" t="n"/>
      <c r="Y14" s="4" t="inlineStr"/>
      <c r="Z14" s="4" t="inlineStr"/>
      <c r="AA14" s="4" t="inlineStr"/>
      <c r="AB14" s="4" t="inlineStr"/>
      <c r="AC14" s="4" t="n"/>
      <c r="AD14" s="4" t="inlineStr"/>
      <c r="AE14" s="6" t="n">
        <v>42509</v>
      </c>
      <c r="AF14" s="4" t="inlineStr">
        <is>
          <t>Enforced</t>
        </is>
      </c>
      <c r="AG14" s="4" t="inlineStr"/>
      <c r="AH14" s="4" t="inlineStr"/>
      <c r="AI14" s="4" t="inlineStr"/>
      <c r="AJ14" s="4" t="inlineStr"/>
      <c r="AK14" s="2" t="n">
        <v>29</v>
      </c>
      <c r="AL14" s="4" t="inlineStr">
        <is>
          <t>R012; R014</t>
        </is>
      </c>
      <c r="AM14" s="4" t="inlineStr">
        <is>
          <t>PWRR-G&amp;W</t>
        </is>
      </c>
    </row>
    <row r="15" ht="66" customHeight="1">
      <c r="A15" s="2" t="n">
        <v>14</v>
      </c>
      <c r="B15" s="3" t="inlineStr">
        <is>
          <t>05/19/2016</t>
        </is>
      </c>
      <c r="C15" s="4" t="inlineStr">
        <is>
          <t>Company</t>
        </is>
      </c>
      <c r="D15" s="4" t="inlineStr">
        <is>
          <t>Deadline</t>
        </is>
      </c>
      <c r="E15" s="2" t="n">
        <v>1</v>
      </c>
      <c r="F15" s="2" t="n">
        <v>1</v>
      </c>
      <c r="G15" s="4" t="inlineStr"/>
      <c r="H15" s="4" t="inlineStr">
        <is>
          <t>Scheduled IOI due date reached while operative; the target then considered the nine IOIs received 05/19–06/01/2016 and moved to selection (06/01/2016) on the bids in hand — no extension; treatment Enforced (no bid shown dated after the due date: the receipt window straddles it; Q2).</t>
        </is>
      </c>
      <c r="I15" s="4" t="inlineStr"/>
      <c r="J15" s="4" t="inlineStr"/>
      <c r="K15" s="4" t="inlineStr">
        <is>
          <t>Stated: due date and what followed (nine IOIs; exclusion and advancement decision). Late-bid note: individual IOI dates are not disclosed and the receipt window straddles 05/19/2016, so no bid is treated as late (Convention). Quote: "Between May 19, 2016 and June 1, 2016, the Company received nine written indications of interest" (P-010, p29)</t>
        </is>
      </c>
      <c r="L15" s="5" t="inlineStr">
        <is>
          <t>P-010</t>
        </is>
      </c>
      <c r="M15" s="4" t="inlineStr">
        <is>
          <t>Q2</t>
        </is>
      </c>
      <c r="N15" s="4" t="inlineStr"/>
      <c r="O15" s="2" t="inlineStr">
        <is>
          <t>R014</t>
        </is>
      </c>
      <c r="P15" s="4" t="inlineStr">
        <is>
          <t>Yes</t>
        </is>
      </c>
      <c r="Q15" s="2" t="n"/>
      <c r="R15" s="6" t="n">
        <v>42509</v>
      </c>
      <c r="S15" s="6" t="n">
        <v>42509</v>
      </c>
      <c r="T15" s="6" t="n">
        <v>42509</v>
      </c>
      <c r="U15" s="4" t="inlineStr">
        <is>
          <t>Reported day</t>
        </is>
      </c>
      <c r="V15" s="4" t="inlineStr">
        <is>
          <t>Reported</t>
        </is>
      </c>
      <c r="W15" s="4" t="n"/>
      <c r="X15" s="4" t="n"/>
      <c r="Y15" s="4" t="inlineStr"/>
      <c r="Z15" s="4" t="inlineStr"/>
      <c r="AA15" s="4" t="inlineStr"/>
      <c r="AB15" s="4" t="inlineStr"/>
      <c r="AC15" s="4" t="n"/>
      <c r="AD15" s="4" t="inlineStr"/>
      <c r="AE15" s="6" t="n">
        <v>42509</v>
      </c>
      <c r="AF15" s="4" t="inlineStr">
        <is>
          <t>Enforced</t>
        </is>
      </c>
      <c r="AG15" s="4" t="inlineStr"/>
      <c r="AH15" s="4" t="inlineStr"/>
      <c r="AI15" s="4" t="inlineStr"/>
      <c r="AJ15" s="4" t="inlineStr"/>
      <c r="AK15" s="2" t="n">
        <v>29</v>
      </c>
      <c r="AL15" s="4" t="inlineStr">
        <is>
          <t>R012; R013; R015</t>
        </is>
      </c>
      <c r="AM15" s="4" t="inlineStr">
        <is>
          <t>PWRR-G&amp;W</t>
        </is>
      </c>
    </row>
    <row r="16" ht="158.4" customHeight="1">
      <c r="A16" s="2" t="n">
        <v>15</v>
      </c>
      <c r="B16" s="3" t="inlineStr">
        <is>
          <t>05/19/2016 – 06/01/2016 (received)</t>
        </is>
      </c>
      <c r="C16" s="4" t="inlineStr">
        <is>
          <t>Nine IOI submitters (cohort; unnamed)</t>
        </is>
      </c>
      <c r="D16" s="4" t="inlineStr">
        <is>
          <t>Bid</t>
        </is>
      </c>
      <c r="E16" s="2" t="n">
        <v>1</v>
      </c>
      <c r="F16" s="2" t="n">
        <v>1</v>
      </c>
      <c r="G16" s="4" t="inlineStr">
        <is>
          <t>Unknown</t>
        </is>
      </c>
      <c r="H16" s="4" t="inlineStr">
        <is>
          <t>Nine written non-binding indications of interest with prices of $17.93–$26.50 per share (assuming conversion of preferred stock into common stock), implying equity values of $90–$134 million; group envelope only, not attributed to members; two lowest later excluded (R019) and seven advanced (R018).</t>
        </is>
      </c>
      <c r="I16" s="4" t="inlineStr">
        <is>
          <t>Informal</t>
        </is>
      </c>
      <c r="J16" s="4" t="inlineStr">
        <is>
          <t>Heavy</t>
        </is>
      </c>
      <c r="K16" s="4" t="inlineStr">
        <is>
          <t>Stated: count, price range, equity-value range and share basis. Formality: Informal (Convention) — non-binding indications to a non-binding solicitation; no markups reported at this stage. Conditions: Heavy by context (Convention) — bids made before substantive diligence access (data-room and management access followed the 06/01/2016 advancement). Count 9 = submitting units; price cells hold the group envelope only. Date: due date inside the receipt window (Convention; Assigned: deadline). Quote: "Between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(P-010, p29)</t>
        </is>
      </c>
      <c r="L16" s="5" t="inlineStr">
        <is>
          <t>P-010; P-009</t>
        </is>
      </c>
      <c r="M16" s="4" t="inlineStr">
        <is>
          <t>Q3; Q4; Q6</t>
        </is>
      </c>
      <c r="N16" s="4" t="inlineStr"/>
      <c r="O16" s="2" t="inlineStr">
        <is>
          <t>R015</t>
        </is>
      </c>
      <c r="P16" s="4" t="inlineStr">
        <is>
          <t>Yes</t>
        </is>
      </c>
      <c r="Q16" s="2" t="n">
        <v>9</v>
      </c>
      <c r="R16" s="6" t="n">
        <v>42509</v>
      </c>
      <c r="S16" s="6" t="n">
        <v>42522</v>
      </c>
      <c r="T16" s="6" t="n">
        <v>42509</v>
      </c>
      <c r="U16" s="4" t="inlineStr">
        <is>
          <t>Reported interval</t>
        </is>
      </c>
      <c r="V16" s="4" t="inlineStr">
        <is>
          <t>Assigned: deadline</t>
        </is>
      </c>
      <c r="W16" s="7" t="n">
        <v>17.93</v>
      </c>
      <c r="X16" s="7" t="n">
        <v>26.5</v>
      </c>
      <c r="Y16" s="4" t="inlineStr">
        <is>
          <t>Group envelope</t>
        </is>
      </c>
      <c r="Z16" s="4" t="inlineStr">
        <is>
          <t>Stated</t>
        </is>
      </c>
      <c r="AA16" s="4" t="inlineStr">
        <is>
          <t>USD</t>
        </is>
      </c>
      <c r="AB16" s="4" t="inlineStr">
        <is>
          <t>Not stated</t>
        </is>
      </c>
      <c r="AC16" s="4" t="n"/>
      <c r="AD16" s="4" t="inlineStr">
        <is>
          <t>Fin: not stated; DD required: not stated; DD open: no; Excl: not stated</t>
        </is>
      </c>
      <c r="AE16" s="4" t="n"/>
      <c r="AF16" s="4" t="inlineStr"/>
      <c r="AG16" s="4" t="inlineStr"/>
      <c r="AH16" s="4" t="inlineStr"/>
      <c r="AI16" s="4" t="inlineStr"/>
      <c r="AJ16" s="4" t="inlineStr"/>
      <c r="AK16" s="2" t="n">
        <v>29</v>
      </c>
      <c r="AL16" s="4" t="inlineStr">
        <is>
          <t>R017; R019</t>
        </is>
      </c>
      <c r="AM16" s="4" t="inlineStr">
        <is>
          <t>PWRR-G&amp;W</t>
        </is>
      </c>
    </row>
    <row r="17" ht="132" customHeight="1">
      <c r="A17" s="2" t="n">
        <v>16</v>
      </c>
      <c r="B17" s="3" t="inlineStr">
        <is>
          <t>by 05/19/2016 (no submission reported; day of non-submission not disclosed)</t>
        </is>
      </c>
      <c r="C17" s="4" t="inlineStr">
        <is>
          <t>16 NDA signers (cohort; residual; unnamed)</t>
        </is>
      </c>
      <c r="D17" s="4" t="inlineStr">
        <is>
          <t>Did not submit</t>
        </is>
      </c>
      <c r="E17" s="2" t="n">
        <v>1</v>
      </c>
      <c r="F17" s="2" t="n">
        <v>1</v>
      </c>
      <c r="G17" s="4" t="inlineStr">
        <is>
          <t>Unknown</t>
        </is>
      </c>
      <c r="H17" s="4" t="inlineStr">
        <is>
          <t>Inferred: residual — 25 NDA signers − 9 IOI submitters = 16 non-submitters; eligible participants were advised to submit by 05/19/2016; the filing identifies the nine submitters and the seven advanced (R018) without these 16; base assumes the 25 wave signers were the eligible population at that date (Party C entered later; the two additional Class I railroads are treated as contacts, not entrants) — see Q3.</t>
        </is>
      </c>
      <c r="I17" s="4" t="inlineStr"/>
      <c r="J17" s="4" t="inlineStr"/>
      <c r="K17" s="4" t="inlineStr">
        <is>
          <t>Inferred: residual — the 25-signer wave (P-005), the nine IOIs (P-010) and the seven continuing buyers (P-010) give 25 − 9 = 16. No decision date, motive or voluntary withdrawal is inferred; only that they did not submit by the due date. Working date = the solicitation due date (Convention; Assigned: deadline). Quotes: "Each of the potential strategic buyers and 14 potential financial buyers subsequently executed confidentiality agreements." (P-005, p28); "the Transaction Committee concluded that the two low bidders should be excluded from that process. The Transaction Committee authorized representatives of GHF to schedule in-person management presentations with the remaining seven potential buyers" (P-010, p29).</t>
        </is>
      </c>
      <c r="L17" s="5" t="inlineStr">
        <is>
          <t>P-005; P-010</t>
        </is>
      </c>
      <c r="M17" s="4" t="inlineStr">
        <is>
          <t>Q3; Q5</t>
        </is>
      </c>
      <c r="N17" s="4" t="inlineStr"/>
      <c r="O17" s="2" t="inlineStr">
        <is>
          <t>R016</t>
        </is>
      </c>
      <c r="P17" s="4" t="inlineStr">
        <is>
          <t>Yes</t>
        </is>
      </c>
      <c r="Q17" s="2" t="n">
        <v>16</v>
      </c>
      <c r="R17" s="4" t="n"/>
      <c r="S17" s="6" t="n">
        <v>42509</v>
      </c>
      <c r="T17" s="6" t="n">
        <v>42509</v>
      </c>
      <c r="U17" s="4" t="inlineStr">
        <is>
          <t>Relative only</t>
        </is>
      </c>
      <c r="V17" s="4" t="inlineStr">
        <is>
          <t>Assigned: deadline</t>
        </is>
      </c>
      <c r="W17" s="4" t="n"/>
      <c r="X17" s="4" t="n"/>
      <c r="Y17" s="4" t="inlineStr"/>
      <c r="Z17" s="4" t="inlineStr"/>
      <c r="AA17" s="4" t="inlineStr"/>
      <c r="AB17" s="4" t="inlineStr"/>
      <c r="AC17" s="4" t="n"/>
      <c r="AD17" s="4" t="inlineStr"/>
      <c r="AE17" s="4" t="n"/>
      <c r="AF17" s="4" t="inlineStr"/>
      <c r="AG17" s="4" t="inlineStr"/>
      <c r="AH17" s="4" t="inlineStr">
        <is>
          <t>Unknown</t>
        </is>
      </c>
      <c r="AI17" s="4" t="inlineStr">
        <is>
          <t>Not stated</t>
        </is>
      </c>
      <c r="AJ17" s="4" t="inlineStr">
        <is>
          <t>Inferred: residual</t>
        </is>
      </c>
      <c r="AK17" s="2" t="n">
        <v>29</v>
      </c>
      <c r="AL17" s="4" t="inlineStr">
        <is>
          <t>R008; R009; R015; R017</t>
        </is>
      </c>
      <c r="AM17" s="4" t="inlineStr">
        <is>
          <t>PWRR-G&amp;W</t>
        </is>
      </c>
    </row>
    <row r="18" ht="92.39999999999999" customHeight="1">
      <c r="A18" s="2" t="n">
        <v>17</v>
      </c>
      <c r="B18" s="3" t="inlineStr">
        <is>
          <t>by 05/19/2016 (Party A’s last reported appearance; day not disclosed)</t>
        </is>
      </c>
      <c r="C18" s="4" t="inlineStr">
        <is>
          <t>Party A</t>
        </is>
      </c>
      <c r="D18" s="4" t="inlineStr">
        <is>
          <t>Did not submit</t>
        </is>
      </c>
      <c r="E18" s="2" t="n">
        <v>1</v>
      </c>
      <c r="F18" s="2" t="n">
        <v>1</v>
      </c>
      <c r="G18" s="4" t="inlineStr">
        <is>
          <t>Strategic</t>
        </is>
      </c>
      <c r="H18" s="4" t="inlineStr">
        <is>
          <t>Inferred: identity — Party A appears individually only through the opening wave and the memorandum distribution (P-008) and is never mentioned again; recommended reading: already counted within the 16 non-submitting NDA signers (R016, Did not submit 05/19/2016); alternative: within the nine IOI submitters (R015). No count is moved from the cohort (Count 0); see Q3.</t>
        </is>
      </c>
      <c r="I18" s="4" t="inlineStr"/>
      <c r="J18" s="4" t="inlineStr"/>
      <c r="K18" s="4" t="inlineStr">
        <is>
          <t>Inferred: identity — covering rows and arithmetic as above; the filing gives no individual outcome for Party A. Working date set at the same transition as the covering cohort (Convention; Assigned: deadline). Quote: "With the assistance of GHF, the Company prepared a memorandum concerning the Company and its prospects, which was distributed to the potential buyers, including Party A, Party B and G&amp;W, that had executed confidentiality agreements." (P-008, p28)</t>
        </is>
      </c>
      <c r="L18" s="5" t="inlineStr">
        <is>
          <t>P-008; P-005; P-010</t>
        </is>
      </c>
      <c r="M18" s="4" t="inlineStr">
        <is>
          <t>Q3; Q5</t>
        </is>
      </c>
      <c r="N18" s="4" t="inlineStr"/>
      <c r="O18" s="2" t="inlineStr">
        <is>
          <t>R017</t>
        </is>
      </c>
      <c r="P18" s="4" t="inlineStr">
        <is>
          <t>Yes</t>
        </is>
      </c>
      <c r="Q18" s="2" t="n">
        <v>0</v>
      </c>
      <c r="R18" s="4" t="n"/>
      <c r="S18" s="6" t="n">
        <v>42509</v>
      </c>
      <c r="T18" s="6" t="n">
        <v>42509</v>
      </c>
      <c r="U18" s="4" t="inlineStr">
        <is>
          <t>Relative only</t>
        </is>
      </c>
      <c r="V18" s="4" t="inlineStr">
        <is>
          <t>Assigned: deadline</t>
        </is>
      </c>
      <c r="W18" s="4" t="n"/>
      <c r="X18" s="4" t="n"/>
      <c r="Y18" s="4" t="inlineStr"/>
      <c r="Z18" s="4" t="inlineStr"/>
      <c r="AA18" s="4" t="inlineStr"/>
      <c r="AB18" s="4" t="inlineStr"/>
      <c r="AC18" s="4" t="n"/>
      <c r="AD18" s="4" t="inlineStr"/>
      <c r="AE18" s="4" t="n"/>
      <c r="AF18" s="4" t="inlineStr"/>
      <c r="AG18" s="4" t="inlineStr"/>
      <c r="AH18" s="4" t="inlineStr">
        <is>
          <t>Unknown</t>
        </is>
      </c>
      <c r="AI18" s="4" t="inlineStr">
        <is>
          <t>Not stated</t>
        </is>
      </c>
      <c r="AJ18" s="4" t="inlineStr">
        <is>
          <t>Inferred: identity</t>
        </is>
      </c>
      <c r="AK18" s="2" t="n">
        <v>28</v>
      </c>
      <c r="AL18" s="4" t="inlineStr">
        <is>
          <t>R001; R016</t>
        </is>
      </c>
      <c r="AM18" s="4" t="inlineStr">
        <is>
          <t>PWRR-G&amp;W</t>
        </is>
      </c>
    </row>
    <row r="19" ht="118.8" customHeight="1">
      <c r="A19" s="2" t="n">
        <v>18</v>
      </c>
      <c r="B19" s="3" t="inlineStr">
        <is>
          <t>05/23/2016 – 06/01/2016 (decision concluded at the 06/01/2016 meeting)</t>
        </is>
      </c>
      <c r="C19" s="4" t="inlineStr">
        <is>
          <t>Transaction Committee</t>
        </is>
      </c>
      <c r="D19" s="4" t="inlineStr">
        <is>
          <t>Target decision</t>
        </is>
      </c>
      <c r="E19" s="2" t="n">
        <v>1</v>
      </c>
      <c r="F19" s="2" t="n">
        <v>1</v>
      </c>
      <c r="G19" s="4" t="inlineStr"/>
      <c r="H19" s="4" t="inlineStr">
        <is>
          <t>Committee considered the nine IOIs; excluded the two low bidders (R019) and authorized in-person management presentations for the remaining seven, permitting additional due diligence with access to an internet data site (access alike for the advancing set); over June–July each advancing buyer and its advisers conducted diligence, including management meetings.</t>
        </is>
      </c>
      <c r="I19" s="4" t="inlineStr"/>
      <c r="J19" s="4" t="inlineStr"/>
      <c r="K19" s="4" t="inlineStr">
        <is>
          <t>Stated: decision, rationale, meetings of 05/23 and 06/01/2016, access given alike. Date: decision concluded at the later meeting (Convention; Assigned: decision day). Quote: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(P-010, p29)</t>
        </is>
      </c>
      <c r="L19" s="5" t="inlineStr">
        <is>
          <t>P-010; P-013</t>
        </is>
      </c>
      <c r="M19" s="4" t="inlineStr">
        <is>
          <t>Q1</t>
        </is>
      </c>
      <c r="N19" s="4" t="inlineStr"/>
      <c r="O19" s="2" t="inlineStr">
        <is>
          <t>R018</t>
        </is>
      </c>
      <c r="P19" s="4" t="inlineStr">
        <is>
          <t>Yes</t>
        </is>
      </c>
      <c r="Q19" s="2" t="n"/>
      <c r="R19" s="6" t="n">
        <v>42513</v>
      </c>
      <c r="S19" s="6" t="n">
        <v>42522</v>
      </c>
      <c r="T19" s="6" t="n">
        <v>42522</v>
      </c>
      <c r="U19" s="4" t="inlineStr">
        <is>
          <t>Reported interval</t>
        </is>
      </c>
      <c r="V19" s="4" t="inlineStr">
        <is>
          <t>Assigned: decision day</t>
        </is>
      </c>
      <c r="W19" s="4" t="n"/>
      <c r="X19" s="4" t="n"/>
      <c r="Y19" s="4" t="inlineStr"/>
      <c r="Z19" s="4" t="inlineStr"/>
      <c r="AA19" s="4" t="inlineStr"/>
      <c r="AB19" s="4" t="inlineStr"/>
      <c r="AC19" s="4" t="n"/>
      <c r="AD19" s="4" t="inlineStr"/>
      <c r="AE19" s="4" t="n"/>
      <c r="AF19" s="4" t="inlineStr"/>
      <c r="AG19" s="4" t="inlineStr"/>
      <c r="AH19" s="4" t="inlineStr"/>
      <c r="AI19" s="4" t="inlineStr"/>
      <c r="AJ19" s="4" t="inlineStr"/>
      <c r="AK19" s="2" t="n">
        <v>29</v>
      </c>
      <c r="AL19" s="4" t="inlineStr">
        <is>
          <t>R015; R019</t>
        </is>
      </c>
      <c r="AM19" s="4" t="inlineStr">
        <is>
          <t>PWRR-G&amp;W</t>
        </is>
      </c>
    </row>
    <row r="20" ht="66" customHeight="1">
      <c r="A20" s="2" t="n">
        <v>19</v>
      </c>
      <c r="B20" s="3" t="inlineStr">
        <is>
          <t>06/01/2016</t>
        </is>
      </c>
      <c r="C20" s="4" t="inlineStr">
        <is>
          <t>Two low bidders (unnamed IOI submitters)</t>
        </is>
      </c>
      <c r="D20" s="4" t="inlineStr">
        <is>
          <t>Dropped by target</t>
        </is>
      </c>
      <c r="E20" s="2" t="n">
        <v>1</v>
      </c>
      <c r="F20" s="2" t="n">
        <v>1</v>
      </c>
      <c r="G20" s="4" t="inlineStr">
        <is>
          <t>Unknown</t>
        </is>
      </c>
      <c r="H20" s="4" t="inlineStr">
        <is>
          <t>Excluded from the management-presentation process as the two lowest IOI bidders; identities and prices not disclosed (within the R015 envelope); denied the management-presentation and data-room stage.</t>
        </is>
      </c>
      <c r="I20" s="4" t="inlineStr"/>
      <c r="J20" s="4" t="inlineStr"/>
      <c r="K20" s="4" t="inlineStr">
        <is>
          <t>Stated: exclusion, count (2) and rationale; Inferred: identities (unnamed). Decided by Target; Exit reason: Lower offer than rivals. Date: concluded at the later 06/01/2016 meeting (Convention; Assigned: decision day). Quote: "the Transaction Committee concluded that the two low bidders should be excluded from that process" (P-010, p29)</t>
        </is>
      </c>
      <c r="L20" s="5" t="inlineStr">
        <is>
          <t>P-010</t>
        </is>
      </c>
      <c r="M20" s="4" t="inlineStr">
        <is>
          <t>Q5</t>
        </is>
      </c>
      <c r="N20" s="4" t="inlineStr"/>
      <c r="O20" s="2" t="inlineStr">
        <is>
          <t>R019</t>
        </is>
      </c>
      <c r="P20" s="4" t="inlineStr">
        <is>
          <t>Yes</t>
        </is>
      </c>
      <c r="Q20" s="2" t="n">
        <v>2</v>
      </c>
      <c r="R20" s="6" t="n">
        <v>42513</v>
      </c>
      <c r="S20" s="6" t="n">
        <v>42522</v>
      </c>
      <c r="T20" s="6" t="n">
        <v>42522</v>
      </c>
      <c r="U20" s="4" t="inlineStr">
        <is>
          <t>Reported interval</t>
        </is>
      </c>
      <c r="V20" s="4" t="inlineStr">
        <is>
          <t>Assigned: decision day</t>
        </is>
      </c>
      <c r="W20" s="4" t="n"/>
      <c r="X20" s="4" t="n"/>
      <c r="Y20" s="4" t="inlineStr"/>
      <c r="Z20" s="4" t="inlineStr"/>
      <c r="AA20" s="4" t="inlineStr"/>
      <c r="AB20" s="4" t="inlineStr"/>
      <c r="AC20" s="4" t="n"/>
      <c r="AD20" s="4" t="inlineStr"/>
      <c r="AE20" s="4" t="n"/>
      <c r="AF20" s="4" t="inlineStr"/>
      <c r="AG20" s="4" t="inlineStr"/>
      <c r="AH20" s="4" t="inlineStr">
        <is>
          <t>Target</t>
        </is>
      </c>
      <c r="AI20" s="4" t="inlineStr">
        <is>
          <t>Lower offer than rivals</t>
        </is>
      </c>
      <c r="AJ20" s="4" t="inlineStr">
        <is>
          <t>Stated</t>
        </is>
      </c>
      <c r="AK20" s="2" t="n">
        <v>29</v>
      </c>
      <c r="AL20" s="4" t="inlineStr">
        <is>
          <t>R015; R018</t>
        </is>
      </c>
      <c r="AM20" s="4" t="inlineStr">
        <is>
          <t>PWRR-G&amp;W</t>
        </is>
      </c>
    </row>
    <row r="21" ht="105.6" customHeight="1">
      <c r="A21" s="2" t="n">
        <v>20</v>
      </c>
      <c r="B21" s="3" t="inlineStr">
        <is>
          <t>mid-June 2016 (drafts posted 06/29, 06/30 and 07/11/2016); due 07/20/2016</t>
        </is>
      </c>
      <c r="C21" s="4" t="inlineStr">
        <is>
          <t>Company / GHF</t>
        </is>
      </c>
      <c r="D21" s="4" t="inlineStr">
        <is>
          <t>Round opened</t>
        </is>
      </c>
      <c r="E21" s="2" t="n">
        <v>1</v>
      </c>
      <c r="F21" s="2" t="n">
        <v>2</v>
      </c>
      <c r="G21" s="4" t="inlineStr"/>
      <c r="H21" s="4" t="inlineStr">
        <is>
          <t>R2 opens: Committee-directed instruction to all potential buyers to submit non-binding LOIs by 07/20/2016 together with mark-ups of the merger agreement, disclosure letter and voting agreement (initial drafts posted to the data site 06/29, 06/30 and 07/11/2016); buyers to value 100% of the outstanding common stock on a per-share basis (assuming preferred conversion) or give non-cash terms. Round finality: Not final (non-binding LOI stage).</t>
        </is>
      </c>
      <c r="I21" s="4" t="inlineStr"/>
      <c r="J21" s="4" t="inlineStr"/>
      <c r="K21" s="4" t="inlineStr">
        <is>
          <t>Stated: instruction, deadline, required mark-ups, postings and valuation basis. Date: “mid-June 2016” (Convention: 11–19 band, midpoint 06/15/2016 as sort key; Assigned: midpoint). Round finality: Not final — no announcement and no definitive-negotiation move yet (Convention). Quote: "In mid-June 2016, at the direction of the Transaction Committee, representatives of GHF instructed all potential buyers to submit non-binding letters of intent (“LOIs”) by July 20, 2016, together with mark-ups of the forms of merger agreement, disclosure letter and voting agreement" (P-011, p29)</t>
        </is>
      </c>
      <c r="L21" s="5" t="inlineStr">
        <is>
          <t>P-011; P-012</t>
        </is>
      </c>
      <c r="M21" s="4" t="inlineStr">
        <is>
          <t>Q1</t>
        </is>
      </c>
      <c r="N21" s="4" t="inlineStr"/>
      <c r="O21" s="2" t="inlineStr">
        <is>
          <t>R020</t>
        </is>
      </c>
      <c r="P21" s="4" t="inlineStr">
        <is>
          <t>Yes</t>
        </is>
      </c>
      <c r="Q21" s="2" t="n"/>
      <c r="R21" s="6" t="n">
        <v>42532</v>
      </c>
      <c r="S21" s="6" t="n">
        <v>42540</v>
      </c>
      <c r="T21" s="6" t="n">
        <v>42536</v>
      </c>
      <c r="U21" s="4" t="inlineStr">
        <is>
          <t>Approximate window</t>
        </is>
      </c>
      <c r="V21" s="4" t="inlineStr">
        <is>
          <t>Assigned: midpoint</t>
        </is>
      </c>
      <c r="W21" s="4" t="n"/>
      <c r="X21" s="4" t="n"/>
      <c r="Y21" s="4" t="inlineStr"/>
      <c r="Z21" s="4" t="inlineStr"/>
      <c r="AA21" s="4" t="inlineStr"/>
      <c r="AB21" s="4" t="inlineStr"/>
      <c r="AC21" s="4" t="n"/>
      <c r="AD21" s="4" t="inlineStr"/>
      <c r="AE21" s="6" t="n">
        <v>42571</v>
      </c>
      <c r="AF21" s="4" t="inlineStr"/>
      <c r="AG21" s="4" t="inlineStr">
        <is>
          <t>Not final</t>
        </is>
      </c>
      <c r="AH21" s="4" t="inlineStr"/>
      <c r="AI21" s="4" t="inlineStr"/>
      <c r="AJ21" s="4" t="inlineStr"/>
      <c r="AK21" s="2" t="n">
        <v>29</v>
      </c>
      <c r="AL21" s="4" t="inlineStr">
        <is>
          <t>R007; R035</t>
        </is>
      </c>
      <c r="AM21" s="4" t="inlineStr">
        <is>
          <t>PWRR-G&amp;W</t>
        </is>
      </c>
    </row>
    <row r="22" ht="79.19999999999999" customHeight="1">
      <c r="A22" s="2" t="n">
        <v>21</v>
      </c>
      <c r="B22" s="3" t="inlineStr">
        <is>
          <t>early July 2016 (day not disclosed)</t>
        </is>
      </c>
      <c r="C22" s="4" t="inlineStr">
        <is>
          <t>Party C (strategic buyer; late entrant)</t>
        </is>
      </c>
      <c r="D22" s="4" t="inlineStr">
        <is>
          <t>Bidder interest</t>
        </is>
      </c>
      <c r="E22" s="2" t="n">
        <v>1</v>
      </c>
      <c r="F22" s="2" t="n">
        <v>2</v>
      </c>
      <c r="G22" s="4" t="inlineStr">
        <is>
          <t>Strategic</t>
        </is>
      </c>
      <c r="H22" s="4" t="inlineStr">
        <is>
          <t>Party C approached Company management and expressed interest in acquiring the Company; not previously part of the process; bidder-initiated first contact; led to an NDA and catch-up access (R022, R024) and an IOI (R023).</t>
        </is>
      </c>
      <c r="I22" s="4" t="inlineStr"/>
      <c r="J22" s="4" t="inlineStr"/>
      <c r="K22" s="4" t="inlineStr">
        <is>
          <t>Stated: approach, acquisition interest and late-entrant status. Count 1 = newly represented individual (contact tally). Date: “early July 2016” (Convention: 1–10 band, midpoint 07/05/2016 as sort key; Assigned: midpoint). Quote: "In early July 2016, a potential strategic buyer that had not previously been part of the process (“Party C”) approached the Company’s management and expressed interest in acquiring the Company." (P-013, p29)</t>
        </is>
      </c>
      <c r="L22" s="5" t="inlineStr">
        <is>
          <t>P-013</t>
        </is>
      </c>
      <c r="M22" s="4" t="inlineStr">
        <is>
          <t>Q7</t>
        </is>
      </c>
      <c r="N22" s="4" t="inlineStr"/>
      <c r="O22" s="2" t="inlineStr">
        <is>
          <t>R021</t>
        </is>
      </c>
      <c r="P22" s="4" t="inlineStr">
        <is>
          <t>Yes</t>
        </is>
      </c>
      <c r="Q22" s="2" t="n">
        <v>1</v>
      </c>
      <c r="R22" s="6" t="n">
        <v>42552</v>
      </c>
      <c r="S22" s="6" t="n">
        <v>42561</v>
      </c>
      <c r="T22" s="6" t="n">
        <v>42556</v>
      </c>
      <c r="U22" s="4" t="inlineStr">
        <is>
          <t>Approximate window</t>
        </is>
      </c>
      <c r="V22" s="4" t="inlineStr">
        <is>
          <t>Assigned: midpoint</t>
        </is>
      </c>
      <c r="W22" s="4" t="n"/>
      <c r="X22" s="4" t="n"/>
      <c r="Y22" s="4" t="inlineStr"/>
      <c r="Z22" s="4" t="inlineStr"/>
      <c r="AA22" s="4" t="inlineStr"/>
      <c r="AB22" s="4" t="inlineStr"/>
      <c r="AC22" s="4" t="n"/>
      <c r="AD22" s="4" t="inlineStr"/>
      <c r="AE22" s="4" t="n"/>
      <c r="AF22" s="4" t="inlineStr"/>
      <c r="AG22" s="4" t="inlineStr"/>
      <c r="AH22" s="4" t="inlineStr"/>
      <c r="AI22" s="4" t="inlineStr"/>
      <c r="AJ22" s="4" t="inlineStr"/>
      <c r="AK22" s="2" t="n">
        <v>29</v>
      </c>
      <c r="AL22" s="4" t="inlineStr">
        <is>
          <t>R022; R023</t>
        </is>
      </c>
      <c r="AM22" s="4" t="inlineStr">
        <is>
          <t>PWRR-G&amp;W</t>
        </is>
      </c>
    </row>
    <row r="23" ht="79.19999999999999" customHeight="1">
      <c r="A23" s="2" t="n">
        <v>22</v>
      </c>
      <c r="B23" s="3" t="inlineStr">
        <is>
          <t>early July 2016 (after the approach; before 07/12/2016)</t>
        </is>
      </c>
      <c r="C23" s="4" t="inlineStr">
        <is>
          <t>Party C</t>
        </is>
      </c>
      <c r="D23" s="4" t="inlineStr">
        <is>
          <t>NDA signed</t>
        </is>
      </c>
      <c r="E23" s="2" t="n">
        <v>1</v>
      </c>
      <c r="F23" s="2" t="n">
        <v>2</v>
      </c>
      <c r="G23" s="4" t="inlineStr">
        <is>
          <t>Strategic</t>
        </is>
      </c>
      <c r="H23" s="4" t="inlineStr">
        <is>
          <t>Executed a confidentiality agreement, then was provided the memorandum given to the other potential buyers; late entrant tracked separately from the 25 opening-wave signers (Q3).</t>
        </is>
      </c>
      <c r="I23" s="4" t="inlineStr"/>
      <c r="J23" s="4" t="inlineStr"/>
      <c r="K23" s="4" t="inlineStr">
        <is>
          <t>Stated: NDA execution and memorandum; no day disclosed. Date: bounded by the early-July approach and the 07/12/2016 IOI; Working date is the window midpoint (Convention; Assigned: midpoint). Count 1 = new signer. Quote: "After executing a confidentiality agreement, Party C was provided the memorandum concerning the Company provided to the other potential buyers." (P-013, p29)</t>
        </is>
      </c>
      <c r="L23" s="5" t="inlineStr">
        <is>
          <t>P-013</t>
        </is>
      </c>
      <c r="M23" s="4" t="inlineStr">
        <is>
          <t>Q3; Q7</t>
        </is>
      </c>
      <c r="N23" s="4" t="inlineStr"/>
      <c r="O23" s="2" t="inlineStr">
        <is>
          <t>R022</t>
        </is>
      </c>
      <c r="P23" s="4" t="inlineStr">
        <is>
          <t>Yes</t>
        </is>
      </c>
      <c r="Q23" s="2" t="n">
        <v>1</v>
      </c>
      <c r="R23" s="6" t="n">
        <v>42552</v>
      </c>
      <c r="S23" s="6" t="n">
        <v>42563</v>
      </c>
      <c r="T23" s="6" t="n">
        <v>42557</v>
      </c>
      <c r="U23" s="4" t="inlineStr">
        <is>
          <t>Approximate window</t>
        </is>
      </c>
      <c r="V23" s="4" t="inlineStr">
        <is>
          <t>Assigned: midpoint</t>
        </is>
      </c>
      <c r="W23" s="4" t="n"/>
      <c r="X23" s="4" t="n"/>
      <c r="Y23" s="4" t="inlineStr"/>
      <c r="Z23" s="4" t="inlineStr"/>
      <c r="AA23" s="4" t="inlineStr"/>
      <c r="AB23" s="4" t="inlineStr"/>
      <c r="AC23" s="4" t="n"/>
      <c r="AD23" s="4" t="inlineStr"/>
      <c r="AE23" s="4" t="n"/>
      <c r="AF23" s="4" t="inlineStr"/>
      <c r="AG23" s="4" t="inlineStr"/>
      <c r="AH23" s="4" t="inlineStr"/>
      <c r="AI23" s="4" t="inlineStr"/>
      <c r="AJ23" s="4" t="inlineStr"/>
      <c r="AK23" s="2" t="n">
        <v>29</v>
      </c>
      <c r="AL23" s="4" t="inlineStr">
        <is>
          <t>R021; R024</t>
        </is>
      </c>
      <c r="AM23" s="4" t="inlineStr">
        <is>
          <t>PWRR-G&amp;W</t>
        </is>
      </c>
    </row>
    <row r="24" ht="79.19999999999999" customHeight="1">
      <c r="A24" s="2" t="n">
        <v>23</v>
      </c>
      <c r="B24" s="3" t="inlineStr">
        <is>
          <t>07/12/2016</t>
        </is>
      </c>
      <c r="C24" s="4" t="inlineStr">
        <is>
          <t>Party C</t>
        </is>
      </c>
      <c r="D24" s="4" t="inlineStr">
        <is>
          <t>Bid</t>
        </is>
      </c>
      <c r="E24" s="2" t="n">
        <v>1</v>
      </c>
      <c r="F24" s="2" t="n">
        <v>2</v>
      </c>
      <c r="G24" s="4" t="inlineStr">
        <is>
          <t>Strategic</t>
        </is>
      </c>
      <c r="H24" s="4" t="inlineStr">
        <is>
          <t>IOI to acquire the Company at $21.00 per share (implying an equity value of $108 million); later revised in its LOI (R029); count 1 = Party C’s first R2 submission.</t>
        </is>
      </c>
      <c r="I24" s="4" t="inlineStr">
        <is>
          <t>Informal</t>
        </is>
      </c>
      <c r="J24" s="4" t="inlineStr">
        <is>
          <t>Heavy</t>
        </is>
      </c>
      <c r="K24" s="4" t="inlineStr">
        <is>
          <t>Stated: date, price and implied equity value. Formality: Informal (Convention) — non-binding IOI; no markups reported. Conditions: Heavy by context (Convention) — bid made before data-room or management access (access followed, R024). Date: Reported day. Quote: "On July 12, 2016, Party C submitted an IOI with an offer price per share of $21.00 (implying an equity value of $108 million)." (P-013, p29)</t>
        </is>
      </c>
      <c r="L24" s="5" t="inlineStr">
        <is>
          <t>P-013</t>
        </is>
      </c>
      <c r="M24" s="4" t="inlineStr">
        <is>
          <t>Q4</t>
        </is>
      </c>
      <c r="N24" s="4" t="inlineStr"/>
      <c r="O24" s="2" t="inlineStr">
        <is>
          <t>R023</t>
        </is>
      </c>
      <c r="P24" s="4" t="inlineStr">
        <is>
          <t>Yes</t>
        </is>
      </c>
      <c r="Q24" s="2" t="n">
        <v>1</v>
      </c>
      <c r="R24" s="6" t="n">
        <v>42563</v>
      </c>
      <c r="S24" s="6" t="n">
        <v>42563</v>
      </c>
      <c r="T24" s="6" t="n">
        <v>42563</v>
      </c>
      <c r="U24" s="4" t="inlineStr">
        <is>
          <t>Reported day</t>
        </is>
      </c>
      <c r="V24" s="4" t="inlineStr">
        <is>
          <t>Reported</t>
        </is>
      </c>
      <c r="W24" s="7" t="n">
        <v>21</v>
      </c>
      <c r="X24" s="7" t="n">
        <v>21</v>
      </c>
      <c r="Y24" s="4" t="inlineStr">
        <is>
          <t>Point</t>
        </is>
      </c>
      <c r="Z24" s="4" t="inlineStr">
        <is>
          <t>Stated</t>
        </is>
      </c>
      <c r="AA24" s="4" t="inlineStr">
        <is>
          <t>USD</t>
        </is>
      </c>
      <c r="AB24" s="4" t="inlineStr">
        <is>
          <t>Not stated</t>
        </is>
      </c>
      <c r="AC24" s="4" t="n"/>
      <c r="AD24" s="4" t="inlineStr">
        <is>
          <t>Fin: not stated; DD required: not stated; DD open: no; Excl: not stated</t>
        </is>
      </c>
      <c r="AE24" s="4" t="n"/>
      <c r="AF24" s="4" t="inlineStr"/>
      <c r="AG24" s="4" t="inlineStr"/>
      <c r="AH24" s="4" t="inlineStr"/>
      <c r="AI24" s="4" t="inlineStr"/>
      <c r="AJ24" s="4" t="inlineStr"/>
      <c r="AK24" s="2" t="n">
        <v>29</v>
      </c>
      <c r="AL24" s="4" t="inlineStr">
        <is>
          <t>R022; R024; R029</t>
        </is>
      </c>
      <c r="AM24" s="4" t="inlineStr">
        <is>
          <t>PWRR-G&amp;W</t>
        </is>
      </c>
    </row>
    <row r="25" ht="92.39999999999999" customHeight="1">
      <c r="A25" s="2" t="n">
        <v>24</v>
      </c>
      <c r="B25" s="3" t="inlineStr">
        <is>
          <t>after 07/12/2016; presentation 07/14/2016</t>
        </is>
      </c>
      <c r="C25" s="4" t="inlineStr">
        <is>
          <t>Party C</t>
        </is>
      </c>
      <c r="D25" s="4" t="inlineStr">
        <is>
          <t>Information access changed</t>
        </is>
      </c>
      <c r="E25" s="2" t="n">
        <v>1</v>
      </c>
      <c r="F25" s="2" t="n">
        <v>2</v>
      </c>
      <c r="G25" s="4" t="inlineStr">
        <is>
          <t>Strategic</t>
        </is>
      </c>
      <c r="H25" s="4" t="inlineStr">
        <is>
          <t>Late-entrant catch-up access: after its IOI, Party C was provided access to the internet data site used by the other advancing buyers and a telephone management presentation on 07/14/2016; access compressed into the LOI window relative to the others’ June–July access; Count blank (access decision).</t>
        </is>
      </c>
      <c r="I25" s="4" t="inlineStr"/>
      <c r="J25" s="4" t="inlineStr"/>
      <c r="K25" s="4" t="inlineStr">
        <is>
          <t>Stated: data-site access and the 07/14/2016 presentation, explicitly “Subsequently” to the IOI; Inferred: difference in access timing among live participants (late entrant). Working date = the stated presentation day as the upper bound (Assigned: bound). Quote: "Subsequently, Party C was provided access to the internet data site and the Company’s management held a management presentation with Party C by telephone on July 14, 2016." (P-013, p29)</t>
        </is>
      </c>
      <c r="L25" s="5" t="inlineStr">
        <is>
          <t>P-013</t>
        </is>
      </c>
      <c r="M25" s="4" t="inlineStr">
        <is>
          <t>Q7</t>
        </is>
      </c>
      <c r="N25" s="4" t="inlineStr"/>
      <c r="O25" s="2" t="inlineStr">
        <is>
          <t>R024</t>
        </is>
      </c>
      <c r="P25" s="4" t="inlineStr">
        <is>
          <t>Yes</t>
        </is>
      </c>
      <c r="Q25" s="2" t="n"/>
      <c r="R25" s="6" t="n">
        <v>42564</v>
      </c>
      <c r="S25" s="6" t="n">
        <v>42565</v>
      </c>
      <c r="T25" s="6" t="n">
        <v>42565</v>
      </c>
      <c r="U25" s="4" t="inlineStr">
        <is>
          <t>Relative only</t>
        </is>
      </c>
      <c r="V25" s="4" t="inlineStr">
        <is>
          <t>Assigned: bound</t>
        </is>
      </c>
      <c r="W25" s="4" t="n"/>
      <c r="X25" s="4" t="n"/>
      <c r="Y25" s="4" t="inlineStr"/>
      <c r="Z25" s="4" t="inlineStr"/>
      <c r="AA25" s="4" t="inlineStr"/>
      <c r="AB25" s="4" t="inlineStr"/>
      <c r="AC25" s="4" t="n"/>
      <c r="AD25" s="4" t="inlineStr"/>
      <c r="AE25" s="4" t="n"/>
      <c r="AF25" s="4" t="inlineStr"/>
      <c r="AG25" s="4" t="inlineStr"/>
      <c r="AH25" s="4" t="inlineStr"/>
      <c r="AI25" s="4" t="inlineStr"/>
      <c r="AJ25" s="4" t="inlineStr"/>
      <c r="AK25" s="2" t="n">
        <v>29</v>
      </c>
      <c r="AL25" s="4" t="inlineStr">
        <is>
          <t>R021; R022</t>
        </is>
      </c>
      <c r="AM25" s="4" t="inlineStr">
        <is>
          <t>PWRR-G&amp;W</t>
        </is>
      </c>
    </row>
    <row r="26" ht="92.39999999999999" customHeight="1">
      <c r="A26" s="2" t="n">
        <v>25</v>
      </c>
      <c r="B26" s="3" t="inlineStr">
        <is>
          <t>07/20/2016</t>
        </is>
      </c>
      <c r="C26" s="4" t="inlineStr">
        <is>
          <t>Company</t>
        </is>
      </c>
      <c r="D26" s="4" t="inlineStr">
        <is>
          <t>Deadline</t>
        </is>
      </c>
      <c r="E26" s="2" t="n">
        <v>1</v>
      </c>
      <c r="F26" s="2" t="n">
        <v>2</v>
      </c>
      <c r="G26" s="4" t="inlineStr"/>
      <c r="H26" s="4" t="inlineStr">
        <is>
          <t>Scheduled LOI due date reached; six LOIs received in late July 2016 and considered; one (G&amp;W) dated 07/21/2016 after the due date, with no revision of the deadline — treatment: Late bids accepted.</t>
        </is>
      </c>
      <c r="I26" s="4" t="inlineStr"/>
      <c r="J26" s="4" t="inlineStr"/>
      <c r="K26" s="4" t="inlineStr">
        <is>
          <t>Stated: due date; receipt of six LOIs and G&amp;W’s 07/21/2016 date. Late-bid test: G&amp;W’s date falls after the due date and the target considered it without a revision — Late bids accepted; the other five LOIs are undated and no extension is recorded (Convention). Quotes: "In late July 2016, the Company received six LOIs with offer prices per share ranging from $19.20 to $24.00" (P-014, p29); "G&amp;W submitted an LOI on July 21, 2016" (P-016, p29).</t>
        </is>
      </c>
      <c r="L26" s="5" t="inlineStr">
        <is>
          <t>P-014; P-016</t>
        </is>
      </c>
      <c r="M26" s="4" t="inlineStr">
        <is>
          <t>Q2</t>
        </is>
      </c>
      <c r="N26" s="4" t="inlineStr"/>
      <c r="O26" s="2" t="inlineStr">
        <is>
          <t>R025</t>
        </is>
      </c>
      <c r="P26" s="4" t="inlineStr">
        <is>
          <t>Yes</t>
        </is>
      </c>
      <c r="Q26" s="2" t="n"/>
      <c r="R26" s="6" t="n">
        <v>42571</v>
      </c>
      <c r="S26" s="6" t="n">
        <v>42571</v>
      </c>
      <c r="T26" s="6" t="n">
        <v>42571</v>
      </c>
      <c r="U26" s="4" t="inlineStr">
        <is>
          <t>Reported day</t>
        </is>
      </c>
      <c r="V26" s="4" t="inlineStr">
        <is>
          <t>Reported</t>
        </is>
      </c>
      <c r="W26" s="4" t="n"/>
      <c r="X26" s="4" t="n"/>
      <c r="Y26" s="4" t="inlineStr"/>
      <c r="Z26" s="4" t="inlineStr"/>
      <c r="AA26" s="4" t="inlineStr"/>
      <c r="AB26" s="4" t="inlineStr"/>
      <c r="AC26" s="4" t="n"/>
      <c r="AD26" s="4" t="inlineStr"/>
      <c r="AE26" s="6" t="n">
        <v>42571</v>
      </c>
      <c r="AF26" s="4" t="inlineStr">
        <is>
          <t>Late bids accepted</t>
        </is>
      </c>
      <c r="AG26" s="4" t="inlineStr"/>
      <c r="AH26" s="4" t="inlineStr"/>
      <c r="AI26" s="4" t="inlineStr"/>
      <c r="AJ26" s="4" t="inlineStr"/>
      <c r="AK26" s="2" t="n">
        <v>29</v>
      </c>
      <c r="AL26" s="4" t="inlineStr">
        <is>
          <t>R020; R033; R034</t>
        </is>
      </c>
      <c r="AM26" s="4" t="inlineStr">
        <is>
          <t>PWRR-G&amp;W</t>
        </is>
      </c>
    </row>
    <row r="27" ht="105.6" customHeight="1">
      <c r="A27" s="2" t="n">
        <v>26</v>
      </c>
      <c r="B27" s="3" t="inlineStr">
        <is>
          <t>by 07/20/2016 (late July; day not disclosed)</t>
        </is>
      </c>
      <c r="C27" s="4" t="inlineStr">
        <is>
          <t>Party B</t>
        </is>
      </c>
      <c r="D27" s="4" t="inlineStr">
        <is>
          <t>Bid</t>
        </is>
      </c>
      <c r="E27" s="2" t="n">
        <v>1</v>
      </c>
      <c r="F27" s="2" t="n">
        <v>2</v>
      </c>
      <c r="G27" s="4" t="inlineStr">
        <is>
          <t>Strategic</t>
        </is>
      </c>
      <c r="H27" s="4" t="inlineStr">
        <is>
          <t>LOI to acquire the Company at $24.00 per share, subject to an expedited diligence review; provided mark-ups of the merger agreement and voting agreement; highest-priced offer at the LOI stage; advanced to confirmatory diligence with G&amp;W (R035).</t>
        </is>
      </c>
      <c r="I27" s="4" t="inlineStr">
        <is>
          <t>Formal</t>
        </is>
      </c>
      <c r="J27" s="4" t="inlineStr">
        <is>
          <t>Light</t>
        </is>
      </c>
      <c r="K27" s="4" t="inlineStr">
        <is>
          <t>Stated: price, diligence condition and markups. Formality: Formal — signal 1, bidder-returned acquisition-agreement markups. Conditions: Light — no Heavy trigger: expedited diligence review only; financing not addressed. Date: due date inside the “late July” receipt window (Convention; Assigned: deadline). Quotes: "Party B submitted an LOI to acquire the Company for a price of $24.00 per share (subject to an expedited diligence review)." (P-015, p29); "Party B, G&amp;W and another bidder (“Party D”) also provided mark-ups of the draft merger agreement and voting agreement." (P-014, p29)</t>
        </is>
      </c>
      <c r="L27" s="5" t="inlineStr">
        <is>
          <t>P-015; P-014</t>
        </is>
      </c>
      <c r="M27" s="4" t="inlineStr">
        <is>
          <t>Q4</t>
        </is>
      </c>
      <c r="N27" s="4" t="inlineStr"/>
      <c r="O27" s="2" t="inlineStr">
        <is>
          <t>R026</t>
        </is>
      </c>
      <c r="P27" s="4" t="inlineStr">
        <is>
          <t>Yes</t>
        </is>
      </c>
      <c r="Q27" s="2" t="n">
        <v>1</v>
      </c>
      <c r="R27" s="6" t="n">
        <v>42571</v>
      </c>
      <c r="S27" s="6" t="n">
        <v>42582</v>
      </c>
      <c r="T27" s="6" t="n">
        <v>42571</v>
      </c>
      <c r="U27" s="4" t="inlineStr">
        <is>
          <t>Approximate window</t>
        </is>
      </c>
      <c r="V27" s="4" t="inlineStr">
        <is>
          <t>Assigned: deadline</t>
        </is>
      </c>
      <c r="W27" s="7" t="n">
        <v>24</v>
      </c>
      <c r="X27" s="7" t="n">
        <v>24</v>
      </c>
      <c r="Y27" s="4" t="inlineStr">
        <is>
          <t>Point</t>
        </is>
      </c>
      <c r="Z27" s="4" t="inlineStr">
        <is>
          <t>Stated</t>
        </is>
      </c>
      <c r="AA27" s="4" t="inlineStr">
        <is>
          <t>USD</t>
        </is>
      </c>
      <c r="AB27" s="4" t="inlineStr">
        <is>
          <t>Not stated</t>
        </is>
      </c>
      <c r="AC27" s="4" t="n"/>
      <c r="AD27" s="4" t="inlineStr">
        <is>
          <t>Fin: not stated; DD required: confirmatory; DD open: yes; Excl: none</t>
        </is>
      </c>
      <c r="AE27" s="4" t="n"/>
      <c r="AF27" s="4" t="inlineStr"/>
      <c r="AG27" s="4" t="inlineStr"/>
      <c r="AH27" s="4" t="inlineStr"/>
      <c r="AI27" s="4" t="inlineStr"/>
      <c r="AJ27" s="4" t="inlineStr"/>
      <c r="AK27" s="2" t="n">
        <v>29</v>
      </c>
      <c r="AL27" s="4" t="inlineStr">
        <is>
          <t>R035; R052</t>
        </is>
      </c>
      <c r="AM27" s="4" t="inlineStr">
        <is>
          <t>PWRR-G&amp;W</t>
        </is>
      </c>
    </row>
    <row r="28" ht="132" customHeight="1">
      <c r="A28" s="2" t="n">
        <v>27</v>
      </c>
      <c r="B28" s="3" t="inlineStr">
        <is>
          <t>by 07/20/2016 (late July; day not disclosed)</t>
        </is>
      </c>
      <c r="C28" s="4" t="inlineStr">
        <is>
          <t>Party E</t>
        </is>
      </c>
      <c r="D28" s="4" t="inlineStr">
        <is>
          <t>Bid</t>
        </is>
      </c>
      <c r="E28" s="2" t="n">
        <v>1</v>
      </c>
      <c r="F28" s="2" t="n">
        <v>2</v>
      </c>
      <c r="G28" s="4" t="inlineStr">
        <is>
          <t>Strategic</t>
        </is>
      </c>
      <c r="H28" s="4" t="inlineStr">
        <is>
          <t>LOI at $21.26 per share, subject to a 60-day exclusivity period for due diligence and negotiation of definitive documentation; provided a summary of material issues and proposed changes to the merger agreement and voting agreement (an issues list, not a returned markup — borderline formality, Q4).</t>
        </is>
      </c>
      <c r="I28" s="4" t="inlineStr">
        <is>
          <t>Informal</t>
        </is>
      </c>
      <c r="J28" s="4" t="inlineStr">
        <is>
          <t>Heavy</t>
        </is>
      </c>
      <c r="K28" s="4" t="inlineStr">
        <is>
          <t>Stated: price, exclusivity period and the issues list. Formality: Informal — working default for an issues list without another formal signal; flagged as borderline (Q4). Conditions: Heavy — stated 60-day exclusive diligence period. Date: Assigned: deadline (Convention). Quotes: "Party E (a strategic buyer) submitted an LOI to acquire the Company for a price of $21.26 per share (subject to a 60-day exclusivity period for due diligence and negotiation of definitive documentation)." (P-017, p30); "One bidder (“Party E”) provided a summary of material issues and proposed changes to the merger agreement and voting agreement with respect to those issues." (P-014, p29)</t>
        </is>
      </c>
      <c r="L28" s="5" t="inlineStr">
        <is>
          <t>P-017; P-014</t>
        </is>
      </c>
      <c r="M28" s="4" t="inlineStr">
        <is>
          <t>Q4</t>
        </is>
      </c>
      <c r="N28" s="4" t="inlineStr"/>
      <c r="O28" s="2" t="inlineStr">
        <is>
          <t>R027</t>
        </is>
      </c>
      <c r="P28" s="4" t="inlineStr">
        <is>
          <t>Yes</t>
        </is>
      </c>
      <c r="Q28" s="2" t="n">
        <v>1</v>
      </c>
      <c r="R28" s="6" t="n">
        <v>42571</v>
      </c>
      <c r="S28" s="6" t="n">
        <v>42582</v>
      </c>
      <c r="T28" s="6" t="n">
        <v>42571</v>
      </c>
      <c r="U28" s="4" t="inlineStr">
        <is>
          <t>Approximate window</t>
        </is>
      </c>
      <c r="V28" s="4" t="inlineStr">
        <is>
          <t>Assigned: deadline</t>
        </is>
      </c>
      <c r="W28" s="7" t="n">
        <v>21.26</v>
      </c>
      <c r="X28" s="7" t="n">
        <v>21.26</v>
      </c>
      <c r="Y28" s="4" t="inlineStr">
        <is>
          <t>Point</t>
        </is>
      </c>
      <c r="Z28" s="4" t="inlineStr">
        <is>
          <t>Stated</t>
        </is>
      </c>
      <c r="AA28" s="4" t="inlineStr">
        <is>
          <t>USD</t>
        </is>
      </c>
      <c r="AB28" s="4" t="inlineStr">
        <is>
          <t>Not stated</t>
        </is>
      </c>
      <c r="AC28" s="4" t="n"/>
      <c r="AD28" s="4" t="inlineStr">
        <is>
          <t>Fin: not stated; DD required: substantive (60 days); DD open: yes; Excl: requested (60 days)</t>
        </is>
      </c>
      <c r="AE28" s="4" t="n"/>
      <c r="AF28" s="4" t="inlineStr"/>
      <c r="AG28" s="4" t="inlineStr"/>
      <c r="AH28" s="4" t="inlineStr"/>
      <c r="AI28" s="4" t="inlineStr"/>
      <c r="AJ28" s="4" t="inlineStr"/>
      <c r="AK28" s="2" t="n">
        <v>30</v>
      </c>
      <c r="AL28" s="4" t="inlineStr">
        <is>
          <t>R042; R043; R044</t>
        </is>
      </c>
      <c r="AM28" s="4" t="inlineStr">
        <is>
          <t>PWRR-G&amp;W</t>
        </is>
      </c>
    </row>
    <row r="29" ht="92.39999999999999" customHeight="1">
      <c r="A29" s="2" t="n">
        <v>28</v>
      </c>
      <c r="B29" s="3" t="inlineStr">
        <is>
          <t>by 07/20/2016 (late July; day not disclosed)</t>
        </is>
      </c>
      <c r="C29" s="4" t="inlineStr">
        <is>
          <t>Party D</t>
        </is>
      </c>
      <c r="D29" s="4" t="inlineStr">
        <is>
          <t>Bid</t>
        </is>
      </c>
      <c r="E29" s="2" t="n">
        <v>1</v>
      </c>
      <c r="F29" s="2" t="n">
        <v>2</v>
      </c>
      <c r="G29" s="4" t="inlineStr">
        <is>
          <t>Financial</t>
        </is>
      </c>
      <c r="H29" s="4" t="inlineStr">
        <is>
          <t>LOI at $21.00 per share, subject to a four-week diligence period; provided mark-ups of the merger agreement and voting agreement.</t>
        </is>
      </c>
      <c r="I29" s="4" t="inlineStr">
        <is>
          <t>Formal</t>
        </is>
      </c>
      <c r="J29" s="4" t="inlineStr">
        <is>
          <t>Heavy</t>
        </is>
      </c>
      <c r="K29" s="4" t="inlineStr">
        <is>
          <t>Stated: price, diligence period and markups. Formality: Formal — signal 1, bidder-returned acquisition-agreement markups. Conditions: Heavy — stated four-week diligence period. Date: Assigned: deadline (Convention). Quotes: "Party D (a financial buyer) submitted an LOI to acquire the Company for a price of $21.00 per share (subject to a four-week diligence period)." (P-018, p30); "Party B, G&amp;W and another bidder (“Party D”) also provided mark-ups of the draft merger agreement and voting agreement." (P-014, p29)</t>
        </is>
      </c>
      <c r="L29" s="5" t="inlineStr">
        <is>
          <t>P-018; P-014</t>
        </is>
      </c>
      <c r="M29" s="4" t="inlineStr">
        <is>
          <t>Q4</t>
        </is>
      </c>
      <c r="N29" s="4" t="inlineStr"/>
      <c r="O29" s="2" t="inlineStr">
        <is>
          <t>R028</t>
        </is>
      </c>
      <c r="P29" s="4" t="inlineStr">
        <is>
          <t>Yes</t>
        </is>
      </c>
      <c r="Q29" s="2" t="n">
        <v>1</v>
      </c>
      <c r="R29" s="6" t="n">
        <v>42571</v>
      </c>
      <c r="S29" s="6" t="n">
        <v>42582</v>
      </c>
      <c r="T29" s="6" t="n">
        <v>42571</v>
      </c>
      <c r="U29" s="4" t="inlineStr">
        <is>
          <t>Approximate window</t>
        </is>
      </c>
      <c r="V29" s="4" t="inlineStr">
        <is>
          <t>Assigned: deadline</t>
        </is>
      </c>
      <c r="W29" s="7" t="n">
        <v>21</v>
      </c>
      <c r="X29" s="7" t="n">
        <v>21</v>
      </c>
      <c r="Y29" s="4" t="inlineStr">
        <is>
          <t>Point</t>
        </is>
      </c>
      <c r="Z29" s="4" t="inlineStr">
        <is>
          <t>Stated</t>
        </is>
      </c>
      <c r="AA29" s="4" t="inlineStr">
        <is>
          <t>USD</t>
        </is>
      </c>
      <c r="AB29" s="4" t="inlineStr">
        <is>
          <t>Not stated</t>
        </is>
      </c>
      <c r="AC29" s="4" t="n"/>
      <c r="AD29" s="4" t="inlineStr">
        <is>
          <t>Fin: not stated; DD required: substantive (4 wks); DD open: yes; Excl: none</t>
        </is>
      </c>
      <c r="AE29" s="4" t="n"/>
      <c r="AF29" s="4" t="inlineStr"/>
      <c r="AG29" s="4" t="inlineStr"/>
      <c r="AH29" s="4" t="inlineStr"/>
      <c r="AI29" s="4" t="inlineStr"/>
      <c r="AJ29" s="4" t="inlineStr"/>
      <c r="AK29" s="2" t="n">
        <v>30</v>
      </c>
      <c r="AL29" s="4" t="inlineStr">
        <is>
          <t>R037; R041</t>
        </is>
      </c>
      <c r="AM29" s="4" t="inlineStr">
        <is>
          <t>PWRR-G&amp;W</t>
        </is>
      </c>
    </row>
    <row r="30" ht="79.19999999999999" customHeight="1">
      <c r="A30" s="2" t="n">
        <v>29</v>
      </c>
      <c r="B30" s="3" t="inlineStr">
        <is>
          <t>by 07/20/2016 (late July; day not disclosed)</t>
        </is>
      </c>
      <c r="C30" s="4" t="inlineStr">
        <is>
          <t>Party C</t>
        </is>
      </c>
      <c r="D30" s="4" t="inlineStr">
        <is>
          <t>Bid</t>
        </is>
      </c>
      <c r="E30" s="2" t="n">
        <v>1</v>
      </c>
      <c r="F30" s="2" t="n">
        <v>2</v>
      </c>
      <c r="G30" s="4" t="inlineStr">
        <is>
          <t>Strategic</t>
        </is>
      </c>
      <c r="H30" s="4" t="inlineStr">
        <is>
          <t>LOI at $19.30 per share, subject to a 30-day diligence period; lower than its $21.00 IOI (R023); no markup or formal signal reported. Count 0 — Party C’s R2 bidder count is carried on R023.</t>
        </is>
      </c>
      <c r="I30" s="4" t="inlineStr">
        <is>
          <t>Informal</t>
        </is>
      </c>
      <c r="J30" s="4" t="inlineStr">
        <is>
          <t>Heavy</t>
        </is>
      </c>
      <c r="K30" s="4" t="inlineStr">
        <is>
          <t>Stated: price and diligence period. Formality: Informal (Convention) — no markup or other formal signal reported. Conditions: Heavy — stated 30-day diligence period. Count 0 (same bidder, later row in R2; covering row R023). Date: Assigned: deadline (Convention). Quote: "Party C submitted an LOI to acquire the Company for a price of $19.30 per share (subject to a 30-day diligence period)." (P-019, p30)</t>
        </is>
      </c>
      <c r="L30" s="5" t="inlineStr">
        <is>
          <t>P-019</t>
        </is>
      </c>
      <c r="M30" s="4" t="inlineStr">
        <is>
          <t>Q4</t>
        </is>
      </c>
      <c r="N30" s="4" t="inlineStr"/>
      <c r="O30" s="2" t="inlineStr">
        <is>
          <t>R029</t>
        </is>
      </c>
      <c r="P30" s="4" t="inlineStr">
        <is>
          <t>Yes</t>
        </is>
      </c>
      <c r="Q30" s="2" t="n">
        <v>0</v>
      </c>
      <c r="R30" s="6" t="n">
        <v>42571</v>
      </c>
      <c r="S30" s="6" t="n">
        <v>42582</v>
      </c>
      <c r="T30" s="6" t="n">
        <v>42571</v>
      </c>
      <c r="U30" s="4" t="inlineStr">
        <is>
          <t>Approximate window</t>
        </is>
      </c>
      <c r="V30" s="4" t="inlineStr">
        <is>
          <t>Assigned: deadline</t>
        </is>
      </c>
      <c r="W30" s="7" t="n">
        <v>19.3</v>
      </c>
      <c r="X30" s="7" t="n">
        <v>19.3</v>
      </c>
      <c r="Y30" s="4" t="inlineStr">
        <is>
          <t>Point</t>
        </is>
      </c>
      <c r="Z30" s="4" t="inlineStr">
        <is>
          <t>Stated</t>
        </is>
      </c>
      <c r="AA30" s="4" t="inlineStr">
        <is>
          <t>USD</t>
        </is>
      </c>
      <c r="AB30" s="4" t="inlineStr">
        <is>
          <t>Not stated</t>
        </is>
      </c>
      <c r="AC30" s="4" t="n"/>
      <c r="AD30" s="4" t="inlineStr">
        <is>
          <t>Fin: not stated; DD required: substantive (30 days); DD open: yes; Excl: not stated</t>
        </is>
      </c>
      <c r="AE30" s="4" t="n"/>
      <c r="AF30" s="4" t="inlineStr"/>
      <c r="AG30" s="4" t="inlineStr"/>
      <c r="AH30" s="4" t="inlineStr"/>
      <c r="AI30" s="4" t="inlineStr"/>
      <c r="AJ30" s="4" t="inlineStr"/>
      <c r="AK30" s="2" t="n">
        <v>30</v>
      </c>
      <c r="AL30" s="4" t="inlineStr">
        <is>
          <t>R023; R036</t>
        </is>
      </c>
      <c r="AM30" s="4" t="inlineStr">
        <is>
          <t>PWRR-G&amp;W</t>
        </is>
      </c>
    </row>
    <row r="31" ht="79.19999999999999" customHeight="1">
      <c r="A31" s="2" t="n">
        <v>30</v>
      </c>
      <c r="B31" s="3" t="inlineStr">
        <is>
          <t>by 07/20/2016 (late July; day not disclosed)</t>
        </is>
      </c>
      <c r="C31" s="4" t="inlineStr">
        <is>
          <t>Party F</t>
        </is>
      </c>
      <c r="D31" s="4" t="inlineStr">
        <is>
          <t>Bid</t>
        </is>
      </c>
      <c r="E31" s="2" t="n">
        <v>1</v>
      </c>
      <c r="F31" s="2" t="n">
        <v>2</v>
      </c>
      <c r="G31" s="4" t="inlineStr">
        <is>
          <t>Strategic</t>
        </is>
      </c>
      <c r="H31" s="4" t="inlineStr">
        <is>
          <t>LOI at $19.20 per share, subject to a 30-day due diligence period; no markup or other formal signal reported.</t>
        </is>
      </c>
      <c r="I31" s="4" t="inlineStr">
        <is>
          <t>Informal</t>
        </is>
      </c>
      <c r="J31" s="4" t="inlineStr">
        <is>
          <t>Heavy</t>
        </is>
      </c>
      <c r="K31" s="4" t="inlineStr">
        <is>
          <t>Stated: price and diligence period. Formality: Informal (Convention) — no markup or other formal signal reported. Conditions: Heavy — stated 30-day due diligence period. Date: Assigned: deadline (Convention). Quote: "Party F (a strategic buyer) submitted an LOI to acquire the Company for a price of $19.20 per share (subject to a 30-day due diligence period)." (P-020, p30)</t>
        </is>
      </c>
      <c r="L31" s="5" t="inlineStr">
        <is>
          <t>P-020</t>
        </is>
      </c>
      <c r="M31" s="4" t="inlineStr">
        <is>
          <t>Q4</t>
        </is>
      </c>
      <c r="N31" s="4" t="inlineStr"/>
      <c r="O31" s="2" t="inlineStr">
        <is>
          <t>R030</t>
        </is>
      </c>
      <c r="P31" s="4" t="inlineStr">
        <is>
          <t>Yes</t>
        </is>
      </c>
      <c r="Q31" s="2" t="n">
        <v>1</v>
      </c>
      <c r="R31" s="6" t="n">
        <v>42571</v>
      </c>
      <c r="S31" s="6" t="n">
        <v>42582</v>
      </c>
      <c r="T31" s="6" t="n">
        <v>42571</v>
      </c>
      <c r="U31" s="4" t="inlineStr">
        <is>
          <t>Approximate window</t>
        </is>
      </c>
      <c r="V31" s="4" t="inlineStr">
        <is>
          <t>Assigned: deadline</t>
        </is>
      </c>
      <c r="W31" s="7" t="n">
        <v>19.2</v>
      </c>
      <c r="X31" s="7" t="n">
        <v>19.2</v>
      </c>
      <c r="Y31" s="4" t="inlineStr">
        <is>
          <t>Point</t>
        </is>
      </c>
      <c r="Z31" s="4" t="inlineStr">
        <is>
          <t>Stated</t>
        </is>
      </c>
      <c r="AA31" s="4" t="inlineStr">
        <is>
          <t>USD</t>
        </is>
      </c>
      <c r="AB31" s="4" t="inlineStr">
        <is>
          <t>Not stated</t>
        </is>
      </c>
      <c r="AC31" s="4" t="n"/>
      <c r="AD31" s="4" t="inlineStr">
        <is>
          <t>Fin: not stated; DD required: substantive (30 days); DD open: yes; Excl: not stated</t>
        </is>
      </c>
      <c r="AE31" s="4" t="n"/>
      <c r="AF31" s="4" t="inlineStr"/>
      <c r="AG31" s="4" t="inlineStr"/>
      <c r="AH31" s="4" t="inlineStr"/>
      <c r="AI31" s="4" t="inlineStr"/>
      <c r="AJ31" s="4" t="inlineStr"/>
      <c r="AK31" s="2" t="n">
        <v>30</v>
      </c>
      <c r="AL31" s="4" t="inlineStr">
        <is>
          <t>R039; R043</t>
        </is>
      </c>
      <c r="AM31" s="4" t="inlineStr">
        <is>
          <t>PWRR-G&amp;W</t>
        </is>
      </c>
    </row>
    <row r="32" ht="52.8" customHeight="1">
      <c r="A32" s="2" t="n">
        <v>31</v>
      </c>
      <c r="B32" s="3" t="inlineStr">
        <is>
          <t>by 07/20/2016 (day of election not disclosed)</t>
        </is>
      </c>
      <c r="C32" s="4" t="inlineStr">
        <is>
          <t>Unnamed strategic bidder (LOI non-submitter)</t>
        </is>
      </c>
      <c r="D32" s="4" t="inlineStr">
        <is>
          <t>Did not submit</t>
        </is>
      </c>
      <c r="E32" s="2" t="n">
        <v>1</v>
      </c>
      <c r="F32" s="2" t="n">
        <v>2</v>
      </c>
      <c r="G32" s="4" t="inlineStr">
        <is>
          <t>Strategic</t>
        </is>
      </c>
      <c r="H32" s="4" t="inlineStr">
        <is>
          <t>Elected not to submit an LOI in the 07/20/2016 solicitation while in the process at that stage; identity not disclosed; may overlap other unnamed cohorts (Q3).</t>
        </is>
      </c>
      <c r="I32" s="4" t="inlineStr"/>
      <c r="J32" s="4" t="inlineStr"/>
      <c r="K32" s="4" t="inlineStr">
        <is>
          <t>Stated: the election and the type split (one strategic, one financial). Date: solicitation due date (Convention; Assigned: deadline). Decided by Bidder; Exit reason: Not stated. Quote: "One strategic buyer and one financial buyer elected not to submit an LOI." (P-021, p30)</t>
        </is>
      </c>
      <c r="L32" s="5" t="inlineStr">
        <is>
          <t>P-021</t>
        </is>
      </c>
      <c r="M32" s="4" t="inlineStr">
        <is>
          <t>Q3</t>
        </is>
      </c>
      <c r="N32" s="4" t="inlineStr"/>
      <c r="O32" s="2" t="inlineStr">
        <is>
          <t>R031</t>
        </is>
      </c>
      <c r="P32" s="4" t="inlineStr">
        <is>
          <t>Yes</t>
        </is>
      </c>
      <c r="Q32" s="2" t="n">
        <v>1</v>
      </c>
      <c r="R32" s="4" t="n"/>
      <c r="S32" s="6" t="n">
        <v>42571</v>
      </c>
      <c r="T32" s="6" t="n">
        <v>42571</v>
      </c>
      <c r="U32" s="4" t="inlineStr">
        <is>
          <t>Relative only</t>
        </is>
      </c>
      <c r="V32" s="4" t="inlineStr">
        <is>
          <t>Assigned: deadline</t>
        </is>
      </c>
      <c r="W32" s="4" t="n"/>
      <c r="X32" s="4" t="n"/>
      <c r="Y32" s="4" t="inlineStr"/>
      <c r="Z32" s="4" t="inlineStr"/>
      <c r="AA32" s="4" t="inlineStr"/>
      <c r="AB32" s="4" t="inlineStr"/>
      <c r="AC32" s="4" t="n"/>
      <c r="AD32" s="4" t="inlineStr"/>
      <c r="AE32" s="4" t="n"/>
      <c r="AF32" s="4" t="inlineStr"/>
      <c r="AG32" s="4" t="inlineStr"/>
      <c r="AH32" s="4" t="inlineStr">
        <is>
          <t>Bidder</t>
        </is>
      </c>
      <c r="AI32" s="4" t="inlineStr">
        <is>
          <t>Not stated</t>
        </is>
      </c>
      <c r="AJ32" s="4" t="inlineStr">
        <is>
          <t>Stated</t>
        </is>
      </c>
      <c r="AK32" s="2" t="n">
        <v>30</v>
      </c>
      <c r="AL32" s="4" t="inlineStr">
        <is>
          <t>R032; R016</t>
        </is>
      </c>
      <c r="AM32" s="4" t="inlineStr">
        <is>
          <t>PWRR-G&amp;W</t>
        </is>
      </c>
    </row>
    <row r="33" ht="39.59999999999999" customHeight="1">
      <c r="A33" s="2" t="n">
        <v>32</v>
      </c>
      <c r="B33" s="3" t="inlineStr">
        <is>
          <t>by 07/20/2016 (day of election not disclosed)</t>
        </is>
      </c>
      <c r="C33" s="4" t="inlineStr">
        <is>
          <t>Unnamed financial bidder (LOI non-submitter)</t>
        </is>
      </c>
      <c r="D33" s="4" t="inlineStr">
        <is>
          <t>Did not submit</t>
        </is>
      </c>
      <c r="E33" s="2" t="n">
        <v>1</v>
      </c>
      <c r="F33" s="2" t="n">
        <v>2</v>
      </c>
      <c r="G33" s="4" t="inlineStr">
        <is>
          <t>Financial</t>
        </is>
      </c>
      <c r="H33" s="4" t="inlineStr">
        <is>
          <t>Elected not to submit an LOI in the 07/20/2016 solicitation while in the process at that stage; identity not disclosed; may overlap other unnamed cohorts (Q3).</t>
        </is>
      </c>
      <c r="I33" s="4" t="inlineStr"/>
      <c r="J33" s="4" t="inlineStr"/>
      <c r="K33" s="4" t="inlineStr">
        <is>
          <t>Stated: the election and the type split. Date: solicitation due date (Convention; Assigned: deadline). Decided by Bidder; Exit reason: Not stated. Quote: as at R031 (P-021, p30).</t>
        </is>
      </c>
      <c r="L33" s="5" t="inlineStr">
        <is>
          <t>P-021</t>
        </is>
      </c>
      <c r="M33" s="4" t="inlineStr">
        <is>
          <t>Q3</t>
        </is>
      </c>
      <c r="N33" s="4" t="inlineStr"/>
      <c r="O33" s="2" t="inlineStr">
        <is>
          <t>R032</t>
        </is>
      </c>
      <c r="P33" s="4" t="inlineStr">
        <is>
          <t>Yes</t>
        </is>
      </c>
      <c r="Q33" s="2" t="n">
        <v>1</v>
      </c>
      <c r="R33" s="4" t="n"/>
      <c r="S33" s="6" t="n">
        <v>42571</v>
      </c>
      <c r="T33" s="6" t="n">
        <v>42571</v>
      </c>
      <c r="U33" s="4" t="inlineStr">
        <is>
          <t>Relative only</t>
        </is>
      </c>
      <c r="V33" s="4" t="inlineStr">
        <is>
          <t>Assigned: deadline</t>
        </is>
      </c>
      <c r="W33" s="4" t="n"/>
      <c r="X33" s="4" t="n"/>
      <c r="Y33" s="4" t="inlineStr"/>
      <c r="Z33" s="4" t="inlineStr"/>
      <c r="AA33" s="4" t="inlineStr"/>
      <c r="AB33" s="4" t="inlineStr"/>
      <c r="AC33" s="4" t="n"/>
      <c r="AD33" s="4" t="inlineStr"/>
      <c r="AE33" s="4" t="n"/>
      <c r="AF33" s="4" t="inlineStr"/>
      <c r="AG33" s="4" t="inlineStr"/>
      <c r="AH33" s="4" t="inlineStr">
        <is>
          <t>Bidder</t>
        </is>
      </c>
      <c r="AI33" s="4" t="inlineStr">
        <is>
          <t>Not stated</t>
        </is>
      </c>
      <c r="AJ33" s="4" t="inlineStr">
        <is>
          <t>Stated</t>
        </is>
      </c>
      <c r="AK33" s="2" t="n">
        <v>30</v>
      </c>
      <c r="AL33" s="4" t="inlineStr">
        <is>
          <t>R031; R016</t>
        </is>
      </c>
      <c r="AM33" s="4" t="inlineStr">
        <is>
          <t>PWRR-G&amp;W</t>
        </is>
      </c>
    </row>
    <row r="34" ht="118.8" customHeight="1">
      <c r="A34" s="2" t="n">
        <v>33</v>
      </c>
      <c r="B34" s="3" t="inlineStr">
        <is>
          <t>07/21/2016</t>
        </is>
      </c>
      <c r="C34" s="4" t="inlineStr">
        <is>
          <t>G&amp;W</t>
        </is>
      </c>
      <c r="D34" s="4" t="inlineStr">
        <is>
          <t>Bid</t>
        </is>
      </c>
      <c r="E34" s="2" t="n">
        <v>1</v>
      </c>
      <c r="F34" s="2" t="n">
        <v>2</v>
      </c>
      <c r="G34" s="4" t="inlineStr">
        <is>
          <t>Strategic</t>
        </is>
      </c>
      <c r="H34" s="4" t="inlineStr">
        <is>
          <t>LOI at $21.15 per share = $20.02 cash at closing + $1.13 CVR (contingent value right based on the subsequent sale of the South Quay property); subject to a three-week exclusive diligence period; provided a markup of the disclosure letter and (with its LOIs) mark-ups of the merger agreement and voting agreement; revised 07/26/2016 (R034).</t>
        </is>
      </c>
      <c r="I34" s="4" t="inlineStr">
        <is>
          <t>Formal</t>
        </is>
      </c>
      <c r="J34" s="4" t="inlineStr">
        <is>
          <t>Heavy</t>
        </is>
      </c>
      <c r="K34" s="4" t="inlineStr">
        <is>
          <t>Stated: date, price split, CVR basis, diligence/exclusivity condition and markups. Formality: Formal — signal 1, returned acquisition-agreement and voting-agreement markups. Conditions: Heavy — stated three-week exclusive diligence period. Date: Reported day. Quote: "G&amp;W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(P-016, p29)</t>
        </is>
      </c>
      <c r="L34" s="5" t="inlineStr">
        <is>
          <t>P-016; P-014</t>
        </is>
      </c>
      <c r="M34" s="4" t="inlineStr">
        <is>
          <t>Q4; Q6</t>
        </is>
      </c>
      <c r="N34" s="4" t="inlineStr"/>
      <c r="O34" s="2" t="inlineStr">
        <is>
          <t>R033</t>
        </is>
      </c>
      <c r="P34" s="4" t="inlineStr">
        <is>
          <t>Yes</t>
        </is>
      </c>
      <c r="Q34" s="2" t="n">
        <v>1</v>
      </c>
      <c r="R34" s="6" t="n">
        <v>42572</v>
      </c>
      <c r="S34" s="6" t="n">
        <v>42572</v>
      </c>
      <c r="T34" s="6" t="n">
        <v>42572</v>
      </c>
      <c r="U34" s="4" t="inlineStr">
        <is>
          <t>Reported day</t>
        </is>
      </c>
      <c r="V34" s="4" t="inlineStr">
        <is>
          <t>Reported</t>
        </is>
      </c>
      <c r="W34" s="7" t="n">
        <v>21.15</v>
      </c>
      <c r="X34" s="7" t="n">
        <v>21.15</v>
      </c>
      <c r="Y34" s="4" t="inlineStr">
        <is>
          <t>Point</t>
        </is>
      </c>
      <c r="Z34" s="4" t="inlineStr">
        <is>
          <t>Stated</t>
        </is>
      </c>
      <c r="AA34" s="4" t="inlineStr">
        <is>
          <t>USD</t>
        </is>
      </c>
      <c r="AB34" s="4" t="inlineStr">
        <is>
          <t>Yes</t>
        </is>
      </c>
      <c r="AC34" s="7" t="n">
        <v>20.02</v>
      </c>
      <c r="AD34" s="4" t="inlineStr">
        <is>
          <t>Fin: not stated; DD required: substantive (3 wks); DD open: yes; Excl: requested (3 wks)</t>
        </is>
      </c>
      <c r="AE34" s="4" t="n"/>
      <c r="AF34" s="4" t="inlineStr"/>
      <c r="AG34" s="4" t="inlineStr"/>
      <c r="AH34" s="4" t="inlineStr"/>
      <c r="AI34" s="4" t="inlineStr"/>
      <c r="AJ34" s="4" t="inlineStr"/>
      <c r="AK34" s="2" t="n">
        <v>29</v>
      </c>
      <c r="AL34" s="4" t="inlineStr">
        <is>
          <t>R034; R035; R050</t>
        </is>
      </c>
      <c r="AM34" s="4" t="inlineStr">
        <is>
          <t>PWRR-G&amp;W</t>
        </is>
      </c>
    </row>
    <row r="35" ht="105.6" customHeight="1">
      <c r="A35" s="2" t="n">
        <v>34</v>
      </c>
      <c r="B35" s="3" t="inlineStr">
        <is>
          <t>07/26/2016</t>
        </is>
      </c>
      <c r="C35" s="4" t="inlineStr">
        <is>
          <t>G&amp;W</t>
        </is>
      </c>
      <c r="D35" s="4" t="inlineStr">
        <is>
          <t>Bid</t>
        </is>
      </c>
      <c r="E35" s="2" t="n">
        <v>1</v>
      </c>
      <c r="F35" s="2" t="n">
        <v>2</v>
      </c>
      <c r="G35" s="4" t="inlineStr">
        <is>
          <t>Strategic</t>
        </is>
      </c>
      <c r="H35" s="4" t="inlineStr">
        <is>
          <t>Revised LOI at $22.15 per share = $21.02 cash at closing + $1.13 CVR (unchanged), after GHF feedback that the price and CVR structure were not competitive. Count 0 — second R2 submission by G&amp;W; R033 carries its R2 bidder count.</t>
        </is>
      </c>
      <c r="I35" s="4" t="inlineStr">
        <is>
          <t>Formal</t>
        </is>
      </c>
      <c r="J35" s="4" t="inlineStr">
        <is>
          <t>Heavy</t>
        </is>
      </c>
      <c r="K35" s="4" t="inlineStr">
        <is>
          <t>Stated: date, revised price split and the reason for the revision. Formality: Formal (carried forward from R033). Conditions: Heavy — the three-week exclusive diligence period carries with the revision (no change reported). Count 0 (covering row R033). Date: Reported day. Quote: "On July 26, 2016, in response to feedback from representatives of GHF indicating its price and CVR structure were not competitive, G&amp;W submitted a revised LOI, which increased its offer to $22.15 per share (including $21.02 in cash and $1.13 CVR)." (P-016, p29)</t>
        </is>
      </c>
      <c r="L35" s="5" t="inlineStr">
        <is>
          <t>P-016</t>
        </is>
      </c>
      <c r="M35" s="4" t="inlineStr">
        <is>
          <t>Q4; Q6</t>
        </is>
      </c>
      <c r="N35" s="4" t="inlineStr"/>
      <c r="O35" s="2" t="inlineStr">
        <is>
          <t>R034</t>
        </is>
      </c>
      <c r="P35" s="4" t="inlineStr">
        <is>
          <t>Yes</t>
        </is>
      </c>
      <c r="Q35" s="2" t="n">
        <v>0</v>
      </c>
      <c r="R35" s="6" t="n">
        <v>42577</v>
      </c>
      <c r="S35" s="6" t="n">
        <v>42577</v>
      </c>
      <c r="T35" s="6" t="n">
        <v>42577</v>
      </c>
      <c r="U35" s="4" t="inlineStr">
        <is>
          <t>Reported day</t>
        </is>
      </c>
      <c r="V35" s="4" t="inlineStr">
        <is>
          <t>Reported</t>
        </is>
      </c>
      <c r="W35" s="7" t="n">
        <v>22.15</v>
      </c>
      <c r="X35" s="7" t="n">
        <v>22.15</v>
      </c>
      <c r="Y35" s="4" t="inlineStr">
        <is>
          <t>Point</t>
        </is>
      </c>
      <c r="Z35" s="4" t="inlineStr">
        <is>
          <t>Stated</t>
        </is>
      </c>
      <c r="AA35" s="4" t="inlineStr">
        <is>
          <t>USD</t>
        </is>
      </c>
      <c r="AB35" s="4" t="inlineStr">
        <is>
          <t>Yes</t>
        </is>
      </c>
      <c r="AC35" s="7" t="n">
        <v>21.02</v>
      </c>
      <c r="AD35" s="4" t="inlineStr">
        <is>
          <t>Fin: not stated; DD required: substantive (3 wks); DD open: yes; Excl: requested (3 wks)</t>
        </is>
      </c>
      <c r="AE35" s="4" t="n"/>
      <c r="AF35" s="4" t="inlineStr"/>
      <c r="AG35" s="4" t="inlineStr"/>
      <c r="AH35" s="4" t="inlineStr"/>
      <c r="AI35" s="4" t="inlineStr"/>
      <c r="AJ35" s="4" t="inlineStr"/>
      <c r="AK35" s="2" t="n">
        <v>29</v>
      </c>
      <c r="AL35" s="4" t="inlineStr">
        <is>
          <t>R033; R050</t>
        </is>
      </c>
      <c r="AM35" s="4" t="inlineStr">
        <is>
          <t>PWRR-G&amp;W</t>
        </is>
      </c>
    </row>
    <row r="36" ht="105.6" customHeight="1">
      <c r="A36" s="2" t="n">
        <v>35</v>
      </c>
      <c r="B36" s="3" t="inlineStr">
        <is>
          <t>07/27/2016</t>
        </is>
      </c>
      <c r="C36" s="4" t="inlineStr">
        <is>
          <t>Transaction Committee</t>
        </is>
      </c>
      <c r="D36" s="4" t="inlineStr">
        <is>
          <t>Round opened</t>
        </is>
      </c>
      <c r="E36" s="2" t="n">
        <v>1</v>
      </c>
      <c r="F36" s="2" t="n">
        <v>3</v>
      </c>
      <c r="G36" s="4" t="inlineStr"/>
      <c r="H36" s="4" t="inlineStr">
        <is>
          <t>R3 opens: the Committee concluded to proceed with confirmatory due diligence and negotiations with G&amp;W and Party B because of their higher offers relative to the other potential buyers; remaining bidders informed they were no longer involved (R036–R038); on-site financial, legal and environmental diligence and hi-rail inspections by both finalists 07/27–08/11/2016 (access alike for the advancing set). Round finality: Inferred final (moved to definitive negotiation with selected bidders).</t>
        </is>
      </c>
      <c r="I36" s="4" t="inlineStr"/>
      <c r="J36" s="4" t="inlineStr"/>
      <c r="K36" s="4" t="inlineStr">
        <is>
          <t>Stated: the conclusion, rationale, notice to remaining bidders and the diligence period. Round finality: Inferred final — no final/binding-stage announcement, but the target moved to definitive negotiation with selected bidders (Convention). Date: Reported day. Quote: "The Transaction Committee concluded that the Company should proceed with confirmatory due diligence and negotiations with G&amp;W and Party B because of the higher offers made by each of G&amp;W and Party B relative to the other potential buyers." (P-022, p30)</t>
        </is>
      </c>
      <c r="L36" s="5" t="inlineStr">
        <is>
          <t>P-022; P-025</t>
        </is>
      </c>
      <c r="M36" s="4" t="inlineStr">
        <is>
          <t>Q1</t>
        </is>
      </c>
      <c r="N36" s="4" t="inlineStr"/>
      <c r="O36" s="2" t="inlineStr">
        <is>
          <t>R035</t>
        </is>
      </c>
      <c r="P36" s="4" t="inlineStr">
        <is>
          <t>Yes</t>
        </is>
      </c>
      <c r="Q36" s="2" t="n"/>
      <c r="R36" s="6" t="n">
        <v>42578</v>
      </c>
      <c r="S36" s="6" t="n">
        <v>42578</v>
      </c>
      <c r="T36" s="6" t="n">
        <v>42578</v>
      </c>
      <c r="U36" s="4" t="inlineStr">
        <is>
          <t>Reported day</t>
        </is>
      </c>
      <c r="V36" s="4" t="inlineStr">
        <is>
          <t>Reported</t>
        </is>
      </c>
      <c r="W36" s="4" t="n"/>
      <c r="X36" s="4" t="n"/>
      <c r="Y36" s="4" t="inlineStr"/>
      <c r="Z36" s="4" t="inlineStr"/>
      <c r="AA36" s="4" t="inlineStr"/>
      <c r="AB36" s="4" t="inlineStr"/>
      <c r="AC36" s="4" t="n"/>
      <c r="AD36" s="4" t="inlineStr"/>
      <c r="AE36" s="4" t="n"/>
      <c r="AF36" s="4" t="inlineStr"/>
      <c r="AG36" s="4" t="inlineStr">
        <is>
          <t>Inferred final</t>
        </is>
      </c>
      <c r="AH36" s="4" t="inlineStr"/>
      <c r="AI36" s="4" t="inlineStr"/>
      <c r="AJ36" s="4" t="inlineStr"/>
      <c r="AK36" s="2" t="n">
        <v>30</v>
      </c>
      <c r="AL36" s="4" t="inlineStr">
        <is>
          <t>R020; R036; R037; R038; R039; R049</t>
        </is>
      </c>
      <c r="AM36" s="4" t="inlineStr">
        <is>
          <t>PWRR-G&amp;W</t>
        </is>
      </c>
    </row>
    <row r="37" ht="92.39999999999999" customHeight="1">
      <c r="A37" s="2" t="n">
        <v>36</v>
      </c>
      <c r="B37" s="3" t="inlineStr">
        <is>
          <t>07/27/2016 (notice day not disclosed; reported as “subsequently”)</t>
        </is>
      </c>
      <c r="C37" s="4" t="inlineStr">
        <is>
          <t>Party C</t>
        </is>
      </c>
      <c r="D37" s="4" t="inlineStr">
        <is>
          <t>Dropped by target</t>
        </is>
      </c>
      <c r="E37" s="2" t="n">
        <v>1</v>
      </c>
      <c r="F37" s="2" t="n">
        <v>2</v>
      </c>
      <c r="G37" s="4" t="inlineStr">
        <is>
          <t>Strategic</t>
        </is>
      </c>
      <c r="H37" s="4" t="inlineStr">
        <is>
          <t>Told no longer involved after the decision to proceed with G&amp;W and Party B; offered $19.30 at the LOI stage versus the finalists’ $24.00 and $22.15; denied the confirmatory and definitive stage (R3).</t>
        </is>
      </c>
      <c r="I37" s="4" t="inlineStr"/>
      <c r="J37" s="4" t="inlineStr"/>
      <c r="K37" s="4" t="inlineStr">
        <is>
          <t>Stated: notice to the remaining bidders and the exit; Inferred: the individual recipient (named non-finalist LOI submitter). Decided by Target; Exit reason: Lower offer than rivals. Date: the decision day (Convention; Assigned: decision day); the notice was given "subsequently". Quote: "At the direction of the Transaction Committee, representatives of GHF subsequently contacted the remaining bidders to inform them that they were no longer involved in the process." (P-022, p30)</t>
        </is>
      </c>
      <c r="L37" s="5" t="inlineStr">
        <is>
          <t>P-022</t>
        </is>
      </c>
      <c r="M37" s="4" t="inlineStr">
        <is>
          <t>Q5</t>
        </is>
      </c>
      <c r="N37" s="4" t="inlineStr"/>
      <c r="O37" s="2" t="inlineStr">
        <is>
          <t>R036</t>
        </is>
      </c>
      <c r="P37" s="4" t="inlineStr">
        <is>
          <t>Yes</t>
        </is>
      </c>
      <c r="Q37" s="2" t="n">
        <v>1</v>
      </c>
      <c r="R37" s="6" t="n">
        <v>42578</v>
      </c>
      <c r="S37" s="4" t="n"/>
      <c r="T37" s="6" t="n">
        <v>42578</v>
      </c>
      <c r="U37" s="4" t="inlineStr">
        <is>
          <t>Relative only</t>
        </is>
      </c>
      <c r="V37" s="4" t="inlineStr">
        <is>
          <t>Assigned: decision day</t>
        </is>
      </c>
      <c r="W37" s="4" t="n"/>
      <c r="X37" s="4" t="n"/>
      <c r="Y37" s="4" t="inlineStr"/>
      <c r="Z37" s="4" t="inlineStr"/>
      <c r="AA37" s="4" t="inlineStr"/>
      <c r="AB37" s="4" t="inlineStr"/>
      <c r="AC37" s="4" t="n"/>
      <c r="AD37" s="4" t="inlineStr"/>
      <c r="AE37" s="4" t="n"/>
      <c r="AF37" s="4" t="inlineStr"/>
      <c r="AG37" s="4" t="inlineStr"/>
      <c r="AH37" s="4" t="inlineStr">
        <is>
          <t>Target</t>
        </is>
      </c>
      <c r="AI37" s="4" t="inlineStr">
        <is>
          <t>Lower offer than rivals</t>
        </is>
      </c>
      <c r="AJ37" s="4" t="inlineStr">
        <is>
          <t>Stated</t>
        </is>
      </c>
      <c r="AK37" s="2" t="n">
        <v>30</v>
      </c>
      <c r="AL37" s="4" t="inlineStr">
        <is>
          <t>R029</t>
        </is>
      </c>
      <c r="AM37" s="4" t="inlineStr">
        <is>
          <t>PWRR-G&amp;W</t>
        </is>
      </c>
    </row>
    <row r="38" ht="92.39999999999999" customHeight="1">
      <c r="A38" s="2" t="n">
        <v>37</v>
      </c>
      <c r="B38" s="3" t="inlineStr">
        <is>
          <t>07/27/2016 (notice day not disclosed; reported as “subsequently”)</t>
        </is>
      </c>
      <c r="C38" s="4" t="inlineStr">
        <is>
          <t>Party D</t>
        </is>
      </c>
      <c r="D38" s="4" t="inlineStr">
        <is>
          <t>Dropped by target</t>
        </is>
      </c>
      <c r="E38" s="2" t="n">
        <v>1</v>
      </c>
      <c r="F38" s="2" t="n">
        <v>2</v>
      </c>
      <c r="G38" s="4" t="inlineStr">
        <is>
          <t>Financial</t>
        </is>
      </c>
      <c r="H38" s="4" t="inlineStr">
        <is>
          <t>Told no longer involved after the decision to proceed with G&amp;W and Party B; offered $21.00 at the LOI stage versus the finalists’ $24.00 and $22.15; denied the confirmatory and definitive stage (R3).</t>
        </is>
      </c>
      <c r="I38" s="4" t="inlineStr"/>
      <c r="J38" s="4" t="inlineStr"/>
      <c r="K38" s="4" t="inlineStr">
        <is>
          <t>Stated: notice to the remaining bidders and the exit; Inferred: the individual recipient (named non-finalist LOI submitter). Decided by Target; Exit reason: Lower offer than rivals. Date: the decision day (Convention; Assigned: decision day); the notice was given "subsequently". Quote: "At the direction of the Transaction Committee, representatives of GHF subsequently contacted the remaining bidders to inform them that they were no longer involved in the process." (P-022, p30)</t>
        </is>
      </c>
      <c r="L38" s="5" t="inlineStr">
        <is>
          <t>P-022</t>
        </is>
      </c>
      <c r="M38" s="4" t="inlineStr">
        <is>
          <t>Q5</t>
        </is>
      </c>
      <c r="N38" s="4" t="inlineStr"/>
      <c r="O38" s="2" t="inlineStr">
        <is>
          <t>R037</t>
        </is>
      </c>
      <c r="P38" s="4" t="inlineStr">
        <is>
          <t>Yes</t>
        </is>
      </c>
      <c r="Q38" s="2" t="n">
        <v>1</v>
      </c>
      <c r="R38" s="6" t="n">
        <v>42578</v>
      </c>
      <c r="S38" s="4" t="n"/>
      <c r="T38" s="6" t="n">
        <v>42578</v>
      </c>
      <c r="U38" s="4" t="inlineStr">
        <is>
          <t>Relative only</t>
        </is>
      </c>
      <c r="V38" s="4" t="inlineStr">
        <is>
          <t>Assigned: decision day</t>
        </is>
      </c>
      <c r="W38" s="4" t="n"/>
      <c r="X38" s="4" t="n"/>
      <c r="Y38" s="4" t="inlineStr"/>
      <c r="Z38" s="4" t="inlineStr"/>
      <c r="AA38" s="4" t="inlineStr"/>
      <c r="AB38" s="4" t="inlineStr"/>
      <c r="AC38" s="4" t="n"/>
      <c r="AD38" s="4" t="inlineStr"/>
      <c r="AE38" s="4" t="n"/>
      <c r="AF38" s="4" t="inlineStr"/>
      <c r="AG38" s="4" t="inlineStr"/>
      <c r="AH38" s="4" t="inlineStr">
        <is>
          <t>Target</t>
        </is>
      </c>
      <c r="AI38" s="4" t="inlineStr">
        <is>
          <t>Lower offer than rivals</t>
        </is>
      </c>
      <c r="AJ38" s="4" t="inlineStr">
        <is>
          <t>Stated</t>
        </is>
      </c>
      <c r="AK38" s="2" t="n">
        <v>30</v>
      </c>
      <c r="AL38" s="4" t="inlineStr">
        <is>
          <t>R028; R040</t>
        </is>
      </c>
      <c r="AM38" s="4" t="inlineStr">
        <is>
          <t>PWRR-G&amp;W</t>
        </is>
      </c>
    </row>
    <row r="39" ht="92.39999999999999" customHeight="1">
      <c r="A39" s="2" t="n">
        <v>38</v>
      </c>
      <c r="B39" s="3" t="inlineStr">
        <is>
          <t>07/27/2016 (notice day not disclosed; reported as “subsequently”)</t>
        </is>
      </c>
      <c r="C39" s="4" t="inlineStr">
        <is>
          <t>Party E</t>
        </is>
      </c>
      <c r="D39" s="4" t="inlineStr">
        <is>
          <t>Dropped by target</t>
        </is>
      </c>
      <c r="E39" s="2" t="n">
        <v>1</v>
      </c>
      <c r="F39" s="2" t="n">
        <v>2</v>
      </c>
      <c r="G39" s="4" t="inlineStr">
        <is>
          <t>Strategic</t>
        </is>
      </c>
      <c r="H39" s="4" t="inlineStr">
        <is>
          <t>Told no longer involved after the decision to proceed with G&amp;W and Party B; offered $21.26 at the LOI stage versus the finalists’ $24.00 and $22.15; denied the confirmatory and definitive stage (R3).</t>
        </is>
      </c>
      <c r="I39" s="4" t="inlineStr"/>
      <c r="J39" s="4" t="inlineStr"/>
      <c r="K39" s="4" t="inlineStr">
        <is>
          <t>Stated: notice to the remaining bidders and the exit; Inferred: the individual recipient (named non-finalist LOI submitter). Decided by Target; Exit reason: Lower offer than rivals. Date: the decision day (Convention; Assigned: decision day); the notice was given "subsequently". Quote: "At the direction of the Transaction Committee, representatives of GHF subsequently contacted the remaining bidders to inform them that they were no longer involved in the process." (P-022, p30)</t>
        </is>
      </c>
      <c r="L39" s="5" t="inlineStr">
        <is>
          <t>P-022</t>
        </is>
      </c>
      <c r="M39" s="4" t="inlineStr">
        <is>
          <t>Q5</t>
        </is>
      </c>
      <c r="N39" s="4" t="inlineStr"/>
      <c r="O39" s="2" t="inlineStr">
        <is>
          <t>R038</t>
        </is>
      </c>
      <c r="P39" s="4" t="inlineStr">
        <is>
          <t>Yes</t>
        </is>
      </c>
      <c r="Q39" s="2" t="n">
        <v>1</v>
      </c>
      <c r="R39" s="6" t="n">
        <v>42578</v>
      </c>
      <c r="S39" s="4" t="n"/>
      <c r="T39" s="6" t="n">
        <v>42578</v>
      </c>
      <c r="U39" s="4" t="inlineStr">
        <is>
          <t>Relative only</t>
        </is>
      </c>
      <c r="V39" s="4" t="inlineStr">
        <is>
          <t>Assigned: decision day</t>
        </is>
      </c>
      <c r="W39" s="4" t="n"/>
      <c r="X39" s="4" t="n"/>
      <c r="Y39" s="4" t="inlineStr"/>
      <c r="Z39" s="4" t="inlineStr"/>
      <c r="AA39" s="4" t="inlineStr"/>
      <c r="AB39" s="4" t="inlineStr"/>
      <c r="AC39" s="4" t="n"/>
      <c r="AD39" s="4" t="inlineStr"/>
      <c r="AE39" s="4" t="n"/>
      <c r="AF39" s="4" t="inlineStr"/>
      <c r="AG39" s="4" t="inlineStr"/>
      <c r="AH39" s="4" t="inlineStr">
        <is>
          <t>Target</t>
        </is>
      </c>
      <c r="AI39" s="4" t="inlineStr">
        <is>
          <t>Lower offer than rivals</t>
        </is>
      </c>
      <c r="AJ39" s="4" t="inlineStr">
        <is>
          <t>Stated</t>
        </is>
      </c>
      <c r="AK39" s="2" t="n">
        <v>30</v>
      </c>
      <c r="AL39" s="4" t="inlineStr">
        <is>
          <t>R027; R042</t>
        </is>
      </c>
      <c r="AM39" s="4" t="inlineStr">
        <is>
          <t>PWRR-G&amp;W</t>
        </is>
      </c>
    </row>
    <row r="40" ht="92.39999999999999" customHeight="1">
      <c r="A40" s="2" t="n">
        <v>39</v>
      </c>
      <c r="B40" s="3" t="inlineStr">
        <is>
          <t>07/27/2016 (notice day not disclosed; reported as “subsequently”)</t>
        </is>
      </c>
      <c r="C40" s="4" t="inlineStr">
        <is>
          <t>Party F</t>
        </is>
      </c>
      <c r="D40" s="4" t="inlineStr">
        <is>
          <t>Dropped by target</t>
        </is>
      </c>
      <c r="E40" s="2" t="n">
        <v>1</v>
      </c>
      <c r="F40" s="2" t="n">
        <v>2</v>
      </c>
      <c r="G40" s="4" t="inlineStr">
        <is>
          <t>Strategic</t>
        </is>
      </c>
      <c r="H40" s="4" t="inlineStr">
        <is>
          <t>Told no longer involved after the decision to proceed with G&amp;W and Party B; offered $19.20 at the LOI stage versus the finalists’ $24.00 and $22.15; denied the confirmatory and definitive stage (R3).</t>
        </is>
      </c>
      <c r="I40" s="4" t="inlineStr"/>
      <c r="J40" s="4" t="inlineStr"/>
      <c r="K40" s="4" t="inlineStr">
        <is>
          <t>Stated: notice to the remaining bidders and the exit; Inferred: the individual recipient (named non-finalist LOI submitter). Decided by Target; Exit reason: Lower offer than rivals. Date: the decision day (Convention; Assigned: decision day); the notice was given "subsequently". Quote: "At the direction of the Transaction Committee, representatives of GHF subsequently contacted the remaining bidders to inform them that they were no longer involved in the process." (P-022, p30)</t>
        </is>
      </c>
      <c r="L40" s="5" t="inlineStr">
        <is>
          <t>P-022</t>
        </is>
      </c>
      <c r="M40" s="4" t="inlineStr">
        <is>
          <t>Q5</t>
        </is>
      </c>
      <c r="N40" s="4" t="inlineStr"/>
      <c r="O40" s="2" t="inlineStr">
        <is>
          <t>R039</t>
        </is>
      </c>
      <c r="P40" s="4" t="inlineStr">
        <is>
          <t>Yes</t>
        </is>
      </c>
      <c r="Q40" s="2" t="n">
        <v>1</v>
      </c>
      <c r="R40" s="6" t="n">
        <v>42578</v>
      </c>
      <c r="S40" s="4" t="n"/>
      <c r="T40" s="6" t="n">
        <v>42578</v>
      </c>
      <c r="U40" s="4" t="inlineStr">
        <is>
          <t>Relative only</t>
        </is>
      </c>
      <c r="V40" s="4" t="inlineStr">
        <is>
          <t>Assigned: decision day</t>
        </is>
      </c>
      <c r="W40" s="4" t="n"/>
      <c r="X40" s="4" t="n"/>
      <c r="Y40" s="4" t="inlineStr"/>
      <c r="Z40" s="4" t="inlineStr"/>
      <c r="AA40" s="4" t="inlineStr"/>
      <c r="AB40" s="4" t="inlineStr"/>
      <c r="AC40" s="4" t="n"/>
      <c r="AD40" s="4" t="inlineStr"/>
      <c r="AE40" s="4" t="n"/>
      <c r="AF40" s="4" t="inlineStr"/>
      <c r="AG40" s="4" t="inlineStr"/>
      <c r="AH40" s="4" t="inlineStr">
        <is>
          <t>Target</t>
        </is>
      </c>
      <c r="AI40" s="4" t="inlineStr">
        <is>
          <t>Lower offer than rivals</t>
        </is>
      </c>
      <c r="AJ40" s="4" t="inlineStr">
        <is>
          <t>Stated</t>
        </is>
      </c>
      <c r="AK40" s="2" t="n">
        <v>30</v>
      </c>
      <c r="AL40" s="4" t="inlineStr">
        <is>
          <t>R030; R043</t>
        </is>
      </c>
      <c r="AM40" s="4" t="inlineStr">
        <is>
          <t>PWRR-G&amp;W</t>
        </is>
      </c>
    </row>
    <row r="41" ht="66" customHeight="1">
      <c r="A41" s="2" t="n">
        <v>40</v>
      </c>
      <c r="B41" s="3" t="inlineStr">
        <is>
          <t>08/01/2016</t>
        </is>
      </c>
      <c r="C41" s="4" t="inlineStr">
        <is>
          <t>Party D</t>
        </is>
      </c>
      <c r="D41" s="4" t="inlineStr">
        <is>
          <t>Re-entered</t>
        </is>
      </c>
      <c r="E41" s="2" t="n">
        <v>1</v>
      </c>
      <c r="F41" s="2" t="n">
        <v>3</v>
      </c>
      <c r="G41" s="4" t="inlineStr">
        <is>
          <t>Financial</t>
        </is>
      </c>
      <c r="H41" s="4" t="inlineStr">
        <is>
          <t>Renewed participation after its 07/27/2016 exclusion: D and E expressed interest in re-engaging on GHF’s 07/29/2016 calls and D submitted a revised LOI on 08/01/2016 (R041) — actual renewed activity, not a mere request.</t>
        </is>
      </c>
      <c r="I41" s="4" t="inlineStr"/>
      <c r="J41" s="4" t="inlineStr"/>
      <c r="K41" s="4" t="inlineStr">
        <is>
          <t>Stated: the calls, renewed interest and the revised LOI; the re-entry day is the dated renewed activity. Date: Reported day. Quote: "On July 29, 2016, representatives of GHF had calls with Party D and Party E. During those calls, Party D and Party E both expressed interest in reengaging and enhancing their offers." (P-023, p30)</t>
        </is>
      </c>
      <c r="L41" s="5" t="inlineStr">
        <is>
          <t>P-023</t>
        </is>
      </c>
      <c r="M41" s="4" t="inlineStr">
        <is>
          <t>Q5</t>
        </is>
      </c>
      <c r="N41" s="4" t="inlineStr"/>
      <c r="O41" s="2" t="inlineStr">
        <is>
          <t>R040</t>
        </is>
      </c>
      <c r="P41" s="4" t="inlineStr">
        <is>
          <t>Yes</t>
        </is>
      </c>
      <c r="Q41" s="2" t="n">
        <v>1</v>
      </c>
      <c r="R41" s="6" t="n">
        <v>42583</v>
      </c>
      <c r="S41" s="6" t="n">
        <v>42583</v>
      </c>
      <c r="T41" s="6" t="n">
        <v>42583</v>
      </c>
      <c r="U41" s="4" t="inlineStr">
        <is>
          <t>Reported day</t>
        </is>
      </c>
      <c r="V41" s="4" t="inlineStr">
        <is>
          <t>Reported</t>
        </is>
      </c>
      <c r="W41" s="4" t="n"/>
      <c r="X41" s="4" t="n"/>
      <c r="Y41" s="4" t="inlineStr"/>
      <c r="Z41" s="4" t="inlineStr"/>
      <c r="AA41" s="4" t="inlineStr"/>
      <c r="AB41" s="4" t="inlineStr"/>
      <c r="AC41" s="4" t="n"/>
      <c r="AD41" s="4" t="inlineStr"/>
      <c r="AE41" s="4" t="n"/>
      <c r="AF41" s="4" t="inlineStr"/>
      <c r="AG41" s="4" t="inlineStr"/>
      <c r="AH41" s="4" t="inlineStr"/>
      <c r="AI41" s="4" t="inlineStr"/>
      <c r="AJ41" s="4" t="inlineStr"/>
      <c r="AK41" s="2" t="n">
        <v>30</v>
      </c>
      <c r="AL41" s="4" t="inlineStr">
        <is>
          <t>R037; R041</t>
        </is>
      </c>
      <c r="AM41" s="4" t="inlineStr">
        <is>
          <t>PWRR-G&amp;W</t>
        </is>
      </c>
    </row>
    <row r="42" ht="118.8" customHeight="1">
      <c r="A42" s="2" t="n">
        <v>41</v>
      </c>
      <c r="B42" s="3" t="inlineStr">
        <is>
          <t>08/01/2016</t>
        </is>
      </c>
      <c r="C42" s="4" t="inlineStr">
        <is>
          <t>Party D</t>
        </is>
      </c>
      <c r="D42" s="4" t="inlineStr">
        <is>
          <t>Bid</t>
        </is>
      </c>
      <c r="E42" s="2" t="n">
        <v>1</v>
      </c>
      <c r="F42" s="2" t="n">
        <v>3</v>
      </c>
      <c r="G42" s="4" t="inlineStr">
        <is>
          <t>Financial</t>
        </is>
      </c>
      <c r="H42" s="4" t="inlineStr">
        <is>
          <t>Revised LOI at $24.00 per share (up from $21.00, R028), subject to a 30-day due diligence period; D asked the Company not to enter an agreement with another bidder during that period; the Company declined; D then indicated it would not proceed with further diligence at that time (R045).</t>
        </is>
      </c>
      <c r="I42" s="4" t="inlineStr">
        <is>
          <t>Formal</t>
        </is>
      </c>
      <c r="J42" s="4" t="inlineStr">
        <is>
          <t>Heavy</t>
        </is>
      </c>
      <c r="K42" s="4" t="inlineStr">
        <is>
          <t>Stated: price, 30-day diligence condition, requested no-signing commitment, the Company’s refusal and D’s response. Formality: Formal (carried forward — markups at the LOI stage). Conditions: Heavy — 30-day diligence period; the requested no-signing commitment is recorded under Excl. Date: Reported day. Quotes: "Party D submitted a revised LOI at a price of $24.00 per share" (P-023, p30); "Party D declined to shorten its due diligence period and requested that the Company commit that it would not enter into an agreement with another bidder during its 30-day due diligence period" (P-023, p30).</t>
        </is>
      </c>
      <c r="L42" s="5" t="inlineStr">
        <is>
          <t>P-023; P-025</t>
        </is>
      </c>
      <c r="M42" s="4" t="inlineStr">
        <is>
          <t>Q4; Q5</t>
        </is>
      </c>
      <c r="N42" s="4" t="inlineStr"/>
      <c r="O42" s="2" t="inlineStr">
        <is>
          <t>R041</t>
        </is>
      </c>
      <c r="P42" s="4" t="inlineStr">
        <is>
          <t>Yes</t>
        </is>
      </c>
      <c r="Q42" s="2" t="n">
        <v>1</v>
      </c>
      <c r="R42" s="6" t="n">
        <v>42583</v>
      </c>
      <c r="S42" s="6" t="n">
        <v>42583</v>
      </c>
      <c r="T42" s="6" t="n">
        <v>42583</v>
      </c>
      <c r="U42" s="4" t="inlineStr">
        <is>
          <t>Reported day</t>
        </is>
      </c>
      <c r="V42" s="4" t="inlineStr">
        <is>
          <t>Reported</t>
        </is>
      </c>
      <c r="W42" s="7" t="n">
        <v>24</v>
      </c>
      <c r="X42" s="7" t="n">
        <v>24</v>
      </c>
      <c r="Y42" s="4" t="inlineStr">
        <is>
          <t>Point</t>
        </is>
      </c>
      <c r="Z42" s="4" t="inlineStr">
        <is>
          <t>Stated</t>
        </is>
      </c>
      <c r="AA42" s="4" t="inlineStr">
        <is>
          <t>USD</t>
        </is>
      </c>
      <c r="AB42" s="4" t="inlineStr">
        <is>
          <t>Not stated</t>
        </is>
      </c>
      <c r="AC42" s="4" t="n"/>
      <c r="AD42" s="4" t="inlineStr">
        <is>
          <t>Fin: not stated; DD required: substantive (4 wks); DD open: yes; Excl: requested (4 wks)</t>
        </is>
      </c>
      <c r="AE42" s="4" t="n"/>
      <c r="AF42" s="4" t="inlineStr"/>
      <c r="AG42" s="4" t="inlineStr"/>
      <c r="AH42" s="4" t="inlineStr"/>
      <c r="AI42" s="4" t="inlineStr"/>
      <c r="AJ42" s="4" t="inlineStr"/>
      <c r="AK42" s="2" t="n">
        <v>30</v>
      </c>
      <c r="AL42" s="4" t="inlineStr">
        <is>
          <t>R028; R040; R045; R047</t>
        </is>
      </c>
      <c r="AM42" s="4" t="inlineStr">
        <is>
          <t>PWRR-G&amp;W</t>
        </is>
      </c>
    </row>
    <row r="43" ht="52.8" customHeight="1">
      <c r="A43" s="2" t="n">
        <v>42</v>
      </c>
      <c r="B43" s="3" t="inlineStr">
        <is>
          <t>08/01/2016</t>
        </is>
      </c>
      <c r="C43" s="4" t="inlineStr">
        <is>
          <t>Party E</t>
        </is>
      </c>
      <c r="D43" s="4" t="inlineStr">
        <is>
          <t>Re-entered</t>
        </is>
      </c>
      <c r="E43" s="2" t="n">
        <v>1</v>
      </c>
      <c r="F43" s="2" t="n">
        <v>3</v>
      </c>
      <c r="G43" s="4" t="inlineStr">
        <is>
          <t>Strategic</t>
        </is>
      </c>
      <c r="H43" s="4" t="inlineStr">
        <is>
          <t>Renewed participation after its 07/27/2016 exclusion: E expressed interest in re-engaging on GHF’s 07/29/2016 calls and submitted a revised LOI on 08/01/2016 (R043) — actual renewed activity, not a mere request.</t>
        </is>
      </c>
      <c r="I43" s="4" t="inlineStr"/>
      <c r="J43" s="4" t="inlineStr"/>
      <c r="K43" s="4" t="inlineStr">
        <is>
          <t>Stated: the calls, renewed interest and the revised LOI; the re-entry day is the dated renewed activity. Date: Reported day. Quote: as at R040 (P-023, p30).</t>
        </is>
      </c>
      <c r="L43" s="5" t="inlineStr">
        <is>
          <t>P-023</t>
        </is>
      </c>
      <c r="M43" s="4" t="inlineStr">
        <is>
          <t>Q5</t>
        </is>
      </c>
      <c r="N43" s="4" t="inlineStr"/>
      <c r="O43" s="2" t="inlineStr">
        <is>
          <t>R042</t>
        </is>
      </c>
      <c r="P43" s="4" t="inlineStr">
        <is>
          <t>Yes</t>
        </is>
      </c>
      <c r="Q43" s="2" t="n">
        <v>1</v>
      </c>
      <c r="R43" s="6" t="n">
        <v>42583</v>
      </c>
      <c r="S43" s="6" t="n">
        <v>42583</v>
      </c>
      <c r="T43" s="6" t="n">
        <v>42583</v>
      </c>
      <c r="U43" s="4" t="inlineStr">
        <is>
          <t>Reported day</t>
        </is>
      </c>
      <c r="V43" s="4" t="inlineStr">
        <is>
          <t>Reported</t>
        </is>
      </c>
      <c r="W43" s="4" t="n"/>
      <c r="X43" s="4" t="n"/>
      <c r="Y43" s="4" t="inlineStr"/>
      <c r="Z43" s="4" t="inlineStr"/>
      <c r="AA43" s="4" t="inlineStr"/>
      <c r="AB43" s="4" t="inlineStr"/>
      <c r="AC43" s="4" t="n"/>
      <c r="AD43" s="4" t="inlineStr"/>
      <c r="AE43" s="4" t="n"/>
      <c r="AF43" s="4" t="inlineStr"/>
      <c r="AG43" s="4" t="inlineStr"/>
      <c r="AH43" s="4" t="inlineStr"/>
      <c r="AI43" s="4" t="inlineStr"/>
      <c r="AJ43" s="4" t="inlineStr"/>
      <c r="AK43" s="2" t="n">
        <v>30</v>
      </c>
      <c r="AL43" s="4" t="inlineStr">
        <is>
          <t>R038; R043</t>
        </is>
      </c>
      <c r="AM43" s="4" t="inlineStr">
        <is>
          <t>PWRR-G&amp;W</t>
        </is>
      </c>
    </row>
    <row r="44" ht="105.6" customHeight="1">
      <c r="A44" s="2" t="n">
        <v>43</v>
      </c>
      <c r="B44" s="3" t="inlineStr">
        <is>
          <t>08/01/2016</t>
        </is>
      </c>
      <c r="C44" s="4" t="inlineStr">
        <is>
          <t>Party E</t>
        </is>
      </c>
      <c r="D44" s="4" t="inlineStr">
        <is>
          <t>Bid</t>
        </is>
      </c>
      <c r="E44" s="2" t="n">
        <v>1</v>
      </c>
      <c r="F44" s="2" t="n">
        <v>3</v>
      </c>
      <c r="G44" s="4" t="inlineStr">
        <is>
          <t>Strategic</t>
        </is>
      </c>
      <c r="H44" s="4" t="inlineStr">
        <is>
          <t>Support: Party F (financing) — revised LOI at $23.81 per share with financing support from Party F, subject to a 30-day due diligence period; F’s independent participation had ended on 07/27/2016 (R039), so F gets no new row and no re-entry; F’s earlier bid: R030.</t>
        </is>
      </c>
      <c r="I44" s="4" t="inlineStr">
        <is>
          <t>Informal</t>
        </is>
      </c>
      <c r="J44" s="4" t="inlineStr">
        <is>
          <t>Heavy</t>
        </is>
      </c>
      <c r="K44" s="4" t="inlineStr">
        <is>
          <t>Stated: price, F’s financing support and the 30-day diligence period. Formality: Informal (issues-list history; no markups). Conditions: Heavy — 30-day diligence period. Support: financing support does not establish joint bidding (Convention) and the supporter had already exited, so it gets no new row (Convention). Date: Reported day. Quote: "Party E submitted a revised LOI, along with financing support, from Party F, at a price of $23.81 per share. Both revised proposals contained a 30-day due diligence period." (P-023, p30)</t>
        </is>
      </c>
      <c r="L44" s="5" t="inlineStr">
        <is>
          <t>P-023</t>
        </is>
      </c>
      <c r="M44" s="4" t="inlineStr">
        <is>
          <t>Q4; Q5</t>
        </is>
      </c>
      <c r="N44" s="4" t="inlineStr"/>
      <c r="O44" s="2" t="inlineStr">
        <is>
          <t>R043</t>
        </is>
      </c>
      <c r="P44" s="4" t="inlineStr">
        <is>
          <t>Yes</t>
        </is>
      </c>
      <c r="Q44" s="2" t="n">
        <v>1</v>
      </c>
      <c r="R44" s="6" t="n">
        <v>42583</v>
      </c>
      <c r="S44" s="6" t="n">
        <v>42583</v>
      </c>
      <c r="T44" s="6" t="n">
        <v>42583</v>
      </c>
      <c r="U44" s="4" t="inlineStr">
        <is>
          <t>Reported day</t>
        </is>
      </c>
      <c r="V44" s="4" t="inlineStr">
        <is>
          <t>Reported</t>
        </is>
      </c>
      <c r="W44" s="7" t="n">
        <v>23.81</v>
      </c>
      <c r="X44" s="7" t="n">
        <v>23.81</v>
      </c>
      <c r="Y44" s="4" t="inlineStr">
        <is>
          <t>Point</t>
        </is>
      </c>
      <c r="Z44" s="4" t="inlineStr">
        <is>
          <t>Stated</t>
        </is>
      </c>
      <c r="AA44" s="4" t="inlineStr">
        <is>
          <t>USD</t>
        </is>
      </c>
      <c r="AB44" s="4" t="inlineStr">
        <is>
          <t>Not stated</t>
        </is>
      </c>
      <c r="AC44" s="4" t="n"/>
      <c r="AD44" s="4" t="inlineStr">
        <is>
          <t>Fin: not stated; DD required: substantive (30 days); DD open: yes; Excl: not stated</t>
        </is>
      </c>
      <c r="AE44" s="4" t="n"/>
      <c r="AF44" s="4" t="inlineStr"/>
      <c r="AG44" s="4" t="inlineStr"/>
      <c r="AH44" s="4" t="inlineStr"/>
      <c r="AI44" s="4" t="inlineStr"/>
      <c r="AJ44" s="4" t="inlineStr"/>
      <c r="AK44" s="2" t="n">
        <v>30</v>
      </c>
      <c r="AL44" s="4" t="inlineStr">
        <is>
          <t>R027; R030; R039; R042; R044</t>
        </is>
      </c>
      <c r="AM44" s="4" t="inlineStr">
        <is>
          <t>PWRR-G&amp;W</t>
        </is>
      </c>
    </row>
    <row r="45" ht="92.39999999999999" customHeight="1">
      <c r="A45" s="2" t="n">
        <v>44</v>
      </c>
      <c r="B45" s="3" t="inlineStr">
        <is>
          <t>08/02/2016</t>
        </is>
      </c>
      <c r="C45" s="4" t="inlineStr">
        <is>
          <t>Party E</t>
        </is>
      </c>
      <c r="D45" s="4" t="inlineStr">
        <is>
          <t>Bid reaffirmed</t>
        </is>
      </c>
      <c r="E45" s="2" t="n">
        <v>1</v>
      </c>
      <c r="F45" s="2" t="n">
        <v>3</v>
      </c>
      <c r="G45" s="4" t="inlineStr">
        <is>
          <t>Strategic</t>
        </is>
      </c>
      <c r="H45" s="4" t="inlineStr">
        <is>
          <t>Reaffirmed by: price confirmed — withdrew its revised $23.81 proposal and confirmed its original proposal of $21.26 per share; the original terms (60-day exclusive diligence and negotiation period) carried forward; the revised proposal stands withdrawn.</t>
        </is>
      </c>
      <c r="I45" s="4" t="inlineStr">
        <is>
          <t>Informal</t>
        </is>
      </c>
      <c r="J45" s="4" t="inlineStr">
        <is>
          <t>Heavy</t>
        </is>
      </c>
      <c r="K45" s="4" t="inlineStr">
        <is>
          <t>Stated: withdrawal of the revision and confirmation of the original price. Formality: Informal (carried from R027). Conditions: Heavy — the confirmed original 60-day exclusive diligence and negotiation period. Price: carried forward from R027 (Convention). Count 0 — no new unit; E’s R3 count is on R043. Date: Reported day. Quote: "Party E withdrew its revised proposal on August 2, 2016 (but confirmed its original proposal of $21.26 per share)" (P-023, p30)</t>
        </is>
      </c>
      <c r="L45" s="5" t="inlineStr">
        <is>
          <t>P-023</t>
        </is>
      </c>
      <c r="M45" s="4" t="inlineStr">
        <is>
          <t>Q4; Q5</t>
        </is>
      </c>
      <c r="N45" s="4" t="inlineStr"/>
      <c r="O45" s="2" t="inlineStr">
        <is>
          <t>R044</t>
        </is>
      </c>
      <c r="P45" s="4" t="inlineStr">
        <is>
          <t>Yes</t>
        </is>
      </c>
      <c r="Q45" s="2" t="n">
        <v>0</v>
      </c>
      <c r="R45" s="6" t="n">
        <v>42584</v>
      </c>
      <c r="S45" s="6" t="n">
        <v>42584</v>
      </c>
      <c r="T45" s="6" t="n">
        <v>42584</v>
      </c>
      <c r="U45" s="4" t="inlineStr">
        <is>
          <t>Reported day</t>
        </is>
      </c>
      <c r="V45" s="4" t="inlineStr">
        <is>
          <t>Reported</t>
        </is>
      </c>
      <c r="W45" s="7" t="n">
        <v>21.26</v>
      </c>
      <c r="X45" s="7" t="n">
        <v>21.26</v>
      </c>
      <c r="Y45" s="4" t="inlineStr">
        <is>
          <t>Point</t>
        </is>
      </c>
      <c r="Z45" s="4" t="inlineStr">
        <is>
          <t>Carried forward</t>
        </is>
      </c>
      <c r="AA45" s="4" t="inlineStr">
        <is>
          <t>USD</t>
        </is>
      </c>
      <c r="AB45" s="4" t="inlineStr">
        <is>
          <t>Not stated</t>
        </is>
      </c>
      <c r="AC45" s="4" t="n"/>
      <c r="AD45" s="4" t="inlineStr">
        <is>
          <t>Fin: not stated; DD required: substantive (60 days); DD open: not disclosed; Excl: requested (60 days)</t>
        </is>
      </c>
      <c r="AE45" s="4" t="n"/>
      <c r="AF45" s="4" t="inlineStr"/>
      <c r="AG45" s="4" t="inlineStr"/>
      <c r="AH45" s="4" t="inlineStr"/>
      <c r="AI45" s="4" t="inlineStr"/>
      <c r="AJ45" s="4" t="inlineStr"/>
      <c r="AK45" s="2" t="n">
        <v>30</v>
      </c>
      <c r="AL45" s="4" t="inlineStr">
        <is>
          <t>R027; R043; R048</t>
        </is>
      </c>
      <c r="AM45" s="4" t="inlineStr">
        <is>
          <t>PWRR-G&amp;W</t>
        </is>
      </c>
    </row>
    <row r="46" ht="92.39999999999999" customHeight="1">
      <c r="A46" s="2" t="n">
        <v>45</v>
      </c>
      <c r="B46" s="3" t="inlineStr">
        <is>
          <t>08/02/2016 (day inferred; reported with the 08/02/2016 events)</t>
        </is>
      </c>
      <c r="C46" s="4" t="inlineStr">
        <is>
          <t>Party D</t>
        </is>
      </c>
      <c r="D46" s="4" t="inlineStr">
        <is>
          <t>Participation paused</t>
        </is>
      </c>
      <c r="E46" s="2" t="n">
        <v>1</v>
      </c>
      <c r="F46" s="2" t="n">
        <v>3</v>
      </c>
      <c r="G46" s="4" t="inlineStr">
        <is>
          <t>Financial</t>
        </is>
      </c>
      <c r="H46" s="4" t="inlineStr">
        <is>
          <t>D declined to shorten its 30-day diligence period and asked the Company not to sign with another bidder during it; the Company declined; D indicated it would not proceed with further due diligence "at that time" — D’s own stated temporary stop, not a withdrawal; D remains live (closed at R047).</t>
        </is>
      </c>
      <c r="I46" s="4" t="inlineStr"/>
      <c r="J46" s="4" t="inlineStr"/>
      <c r="K46" s="4" t="inlineStr">
        <is>
          <t>Stated: the exchange and D’s own statement; Inferred: the day (reported with the 08/02/2016 withdrawal of E’s revised proposal and after the 08/01/2016 Committee meeting; no day stated) — Inferred day. Decided by Bidder; Exit reason: Terms or process (the no-signing commitment D requested was not obtained). A pause does not close a participant (Convention). Quote: "at which point Party D indicated that it would not proceed with further due diligence at that time" (P-023, p30)</t>
        </is>
      </c>
      <c r="L46" s="5" t="inlineStr">
        <is>
          <t>P-023</t>
        </is>
      </c>
      <c r="M46" s="4" t="inlineStr">
        <is>
          <t>Q5</t>
        </is>
      </c>
      <c r="N46" s="4" t="inlineStr"/>
      <c r="O46" s="2" t="inlineStr">
        <is>
          <t>R045</t>
        </is>
      </c>
      <c r="P46" s="4" t="inlineStr">
        <is>
          <t>Yes</t>
        </is>
      </c>
      <c r="Q46" s="2" t="n">
        <v>1</v>
      </c>
      <c r="R46" s="6" t="n">
        <v>42584</v>
      </c>
      <c r="S46" s="6" t="n">
        <v>42584</v>
      </c>
      <c r="T46" s="6" t="n">
        <v>42584</v>
      </c>
      <c r="U46" s="4" t="inlineStr">
        <is>
          <t>Inferred day</t>
        </is>
      </c>
      <c r="V46" s="4" t="inlineStr">
        <is>
          <t>Inferred</t>
        </is>
      </c>
      <c r="W46" s="4" t="n"/>
      <c r="X46" s="4" t="n"/>
      <c r="Y46" s="4" t="inlineStr"/>
      <c r="Z46" s="4" t="inlineStr"/>
      <c r="AA46" s="4" t="inlineStr"/>
      <c r="AB46" s="4" t="inlineStr"/>
      <c r="AC46" s="4" t="n"/>
      <c r="AD46" s="4" t="inlineStr"/>
      <c r="AE46" s="4" t="n"/>
      <c r="AF46" s="4" t="inlineStr"/>
      <c r="AG46" s="4" t="inlineStr"/>
      <c r="AH46" s="4" t="inlineStr">
        <is>
          <t>Bidder</t>
        </is>
      </c>
      <c r="AI46" s="4" t="inlineStr">
        <is>
          <t>Terms or process</t>
        </is>
      </c>
      <c r="AJ46" s="4" t="inlineStr">
        <is>
          <t>Stated</t>
        </is>
      </c>
      <c r="AK46" s="2" t="n">
        <v>30</v>
      </c>
      <c r="AL46" s="4" t="inlineStr">
        <is>
          <t>R041; R047</t>
        </is>
      </c>
      <c r="AM46" s="4" t="inlineStr">
        <is>
          <t>PWRR-G&amp;W</t>
        </is>
      </c>
    </row>
    <row r="47" ht="79.19999999999999" customHeight="1">
      <c r="A47" s="2" t="n">
        <v>46</v>
      </c>
      <c r="B47" s="3" t="inlineStr">
        <is>
          <t>08/04/2016</t>
        </is>
      </c>
      <c r="C47" s="4" t="inlineStr">
        <is>
          <t>Transaction Committee</t>
        </is>
      </c>
      <c r="D47" s="4" t="inlineStr">
        <is>
          <t>Target decision</t>
        </is>
      </c>
      <c r="E47" s="2" t="n">
        <v>1</v>
      </c>
      <c r="F47" s="2" t="n">
        <v>3</v>
      </c>
      <c r="G47" s="4" t="inlineStr"/>
      <c r="H47" s="4" t="inlineStr">
        <is>
          <t>Committee directed continued diligence and negotiations with both G&amp;W and Party B, but to prioritize Party B and complete the merger agreement with it, given Party B’s higher price; D and E are not in the continuing set (closes R047, R048).</t>
        </is>
      </c>
      <c r="I47" s="4" t="inlineStr"/>
      <c r="J47" s="4" t="inlineStr"/>
      <c r="K47" s="4" t="inlineStr">
        <is>
          <t>Stated: the direction and rationale. Date: Reported day. Quote: "During that discussion,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(P-025, p31)</t>
        </is>
      </c>
      <c r="L47" s="5" t="inlineStr">
        <is>
          <t>P-025</t>
        </is>
      </c>
      <c r="M47" s="4" t="inlineStr"/>
      <c r="N47" s="4" t="inlineStr"/>
      <c r="O47" s="2" t="inlineStr">
        <is>
          <t>R046</t>
        </is>
      </c>
      <c r="P47" s="4" t="inlineStr">
        <is>
          <t>Yes</t>
        </is>
      </c>
      <c r="Q47" s="2" t="n"/>
      <c r="R47" s="6" t="n">
        <v>42586</v>
      </c>
      <c r="S47" s="6" t="n">
        <v>42586</v>
      </c>
      <c r="T47" s="6" t="n">
        <v>42586</v>
      </c>
      <c r="U47" s="4" t="inlineStr">
        <is>
          <t>Reported day</t>
        </is>
      </c>
      <c r="V47" s="4" t="inlineStr">
        <is>
          <t>Reported</t>
        </is>
      </c>
      <c r="W47" s="4" t="n"/>
      <c r="X47" s="4" t="n"/>
      <c r="Y47" s="4" t="inlineStr"/>
      <c r="Z47" s="4" t="inlineStr"/>
      <c r="AA47" s="4" t="inlineStr"/>
      <c r="AB47" s="4" t="inlineStr"/>
      <c r="AC47" s="4" t="n"/>
      <c r="AD47" s="4" t="inlineStr"/>
      <c r="AE47" s="4" t="n"/>
      <c r="AF47" s="4" t="inlineStr"/>
      <c r="AG47" s="4" t="inlineStr"/>
      <c r="AH47" s="4" t="inlineStr"/>
      <c r="AI47" s="4" t="inlineStr"/>
      <c r="AJ47" s="4" t="inlineStr"/>
      <c r="AK47" s="2" t="n">
        <v>31</v>
      </c>
      <c r="AL47" s="4" t="inlineStr">
        <is>
          <t>R035; R047; R048</t>
        </is>
      </c>
      <c r="AM47" s="4" t="inlineStr">
        <is>
          <t>PWRR-G&amp;W</t>
        </is>
      </c>
    </row>
    <row r="48" ht="105.6" customHeight="1">
      <c r="A48" s="2" t="n">
        <v>47</v>
      </c>
      <c r="B48" s="3" t="inlineStr">
        <is>
          <t>by 08/04/2016</t>
        </is>
      </c>
      <c r="C48" s="4" t="inlineStr">
        <is>
          <t>Party D</t>
        </is>
      </c>
      <c r="D48" s="4" t="inlineStr">
        <is>
          <t>Dropped by target</t>
        </is>
      </c>
      <c r="E48" s="2" t="n">
        <v>1</v>
      </c>
      <c r="F48" s="2" t="n">
        <v>3</v>
      </c>
      <c r="G48" s="4" t="inlineStr">
        <is>
          <t>Financial</t>
        </is>
      </c>
      <c r="H48" s="4" t="inlineStr">
        <is>
          <t>Inferred: residual — the 08/04/2016 decision names the continuing set (G&amp;W and Party B) without D and reports no notice to it; D was out by this transition; the row does not say how or why.</t>
        </is>
      </c>
      <c r="I48" s="4" t="inlineStr"/>
      <c r="J48" s="4" t="inlineStr"/>
      <c r="K48" s="4" t="inlineStr">
        <is>
          <t>Inferred: residual — continuing set named at R046; D’s last appearance is the pause (P-023). Count 1. Decided by Target; Exit reason: Not stated; Working date = the decision day (Convention; Assigned: decision day). Quotes: "the Transaction Committee directed the management team and representatives of each of BMO and Hinckley Allen to continue diligence and negotiations with both G&amp;W and Party B" (P-025, p31); "at which point Party D indicated that it would not proceed with further due diligence at that time" (P-023, p30).</t>
        </is>
      </c>
      <c r="L48" s="5" t="inlineStr">
        <is>
          <t>P-025; P-023</t>
        </is>
      </c>
      <c r="M48" s="4" t="inlineStr">
        <is>
          <t>Q5</t>
        </is>
      </c>
      <c r="N48" s="4" t="inlineStr"/>
      <c r="O48" s="2" t="inlineStr">
        <is>
          <t>R047</t>
        </is>
      </c>
      <c r="P48" s="4" t="inlineStr">
        <is>
          <t>Yes</t>
        </is>
      </c>
      <c r="Q48" s="2" t="n">
        <v>1</v>
      </c>
      <c r="R48" s="4" t="n"/>
      <c r="S48" s="6" t="n">
        <v>42586</v>
      </c>
      <c r="T48" s="6" t="n">
        <v>42586</v>
      </c>
      <c r="U48" s="4" t="inlineStr">
        <is>
          <t>Relative only</t>
        </is>
      </c>
      <c r="V48" s="4" t="inlineStr">
        <is>
          <t>Assigned: decision day</t>
        </is>
      </c>
      <c r="W48" s="4" t="n"/>
      <c r="X48" s="4" t="n"/>
      <c r="Y48" s="4" t="inlineStr"/>
      <c r="Z48" s="4" t="inlineStr"/>
      <c r="AA48" s="4" t="inlineStr"/>
      <c r="AB48" s="4" t="inlineStr"/>
      <c r="AC48" s="4" t="n"/>
      <c r="AD48" s="4" t="inlineStr"/>
      <c r="AE48" s="4" t="n"/>
      <c r="AF48" s="4" t="inlineStr"/>
      <c r="AG48" s="4" t="inlineStr"/>
      <c r="AH48" s="4" t="inlineStr">
        <is>
          <t>Target</t>
        </is>
      </c>
      <c r="AI48" s="4" t="inlineStr">
        <is>
          <t>Not stated</t>
        </is>
      </c>
      <c r="AJ48" s="4" t="inlineStr">
        <is>
          <t>Inferred: residual</t>
        </is>
      </c>
      <c r="AK48" s="2" t="n">
        <v>31</v>
      </c>
      <c r="AL48" s="4" t="inlineStr">
        <is>
          <t>R045; R046</t>
        </is>
      </c>
      <c r="AM48" s="4" t="inlineStr">
        <is>
          <t>PWRR-G&amp;W</t>
        </is>
      </c>
    </row>
    <row r="49" ht="105.6" customHeight="1">
      <c r="A49" s="2" t="n">
        <v>48</v>
      </c>
      <c r="B49" s="3" t="inlineStr">
        <is>
          <t>by 08/04/2016</t>
        </is>
      </c>
      <c r="C49" s="4" t="inlineStr">
        <is>
          <t>Party E</t>
        </is>
      </c>
      <c r="D49" s="4" t="inlineStr">
        <is>
          <t>Dropped by target</t>
        </is>
      </c>
      <c r="E49" s="2" t="n">
        <v>1</v>
      </c>
      <c r="F49" s="2" t="n">
        <v>3</v>
      </c>
      <c r="G49" s="4" t="inlineStr">
        <is>
          <t>Strategic</t>
        </is>
      </c>
      <c r="H49" s="4" t="inlineStr">
        <is>
          <t>Inferred: residual — the 08/04/2016 decision names the continuing set (G&amp;W and Party B) without E and reports no notice to it; E was out by this transition; the row does not say how or why.</t>
        </is>
      </c>
      <c r="I49" s="4" t="inlineStr"/>
      <c r="J49" s="4" t="inlineStr"/>
      <c r="K49" s="4" t="inlineStr">
        <is>
          <t>Inferred: residual — continuing set named at R046; E’s last appearance is the withdrawn revision and price confirmation (P-023). Count 1. Decided by Target; Exit reason: Not stated; Working date = the decision day (Convention; Assigned: decision day). Quotes: "the Transaction Committee directed the management team and representatives of each of BMO and Hinckley Allen to continue diligence and negotiations with both G&amp;W and Party B" (P-025, p31); "at which point Party D indicated that it would not proceed with further due diligence at that time" (P-023, p30).</t>
        </is>
      </c>
      <c r="L49" s="5" t="inlineStr">
        <is>
          <t>P-025; P-023</t>
        </is>
      </c>
      <c r="M49" s="4" t="inlineStr">
        <is>
          <t>Q5</t>
        </is>
      </c>
      <c r="N49" s="4" t="inlineStr"/>
      <c r="O49" s="2" t="inlineStr">
        <is>
          <t>R048</t>
        </is>
      </c>
      <c r="P49" s="4" t="inlineStr">
        <is>
          <t>Yes</t>
        </is>
      </c>
      <c r="Q49" s="2" t="n">
        <v>1</v>
      </c>
      <c r="R49" s="4" t="n"/>
      <c r="S49" s="6" t="n">
        <v>42586</v>
      </c>
      <c r="T49" s="6" t="n">
        <v>42586</v>
      </c>
      <c r="U49" s="4" t="inlineStr">
        <is>
          <t>Relative only</t>
        </is>
      </c>
      <c r="V49" s="4" t="inlineStr">
        <is>
          <t>Assigned: decision day</t>
        </is>
      </c>
      <c r="W49" s="4" t="n"/>
      <c r="X49" s="4" t="n"/>
      <c r="Y49" s="4" t="inlineStr"/>
      <c r="Z49" s="4" t="inlineStr"/>
      <c r="AA49" s="4" t="inlineStr"/>
      <c r="AB49" s="4" t="inlineStr"/>
      <c r="AC49" s="4" t="n"/>
      <c r="AD49" s="4" t="inlineStr"/>
      <c r="AE49" s="4" t="n"/>
      <c r="AF49" s="4" t="inlineStr"/>
      <c r="AG49" s="4" t="inlineStr"/>
      <c r="AH49" s="4" t="inlineStr">
        <is>
          <t>Target</t>
        </is>
      </c>
      <c r="AI49" s="4" t="inlineStr">
        <is>
          <t>Not stated</t>
        </is>
      </c>
      <c r="AJ49" s="4" t="inlineStr">
        <is>
          <t>Inferred: residual</t>
        </is>
      </c>
      <c r="AK49" s="2" t="n">
        <v>31</v>
      </c>
      <c r="AL49" s="4" t="inlineStr">
        <is>
          <t>R044; R046</t>
        </is>
      </c>
      <c r="AM49" s="4" t="inlineStr">
        <is>
          <t>PWRR-G&amp;W</t>
        </is>
      </c>
    </row>
    <row r="50" ht="92.39999999999999" customHeight="1">
      <c r="A50" s="2" t="n">
        <v>49</v>
      </c>
      <c r="B50" s="3" t="inlineStr">
        <is>
          <t>08/09/2016</t>
        </is>
      </c>
      <c r="C50" s="4" t="inlineStr">
        <is>
          <t>Transaction Committee</t>
        </is>
      </c>
      <c r="D50" s="4" t="inlineStr">
        <is>
          <t>Target decision</t>
        </is>
      </c>
      <c r="E50" s="2" t="n">
        <v>1</v>
      </c>
      <c r="F50" s="2" t="n">
        <v>3</v>
      </c>
      <c r="G50" s="4" t="inlineStr"/>
      <c r="H50" s="4" t="inlineStr">
        <is>
          <t>Directed BMO to inform G&amp;W that the Company intended to enter into a merger agreement with another bidder (Party B); G&amp;W requested and was granted continued due diligence, including physical diligence on 08/10–08/11/2016, to potentially facilitate an improved offer.</t>
        </is>
      </c>
      <c r="I50" s="4" t="inlineStr"/>
      <c r="J50" s="4" t="inlineStr"/>
      <c r="K50" s="4" t="inlineStr">
        <is>
          <t>Stated: direction, request and grant; the intended counterparty was Party B (R046, R051). Date: Reported day. Quote: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 (P-026, p31)</t>
        </is>
      </c>
      <c r="L50" s="5" t="inlineStr">
        <is>
          <t>P-026; P-025</t>
        </is>
      </c>
      <c r="M50" s="4" t="inlineStr"/>
      <c r="N50" s="4" t="inlineStr"/>
      <c r="O50" s="2" t="inlineStr">
        <is>
          <t>R049</t>
        </is>
      </c>
      <c r="P50" s="4" t="inlineStr">
        <is>
          <t>Yes</t>
        </is>
      </c>
      <c r="Q50" s="2" t="n"/>
      <c r="R50" s="6" t="n">
        <v>42591</v>
      </c>
      <c r="S50" s="6" t="n">
        <v>42591</v>
      </c>
      <c r="T50" s="6" t="n">
        <v>42591</v>
      </c>
      <c r="U50" s="4" t="inlineStr">
        <is>
          <t>Reported day</t>
        </is>
      </c>
      <c r="V50" s="4" t="inlineStr">
        <is>
          <t>Reported</t>
        </is>
      </c>
      <c r="W50" s="4" t="n"/>
      <c r="X50" s="4" t="n"/>
      <c r="Y50" s="4" t="inlineStr"/>
      <c r="Z50" s="4" t="inlineStr"/>
      <c r="AA50" s="4" t="inlineStr"/>
      <c r="AB50" s="4" t="inlineStr"/>
      <c r="AC50" s="4" t="n"/>
      <c r="AD50" s="4" t="inlineStr"/>
      <c r="AE50" s="4" t="n"/>
      <c r="AF50" s="4" t="inlineStr"/>
      <c r="AG50" s="4" t="inlineStr"/>
      <c r="AH50" s="4" t="inlineStr"/>
      <c r="AI50" s="4" t="inlineStr"/>
      <c r="AJ50" s="4" t="inlineStr"/>
      <c r="AK50" s="2" t="n">
        <v>31</v>
      </c>
      <c r="AL50" s="4" t="inlineStr">
        <is>
          <t>R046; R050</t>
        </is>
      </c>
      <c r="AM50" s="4" t="inlineStr">
        <is>
          <t>PWRR-G&amp;W</t>
        </is>
      </c>
    </row>
    <row r="51" ht="171.6" customHeight="1">
      <c r="A51" s="2" t="n">
        <v>50</v>
      </c>
      <c r="B51" s="3" t="inlineStr">
        <is>
          <t>08/12/2016 (offer stated to expire 6:00 p.m. on 08/13/2016)</t>
        </is>
      </c>
      <c r="C51" s="4" t="inlineStr">
        <is>
          <t>G&amp;W</t>
        </is>
      </c>
      <c r="D51" s="4" t="inlineStr">
        <is>
          <t>Bid</t>
        </is>
      </c>
      <c r="E51" s="2" t="n">
        <v>1</v>
      </c>
      <c r="F51" s="2" t="n">
        <v>3</v>
      </c>
      <c r="G51" s="4" t="inlineStr">
        <is>
          <t>Strategic</t>
        </is>
      </c>
      <c r="H51" s="4" t="inlineStr">
        <is>
          <t>Revised LOI at $25.00 per share in cash, excluding the previously proposed CVR, with mark-ups of the merger agreement and voting agreement; submitted the morning of 08/12/2016 after G&amp;W completed physical diligence (08/11/2016) and after its 08/11/2016 indication of a possible revised LOI; offer stated to expire at 6:00 p.m. on 08/13/2016.</t>
        </is>
      </c>
      <c r="I51" s="4" t="inlineStr">
        <is>
          <t>Formal</t>
        </is>
      </c>
      <c r="J51" s="4" t="inlineStr">
        <is>
          <t>Light</t>
        </is>
      </c>
      <c r="K51" s="4" t="inlineStr">
        <is>
          <t>Stated: price, cash form, CVR exclusion, markups, submission morning and expiry. Formality: Formal — signal 1 (returned acquisition-agreement and voting-agreement markups; second return). Conditions: Light — no Heavy trigger reported: diligence completed 08/11/2016; the executed agreement contains no financing condition and G&amp;W represented its financial wherewithal (X-007, p34). Date: Reported day. Quote: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(P-027, p31); "On August 11, 2016, G&amp;W indicated its possible intention to submit a revised LOI on August 12, 2016, having just completed its physical diligence of the Company’s track infrastructure." (P-026, p31)</t>
        </is>
      </c>
      <c r="L51" s="5" t="inlineStr">
        <is>
          <t>P-027; P-026; X-007</t>
        </is>
      </c>
      <c r="M51" s="4" t="inlineStr">
        <is>
          <t>Q4; Q6</t>
        </is>
      </c>
      <c r="N51" s="4" t="inlineStr"/>
      <c r="O51" s="2" t="inlineStr">
        <is>
          <t>R050</t>
        </is>
      </c>
      <c r="P51" s="4" t="inlineStr">
        <is>
          <t>Yes</t>
        </is>
      </c>
      <c r="Q51" s="2" t="n">
        <v>1</v>
      </c>
      <c r="R51" s="6" t="n">
        <v>42594</v>
      </c>
      <c r="S51" s="6" t="n">
        <v>42594</v>
      </c>
      <c r="T51" s="6" t="n">
        <v>42594</v>
      </c>
      <c r="U51" s="4" t="inlineStr">
        <is>
          <t>Reported day</t>
        </is>
      </c>
      <c r="V51" s="4" t="inlineStr">
        <is>
          <t>Reported</t>
        </is>
      </c>
      <c r="W51" s="7" t="n">
        <v>25</v>
      </c>
      <c r="X51" s="7" t="n">
        <v>25</v>
      </c>
      <c r="Y51" s="4" t="inlineStr">
        <is>
          <t>Point</t>
        </is>
      </c>
      <c r="Z51" s="4" t="inlineStr">
        <is>
          <t>Stated</t>
        </is>
      </c>
      <c r="AA51" s="4" t="inlineStr">
        <is>
          <t>USD</t>
        </is>
      </c>
      <c r="AB51" s="4" t="inlineStr">
        <is>
          <t>Yes</t>
        </is>
      </c>
      <c r="AC51" s="7" t="n">
        <v>25</v>
      </c>
      <c r="AD51" s="4" t="inlineStr">
        <is>
          <t>Fin: not stated; DD required: none; DD open: no; Excl: none</t>
        </is>
      </c>
      <c r="AE51" s="4" t="n"/>
      <c r="AF51" s="4" t="inlineStr"/>
      <c r="AG51" s="4" t="inlineStr"/>
      <c r="AH51" s="4" t="inlineStr"/>
      <c r="AI51" s="4" t="inlineStr"/>
      <c r="AJ51" s="4" t="inlineStr"/>
      <c r="AK51" s="2" t="n">
        <v>31</v>
      </c>
      <c r="AL51" s="4" t="inlineStr">
        <is>
          <t>R033; R034; R049; R051</t>
        </is>
      </c>
      <c r="AM51" s="4" t="inlineStr">
        <is>
          <t>PWRR-G&amp;W</t>
        </is>
      </c>
    </row>
    <row r="52" ht="184.8" customHeight="1">
      <c r="A52" s="2" t="n">
        <v>51</v>
      </c>
      <c r="B52" s="3" t="inlineStr">
        <is>
          <t>08/12/2016</t>
        </is>
      </c>
      <c r="C52" s="4" t="inlineStr">
        <is>
          <t>Company and G&amp;W (with the Eder Trusts)</t>
        </is>
      </c>
      <c r="D52" s="4" t="inlineStr">
        <is>
          <t>Merger agreement signed</t>
        </is>
      </c>
      <c r="E52" s="2" t="n">
        <v>1</v>
      </c>
      <c r="F52" s="2" t="n">
        <v>3</v>
      </c>
      <c r="G52" s="4" t="inlineStr"/>
      <c r="H52" s="4" t="inlineStr">
        <is>
          <t>Executed merger agreement (G&amp;W, Pullman Acquisition Sub Inc., the Company): agreed consideration $25.00 cash per common share, without interest; preferred deemed converted 100-for-1 plus accrued and unpaid dividends before the $25.00; no financing condition and G&amp;W representation as to financial wherewithal; termination fee $3,785,000 (approximately 3% of transaction value; negotiated down from 3.85% and lower than Party B’s fee of 3% plus capped transaction expenses); outside date 12/31/2016 (02/28/2017 if STB approval is the only unsatisfied condition); non-solicitation with fiduciary out and 3-business-day matching right; no go-shop; G&amp;W to seek STB approval or exemption and to use a voting trust if needed; voting agreement executed with the Eder Trusts (842,742 common; 500 preferred; approximately 17.3% and 78.1%).</t>
        </is>
      </c>
      <c r="I52" s="4" t="inlineStr"/>
      <c r="J52" s="4" t="inlineStr"/>
      <c r="K52" s="4" t="inlineStr">
        <is>
          <t>Stated: execution, agreed price, conversion mechanics, no financing condition, termination fee, outside dates, no go-shop; signing records agreed consideration only — no bid-price, formality or conditions cells (Convention). Date: Reported day. Quotes: "The Company and G&amp;W executed the merger agreement, and the Company, G&amp;W and the Eder Trusts executed the voting agreement." (P-032, p32); "the absence of a financing condition in the merger agreement and the representation of G&amp;W in the merger agreement as to its financial wherewithal" (X-007, p34); "a termination fee equal to 3% of the transaction value in the case of G&amp;W (which the Company had negotiated down from 3.85%)" (P-028, p31).</t>
        </is>
      </c>
      <c r="L52" s="5" t="inlineStr">
        <is>
          <t>P-032; P-028; X-007; X-013; X-014; X-016; X-017; X-020</t>
        </is>
      </c>
      <c r="M52" s="4" t="inlineStr">
        <is>
          <t>Q6</t>
        </is>
      </c>
      <c r="N52" s="4" t="inlineStr"/>
      <c r="O52" s="2" t="inlineStr">
        <is>
          <t>R051</t>
        </is>
      </c>
      <c r="P52" s="4" t="inlineStr">
        <is>
          <t>Yes</t>
        </is>
      </c>
      <c r="Q52" s="2" t="n"/>
      <c r="R52" s="6" t="n">
        <v>42594</v>
      </c>
      <c r="S52" s="6" t="n">
        <v>42594</v>
      </c>
      <c r="T52" s="6" t="n">
        <v>42594</v>
      </c>
      <c r="U52" s="4" t="inlineStr">
        <is>
          <t>Reported day</t>
        </is>
      </c>
      <c r="V52" s="4" t="inlineStr">
        <is>
          <t>Reported</t>
        </is>
      </c>
      <c r="W52" s="4" t="n"/>
      <c r="X52" s="4" t="n"/>
      <c r="Y52" s="4" t="inlineStr"/>
      <c r="Z52" s="4" t="inlineStr"/>
      <c r="AA52" s="4" t="inlineStr"/>
      <c r="AB52" s="4" t="inlineStr"/>
      <c r="AC52" s="4" t="n"/>
      <c r="AD52" s="4" t="inlineStr"/>
      <c r="AE52" s="4" t="n"/>
      <c r="AF52" s="4" t="inlineStr"/>
      <c r="AG52" s="4" t="inlineStr"/>
      <c r="AH52" s="4" t="inlineStr"/>
      <c r="AI52" s="4" t="inlineStr"/>
      <c r="AJ52" s="4" t="inlineStr"/>
      <c r="AK52" s="2" t="n">
        <v>32</v>
      </c>
      <c r="AL52" s="4" t="inlineStr">
        <is>
          <t>R050; R052</t>
        </is>
      </c>
      <c r="AM52" s="4" t="inlineStr">
        <is>
          <t>PWRR-G&amp;W</t>
        </is>
      </c>
    </row>
    <row r="53" ht="132" customHeight="1">
      <c r="A53" s="2" t="n">
        <v>52</v>
      </c>
      <c r="B53" s="3" t="inlineStr">
        <is>
          <t>08/12/2016</t>
        </is>
      </c>
      <c r="C53" s="4" t="inlineStr">
        <is>
          <t>Party B</t>
        </is>
      </c>
      <c r="D53" s="4" t="inlineStr">
        <is>
          <t>Not selected at signing</t>
        </is>
      </c>
      <c r="E53" s="2" t="n">
        <v>1</v>
      </c>
      <c r="F53" s="2" t="n">
        <v>3</v>
      </c>
      <c r="G53" s="4" t="inlineStr">
        <is>
          <t>Strategic</t>
        </is>
      </c>
      <c r="H53" s="4" t="inlineStr">
        <is>
          <t>Asked at the Board’s request (after the Committee directed that it be told a higher revised LOI had been received) whether it would increase its $24.00 offer; declined; the Board then determined the G&amp;W offer was the superior proposal and signed with G&amp;W — B was still bidding when the target chose another, so no earlier exit is inferred (Stated).</t>
        </is>
      </c>
      <c r="I53" s="4" t="inlineStr"/>
      <c r="J53" s="4" t="inlineStr"/>
      <c r="K53" s="4" t="inlineStr">
        <is>
          <t>Stated: the inquiry, B’s refusal to improve and the Board’s determination. Decided by Target; Exit reason: Would not improve earlier offer (a bidder asked to improve that declines, even though the target then chose a rival). Date: Reported day. Quotes: "the Transaction Committee directed representatives of BMO to inform Party B that another party had submitted a revised LOI at a higher price" (P-027, p31); "At the request of the Board, representatives of BMO then contacted Party B to determine if it would increase its offer price. Party B indicated that it would not increase its price." (P-030, p32); "The Board determined that the G&amp;W offer represented the superior proposal." (P-031, p32)</t>
        </is>
      </c>
      <c r="L53" s="5" t="inlineStr">
        <is>
          <t>P-027; P-030; P-031</t>
        </is>
      </c>
      <c r="M53" s="4" t="inlineStr">
        <is>
          <t>Q5</t>
        </is>
      </c>
      <c r="N53" s="4" t="inlineStr"/>
      <c r="O53" s="2" t="inlineStr">
        <is>
          <t>R052</t>
        </is>
      </c>
      <c r="P53" s="4" t="inlineStr">
        <is>
          <t>Yes</t>
        </is>
      </c>
      <c r="Q53" s="2" t="n">
        <v>1</v>
      </c>
      <c r="R53" s="6" t="n">
        <v>42594</v>
      </c>
      <c r="S53" s="6" t="n">
        <v>42594</v>
      </c>
      <c r="T53" s="6" t="n">
        <v>42594</v>
      </c>
      <c r="U53" s="4" t="inlineStr">
        <is>
          <t>Reported day</t>
        </is>
      </c>
      <c r="V53" s="4" t="inlineStr">
        <is>
          <t>Reported</t>
        </is>
      </c>
      <c r="W53" s="4" t="n"/>
      <c r="X53" s="4" t="n"/>
      <c r="Y53" s="4" t="inlineStr"/>
      <c r="Z53" s="4" t="inlineStr"/>
      <c r="AA53" s="4" t="inlineStr"/>
      <c r="AB53" s="4" t="inlineStr"/>
      <c r="AC53" s="4" t="n"/>
      <c r="AD53" s="4" t="inlineStr"/>
      <c r="AE53" s="4" t="n"/>
      <c r="AF53" s="4" t="inlineStr"/>
      <c r="AG53" s="4" t="inlineStr"/>
      <c r="AH53" s="4" t="inlineStr">
        <is>
          <t>Target</t>
        </is>
      </c>
      <c r="AI53" s="4" t="inlineStr">
        <is>
          <t>Would not improve earlier offer</t>
        </is>
      </c>
      <c r="AJ53" s="4" t="inlineStr">
        <is>
          <t>Stated</t>
        </is>
      </c>
      <c r="AK53" s="2" t="n">
        <v>32</v>
      </c>
      <c r="AL53" s="4" t="inlineStr">
        <is>
          <t>R026; R051</t>
        </is>
      </c>
      <c r="AM53" s="4" t="inlineStr">
        <is>
          <t>PWRR-G&amp;W</t>
        </is>
      </c>
    </row>
    <row r="54" ht="52.8" customHeight="1">
      <c r="A54" s="2" t="n">
        <v>53</v>
      </c>
      <c r="B54" s="3" t="inlineStr">
        <is>
          <t>08/15/2016</t>
        </is>
      </c>
      <c r="C54" s="4" t="inlineStr">
        <is>
          <t>Providence and Worcester Railroad Company</t>
        </is>
      </c>
      <c r="D54" s="4" t="inlineStr">
        <is>
          <t>Merger announced</t>
        </is>
      </c>
      <c r="E54" s="2" t="n">
        <v>1</v>
      </c>
      <c r="F54" s="2" t="n">
        <v>3</v>
      </c>
      <c r="G54" s="4" t="inlineStr"/>
      <c r="H54" s="4" t="inlineStr">
        <is>
          <t>PWRR issued a press release publicly announcing the transaction before the opening of NASDAQ trading on Monday 08/15/2016.</t>
        </is>
      </c>
      <c r="I54" s="4" t="inlineStr"/>
      <c r="J54" s="4" t="inlineStr"/>
      <c r="K54" s="4" t="inlineStr">
        <is>
          <t>Stated: issuer, medium, date and timing. Date: Reported day. Quote: "The Company issued a press release publicly announcing the transaction on Monday, August 15, 2016 prior to the opening of trading of the Company’s common stock on the NASDAQ." (P-032, p32)</t>
        </is>
      </c>
      <c r="L54" s="5" t="inlineStr">
        <is>
          <t>P-032</t>
        </is>
      </c>
      <c r="M54" s="4" t="inlineStr"/>
      <c r="N54" s="4" t="inlineStr"/>
      <c r="O54" s="2" t="inlineStr">
        <is>
          <t>R053</t>
        </is>
      </c>
      <c r="P54" s="4" t="inlineStr">
        <is>
          <t>Yes</t>
        </is>
      </c>
      <c r="Q54" s="2" t="n"/>
      <c r="R54" s="6" t="n">
        <v>42597</v>
      </c>
      <c r="S54" s="6" t="n">
        <v>42597</v>
      </c>
      <c r="T54" s="6" t="n">
        <v>42597</v>
      </c>
      <c r="U54" s="4" t="inlineStr">
        <is>
          <t>Reported day</t>
        </is>
      </c>
      <c r="V54" s="4" t="inlineStr">
        <is>
          <t>Reported</t>
        </is>
      </c>
      <c r="W54" s="4" t="n"/>
      <c r="X54" s="4" t="n"/>
      <c r="Y54" s="4" t="inlineStr"/>
      <c r="Z54" s="4" t="inlineStr"/>
      <c r="AA54" s="4" t="inlineStr"/>
      <c r="AB54" s="4" t="inlineStr"/>
      <c r="AC54" s="4" t="n"/>
      <c r="AD54" s="4" t="inlineStr"/>
      <c r="AE54" s="4" t="n"/>
      <c r="AF54" s="4" t="inlineStr"/>
      <c r="AG54" s="4" t="inlineStr"/>
      <c r="AH54" s="4" t="inlineStr"/>
      <c r="AI54" s="4" t="inlineStr"/>
      <c r="AJ54" s="4" t="inlineStr"/>
      <c r="AK54" s="2" t="n">
        <v>32</v>
      </c>
      <c r="AL54" s="4" t="inlineStr">
        <is>
          <t>R051</t>
        </is>
      </c>
      <c r="AM54" s="4" t="inlineStr">
        <is>
          <t>PWRR-G&amp;W</t>
        </is>
      </c>
    </row>
  </sheetData>
  <autoFilter ref="A1:AM54"/>
  <dataValidations count="15">
    <dataValidation sqref="D2:D200" showDropDown="0" showInputMessage="0" showErrorMessage="1" allowBlank="1" errorTitle="Controlled value" error="Use a value from the Lists sheet." type="list">
      <formula1>=Lists!$A$2:$A$41</formula1>
    </dataValidation>
    <dataValidation sqref="G2:G200" showDropDown="0" showInputMessage="0" showErrorMessage="1" allowBlank="1" errorTitle="Controlled value" error="Use a value from the Lists sheet." type="list">
      <formula1>=Lists!$B$2:$B$5</formula1>
    </dataValidation>
    <dataValidation sqref="I2:I200" showDropDown="0" showInputMessage="0" showErrorMessage="1" allowBlank="1" errorTitle="Controlled value" error="Use a value from the Lists sheet." type="list">
      <formula1>=Lists!$C$2:$C$5</formula1>
    </dataValidation>
    <dataValidation sqref="J2:J200" showDropDown="0" showInputMessage="0" showErrorMessage="1" allowBlank="1" errorTitle="Controlled value" error="Use a value from the Lists sheet." type="list">
      <formula1>=Lists!$D$2:$D$6</formula1>
    </dataValidation>
    <dataValidation sqref="P2:P200" showDropDown="0" showInputMessage="0" showErrorMessage="1" allowBlank="1" errorTitle="Controlled value" error="Use a value from the Lists sheet." type="list">
      <formula1>=Lists!$E$2:$E$3</formula1>
    </dataValidation>
    <dataValidation sqref="U2:U200" showDropDown="0" showInputMessage="0" showErrorMessage="1" allowBlank="1" errorTitle="Controlled value" error="Use a value from the Lists sheet." type="list">
      <formula1>=Lists!$F$2:$F$7</formula1>
    </dataValidation>
    <dataValidation sqref="V2:V200" showDropDown="0" showInputMessage="0" showErrorMessage="1" allowBlank="1" errorTitle="Controlled value" error="Use a value from the Lists sheet." type="list">
      <formula1>=Lists!$G$2:$G$8</formula1>
    </dataValidation>
    <dataValidation sqref="Y2:Y200" showDropDown="0" showInputMessage="0" showErrorMessage="1" allowBlank="1" errorTitle="Controlled value" error="Use a value from the Lists sheet." type="list">
      <formula1>=Lists!$H$2:$H$6</formula1>
    </dataValidation>
    <dataValidation sqref="Z2:Z200" showDropDown="0" showInputMessage="0" showErrorMessage="1" allowBlank="1" errorTitle="Controlled value" error="Use a value from the Lists sheet." type="list">
      <formula1>=Lists!$I$2:$I$4</formula1>
    </dataValidation>
    <dataValidation sqref="AB2:AB200" showDropDown="0" showInputMessage="0" showErrorMessage="1" allowBlank="1" errorTitle="Controlled value" error="Use a value from the Lists sheet." type="list">
      <formula1>=Lists!$J$2:$J$4</formula1>
    </dataValidation>
    <dataValidation sqref="AF2:AF200" showDropDown="0" showInputMessage="0" showErrorMessage="1" allowBlank="1" errorTitle="Controlled value" error="Use a value from the Lists sheet." type="list">
      <formula1>=Lists!$K$2:$K$8</formula1>
    </dataValidation>
    <dataValidation sqref="AG2:AG200" showDropDown="0" showInputMessage="0" showErrorMessage="1" allowBlank="1" errorTitle="Controlled value" error="Use a value from the Lists sheet." type="list">
      <formula1>=Lists!$L$2:$L$4</formula1>
    </dataValidation>
    <dataValidation sqref="AH2:AH200" showDropDown="0" showInputMessage="0" showErrorMessage="1" allowBlank="1" errorTitle="Controlled value" error="Use a value from the Lists sheet." type="list">
      <formula1>=Lists!$M$2:$M$5</formula1>
    </dataValidation>
    <dataValidation sqref="AI2:AI200" showDropDown="0" showInputMessage="0" showErrorMessage="1" allowBlank="1" errorTitle="Controlled value" error="Use a value from the Lists sheet." type="list">
      <formula1>=Lists!$N$2:$N$10</formula1>
    </dataValidation>
    <dataValidation sqref="AJ2:AJ200" showDropDown="0" showInputMessage="0" showErrorMessage="1" allowBlank="1" errorTitle="Controlled value" error="Use a value from the Lists sheet." type="list">
      <formula1>=Lists!$O$2:$O$6</formula1>
    </dataValidation>
  </dataValidations>
  <hyperlinks>
    <hyperlink ref="L2" location="'Source text'!A2"/>
    <hyperlink ref="L3" location="'Source text'!A2"/>
    <hyperlink ref="L4" location="'Source text'!A3"/>
    <hyperlink ref="L5" location="'Source text'!A5"/>
    <hyperlink ref="L6" location="'Source text'!A6"/>
    <hyperlink ref="L7" location="'Source text'!A6"/>
    <hyperlink ref="L8" location="'Source text'!A6"/>
    <hyperlink ref="L9" location="'Source text'!A6"/>
    <hyperlink ref="L10" location="'Source text'!A6"/>
    <hyperlink ref="L11" location="'Source text'!A8"/>
    <hyperlink ref="L12" location="'Source text'!A8"/>
    <hyperlink ref="L13" location="'Source text'!A10"/>
    <hyperlink ref="L14" location="'Source text'!A10"/>
    <hyperlink ref="L15" location="'Source text'!A11"/>
    <hyperlink ref="L16" location="'Source text'!A11"/>
    <hyperlink ref="L17" location="'Source text'!A6"/>
    <hyperlink ref="L18" location="'Source text'!A9"/>
    <hyperlink ref="L19" location="'Source text'!A11"/>
    <hyperlink ref="L20" location="'Source text'!A11"/>
    <hyperlink ref="L21" location="'Source text'!A12"/>
    <hyperlink ref="L22" location="'Source text'!A14"/>
    <hyperlink ref="L23" location="'Source text'!A14"/>
    <hyperlink ref="L24" location="'Source text'!A14"/>
    <hyperlink ref="L25" location="'Source text'!A14"/>
    <hyperlink ref="L26" location="'Source text'!A17"/>
    <hyperlink ref="L27" location="'Source text'!A16"/>
    <hyperlink ref="L28" location="'Source text'!A18"/>
    <hyperlink ref="L29" location="'Source text'!A19"/>
    <hyperlink ref="L30" location="'Source text'!A20"/>
    <hyperlink ref="L31" location="'Source text'!A21"/>
    <hyperlink ref="L32" location="'Source text'!A22"/>
    <hyperlink ref="L33" location="'Source text'!A22"/>
    <hyperlink ref="L34" location="'Source text'!A17"/>
    <hyperlink ref="L35" location="'Source text'!A17"/>
    <hyperlink ref="L36" location="'Source text'!A23"/>
    <hyperlink ref="L37" location="'Source text'!A23"/>
    <hyperlink ref="L38" location="'Source text'!A23"/>
    <hyperlink ref="L39" location="'Source text'!A23"/>
    <hyperlink ref="L40" location="'Source text'!A23"/>
    <hyperlink ref="L41" location="'Source text'!A24"/>
    <hyperlink ref="L42" location="'Source text'!A24"/>
    <hyperlink ref="L43" location="'Source text'!A24"/>
    <hyperlink ref="L44" location="'Source text'!A24"/>
    <hyperlink ref="L45" location="'Source text'!A24"/>
    <hyperlink ref="L46" location="'Source text'!A24"/>
    <hyperlink ref="L47" location="'Source text'!A26"/>
    <hyperlink ref="L48" location="'Source text'!A26"/>
    <hyperlink ref="L49" location="'Source text'!A26"/>
    <hyperlink ref="L50" location="'Source text'!A27"/>
    <hyperlink ref="L51" location="'Source text'!A28"/>
    <hyperlink ref="L52" location="'Source text'!A33"/>
    <hyperlink ref="L53" location="'Source text'!A28"/>
    <hyperlink ref="L54" location="'Source text'!A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3"/>
  <sheetViews>
    <sheetView workbookViewId="0">
      <pane ySplit="2" topLeftCell="A3" activePane="bottomLeft" state="frozen"/>
      <selection pane="bottomLeft" activeCell="A1" sqref="A1"/>
    </sheetView>
  </sheetViews>
  <sheetFormatPr baseColWidth="8" defaultRowHeight="15"/>
  <cols>
    <col width="42" customWidth="1" min="1" max="1"/>
    <col width="150" customWidth="1" min="2" max="2"/>
  </cols>
  <sheetData>
    <row r="1">
      <c r="A1" s="8" t="inlineStr">
        <is>
          <t>Summary — Providence &amp; Worcester Railroad Company / Genesee &amp; Wyoming Inc. (PWRR-G&amp;W) — AI first pass (not human-approved)</t>
        </is>
      </c>
    </row>
    <row r="3" ht="16" customHeight="1">
      <c r="A3" s="9" t="inlineStr">
        <is>
          <t>STATUS AND COMMERCIAL ACCOUNT</t>
        </is>
      </c>
      <c r="B3" s="10" t="n"/>
    </row>
    <row r="4" ht="39.59999999999999" customHeight="1">
      <c r="A4" s="11" t="inlineStr">
        <is>
          <t>Pass status</t>
        </is>
      </c>
      <c r="B4" s="12" t="inlineStr">
        <is>
          <t>AI first pass; not human-approved. Instruction revision: 19 September 2026 (short form). Supplied source: one filing — DEFM14A for Providence and Worcester Railroad Company / Genesee &amp; Wyoming Inc. (source file raw_filing/providence-worcester_2016-09-20_DEFM14A.htm; proxy statement dated 09/19/2016; background pages 27–32). No other sources used.</t>
        </is>
      </c>
    </row>
    <row r="5" ht="118.8" customHeight="1">
      <c r="A5" s="11" t="inlineStr">
        <is>
          <t>Commercial account</t>
        </is>
      </c>
      <c r="B5" s="12" t="inlineStr">
        <is>
          <t>Providence and Worcester Railroad Company (PWRR, NASDAQ: PWX), a regional freight railroad, moved from an unsolicited expression of interest by an unnamed Class I rail partner (Party A) in Q4 2015 to a banker-run sale process. GHF (later BMO) ran one process (rounds 0–3): a 29-buyer outreach wave starting the week of 03/28/2016 produced 25 confidentiality agreements (plus late entrant Party C), nine non-binding indications of interest at $17.93–$26.50 per share by 06/01/2016, and six letters of intent at $19.20–$24.00 per share by late July 2016. The Transaction Committee advanced G&amp;W and Party B ($24.00) to confirmatory diligence on 07/27/2016; Party D ($24.00 revised) and Party E ($23.81, with Party F financing) briefly re-engaged in early August 2016 but did not continue. On 08/12/2016 the Board determined G&amp;W's revised $25.00 per-share all-cash offer (up from $21.15, then $22.15 with a CVR) was superior after Party B declined to improve, and PWRR signed the merger agreement that day; it was announced 08/15/2016. No competing proposal, go-shop activity or agreement termination is disclosed; completion was expected in Q4 2016 (not observed in this filing), subject to shareholder and STB approval.</t>
        </is>
      </c>
    </row>
    <row r="6" ht="16" customHeight="1">
      <c r="A6" s="9" t="inlineStr">
        <is>
          <t>DEAL FACTS</t>
        </is>
      </c>
      <c r="B6" s="10" t="n"/>
    </row>
    <row r="7" ht="26.4" customHeight="1">
      <c r="A7" s="11" t="inlineStr">
        <is>
          <t>Target</t>
        </is>
      </c>
      <c r="B7" s="12" t="inlineStr">
        <is>
          <t>Providence and Worcester Railroad Company (Rhode Island; NASDAQ: PWX; regional freight railroad; 4,866,593 common shares and 640 preferred shares outstanding as of the 09/16/2016 record date).</t>
        </is>
      </c>
    </row>
    <row r="8" ht="26.4" customHeight="1">
      <c r="A8" s="11" t="inlineStr">
        <is>
          <t>Focal acquirer and type</t>
        </is>
      </c>
      <c r="B8" s="12" t="inlineStr">
        <is>
          <t>Genesee &amp; Wyoming Inc. (Delaware; public; Strategic — operating freight-railroad group owning/leasing 121 railroads; eight North American regions with 114 short-line and regional railroads; operations in Australia and the U.K./Europe).</t>
        </is>
      </c>
    </row>
    <row r="9" ht="16" customHeight="1">
      <c r="A9" s="11" t="inlineStr">
        <is>
          <t>Acquisition vehicle</t>
        </is>
      </c>
      <c r="B9" s="12" t="inlineStr">
        <is>
          <t>Pullman Acquisition Sub Inc. (Rhode Island; wholly-owned G&amp;W subsidiary formed 08/12/2016 solely for the merger).</t>
        </is>
      </c>
    </row>
    <row r="10" ht="26.4" customHeight="1">
      <c r="A10" s="11" t="inlineStr">
        <is>
          <t>Agreed consideration</t>
        </is>
      </c>
      <c r="B10" s="12" t="inlineStr">
        <is>
          <t>$25.00 in cash per common share, without interest, less withholding; each preferred share deemed automatically converted 100-for-1 (plus aggregate accrued/accumulated and unpaid dividends) into common stock before receiving $25.00 per share; all cash.</t>
        </is>
      </c>
    </row>
    <row r="11" ht="16" customHeight="1">
      <c r="A11" s="11" t="inlineStr">
        <is>
          <t>Signing</t>
        </is>
      </c>
      <c r="B11" s="12" t="inlineStr">
        <is>
          <t>08/12/2016 (merger agreement among the Company, G&amp;W and Merger Sub; voting agreement with the Eder Trusts).</t>
        </is>
      </c>
    </row>
    <row r="12" ht="16" customHeight="1">
      <c r="A12" s="11" t="inlineStr">
        <is>
          <t>Announcement</t>
        </is>
      </c>
      <c r="B12" s="12" t="inlineStr">
        <is>
          <t>08/15/2016 press release before NASDAQ trading opened (R053).</t>
        </is>
      </c>
    </row>
    <row r="13" ht="26.4" customHeight="1">
      <c r="A13" s="11" t="inlineStr">
        <is>
          <t>Completion</t>
        </is>
      </c>
      <c r="B13" s="12" t="inlineStr">
        <is>
          <t>Expected Q4 2016; not observed in this filing (conditions include majority-of-each-class shareholder approval and STB approval or exemption/voting-trust opinion).</t>
        </is>
      </c>
    </row>
    <row r="14" ht="26.4" customHeight="1">
      <c r="A14" s="11" t="inlineStr">
        <is>
          <t>Filing</t>
        </is>
      </c>
      <c r="B14" s="12" t="inlineStr">
        <is>
          <t>DEFM14A definitive proxy statement, proxy dated 09/19/2016, first mailed on or about 09/21/2016; filed 09/20/2016 (per supplied filename); source file: raw_filing/providence-worcester_2016-09-20_DEFM14A.htm; background pages 27–32.</t>
        </is>
      </c>
    </row>
    <row r="15" ht="26.4" customHeight="1">
      <c r="A15" s="11" t="inlineStr">
        <is>
          <t>Labelled calculation — as-converted equity value</t>
        </is>
      </c>
      <c r="B15" s="12" t="inlineStr">
        <is>
          <t>(4,866,593 common + 640 preferred × 100 conversion) = 4,930,593 shares × $25.00 = $123,264,825 (calculation from disclosed inputs X-004 and X-014; the filing states no total equity value).</t>
        </is>
      </c>
    </row>
    <row r="16" ht="26.4" customHeight="1">
      <c r="A16" s="11" t="inlineStr">
        <is>
          <t>Labelled note — fee ratio</t>
        </is>
      </c>
      <c r="B16" s="12" t="inlineStr">
        <is>
          <t>The $3,785,000 termination fee is stated as approximately 3% of the transaction value (X-008); at exactly 3% that implies about $126.2 million on the filing’s fully diluted basis (calculation; no filed total).</t>
        </is>
      </c>
    </row>
    <row r="17" ht="16" customHeight="1">
      <c r="A17" s="9" t="inlineStr">
        <is>
          <t>PROCESS AND ROUND MAP</t>
        </is>
      </c>
      <c r="B17" s="10" t="n"/>
    </row>
    <row r="18" ht="16" customHeight="1">
      <c r="A18" s="11" t="inlineStr">
        <is>
          <t>Processes</t>
        </is>
      </c>
      <c r="B18" s="12" t="inlineStr">
        <is>
          <t>One sale process (Process 1). No abandonment, termination or restart observed; a single winner (G&amp;W) signed.</t>
        </is>
      </c>
    </row>
    <row r="19" ht="26.4" customHeight="1">
      <c r="A19" s="11" t="inlineStr">
        <is>
          <t>Round 0 (before 03/28/2016)</t>
        </is>
      </c>
      <c r="B19" s="12" t="inlineStr">
        <is>
          <t>Party A's Q4 2015 approach and interest (R001); GHF engagement 01/27/2016 (R002); Board decision to pursue a change in control strategy 03/14/2016 (R003); Committee authorization 03/24/2016 (R004). Sources: P-001–P-005.</t>
        </is>
      </c>
    </row>
    <row r="20" ht="52.8" customHeight="1">
      <c r="A20" s="11" t="inlineStr">
        <is>
          <t>Round 1 (week of 03/28/2016; R007)</t>
        </is>
      </c>
      <c r="B20" s="12" t="inlineStr">
        <is>
          <t>Opening: first outreach wave of 29 contacted buyers (R005/R006). Scope: 25 confidentiality agreements (R008/R009); memorandum; IOI solicitation due 05/10/2016, revised to 05/19/2016 (R012–R013; treatments: Extended, then Enforced); nine IOIs $17.93–$26.50 (R015); two low bidders excluded and seven advanced with management presentations and data-site access (R018/R019); 16 residual non-submitters inferred (R016). Finality: Not final. Sources: P-005, P-010.</t>
        </is>
      </c>
    </row>
    <row r="21" ht="39.59999999999999" customHeight="1">
      <c r="A21" s="11" t="inlineStr">
        <is>
          <t>Round 2 (mid-June 2016; R020)</t>
        </is>
      </c>
      <c r="B21" s="12" t="inlineStr">
        <is>
          <t>Opening: LOI and mark-up solicitation with due date 07/20/2016 (drafts posted 06/29, 06/30, 07/11). Scope: Party C late entry (R021–R023); six LOIs $19.20–$24.00 (R026–R029, R033–R033); two stated non-submitters (R031/R032). Deadline treatment: Late bids accepted (G&amp;W LOI dated 07/21/2016). Finality: Not final. Sources: P-011–P-014.</t>
        </is>
      </c>
    </row>
    <row r="22" ht="39.59999999999999" customHeight="1">
      <c r="A22" s="11" t="inlineStr">
        <is>
          <t>Round 3 (07/27/2016; R035)</t>
        </is>
      </c>
      <c r="B22" s="12" t="inlineStr">
        <is>
          <t>Opening: selection of G&amp;W and Party B for confirmatory due diligence and definitive negotiation (R035); four named bidders dropped (R036–R038); D and E re-entered 08/01/2016 (R040–R043) and closed by 08/04/2016 (R045–R047); G&amp;W final bid $25.00 cash 08/12/2016 (R050); signing (R051) and announcement (R053). Finality: Inferred final. Sources: P-022–P-027.</t>
        </is>
      </c>
    </row>
    <row r="23" ht="26.4" customHeight="1">
      <c r="A23" s="11" t="inlineStr">
        <is>
          <t>Post-signing</t>
        </is>
      </c>
      <c r="B23" s="12" t="inlineStr">
        <is>
          <t>No competing proposal, go-shop or agreement termination disclosed (through the 09/19/2016 proxy). Regulatory status: G&amp;W filed its STB petition for exemption on 09/01/2016 and submitted a voting-trust form to the STB on 09/14/2016 (X-022) — context only, no ledger rows after signing.</t>
        </is>
      </c>
    </row>
    <row r="24" ht="26.4" customHeight="1">
      <c r="A24" s="11" t="inlineStr">
        <is>
          <t>Round-bidder tallies (submitting units)</t>
        </is>
      </c>
      <c r="B24" s="12" t="inlineStr">
        <is>
          <t>R1: 9 (nine IOI submitters, R015). R2: 6 (B, C, D, E, F, G&amp;W; Party C counted on R023). R3: 3 (D, E, G&amp;W; Party B continued without a new priced submission). These are per-round submitting units, not unique firms across the deal.</t>
        </is>
      </c>
    </row>
    <row r="25" ht="26.4" customHeight="1">
      <c r="A25" s="11" t="inlineStr">
        <is>
          <t>Deadline history</t>
        </is>
      </c>
      <c r="B25" s="12" t="inlineStr">
        <is>
          <t>IOI 05/10/2016 — Extended (R012/R013; P-009). IOI 05/19/2016 — Enforced (R014; P-010). LOI 07/20/2016 — Late bids accepted (R025; P-014, P-016). No deadline stated for the R1 opening wave or the R3 final stage.</t>
        </is>
      </c>
    </row>
    <row r="26" ht="16" customHeight="1">
      <c r="A26" s="9" t="inlineStr">
        <is>
          <t>PARTICIPANTS AND ADVISERS</t>
        </is>
      </c>
      <c r="B26" s="10" t="n"/>
    </row>
    <row r="27" ht="26.4" customHeight="1">
      <c r="A27" s="12" t="inlineStr">
        <is>
          <t>Named bidders (first activity; last activity; closing outcome and basis):</t>
        </is>
      </c>
    </row>
    <row r="28" ht="26.4" customHeight="1">
      <c r="A28" s="11" t="inlineStr">
        <is>
          <t>Party A (Strategic)</t>
        </is>
      </c>
      <c r="B28" s="12" t="inlineStr">
        <is>
          <t>First: Q4 2015 approach (R001). Last: memorandum recipient (P-008). Closed by Inferred: identity row (R017, Count 0) mapping to the 16 non-submitting NDA signers (R016) — see Q3.</t>
        </is>
      </c>
    </row>
    <row r="29" ht="26.4" customHeight="1">
      <c r="A29" s="11" t="inlineStr">
        <is>
          <t>Party B (Strategic)</t>
        </is>
      </c>
      <c r="B29" s="12" t="inlineStr">
        <is>
          <t>First: 04/21/2016 introductory meeting (P-007/P-008); first ledger row: $24.00 LOI (R026). Advanced 07/27/2016 (R035). Not selected at signing 08/12/2016 (R052, Stated; Would not improve earlier offer).</t>
        </is>
      </c>
    </row>
    <row r="30" ht="26.4" customHeight="1">
      <c r="A30" s="11" t="inlineStr">
        <is>
          <t>Party C (Strategic; late entrant)</t>
        </is>
      </c>
      <c r="B30" s="12" t="inlineStr">
        <is>
          <t>First: early July 2016 approach (R021); NDA (R022); IOI $21.00 (R023) then LOI $19.30 (R029); catch-up access (R024). Dropped 07/27/2016 (R036, Stated).</t>
        </is>
      </c>
    </row>
    <row r="31" ht="26.4" customHeight="1">
      <c r="A31" s="11" t="inlineStr">
        <is>
          <t>Party D (Financial)</t>
        </is>
      </c>
      <c r="B31" s="12" t="inlineStr">
        <is>
          <t>First: $21.00 LOI (R028); $24.00 revised LOI 08/01/2016 (R041); paused 08/02/2016 (R045, own statement); closed Inferred: residual 08/04/2016 (R047).</t>
        </is>
      </c>
    </row>
    <row r="32" ht="26.4" customHeight="1">
      <c r="A32" s="11" t="inlineStr">
        <is>
          <t>Party E (Strategic)</t>
        </is>
      </c>
      <c r="B32" s="12" t="inlineStr">
        <is>
          <t>First: $21.26 LOI (R027); $23.81 revised LOI with Party F financing 08/01/2016 (R043); withdrew the revision and confirmed $21.26 on 08/02/2016 (R044); closed Inferred: residual 08/04/2016 (R048).</t>
        </is>
      </c>
    </row>
    <row r="33" ht="26.4" customHeight="1">
      <c r="A33" s="11" t="inlineStr">
        <is>
          <t>Party F (Strategic)</t>
        </is>
      </c>
      <c r="B33" s="12" t="inlineStr">
        <is>
          <t>First: $19.20 LOI (R030); dropped 07/27/2016 (R039); provided financing support to Party E from 08/01/2016 (R043) after its own exit — no new row or re-entry for F.</t>
        </is>
      </c>
    </row>
    <row r="34" ht="26.4" customHeight="1">
      <c r="A34" s="11" t="inlineStr">
        <is>
          <t>G&amp;W (Strategic)</t>
        </is>
      </c>
      <c r="B34" s="12" t="inlineStr">
        <is>
          <t>First: contacted in the opening wave and met at the 2016 Connections Convention 04/03–06 (R005, R011); LOIs $21.15 (R033) and $22.15 (R034); final $25.00 cash bid 08/12/2016 (R050) and signing (R051). Winner — no exit row.</t>
        </is>
      </c>
    </row>
    <row r="35" ht="26.4" customHeight="1">
      <c r="A35" s="11" t="inlineStr">
        <is>
          <t>Cohorts (not extra parties)</t>
        </is>
      </c>
      <c r="B35" s="12" t="inlineStr">
        <is>
          <t>11 strategic NDA signers (R008); 14 financial NDA signers (R009); nine IOI submitters (R015); two low bidders excluded (R019); 16 residual non-submitters (R016); one unnamed strategic and one unnamed financial LOI non-submitter (R031/R032).</t>
        </is>
      </c>
    </row>
    <row r="36" ht="52.8" customHeight="1">
      <c r="A36" s="11" t="inlineStr">
        <is>
          <t>Advisers</t>
        </is>
      </c>
      <c r="B36" s="12" t="inlineStr">
        <is>
          <t>GHF / BMO Capital Markets Corp. — Company financial adviser (engaged 01/27/2016; BMO succession 08/01/2016; fairness opinion 08/12/2016; fee approximately $2.52 million; affiliate-lender conflict disclosed and reviewed 09/06/2016) — R002. Hinckley, Allen &amp; Snyder LLP — Company legal counsel (first observed 03/24/2016, participating in all Transaction Committee meetings) — P-005. Simpson Thacher &amp; Bartlett LLP — G&amp;W legal counsel (first observed 08/10/2016) — P-026. The Company’s STB counsel is unnamed in the filing; not recorded as an adviser.</t>
        </is>
      </c>
    </row>
    <row r="37" ht="39.59999999999999" customHeight="1">
      <c r="A37" s="11" t="inlineStr">
        <is>
          <t>Disclosed attributes</t>
        </is>
      </c>
      <c r="B37" s="12" t="inlineStr">
        <is>
          <t>PWRR public (NASDAQ: PWX); G&amp;W public (Delaware; non-U.S. operations). Ownership: Eder Trusts 842,742 common (~17.3%) and 500 preferred (~78.1%) — voting agreement; GATX Corporation 4.92% of common; Director Alfred P. Smith (GATX Vice President and Group Executive) recused himself from the bidding-process meetings.</t>
        </is>
      </c>
    </row>
    <row r="38" ht="16" customHeight="1">
      <c r="A38" s="9" t="inlineStr">
        <is>
          <t>COUNTS AND AUCTION SCREEN</t>
        </is>
      </c>
      <c r="B38" s="10" t="n"/>
    </row>
    <row r="39" ht="52.8" customHeight="1">
      <c r="A39" s="11" t="inlineStr">
        <is>
          <t>Contacts</t>
        </is>
      </c>
      <c r="B39" s="12" t="inlineStr">
        <is>
          <t>Ledger Contact rows: 31 target-initiated contacts (29 in the GHF wave + 2 additional Class I railroads, additive reading; overlap unresolved — Q3). Bidder-initiated first contacts: 2 (Party A Q4 2015; Party C early July 2016), recorded as Bidder interest rows and included explicitly in the contact picture (a Contact tally does not capture them; see formulas below). Filing assertions: “contacted 11 potential strategic buyers (including Party A) and 18 potential financial buyers” and “also approached two additional Class I railroads” (P-005, P-007).</t>
        </is>
      </c>
    </row>
    <row r="40" ht="52.8" customHeight="1">
      <c r="A40" s="11" t="inlineStr">
        <is>
          <t>Confidentiality agreements</t>
        </is>
      </c>
      <c r="B40" s="12" t="inlineStr">
        <is>
          <t>Ledger: 11 + 14 + 1 (Party C late entrant) = 26 bidder NDAs; the Board’s Reasons state that of the broad group of potential bidders “25 of whom entered into confidentiality agreements with the Company and received information related to the Company and six of whom submitted non-binding letters of intent” (X-005) — reconciliation: the 25 are the opening-wave signers; Party C signed later and is the sixth LOI submitter (count difference flagged, Q3). No standstill provisions (P-005).</t>
        </is>
      </c>
    </row>
    <row r="41" ht="26.4" customHeight="1">
      <c r="A41" s="11" t="inlineStr">
        <is>
          <t>Auction screen</t>
        </is>
      </c>
      <c r="B41" s="12" t="inlineStr">
        <is>
          <t>MET — more than one independent prospective acquiring bidder unit executed bidder-target confidentiality agreements for this process (25 in the opening wave; 26 including the later late entrant). No lender-only, adviser or rollover-holder agreements are involved.</t>
        </is>
      </c>
    </row>
    <row r="42" ht="39.59999999999999" customHeight="1">
      <c r="A42" s="11" t="inlineStr">
        <is>
          <t>Submissions</t>
        </is>
      </c>
      <c r="B42" s="12" t="inlineStr">
        <is>
          <t>IOI submitters: 9 (R015) — matches the filing’s “nine written indications of interest.” LOI submitters: 6 (R026–R029, R033–R033; Party C counted on R023) — matches “six LOIs” and “six of whom submitted non-binding letters of intent.” Stated non-submitters at the LOI stage: 2 (one strategic, one financial — R031/R032).</t>
        </is>
      </c>
    </row>
    <row r="43" ht="39.59999999999999" customHeight="1">
      <c r="A43" s="11" t="inlineStr">
        <is>
          <t>Ledger-derived totals (formulas, Include = Yes only)</t>
        </is>
      </c>
      <c r="B43" s="12" t="inlineStr">
        <is>
          <t>The Summary cells below use SUMIFS over the ledger columns (What happened = column D, Round = F, Include = P, Count = Q: rows 2–54): contacts; NDAs; bids by round; did-not-submit; dropped; re-entered; reaffirmed; not-selected. Each is a separate event tally and must not be added across steps; blank Count cells (adviser, decision, milestone, access rows) are excluded by construction.</t>
        </is>
      </c>
    </row>
    <row r="44" ht="16" customHeight="1">
      <c r="A44" s="11" t="inlineStr">
        <is>
          <t>Contact rows total (target-initiated)</t>
        </is>
      </c>
      <c r="B44" s="13">
        <f>SUMIFS('Deal ledger'!$Q$2:$Q$54,'Deal ledger'!$D$2:$D$54,"Contact",'Deal ledger'!$P$2:$P$54,"Yes")</f>
        <v/>
      </c>
    </row>
    <row r="45" ht="26.4" customHeight="1">
      <c r="A45" s="11" t="inlineStr">
        <is>
          <t>Bidder interest rows total (bidder-initiated first contacts)</t>
        </is>
      </c>
      <c r="B45" s="13">
        <f>SUMIFS('Deal ledger'!$Q$2:$Q$54,'Deal ledger'!$D$2:$D$54,"Bidder interest",'Deal ledger'!$P$2:$P$54,"Yes")</f>
        <v/>
      </c>
    </row>
    <row r="46" ht="16" customHeight="1">
      <c r="A46" s="11" t="inlineStr">
        <is>
          <t>NDA signed rows total</t>
        </is>
      </c>
      <c r="B46" s="13">
        <f>SUMIFS('Deal ledger'!$Q$2:$Q$54,'Deal ledger'!$D$2:$D$54,"NDA signed",'Deal ledger'!$P$2:$P$54,"Yes")</f>
        <v/>
      </c>
    </row>
    <row r="47" ht="16" customHeight="1">
      <c r="A47" s="11" t="inlineStr">
        <is>
          <t>Bid rows, Round 1</t>
        </is>
      </c>
      <c r="B47" s="13">
        <f>SUMIFS('Deal ledger'!$Q$2:$Q$54,'Deal ledger'!$D$2:$D$54,"Bid",'Deal ledger'!$F$2:$F$54,1,'Deal ledger'!$P$2:$P$54,"Yes")</f>
        <v/>
      </c>
    </row>
    <row r="48" ht="16" customHeight="1">
      <c r="A48" s="11" t="inlineStr">
        <is>
          <t>Bid rows, Round 2</t>
        </is>
      </c>
      <c r="B48" s="13">
        <f>SUMIFS('Deal ledger'!$Q$2:$Q$54,'Deal ledger'!$D$2:$D$54,"Bid",'Deal ledger'!$F$2:$F$54,2,'Deal ledger'!$P$2:$P$54,"Yes")</f>
        <v/>
      </c>
    </row>
    <row r="49" ht="16" customHeight="1">
      <c r="A49" s="11" t="inlineStr">
        <is>
          <t>Bid rows, Round 3</t>
        </is>
      </c>
      <c r="B49" s="13">
        <f>SUMIFS('Deal ledger'!$Q$2:$Q$54,'Deal ledger'!$D$2:$D$54,"Bid",'Deal ledger'!$F$2:$F$54,3,'Deal ledger'!$P$2:$P$54,"Yes")</f>
        <v/>
      </c>
    </row>
    <row r="50" ht="26.4" customHeight="1">
      <c r="A50" s="11" t="inlineStr">
        <is>
          <t>Did not submit rows total (16 residual + 1 strategic + 1 financial)</t>
        </is>
      </c>
      <c r="B50" s="13">
        <f>SUMIFS('Deal ledger'!$Q$2:$Q$54,'Deal ledger'!$D$2:$D$54,"Did not submit",'Deal ledger'!$P$2:$P$54,"Yes")</f>
        <v/>
      </c>
    </row>
    <row r="51" ht="26.4" customHeight="1">
      <c r="A51" s="11" t="inlineStr">
        <is>
          <t>Dropped by target rows total (2 low bidders + C, D, E, F + D, E inferred)</t>
        </is>
      </c>
      <c r="B51" s="13">
        <f>SUMIFS('Deal ledger'!$Q$2:$Q$54,'Deal ledger'!$D$2:$D$54,"Dropped by target",'Deal ledger'!$P$2:$P$54,"Yes")</f>
        <v/>
      </c>
    </row>
    <row r="52" ht="16" customHeight="1">
      <c r="A52" s="11" t="inlineStr">
        <is>
          <t>Re-entered rows total (D, E)</t>
        </is>
      </c>
      <c r="B52" s="13">
        <f>SUMIFS('Deal ledger'!$Q$2:$Q$54,'Deal ledger'!$D$2:$D$54,"Re-entered",'Deal ledger'!$P$2:$P$54,"Yes")</f>
        <v/>
      </c>
    </row>
    <row r="53" ht="26.4" customHeight="1">
      <c r="A53" s="11" t="inlineStr">
        <is>
          <t>Bid reaffirmed rows total (Party E; Count 0 — its R3 unit is counted on R043)</t>
        </is>
      </c>
      <c r="B53" s="13">
        <f>SUMIFS('Deal ledger'!$Q$2:$Q$54,'Deal ledger'!$D$2:$D$54,"Bid reaffirmed",'Deal ledger'!$P$2:$P$54,"Yes")</f>
        <v/>
      </c>
    </row>
    <row r="54" ht="26.4" customHeight="1">
      <c r="A54" s="11" t="inlineStr">
        <is>
          <t>Not selected at signing rows total (Party B)</t>
        </is>
      </c>
      <c r="B54" s="13">
        <f>SUMIFS('Deal ledger'!$Q$2:$Q$54,'Deal ledger'!$D$2:$D$54,"Not selected at signing",'Deal ledger'!$P$2:$P$54,"Yes")</f>
        <v/>
      </c>
    </row>
    <row r="55" ht="52.8" customHeight="1">
      <c r="A55" s="11" t="inlineStr">
        <is>
          <t>Per-stage balance (§10.2; units, not spreadsheets rows)</t>
        </is>
      </c>
      <c r="B55" s="12" t="inlineStr">
        <is>
          <t>R1: 25 entrants (R008 + R009) − 18 exits (16 inferred R016 + 2 stated R019) = 7 continuing. R2: 7 + 1 entrant (R022 Party C) − 6 exits (2 stated R031/R032 + 4 stated R036–R038) = 2 continuing (B, G&amp;W). R3: 2 + 2 re-entries (R040, R042) − 2 exits (inferred R047/R048) = 2 continuing; at signing, Party B closes (R052) = 1 (winner G&amp;W). Inferred share: 18 of 27 exit events (16 residual + D/E at 08/04) are inferred; 9 are stated. Never negative; ends with the winner only.</t>
        </is>
      </c>
    </row>
    <row r="56" ht="39.59999999999999" customHeight="1">
      <c r="A56" s="11" t="inlineStr">
        <is>
          <t>Reconciliation notes</t>
        </is>
      </c>
      <c r="B56" s="12" t="inlineStr">
        <is>
          <t>Outcome tallies are occurrences and affected units, not unique permanent exits (D and E are each closed twice, with a re-entry between). Round-bidder counts are not submissions or unique bidders across the deal. Source totals preserved: 29 wave contacts, 25 wave NDAs, nine IOIs, six LOIs, two LOI non-submitters, two low bidders excluded.</t>
        </is>
      </c>
    </row>
    <row r="57" ht="16" customHeight="1">
      <c r="A57" s="9" t="inlineStr">
        <is>
          <t>COMPARABILITY AND INPUTS</t>
        </is>
      </c>
      <c r="B57" s="10" t="n"/>
    </row>
    <row r="58" ht="26.4" customHeight="1">
      <c r="A58" s="11" t="inlineStr">
        <is>
          <t>Other-scope proposals</t>
        </is>
      </c>
      <c r="B58" s="12" t="inlineStr">
        <is>
          <t>None observed — all proposals concern acquisition of the whole company’s equity. Party F’s financing support to Party E is not a separate offer or a bidding group.</t>
        </is>
      </c>
    </row>
    <row r="59" ht="26.4" customHeight="1">
      <c r="A59" s="11" t="inlineStr">
        <is>
          <t>CVR (G&amp;W July bids)</t>
        </is>
      </c>
      <c r="B59" s="12" t="inlineStr">
        <is>
          <t>$1.13 per share contingent value right, based on the subsequent sale of the Company’s South Quay property; recorded with $20.02 then $21.02 fixed cash at closing; excluded from the final $25.00 all-cash bid on 08/12/2016. Payment timing/formula beyond the sale trigger: not disclosed.</t>
        </is>
      </c>
    </row>
    <row r="60" ht="39.59999999999999" customHeight="1">
      <c r="A60" s="11" t="inlineStr">
        <is>
          <t>LOI comparability</t>
        </is>
      </c>
      <c r="B60" s="12" t="inlineStr">
        <is>
          <t>LOI prices were “based on different assumptions and requirements related to transaction expenses and change in control payments, which GHF and the Transaction Committee observed could affect the ultimate offer price” (P-021) — not normalized here; treat cross-bidder price comparisons as approximate.</t>
        </is>
      </c>
    </row>
    <row r="61" ht="39.59999999999999" customHeight="1">
      <c r="A61" s="11" t="inlineStr">
        <is>
          <t>Share basis and counts</t>
        </is>
      </c>
      <c r="B61" s="12" t="inlineStr">
        <is>
          <t>Stated price ranges and implied equity values assume conversion of preferred stock into common stock. Counts: 4,866,593 common and 640 preferred outstanding (09/16/2016 record date and 08/11/2016 measurement date); preferred convertible into 64,000 common shares. As-converted equity value calculation at $25.00 = $123,264,825 (labelled calculation above).</t>
        </is>
      </c>
    </row>
    <row r="62" ht="26.4" customHeight="1">
      <c r="A62" s="11" t="inlineStr">
        <is>
          <t>Market benchmarks</t>
        </is>
      </c>
      <c r="B62" s="12" t="inlineStr">
        <is>
          <t>Closing price 08/12/2016 (last trading day before announcement): $16.30 — the Board cites a 53% premium for the $25.00 consideration. Closing price 09/16/2016: $24.88. Q3 2016 trading range (through 09/16/2016): high $25.00, low $15.60 (p71).</t>
        </is>
      </c>
    </row>
    <row r="63" ht="79.19999999999999" customHeight="1">
      <c r="A63" s="11" t="inlineStr">
        <is>
          <t>Glossary</t>
        </is>
      </c>
      <c r="B63" s="12" t="inlineStr">
        <is>
          <t>NDA — confidentiality agreement. IOI — written non-binding indication of interest. LOI — non-binding letter of intent. Data site/data room — internet data site for legal and financial due diligence. CVR — contingent value right (here tied to the South Quay property sale). STB — Surface Transportation Board; voting trust — arrangement to insulate G&amp;W from unauthorized control pending STB clearance. Fiduciary out — the Board’s ability to change its recommendation or terminate for a superior proposal, with matching rights. Eder Trusts — the Company’s controlling family trusts. Class I railroad — largest U.S. freight railroads. Markup — a bidder’s proposed edits to transaction documents (not a signed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95" customWidth="1" min="3" max="3"/>
    <col width="55" customWidth="1" min="4" max="4"/>
    <col width="28" customWidth="1" min="5" max="5"/>
    <col width="55" customWidth="1" min="6" max="6"/>
    <col width="10" customWidth="1" min="7" max="7"/>
    <col width="30" customWidth="1" min="8" max="8"/>
  </cols>
  <sheetData>
    <row r="1" ht="28" customHeight="1">
      <c r="A1" s="1" t="inlineStr">
        <is>
          <t>Q</t>
        </is>
      </c>
      <c r="B1" s="1" t="inlineStr">
        <is>
          <t>Review topic</t>
        </is>
      </c>
      <c r="C1" s="1" t="inlineStr">
        <is>
          <t>Recommended answer</t>
        </is>
      </c>
      <c r="D1" s="1" t="inlineStr">
        <is>
          <t>Why and source</t>
        </is>
      </c>
      <c r="E1" s="1" t="inlineStr">
        <is>
          <t>Affected rows/fields</t>
        </is>
      </c>
      <c r="F1" s="1" t="inlineStr">
        <is>
          <t>Consequence of changing it</t>
        </is>
      </c>
      <c r="G1" s="1" t="inlineStr">
        <is>
          <t>Status</t>
        </is>
      </c>
      <c r="H1" s="1" t="inlineStr">
        <is>
          <t>Reviewer note</t>
        </is>
      </c>
    </row>
    <row r="2" ht="132" customHeight="1">
      <c r="A2" s="4" t="inlineStr">
        <is>
          <t>Q1</t>
        </is>
      </c>
      <c r="B2" s="4" t="inlineStr">
        <is>
          <t>Process and round map; inferred starts; rejected boundary candidates</t>
        </is>
      </c>
      <c r="C2" s="4" t="inlineStr">
        <is>
          <t>Keep one process (no termination or restart observed). R1 opens the week of 03/28/2016 at the first outreach wave (R005/R006; round opened R007); R2 opens mid-June 2016 at the LOI and mark-up solicitation due 07/20/2016 (R020); R3 opens 07/27/2016 on the selection of G&amp;W and Party B for confirmatory and definitive negotiation (R035; Inferred final). Rejected boundaries to retain as their own rows: R003 (03/14/2016 Board decision — outreach began about two weeks later, outside the “about a week” execution test), R004 (03/24/2016 Committee authorization — the alternative anchor under the decision rule), R018 (06/01/2016 advancement to presentations and data site — no updated offers sought; folded into R1), R046 (08/04/2016 prioritization) and R050 (08/12/2016 final bid — inside R3). Post-signing: no go-shop and no competing proposal observed.</t>
        </is>
      </c>
      <c r="D2" s="4" t="inlineStr">
        <is>
          <t>P-005 (first contact wave); P-010 (advancement); P-011 (LOI instruction); P-022 (selection); P-027 (final bid). Smallest round map that preserves each substantive transition.</t>
        </is>
      </c>
      <c r="E2" s="4" t="inlineStr">
        <is>
          <t>R003, R004, R005, R006, R007, R018, R020, R035, R046, R050</t>
        </is>
      </c>
      <c r="F2" s="4" t="inlineStr">
        <is>
          <t>Moving the R1 anchor to R003/R004 shifts the round 0/1 boundary and the round assignment of the NDA cohort rows; splitting 06/01/2016 into its own round renumbers R2/R3 and splits the LOI bidders’ round history; treating 08/04/2016 as a new round would move the D/E inferred closes and the G&amp;W final bid.</t>
        </is>
      </c>
      <c r="G2" s="4" t="inlineStr">
        <is>
          <t>Pending</t>
        </is>
      </c>
      <c r="H2" s="4" t="n"/>
    </row>
    <row r="3" ht="92.39999999999999" customHeight="1">
      <c r="A3" s="4" t="inlineStr">
        <is>
          <t>Q2</t>
        </is>
      </c>
      <c r="B3" s="4" t="inlineStr">
        <is>
          <t>Deadlines, the extension and elapsed-deadline treatments</t>
        </is>
      </c>
      <c r="C3" s="4" t="inlineStr">
        <is>
          <t>05/10/2016 (IOI): Extended — superseded by the 05/19/2016 postponement before arrival (R012/R013). 05/19/2016 (IOI): Enforced — the target moved to selection on 06/01/2016 on the bids in hand; the receipt window (05/19–06/01/2016) straddles the due date but no bid is shown dated after it, so “Late bids accepted” is not supported. 07/20/2016 (LOI): Late bids accepted — G&amp;W’s LOI is dated 07/21/2016 and was considered with no revision of the deadline; the other five LOIs are undated. No deadline stated for the R1 opening wave or the R3 final stage.</t>
        </is>
      </c>
      <c r="D3" s="4" t="inlineStr">
        <is>
          <t>P-009 (advice and extension, purpose, no requester); P-010 (receipt window and 06/01/2016 selection); P-014/P-016 (six LOIs; G&amp;W dated 07/21/2016). §8.3 tests.</t>
        </is>
      </c>
      <c r="E3" s="4" t="inlineStr">
        <is>
          <t>R012, R013, R014, R025 (also R015, R033)</t>
        </is>
      </c>
      <c r="F3" s="4" t="inlineStr">
        <is>
          <t>Reclassifying 05/19/2016 as Late bids accepted or Passed without action changes the Summary map and the Working date logic for R016 (16 residual non-submitters) and R015; adding a revision row for 07/20/2016 would imply an extension the filing does not state.</t>
        </is>
      </c>
      <c r="G3" s="4" t="inlineStr">
        <is>
          <t>Pending</t>
        </is>
      </c>
      <c r="H3" s="4" t="n"/>
    </row>
    <row r="4" ht="158.4" customHeight="1">
      <c r="A4" s="4" t="inlineStr">
        <is>
          <t>Q3</t>
        </is>
      </c>
      <c r="B4" s="4" t="inlineStr">
        <is>
          <t>NDA/contact populations, count reconciliation and the Party A identity mapping</t>
        </is>
      </c>
      <c r="C4" s="4" t="inlineStr">
        <is>
          <t>Record 25 opening-wave signers (11 strategic + 14 financial) plus Party C’s later NDA = 26 total bidder NDAs; the Board’s statement that “25 of whom entered into confidentiality agreements with the Company and received information related to the Company and six of whom submitted non-binding letters of intent” (X-005) cannot include Party C in the 25 while also counting it among the six submitters; recommended reading: the 25 are the solicited wave and C is the sixth submitter added later. The two additional Class I railroads are recorded as additional contacts (+2), but may overlap the 11 strategic buyers — if so, contacts total 29 and the Class I row becomes a duplicate. The two stated LOI non-submitters (one strategic, one financial) are treated as participants live at the LOI stage; the filing does not identify them or exclude overlap with the excluded low bidders. Party A’s Count-0 identity row maps it to the 16 non-submitting NDA signers (recommended) rather than the nine IOI submitters.</t>
        </is>
      </c>
      <c r="D4" s="4" t="inlineStr">
        <is>
          <t>P-005 (11 + 14 signers), P-007 (two additional Class I railroads), P-010 (nine IOIs; seven advance), P-013 (Party C), P-014/P-021 (six LOIs; two non-submitters), X-005 (Board count 25/six). Arithmetic: 11 + 14 = 25; 25 + 1 = 26.</t>
        </is>
      </c>
      <c r="E4" s="4" t="inlineStr">
        <is>
          <t>R005, R006, R008, R009, R010, R015, R016, R017, R022, R031, R032</t>
        </is>
      </c>
      <c r="F4" s="4" t="inlineStr">
        <is>
          <t>If the Class I railroads are inside the 11, the contact total falls to 29 and R010 should be folded; if Party C is inside the 25, the NDA total is 25 and R022 loses its Count 1; changing Party A’s covering cohort changes the identity row’s stated arithmetic but moves no count.</t>
        </is>
      </c>
      <c r="G4" s="4" t="inlineStr">
        <is>
          <t>Pending</t>
        </is>
      </c>
      <c r="H4" s="4" t="n"/>
    </row>
    <row r="5" ht="145.2" customHeight="1">
      <c r="A5" s="4" t="inlineStr">
        <is>
          <t>Q4</t>
        </is>
      </c>
      <c r="B5" s="4" t="inlineStr">
        <is>
          <t>Formality and conditions levels; no late-reconfirmation rows</t>
        </is>
      </c>
      <c r="C5" s="4" t="inlineStr">
        <is>
          <t>Keep: nine-IOI cohort Informal (non-binding solicitation; no markups at that stage); Party E Informal on the issues-list default, flagged as borderline (a documented response with proposed changes, but no returned agreement markup and no final/binding solicitation); Heavy conditions on G&amp;W 07/21 and 07/26 (three-week exclusive diligence), Party D (four-week/30-day), Party C and Party F (30-day) and Party E (60-day exclusive) — each turns on a stated diligence or exclusivity period; Party B Light (expedited diligence review); G&amp;W’s 08/12/2016 final bid Light (diligence completed 08/11/2016; no financing condition reported, G&amp;W financial-wherewithal representation). No None classifications. No late-reconfirmation row is created: G&amp;W restated its position with a new priced bid on 08/12/2016 (R050), and the target never moved to finalize with Party B on its standing offer — B declined to improve (R052).</t>
        </is>
      </c>
      <c r="D5" s="4" t="inlineStr">
        <is>
          <t>P-010, P-014–P-020 (LOI terms), P-023 (D/E revisions), P-027 (final bid), X-007 (no financing condition). §9.2–9.3 defaults; late-reconfirmation rule §9.1.</t>
        </is>
      </c>
      <c r="E5" s="4" t="inlineStr">
        <is>
          <t>R015, R023, R026, R027, R028, R029, R030, R033, R034, R041, R043, R044, R050</t>
        </is>
      </c>
      <c r="F5" s="4" t="inlineStr">
        <is>
          <t>Upgrading Party E to Formal would raise its documentation signal without changing its Heavy conditions; downgrading Party B or G&amp;W would require a reported Heavy trigger; adding a late-reconfirmation row would duplicate an existing priced G&amp;W bid and misstate its Formality origin.</t>
        </is>
      </c>
      <c r="G5" s="4" t="inlineStr">
        <is>
          <t>Pending</t>
        </is>
      </c>
      <c r="H5" s="4" t="n"/>
    </row>
    <row r="6" ht="158.4" customHeight="1">
      <c r="A6" s="4" t="inlineStr">
        <is>
          <t>Q5</t>
        </is>
      </c>
      <c r="B6" s="4" t="inlineStr">
        <is>
          <t>Participation outcomes, agency/reasons and every inferred close</t>
        </is>
      </c>
      <c r="C6" s="4" t="inlineStr">
        <is>
          <t>Keep the stated outcomes: C, D, E and F dropped 07/27/2016 (Decided by Target; Lower offer than rivals — the Committee cited the finalists’ higher offers); D’s 08/02/2016 Participation paused (Decided by Bidder; Terms or process — it stopped after the Company declined its requested no-signing commitment; a pause is not an exit); E’s 08/02/2016 withdrawal of its revised proposal and price confirmation (Bid reaffirmed; not an exit); Party B Not selected at signing 08/12/2016 (Stated; Target; Would not improve earlier offer); two low bidders dropped 06/01/2016 (Stated). Inferred closes to confirm: 16 residual non-submitters at 05/19/2016 (Inferred: residual; 25 − 9 = 16); Party A Count-0 identity row (Inferred: identity); D and E closed 08/04/2016 (Inferred: residual — the 08/04/2016 continuing set, G&amp;W and Party B, is named without them). Party F’s 08/01/2016 financing support to Party E gets no row of its own because F had already exited on 07/27/2016; it is carried on E’s bid (Support tag) with a Related link to F’s earlier bid.</t>
        </is>
      </c>
      <c r="D6" s="4" t="inlineStr">
        <is>
          <t>P-010 (exclusions and advancement), P-014 (non-submitters), P-022 (07/27/2016 notice), P-023 (D pause; E revision/confirmation; F support), P-025 (08/04/2016 continuing set), P-030 (B declines to improve). §§10.1–10.2 arithmetic and transition logic.</t>
        </is>
      </c>
      <c r="E6" s="4" t="inlineStr">
        <is>
          <t>R016, R017, R019, R031, R032, R036–R047, R052</t>
        </is>
      </c>
      <c r="F6" s="4" t="inlineStr">
        <is>
          <t>Treating D’s pause as a withdrawal, or closing D/E at signing rather than 08/04/2016, changes the per-stage balance and the inferred share; giving F a re-entry or group row double-counts its exit; moving Party A’s identity row to another transition changes only its stated arithmetic, not any count.</t>
        </is>
      </c>
      <c r="G6" s="4" t="inlineStr">
        <is>
          <t>Pending</t>
        </is>
      </c>
      <c r="H6" s="4" t="n"/>
    </row>
    <row r="7" ht="118.8" customHeight="1">
      <c r="A7" s="4" t="inlineStr">
        <is>
          <t>Q6</t>
        </is>
      </c>
      <c r="B7" s="4" t="inlineStr">
        <is>
          <t>Consideration comparability, the CVR and equity-value inputs</t>
        </is>
      </c>
      <c r="C7" s="4" t="inlineStr">
        <is>
          <t>Keep G&amp;W’s July bids with the $1.13 CVR (contingent on the subsequent sale of the South Quay property; fixed cash at closing $20.02, then $21.02) and the final 08/12/2016 bid at $25.00 all cash (CVR excluded). Do not normalize LOI prices for the disclosed differences in transaction-expense and change-in-control-payment assumptions (the Committee and GHF observed they could affect the ultimate offer price). Present the as-converted equity value only as a labelled calculation: (4,866,593 + 64,000) × $25.00 = $123,264,825 (inputs X-004, X-014); note separately that the approximately 3% termination fee implies about $126.2 million on the filing’s fully diluted basis. Market benchmarks: $16.30 (08/12/2016) and $24.88 (09/16/2016); 53% premium per the Board.</t>
        </is>
      </c>
      <c r="D7" s="4" t="inlineStr">
        <is>
          <t>P-010 (share basis; implied equity values), P-014 (LOI range), P-016 (CVR, cash split), P-021 (expense/change-in-control caveat), X-004 (share counts), X-006 (premium), X-008 (fee ratio), X-012 (prices), X-014 ($25.00).</t>
        </is>
      </c>
      <c r="E7" s="4" t="inlineStr">
        <is>
          <t>R015, R033, R034, R050, R051; Summary deal facts and comparability blocks</t>
        </is>
      </c>
      <c r="F7" s="4" t="inlineStr">
        <is>
          <t>Adding the CVR to per-share cells would overstate guaranteed cash; converting the disclosed equity values into new per-share prices would invent observations; changing the share base alters only the labelled calculation (the filing states no total equity value).</t>
        </is>
      </c>
      <c r="G7" s="4" t="inlineStr">
        <is>
          <t>Pending</t>
        </is>
      </c>
      <c r="H7" s="4" t="n"/>
    </row>
    <row r="8" ht="118.8" customHeight="1">
      <c r="A8" s="4" t="inlineStr">
        <is>
          <t>Q7</t>
        </is>
      </c>
      <c r="B8" s="4" t="inlineStr">
        <is>
          <t>Assigned Working dates and display order within stages</t>
        </is>
      </c>
      <c r="C8" s="4" t="inlineStr">
        <is>
          <t>Confirm the conventions used as sort keys (never as observed dates): NDA cohorts at the contact-wave bound 03/28/2016 (R008/R009); Class I railroad contact by 04/07/2016 (R010); IOI deadline set by 04/27/2016 and revision at the 04/28–05/19/2016 midpoint = 05/08/2016 (R012/R013); IOI-stage rows at the 05/19/2016 due date (R014–R016); R2 opening at the mid-June midpoint = 06/15/2016 (R020); Party C approach/NDA midpoints 07/05 and 07/06/2016 and catch-up access bound 07/14/2016 (R021/R022/R024); LOI-stage rows at the 07/20/2016 deadline (R025–R031); 07/27/2016 notices at the decision day (R036–R038); 08/04/2016 inferred closes at the decision day (R047/R048). Equal dates are ordered by # as a deterministic display convention.</t>
        </is>
      </c>
      <c r="D8" s="4" t="inlineStr">
        <is>
          <t>P-005, P-009, P-011, P-013, P-014, P-022, P-025; §8.1 rules 2–6 and the order constraint.</t>
        </is>
      </c>
      <c r="E8" s="4" t="inlineStr">
        <is>
          <t>R008–R013, R016, R017, R020–R031, R036–R038, R045, R047, R048</t>
        </is>
      </c>
      <c r="F8" s="4" t="inlineStr">
        <is>
          <t>Changing a convention (for example, using the late-July midpoint instead of the 07/20/2016 deadline) reorders rows within a round and can break the non-decreasing Working-date constraint against dated rows.</t>
        </is>
      </c>
      <c r="G8" s="4" t="inlineStr">
        <is>
          <t>Pending</t>
        </is>
      </c>
      <c r="H8" s="4" t="n"/>
    </row>
  </sheetData>
  <autoFilter ref="A1:H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6"/>
  <sheetViews>
    <sheetView workbookViewId="0">
      <pane ySplit="1" topLeftCell="A2" activePane="bottomLeft" state="frozen"/>
      <selection pane="bottomLeft" activeCell="A1" sqref="A1"/>
    </sheetView>
  </sheetViews>
  <sheetFormatPr baseColWidth="8" defaultRowHeight="15"/>
  <cols>
    <col width="12" customWidth="1" min="1" max="1"/>
    <col width="64" customWidth="1" min="2" max="2"/>
    <col width="7" customWidth="1" min="3" max="3"/>
    <col width="170" customWidth="1" min="4" max="4"/>
  </cols>
  <sheetData>
    <row r="1">
      <c r="A1" s="1" t="inlineStr">
        <is>
          <t>Paragraph</t>
        </is>
      </c>
      <c r="B1" s="1" t="inlineStr">
        <is>
          <t>Section</t>
        </is>
      </c>
      <c r="C1" s="1" t="inlineStr">
        <is>
          <t>Page</t>
        </is>
      </c>
      <c r="D1" s="1" t="inlineStr">
        <is>
          <t>Text</t>
        </is>
      </c>
    </row>
    <row r="2" ht="211.2" customHeight="1">
      <c r="A2" s="12" t="inlineStr">
        <is>
          <t>P-001</t>
        </is>
      </c>
      <c r="B2" s="12" t="inlineStr">
        <is>
          <t>Background of the Merger</t>
        </is>
      </c>
      <c r="C2" s="14" t="n">
        <v>27</v>
      </c>
      <c r="D2" s="12" t="inlineStr">
        <is>
          <t>In the fourth quarter of 2015, Robert H. Eder (the Company’s Chairman and Chief Executive Officer) and Frank K. Rogers (the Company’s Vice President and Chief Commercial Officer) met with one of the Company’s Class I rail partners (“Party A”) to discuss joint commercial opportunities. During the meeting, Party A suggested possible joint venture arrangements and expressed some interest in acquiring equity in the Company to further develop strategic opportunities and enhance regional connectivity. Upon receiving a report of this meeting, in recognition of its public company obligations, the Board appointed a subcommittee of two independent directors, Frank W. Barrett and Richard W. Anderson, to interview potential investment bankers to represent the Company in possible negotiations with Party A and to assist the Board in evaluating additional strategic options for the realization of shareholder value, including potential change in control transactions. The subcommittee interviewed several investment banking firms, including Greene Holcomb &amp; Fisher LLC (the business of which was subsequently acquired by BMO Capital Markets Corp. and which we refer to as “GHF” prior to such acquisition and “BMO” thereafter). During the executive session of the Board’s regular quarterly meeting held on January 27, 2016 (which Director Alfred P. Smith did not attend), the subcommittee recommended to the Board that the Company retain GHF as its investment banking firm. At that meeting, representatives of GHF discussed with the Board its qualifications and a proposed process should the directors ultimately decide to proceed with a change in control transaction. As part of the interview process, GHF represented to the Company that it would not represent any potential buyer of the Company in connection with an offer to purchase the Company or any person proposing to provide financing in connection with such an offer. Following this presentation, the Board approved the subcommittee’s recommendation and the Company engaged GHF. In selecting GHF, the Board considered, among other things, the fact that GHF was a reputable investment banking firm with substantial experience advising companies in the rail sector and in providing strategic advisory services in general, GHF had recent experience providing strategic advisory services in connection with the sale of a short-line railroad and, in the Board’s opinion, GHF would commit appropriate attention, resources and personnel to the process.</t>
        </is>
      </c>
    </row>
    <row r="3" ht="79.19999999999999" customHeight="1">
      <c r="A3" s="12" t="inlineStr">
        <is>
          <t>P-002</t>
        </is>
      </c>
      <c r="B3" s="12" t="inlineStr">
        <is>
          <t>Background of the Merger</t>
        </is>
      </c>
      <c r="C3" s="14" t="n">
        <v>27</v>
      </c>
      <c r="D3" s="12" t="inlineStr">
        <is>
          <t>At a special meeting of the Board held on March 14, 2016, representatives of GHF discussed their evaluation of the Company’s business operations and strategy for improving operational and financial performance, as well as railroad industry dynamics more generally and their impact on current railroad valuations. Representatives of GHF then proposed a process pursuant to which the Company would proceed with discussions with Party A and also solicit interest from other potential third parties regarding a change in control transaction. The Board considered various factors, including the marketplace, the risks attendant to engaging in the process discussed with representatives of GHF, the Company’s overall strategic position, and the challenges attendant to improving the Company’s financial performance in order to maximize shareholder value and concluded, based upon its examination of these and other factors, that it was in the best interest of the Company</t>
        </is>
      </c>
    </row>
    <row r="4" ht="118.8" customHeight="1">
      <c r="A4" s="12" t="inlineStr">
        <is>
          <t>P-003</t>
        </is>
      </c>
      <c r="B4" s="12" t="inlineStr">
        <is>
          <t>Background of the Merger</t>
        </is>
      </c>
      <c r="C4" s="14" t="n">
        <v>28</v>
      </c>
      <c r="D4" s="12" t="inlineStr">
        <is>
          <t>and its shareholders to proceed with the transaction strategy discussed with representatives of GHF. In light of the potentially significant time and effort involved in pursuing such exploratory transaction strategy, as well as the possible need to provide guidance to GHF and management on short notice, at the conclusion of the meeting, the Board appointed a special committee of independent directors of the Board (which we refer to as the “Transaction Committee”), composed of Frank W. Barrett (Chair), Richard W. Anderson and James C. Garvey, for the purpose of assisting in the supervision and oversight of the process on the full Board’s behalf and making a recommendation to the full Board. The Transaction Committee did not have the authority to approve or enter into a change of control transaction, which, under Rhode Island law, is an authority that can only be exercised by the full Board. At the time of appointment, Messrs. Barrett and Garvey had been elected by the preferred shareholders and Mr. Anderson had been elected by the common shareholders at the 2015 annual shareholders meeting. At the Company’s 2016 annual shareholders meeting on April 27, 2016, Messrs. Barrett and Anderson were re-elected as directors by the common shareholders and Mr. Garvey was re-elected as a director by the preferred shareholders.</t>
        </is>
      </c>
    </row>
    <row r="5" ht="26.4" customHeight="1">
      <c r="A5" s="12" t="inlineStr">
        <is>
          <t>P-004</t>
        </is>
      </c>
      <c r="B5" s="12" t="inlineStr">
        <is>
          <t>Background of the Merger</t>
        </is>
      </c>
      <c r="C5" s="14" t="n">
        <v>28</v>
      </c>
      <c r="D5" s="12" t="inlineStr">
        <is>
          <t>On March 22, 2016 and March 23, 2016, Daniel T. Noreck (the Company’s Chief Financial Officer and Treasurer) and other members of the senior management team of the Company met with various representatives of Party A.</t>
        </is>
      </c>
    </row>
    <row r="6" ht="118.8" customHeight="1">
      <c r="A6" s="12" t="inlineStr">
        <is>
          <t>P-005</t>
        </is>
      </c>
      <c r="B6" s="12" t="inlineStr">
        <is>
          <t>Background of the Merger</t>
        </is>
      </c>
      <c r="C6" s="14" t="n">
        <v>28</v>
      </c>
      <c r="D6" s="12" t="inlineStr">
        <is>
          <t>On March 24, 2016, the Transaction Committee met by telephone conference to discuss the results of management’s meeting with Party A and to discuss next steps in the process. Members of management and representatives of each of GHF and the Company’s legal counsel, Hinckley, Allen &amp; Snyder LLP (which we refer to as “Hinckley Allen”), participated in all meetings of the Transaction Committee, except as otherwise indicated. At this meeting, Mr. Noreck reported that he and other members of the senior management team had met with various representatives of Party A on March 22 and 23, 2016 and had informed Party A of GHF’s engagement. The Transaction Committee authorized GHF to contact Party A as well as other potential buyers to determine their level of interest in a change in control transaction. During the week of March 28, 2016, in accordance with the Transaction Committee’s directives, representatives of GHF contacted 11 potential strategic buyers (including Party A) and 18 potential financial buyers. 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t>
        </is>
      </c>
    </row>
    <row r="7" ht="26.4" customHeight="1">
      <c r="A7" s="12" t="inlineStr">
        <is>
          <t>P-006</t>
        </is>
      </c>
      <c r="B7" s="12" t="inlineStr">
        <is>
          <t>Background of the Merger</t>
        </is>
      </c>
      <c r="C7" s="14" t="n">
        <v>28</v>
      </c>
      <c r="D7" s="12" t="inlineStr">
        <is>
          <t>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t>
        </is>
      </c>
    </row>
    <row r="8" ht="92.39999999999999" customHeight="1">
      <c r="A8" s="12" t="inlineStr">
        <is>
          <t>P-007</t>
        </is>
      </c>
      <c r="B8" s="12" t="inlineStr">
        <is>
          <t>Background of the Merger</t>
        </is>
      </c>
      <c r="C8" s="14" t="n">
        <v>28</v>
      </c>
      <c r="D8" s="12" t="inlineStr">
        <is>
          <t>On April 7, 2016, the Transaction Committee met by telephone conference and discussed the process to date with representatives of GHF. Representatives of GHF reported that they and Company management had held a series of introductory meetings with five potential strategic buyers (including G&amp;W) at the 2016 Connections Convention. Mr. Noreck reported that the Company had also approached two additional Class I railroads to determine their interest in a possible transaction. After discussion, 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 Subsequently, on April 21, 2016, the Company and representatives of GHF held an introductory meeting with another potential strategic buyer (“Party B”).</t>
        </is>
      </c>
    </row>
    <row r="9" ht="39.59999999999999" customHeight="1">
      <c r="A9" s="12" t="inlineStr">
        <is>
          <t>P-008</t>
        </is>
      </c>
      <c r="B9" s="12" t="inlineStr">
        <is>
          <t>Background of the Merger</t>
        </is>
      </c>
      <c r="C9" s="14" t="n">
        <v>28</v>
      </c>
      <c r="D9" s="12" t="inlineStr">
        <is>
          <t>With the assistance of GHF, the Company prepared a memorandum concerning the Company and its prospects, which was distributed to the potential buyers, including Party A, Party B and G&amp;W, that had executed confidentiality agreements. The Transaction Committee met with representatives of GHF by telephone conference on April 22, 2016 and discussed the status of discussions with potential buyers. On April 27, 2016,</t>
        </is>
      </c>
    </row>
    <row r="10" ht="39.59999999999999" customHeight="1">
      <c r="A10" s="12" t="inlineStr">
        <is>
          <t>P-009</t>
        </is>
      </c>
      <c r="B10" s="12" t="inlineStr">
        <is>
          <t>Background of the Merger</t>
        </is>
      </c>
      <c r="C10" s="14" t="n">
        <v>29</v>
      </c>
      <c r="D10" s="12" t="inlineStr">
        <is>
          <t>the Board met in executive session (without Mr. Eder present) with representatives of GHF and discussed the status of the process, including that each potential buyer had been advised to submit a non-binding indication of interest by May 10, 2016 (which deadline was subsequently postponed to May 19, 2016 to ensure the potential buyers had sufficient time to formulate their most compelling offers).</t>
        </is>
      </c>
    </row>
    <row r="11" ht="79.19999999999999" customHeight="1">
      <c r="A11" s="12" t="inlineStr">
        <is>
          <t>P-010</t>
        </is>
      </c>
      <c r="B11" s="12" t="inlineStr">
        <is>
          <t>Background of the Merger</t>
        </is>
      </c>
      <c r="C11" s="14" t="n">
        <v>29</v>
      </c>
      <c r="D11" s="12" t="inlineStr">
        <is>
          <t>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The Transaction Committee met by telephone conference on May 23, 2016 and again on June 1, 2016 to consider the IOIs.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t>
        </is>
      </c>
    </row>
    <row r="12" ht="52.8" customHeight="1">
      <c r="A12" s="12" t="inlineStr">
        <is>
          <t>P-011</t>
        </is>
      </c>
      <c r="B12" s="12" t="inlineStr">
        <is>
          <t>Background of the Merger</t>
        </is>
      </c>
      <c r="C12" s="14" t="n">
        <v>29</v>
      </c>
      <c r="D12" s="12" t="inlineStr">
        <is>
          <t>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Potential buyers were instructed to provide a valuation for the Company based on the purchase of 100% of the outstanding common stock on a dollar per share basis (assuming conversion of the preferred stock into common stock) or the financial terms of any non-cash proposal.</t>
        </is>
      </c>
    </row>
    <row r="13" ht="39.59999999999999" customHeight="1">
      <c r="A13" s="12" t="inlineStr">
        <is>
          <t>P-012</t>
        </is>
      </c>
      <c r="B13" s="12" t="inlineStr">
        <is>
          <t>Background of the Merger</t>
        </is>
      </c>
      <c r="C13" s="14" t="n">
        <v>29</v>
      </c>
      <c r="D13" s="12" t="inlineStr">
        <is>
          <t>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t>
        </is>
      </c>
    </row>
    <row r="14" ht="92.39999999999999" customHeight="1">
      <c r="A14" s="12" t="inlineStr">
        <is>
          <t>P-013</t>
        </is>
      </c>
      <c r="B14" s="12" t="inlineStr">
        <is>
          <t>Background of the Merger</t>
        </is>
      </c>
      <c r="C14" s="14" t="n">
        <v>29</v>
      </c>
      <c r="D14" s="12" t="inlineStr">
        <is>
          <t>Over the course of June and July 2016, each of the potential buyers and their respective advisors engaged in due diligence of the Company’s business and financial condition, including holding meetings with certain members of the Company’s management team. The Transaction Committee met on June 30, 2016 to receive a status update on the management presentations and due diligence efforts of the potential buyers. 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 On July 12, 2016, Party C submitted an IOI with an offer price per share of $21.00 (implying an equity value of $108 million). Subsequently, Party C was provided access to the internet data site and the Company’s management held a management presentation with Party C by telephone on July 14, 2016.</t>
        </is>
      </c>
    </row>
    <row r="15" ht="39.59999999999999" customHeight="1">
      <c r="A15" s="12" t="inlineStr">
        <is>
          <t>P-014</t>
        </is>
      </c>
      <c r="B15" s="12" t="inlineStr">
        <is>
          <t>Background of the Merger</t>
        </is>
      </c>
      <c r="C15" s="14" t="n">
        <v>29</v>
      </c>
      <c r="D15" s="12" t="inlineStr">
        <is>
          <t>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t>
        </is>
      </c>
    </row>
    <row r="16" ht="16" customHeight="1">
      <c r="A16" s="12" t="inlineStr">
        <is>
          <t>P-015</t>
        </is>
      </c>
      <c r="B16" s="12" t="inlineStr">
        <is>
          <t>Background of the Merger</t>
        </is>
      </c>
      <c r="C16" s="14" t="n">
        <v>29</v>
      </c>
      <c r="D16" s="12" t="inlineStr">
        <is>
          <t>• Party B submitted an LOI to acquire the Company for a price of $24.00 per share (subject to an expedited diligence review).</t>
        </is>
      </c>
    </row>
    <row r="17" ht="52.8" customHeight="1">
      <c r="A17" s="12" t="inlineStr">
        <is>
          <t>P-016</t>
        </is>
      </c>
      <c r="B17" s="12" t="inlineStr">
        <is>
          <t>Background of the Merger</t>
        </is>
      </c>
      <c r="C17" s="14" t="n">
        <v>29</v>
      </c>
      <c r="D17" s="12" t="inlineStr">
        <is>
          <t>• 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 On July 26, 2016, in response to feedback from representatives of GHF indicating its price and CVR structure were not competitive, G&amp;W submitted a revised LOI, which increased its offer to $22.15 per share (including $21.02 in cash and $1.13 CVR).</t>
        </is>
      </c>
    </row>
    <row r="18" ht="26.4" customHeight="1">
      <c r="A18" s="12" t="inlineStr">
        <is>
          <t>P-017</t>
        </is>
      </c>
      <c r="B18" s="12" t="inlineStr">
        <is>
          <t>Background of the Merger</t>
        </is>
      </c>
      <c r="C18" s="14" t="n">
        <v>30</v>
      </c>
      <c r="D18" s="12" t="inlineStr">
        <is>
          <t>• Party E (a strategic buyer) submitted an LOI to acquire the Company for a price of $21.26 per share (subject to a 60-day exclusivity period for due diligence and negotiation of definitive documentation).</t>
        </is>
      </c>
    </row>
    <row r="19" ht="16" customHeight="1">
      <c r="A19" s="12" t="inlineStr">
        <is>
          <t>P-018</t>
        </is>
      </c>
      <c r="B19" s="12" t="inlineStr">
        <is>
          <t>Background of the Merger</t>
        </is>
      </c>
      <c r="C19" s="14" t="n">
        <v>30</v>
      </c>
      <c r="D19" s="12" t="inlineStr">
        <is>
          <t>• Party D (a financial buyer) submitted an LOI to acquire the Company for a price of $21.00 per share (subject to a four-week diligence period).</t>
        </is>
      </c>
    </row>
    <row r="20" ht="16" customHeight="1">
      <c r="A20" s="12" t="inlineStr">
        <is>
          <t>P-019</t>
        </is>
      </c>
      <c r="B20" s="12" t="inlineStr">
        <is>
          <t>Background of the Merger</t>
        </is>
      </c>
      <c r="C20" s="14" t="n">
        <v>30</v>
      </c>
      <c r="D20" s="12" t="inlineStr">
        <is>
          <t>• Party C submitted an LOI to acquire the Company for a price of $19.30 per share (subject to a 30-day diligence period).</t>
        </is>
      </c>
    </row>
    <row r="21" ht="16" customHeight="1">
      <c r="A21" s="12" t="inlineStr">
        <is>
          <t>P-020</t>
        </is>
      </c>
      <c r="B21" s="12" t="inlineStr">
        <is>
          <t>Background of the Merger</t>
        </is>
      </c>
      <c r="C21" s="14" t="n">
        <v>30</v>
      </c>
      <c r="D21" s="12" t="inlineStr">
        <is>
          <t>• Party F (a strategic buyer) submitted an LOI to acquire the Company for a price of $19.20 per share (subject to a 30-day due diligence period).</t>
        </is>
      </c>
    </row>
    <row r="22" ht="39.59999999999999" customHeight="1">
      <c r="A22" s="12" t="inlineStr">
        <is>
          <t>P-021</t>
        </is>
      </c>
      <c r="B22" s="12" t="inlineStr">
        <is>
          <t>Background of the Merger</t>
        </is>
      </c>
      <c r="C22" s="14" t="n">
        <v>30</v>
      </c>
      <c r="D22" s="12" t="inlineStr">
        <is>
          <t>In addition to various due diligence requirements, the LOI prices were based on different assumptions and requirements related to transaction expenses and change in control payments, which GHF and the Transaction Committee observed could affect the ultimate offer price. One strategic buyer and one financial buyer elected not to submit an LOI.</t>
        </is>
      </c>
    </row>
    <row r="23" ht="145.2" customHeight="1">
      <c r="A23" s="12" t="inlineStr">
        <is>
          <t>P-022</t>
        </is>
      </c>
      <c r="B23" s="12" t="inlineStr">
        <is>
          <t>Background of the Merger</t>
        </is>
      </c>
      <c r="C23" s="14" t="n">
        <v>30</v>
      </c>
      <c r="D23" s="12" t="inlineStr">
        <is>
          <t>The Transaction Committee met by telephone conference on July 22, 2016 and in person after the regular quarterly Board meeting on July 27, 2016, to review the LOIs with representatives of GHF. Representatives of GHF reviewed the material financial terms of each LOI, including the offer price, and additional due diligence requested. The Transaction Committee discussed the process for the on-site due diligence requested by the bidders, the delays inherent in managing on-site due diligence by multiple parties and the difficulties of maintaining the confidentiality of the discussions.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The Transaction Committee updated the independent directors (other than Director Smith) regarding the process at a meeting held immediately prior to the Board’s regular quarterly meeting on July 27, 2016. Director Smith is Vice President and Group Executive, Locomotive Group of GATX Corporation (“GATX”), which owns 4.92% of the Company’s common stock. In order to avoid any potential conflict, Mr. Smith elected to recuse himself from participating in this and other Board meetings at which the bidding process and any potential transaction were to be discussed because of the possibility that GATX might be a potential buyer of the Company.</t>
        </is>
      </c>
    </row>
    <row r="24" ht="118.8" customHeight="1">
      <c r="A24" s="12" t="inlineStr">
        <is>
          <t>P-023</t>
        </is>
      </c>
      <c r="B24" s="12" t="inlineStr">
        <is>
          <t>Background of the Merger</t>
        </is>
      </c>
      <c r="C24" s="14" t="n">
        <v>30</v>
      </c>
      <c r="D24" s="12" t="inlineStr">
        <is>
          <t>On July 29, 2016, representatives of GHF had calls with Party D and Party E. During those calls, Party D and Party E both expressed interest in reengaging and enhancing their offers. On August 1, 2016, Party D submitted a revised LOI at a price of $24.00 per share and Party E submitted a revised LOI, along with financing support, from Party F, at a price of $23.81 per share. Both revised proposals contained a 30-day due diligence period. The Transaction Committee convened by telephone conference on August 1, 2016, to consider the revised LOIs submitted by Party D and Party E and subsequently directed representatives of BMO (which acquired the business of GHF on August 1, 2016) to clarify certain elements of the revised proposals and the bidders’ respective due diligence requirements. 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t>
        </is>
      </c>
    </row>
    <row r="25" ht="52.8" customHeight="1">
      <c r="A25" s="12" t="inlineStr">
        <is>
          <t>P-024</t>
        </is>
      </c>
      <c r="B25" s="12" t="inlineStr">
        <is>
          <t>Background of the Merger</t>
        </is>
      </c>
      <c r="C25" s="14" t="n">
        <v>30</v>
      </c>
      <c r="D25" s="12" t="inlineStr">
        <is>
          <t>On August 1, 2016, Hinckley Allen provided Party B with a revised merger agreement and voting agreement, reflecting changes from the marked-up documents included with Party B’s LOI. On August 3, 2016, Hinckley Allen provided G&amp;W with a revised merger agreement and voting agreement, reflecting changes from the marked-up documents included with G&amp;W’s LOI. On August 3, 2016, the Company and Hinckley Allen also responded to additional due diligence questions submitted by Party B. On August 4, 2016, the Transaction Committee met by conference call to discuss the process with representatives of BMO and Hinckley Allen on the</t>
        </is>
      </c>
    </row>
    <row r="26" ht="52.8" customHeight="1">
      <c r="A26" s="12" t="inlineStr">
        <is>
          <t>P-025</t>
        </is>
      </c>
      <c r="B26" s="12" t="inlineStr">
        <is>
          <t>Background of the Merger</t>
        </is>
      </c>
      <c r="C26" s="14" t="n">
        <v>31</v>
      </c>
      <c r="D26" s="12" t="inlineStr">
        <is>
          <t>status of negotiations and due diligence. During that discussion,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From July 27, 2016 through August 11, 2016, Party B and G&amp;W conducted on-site financial, legal and environmental due diligence, including hi-rail trips to inspect the Company’s track infrastructure.</t>
        </is>
      </c>
    </row>
    <row r="27" ht="118.8" customHeight="1">
      <c r="A27" s="12" t="inlineStr">
        <is>
          <t>P-026</t>
        </is>
      </c>
      <c r="B27" s="12" t="inlineStr">
        <is>
          <t>Background of the Merger</t>
        </is>
      </c>
      <c r="C27" s="14" t="n">
        <v>31</v>
      </c>
      <c r="D27" s="12" t="inlineStr">
        <is>
          <t>On August 4, 2016, legal counsel for Party B provided a revised draft of the merger agreement and, following negotiations between their respective legal counsels, the Company provided Party B with a revised draft of the merger agreement and disclosure letter on August 5, 2016. On August 9, 2016, the Transaction Committee met by telephone conference to review the status of the negotiations and due diligence. Following that discussion, the Transaction Committee directed representatives of BMO to inform G&amp;W that the Company intended to enter into a merger agreement with another bidder. G&amp;W requested that it be allowed to continue its due diligence, including physical due diligence on August 10 and August 11, 2016, to potentially facilitate an improved offer, which request was granted. On August 10, 2016, representatives of Hinckley Allen and Simpson Thacher &amp; Bartlett LLP (which we refer to as “Simpson Thacher”), G&amp;W’s legal counsel, discussed various provisions of the draft merger agreement and voting agreement that had been provided to G&amp;W on August 3, 2016, and Hinckley Allen provided Simpson Thacher with a revised disclosure letter to accompany the August 3 draft merger agreement. On August 11, 2016, G&amp;W indicated its possible intention to submit a revised LOI on August 12, 2016, having just completed its physical diligence of the Company’s track infrastructure.</t>
        </is>
      </c>
    </row>
    <row r="28" ht="118.8" customHeight="1">
      <c r="A28" s="12" t="inlineStr">
        <is>
          <t>P-027</t>
        </is>
      </c>
      <c r="B28" s="12" t="inlineStr">
        <is>
          <t>Background of the Merger</t>
        </is>
      </c>
      <c r="C28" s="14" t="n">
        <v>31</v>
      </c>
      <c r="D28" s="12" t="inlineStr">
        <is>
          <t>Based upon progress made in due diligence and the negotiations with Party B during the week of August 8, 2016, meetings of the Transaction Committee and Board were scheduled for August 12, 2016 in anticipation of reviewing final agreements and approving a transaction with Party B. 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 Upon receipt of the revised LOI and related merger documents, Hinckley Allen and Simpson Thacher negotiated revisions to the merger agreement and disclosure letter. The Transaction Committee met at 10:30 a.m. on August 12, 2016, and reviewed the status of the negotiations and merger documents with both Party B and G&amp;W. Following that discussion, the Transaction Committee directed representatives of BMO to inform Party B that another party had submitted a revised LOI at a higher price.</t>
        </is>
      </c>
    </row>
    <row r="29" ht="132" customHeight="1">
      <c r="A29" s="12" t="inlineStr">
        <is>
          <t>P-028</t>
        </is>
      </c>
      <c r="B29" s="12" t="inlineStr">
        <is>
          <t>Background of the Merger</t>
        </is>
      </c>
      <c r="C29" s="14" t="n">
        <v>31</v>
      </c>
      <c r="D29" s="12" t="inlineStr">
        <is>
          <t>On the afternoon of August 12, 2016, following the meeting of the Transaction Committee, the Board held a special meeting to review and consider the recommendation of the Transaction Committee with respect to a potential sale transaction. All directors were present in person or by telephone other than Director Smith. The Transaction Committee reported on the process and the status of the negotiations with Party B and G&amp;W. Drafts of the Party B merger agreement, voting agreement and disclosure letter and drafts of the G&amp;W merger agreement, voting agreement and disclosure letter were provided to the directors at the meeting. Hinckley Allen reviewed the material terms of the draft merger agreements provided by Party B and G&amp;W, and the differences between the G&amp;W draft merger agreement and the Party B draft merger agreement. Hinckley Allen also reviewed the Board’s fiduciary obligations in connection with the proposed transaction and responded to questions from the directors. Hinckley Allen advised the Board that both Party B’s and G&amp;W’s draft merger agreements restricted the Company from soliciting a competing proposal, subject to a “fiduciary out” for an unsolicited superior proposal, which required the Company to pay a termination fee equal to 3% of the transaction value in the case of G&amp;W (which the Company had negotiated down from 3.85%) and 3% plus Party B’s transaction expenses (capped at 1% of transaction value) in the case of Party B, in the event the merger agreement was terminated as a result of the Board’s decision to pursue such a proposal.</t>
        </is>
      </c>
    </row>
    <row r="30" ht="26.4" customHeight="1">
      <c r="A30" s="12" t="inlineStr">
        <is>
          <t>P-029</t>
        </is>
      </c>
      <c r="B30" s="12" t="inlineStr">
        <is>
          <t>Background of the Merger</t>
        </is>
      </c>
      <c r="C30" s="14" t="n">
        <v>31</v>
      </c>
      <c r="D30" s="12" t="inlineStr">
        <is>
          <t>Hinckley Allen advised the Board that the draft merger agreement and disclosure letter for both Party B and G&amp;W had minor differences but were substantively the same, except for the following: (1) the price offered by</t>
        </is>
      </c>
    </row>
    <row r="31" ht="105.6" customHeight="1">
      <c r="A31" s="12" t="inlineStr">
        <is>
          <t>P-030</t>
        </is>
      </c>
      <c r="B31" s="12" t="inlineStr">
        <is>
          <t>Background of the Merger</t>
        </is>
      </c>
      <c r="C31" s="14" t="n">
        <v>32</v>
      </c>
      <c r="D31" s="12" t="inlineStr">
        <is>
          <t>G&amp;W was $1.00 more per share; (2) the termination fee payable by the Company in the event the Board exercised its “fiduciary out” in order to accept a superior proposal was less under the G&amp;W draft agreement than the Party B draft agreement; and (3) the STB approval process for G&amp;W and Party B would be different since G&amp;W owned connecting railroads. The Board arranged a telephone call with the Company’s STB counsel to discuss the process for obtaining the required regulatory approval or exemption for the transaction, the risks associated with each process, the use of a voting trust to enable an earlier closing of the transaction (as contemplated by the G&amp;W merger agreement) and the likely timeframe for obtaining any regulatory clearance for a transaction with either Party B or G&amp;W. Based upon that discussion, the Board determined that the timeframe for, and the likelihood of, obtaining the required regulatory approval was not materially different for a transaction with G&amp;W versus a transaction with Party B. At the request of the Board, representatives of BMO then contacted Party B to determine if it would increase its offer price. Party B indicated that it would not increase its price.</t>
        </is>
      </c>
    </row>
    <row r="32" ht="171.6" customHeight="1">
      <c r="A32" s="12" t="inlineStr">
        <is>
          <t>P-031</t>
        </is>
      </c>
      <c r="B32" s="12" t="inlineStr">
        <is>
          <t>Background of the Merger</t>
        </is>
      </c>
      <c r="C32" s="14" t="n">
        <v>32</v>
      </c>
      <c r="D32" s="12" t="inlineStr">
        <is>
          <t>The Board determined that the G&amp;W offer represented the superior proposal. At the request of the Board, representatives of BMO reviewed BMO’s financial analyses supporting its opinion to the Board as to the fairness, from a financial point of view, to the holders of our common stock of the consideration to be received by those holders (other than the Eder Trusts) in the merger pursuant to the merger agreement as of August 12, 2016. At the request of the Board, BMO confirmed that it did not have any existing or contemplated material relationships with G&amp;W in connection with the provision of any financial advisory or financing services to G&amp;W. BMO then rendered an oral opinion to the Board, subsequently confirmed by delivery of a written opinion, dated August 12, 2016 to the effect that, as of that date, and based upon and subject to the various assumptions made, procedures followed, matters considered and qualifications and limitations on the scope of review undertaken by BMO as set forth in its written opinion, the merger consideration to be received by the holders of our common stock in the merger pursuant to the merger agreement was fair, from a financial point of view, to those holders (other than the Eder Trusts). Following a discussion of the terms of the merger agreement and related matters, the Board (other than Director Smith, who recused himself from the August 12, 2016 meeting) (i) determined that the merger agreement, the plan of merger and the merger and other transactions contemplated by the merger agreement are fair to, advisable and in the best interests of the Company and its shareholders, (ii) approved and declared advisable the merger agreement and the transactions contemplated thereby, including the merger and the plan of merger, (iii) directed that the merger agreement be submitted to the Company’s shareholders for approval and (iv) resolved to recommend that the Company’s shareholders approve the merger agreement and the transactions contemplated thereby, including the merger and the plan of merger.</t>
        </is>
      </c>
    </row>
    <row r="33" ht="39.59999999999999" customHeight="1">
      <c r="A33" s="12" t="inlineStr">
        <is>
          <t>P-032</t>
        </is>
      </c>
      <c r="B33" s="12" t="inlineStr">
        <is>
          <t>Background of the Merger</t>
        </is>
      </c>
      <c r="C33" s="14" t="n">
        <v>32</v>
      </c>
      <c r="D33" s="12" t="inlineStr">
        <is>
          <t>Shortly thereafter, Hinckley Allen and Simpson Thacher finalized the transaction documents and the Company and G&amp;W executed the merger agreement, and the Company, G&amp;W and the Eder Trusts executed the voting agreement. The Company issued a press release publicly announcing the transaction on Monday, August 15, 2016 prior to the opening of trading of the Company’s common stock on the NASDAQ.</t>
        </is>
      </c>
    </row>
    <row r="34" ht="66" customHeight="1">
      <c r="A34" s="12" t="inlineStr">
        <is>
          <t>P-033</t>
        </is>
      </c>
      <c r="B34" s="12" t="inlineStr">
        <is>
          <t>Background of the Merger</t>
        </is>
      </c>
      <c r="C34" s="14" t="n">
        <v>32</v>
      </c>
      <c r="D34" s="12" t="inlineStr">
        <is>
          <t>Subsequent to the delivery of BMO’s opinion and the Board’s approval of the merger agreement and voting agreement, representatives of BMO advised the Board that when checking to determine if there were any financial advisory or financing relationships with G&amp;W, it had inadvertently failed to identify that a BMO affiliate has a participation in G&amp;W’s existing secured syndicated debt facility as described under the section titled “Summary of Financial Analysis of BMO Capital Markets Corp.— Miscellaneous ” on page 41. On September 6, 2016, the Board considered this new information, determined this relationship was not material to BMO’s independence and confirmed that the Board remained comfortable with the engagement and opinion of BMO.</t>
        </is>
      </c>
    </row>
    <row r="35" ht="171.6" customHeight="1">
      <c r="A35" s="12" t="inlineStr">
        <is>
          <t>X-001</t>
        </is>
      </c>
      <c r="B35" s="12" t="inlineStr">
        <is>
          <t>The Parties to the Merger Agreement</t>
        </is>
      </c>
      <c r="C35" s="14" t="n">
        <v>21</v>
      </c>
      <c r="D35" s="12" t="inlineStr">
        <is>
          <t>The Company, a Rhode Island corporation, is a regional freight railroad operating in Massachusetts, Rhode Island, Connecticut and New York. The Company is the only interstate freight carrier serving the State of Rhode Island and possesses the exclusive and perpetual right to conduct freight operations over the National Railroad Passenger Corporation’s (Amtrak) Northeast Corridor between New Haven, Connecticut and the Massachusetts/Rhode Island border. Since commencing independent operations in 1973, the Company, through a series of acquisitions of connecting lines and trackage rights agreements, has grown from 45 miles of track to its current system of approximately 516 miles. The Company services the largest international double-stack intermodal terminal facility in New England in Worcester, Massachusetts, a strategic location for regional transportation and distribution enterprises. The Company transports a wide variety of commodities for its customers, including automobiles, construction aggregates, iron and steel products, chemicals and plastics (including ethanol), lumber, scrap metals, plastic resins, cement, coal, construction and demolition debris, and processed foods and edible foodstuffs, such as corn syrup and vegetable oils. The Company’s connections to multiple Class I railroads, either directly or through connections with other regional and short-line carriers, provide the Company with a competitive advantage by allowing it to offer various pricing and routing alternatives to its customers. In addition, the Company’s commitment to maintaining its track and equipment to high standards enables the Company to provide fast, reliable and efficient service. The Company’s common stock is listed on the NASDAQ under the ticker symbol “PWX”. The Company’s principal executive offices are located at 75 Hammond Street, Worcester, Massachusetts 01610, its telephone number is (508) 755-4000, and its website is www.pwrr.com.</t>
        </is>
      </c>
    </row>
    <row r="36" ht="92.39999999999999" customHeight="1">
      <c r="A36" s="12" t="inlineStr">
        <is>
          <t>X-002</t>
        </is>
      </c>
      <c r="B36" s="12" t="inlineStr">
        <is>
          <t>The Parties to the Merger Agreement</t>
        </is>
      </c>
      <c r="C36" s="14" t="n">
        <v>21</v>
      </c>
      <c r="D36" s="12" t="inlineStr">
        <is>
          <t>G&amp;W, a Delaware corporation, owns or leases 121 freight railroads worldwide that are organized in 10 operating regions with approximately 7,200 employees and more than 2,800 customers. G&amp;W’s eight North American regions serve 41 U.S. states and four Canadian provinces and include 114 short-line and regional freight railroads with more than 13,000 track-miles. G&amp;W’s Australia Region provides rail freight services in New South Wales, the Northern Territory and South Australia and operates the 1,400-mile Tarcoola-to-Darwin rail line. G&amp;W’s U.K./Europe Region is led by Freightliner, the U.K.’s largest rail maritime intermodal operator and second-largest rail freight company and whose operations also include heavy-haul in Poland and Germany and cross-border intermodal services connecting Northern European seaports with key industrial regions throughout the continent. G&amp;W subsidiaries provide rail service at more than 40 major ports in North America, Australia and Europe and perform contract coal loading and railcar switching for industrial customers.</t>
        </is>
      </c>
    </row>
    <row r="37" ht="66" customHeight="1">
      <c r="A37" s="12" t="inlineStr">
        <is>
          <t>X-003</t>
        </is>
      </c>
      <c r="B37" s="12" t="inlineStr">
        <is>
          <t>The Parties to the Merger Agreement</t>
        </is>
      </c>
      <c r="C37" s="14" t="n">
        <v>21</v>
      </c>
      <c r="D37" s="12" t="inlineStr">
        <is>
          <t>Merger Sub, a Rhode Island corporation, is a wholly-owned subsidiary of G&amp;W, and was formed by G&amp;W on August 12, 2016 solely for the purposes of entering into the merger agreement and effecting the merger. Merger Sub has not conducted any business operations other than those incidental to its formation and in connection with the transactions contemplated by the merger agreement. Upon completion of the merger, Merger Sub will merge with and into the Company and Merger Sub will cease to exist as a separate entity. Merger Sub’s principal executive offices are located at 20 West Avenue, Darien, Connecticut 06820, and its telephone number is (203) 202-8900.</t>
        </is>
      </c>
    </row>
    <row r="38" ht="52.8" customHeight="1">
      <c r="A38" s="12" t="inlineStr">
        <is>
          <t>X-004</t>
        </is>
      </c>
      <c r="B38" s="12" t="inlineStr">
        <is>
          <t>The Special Meeting of the Shareholders—Record Date; Outstanding Shares; Shares Entitled to Vote</t>
        </is>
      </c>
      <c r="C38" s="14" t="n">
        <v>22</v>
      </c>
      <c r="D38" s="12" t="inlineStr">
        <is>
          <t>You can vote at the special meeting if you owned common stock or preferred stock at the close of business on September 16, 2016, the record date for the special meeting. As of the close of business on September 16, 2016, there were 4,866,593 shares of common stock outstanding and 640 shares of preferred stock outstanding. Each holder of common stock is entitled to one vote for each share of common stock that he, she or it owned as of the record date. Each holder of preferred stock is entitled to one vote for each share of preferred stock that he, she or it owned as of the record date.</t>
        </is>
      </c>
    </row>
    <row r="39" ht="39.59999999999999" customHeight="1">
      <c r="A39" s="12" t="inlineStr">
        <is>
          <t>X-005</t>
        </is>
      </c>
      <c r="B39" s="12" t="inlineStr">
        <is>
          <t>Proposal No. 1—The Merger—Recommendation of the Board of Directors and Reasons for the Merger</t>
        </is>
      </c>
      <c r="C39" s="14" t="n">
        <v>33</v>
      </c>
      <c r="D39" s="12" t="inlineStr">
        <is>
          <t>• the fact that the Company conducted a lengthy and thorough process, directed by the Board and the Transaction Committee, during which the Board sought offers to purchase from a broad group of potential bidders, including strategic and financial buyers, 25 of whom entered into confidentiality agreements with the Company and received information related to the Company and six of whom submitted non-binding letters of intent;</t>
        </is>
      </c>
    </row>
    <row r="40" ht="26.4" customHeight="1">
      <c r="A40" s="12" t="inlineStr">
        <is>
          <t>X-006</t>
        </is>
      </c>
      <c r="B40" s="12" t="inlineStr">
        <is>
          <t>Proposal No. 1—The Merger—Recommendation of the Board of Directors and Reasons for the Merger</t>
        </is>
      </c>
      <c r="C40" s="14" t="n">
        <v>33</v>
      </c>
      <c r="D40" s="12" t="inlineStr">
        <is>
          <t>• the fact that the value of the merger consideration of $25.00 per share in cash represents a 53% premium over the per share closing price of the Company’s common stock of $16.30 on August 12, 2016, the last trading day concluded prior to the Company and G&amp;W entering into the merger agreement;</t>
        </is>
      </c>
    </row>
    <row r="41" ht="16" customHeight="1">
      <c r="A41" s="12" t="inlineStr">
        <is>
          <t>X-007</t>
        </is>
      </c>
      <c r="B41" s="12" t="inlineStr">
        <is>
          <t>Proposal No. 1—The Merger—Recommendation of the Board of Directors and Reasons for the Merger</t>
        </is>
      </c>
      <c r="C41" s="14" t="n">
        <v>34</v>
      </c>
      <c r="D41" s="12" t="inlineStr">
        <is>
          <t>• the absence of a financing condition in the merger agreement and the representation of G&amp;W in the merger agreement as to its financial wherewithal;</t>
        </is>
      </c>
    </row>
    <row r="42" ht="52.8" customHeight="1">
      <c r="A42" s="12" t="inlineStr">
        <is>
          <t>X-008</t>
        </is>
      </c>
      <c r="B42" s="12" t="inlineStr">
        <is>
          <t>Proposal No. 1—The Merger—Recommendation of the Board of Directors and Reasons for the Merger</t>
        </is>
      </c>
      <c r="C42" s="14" t="n">
        <v>35</v>
      </c>
      <c r="D42" s="12" t="inlineStr">
        <is>
          <t>• the fact that the merger agreement entitles G&amp;W to terminate the merger agreement if, among other things, the Company commences negotiations regarding an alternative acquisition proposal in material breach of the non-solicitation prohibitions under the merger agreement, and obligates the Company to pay to G&amp;W a termination fee of $3.785 million (approximately 3% of the transaction value) if the Company recommends or accepts an alternative acquisition proposal, which may deter others from proposing an alternative transaction that may be more advantageous to the Company’s shareholders; and</t>
        </is>
      </c>
    </row>
    <row r="43" ht="52.8" customHeight="1">
      <c r="A43" s="12" t="inlineStr">
        <is>
          <t>X-009</t>
        </is>
      </c>
      <c r="B43" s="12" t="inlineStr">
        <is>
          <t>Proposal No. 1—The Merger—Opinion of the Company's Financial Advisor</t>
        </is>
      </c>
      <c r="C43" s="14" t="n">
        <v>36</v>
      </c>
      <c r="D43" s="12" t="inlineStr">
        <is>
          <t>On August 12, 2016, BMO rendered an oral opinion to the Board, which was subsequently confirmed in a written opinion as of the same date, as to the fairness, from a financial point of view, to the holders of our common stock (other than the Eder Trusts) as of that date, and based upon and subject to the assumptions made, matters considered and limitations and qualifications upon the review undertaken by BMO, of the merger consideration per share of our common stock to be received by those shareholders in the merger pursuant to the merger agreement.</t>
        </is>
      </c>
    </row>
    <row r="44" ht="66" customHeight="1">
      <c r="A44" s="12" t="inlineStr">
        <is>
          <t>X-010</t>
        </is>
      </c>
      <c r="B44" s="12" t="inlineStr">
        <is>
          <t>Proposal No. 1—The Merger—Summary of Financial Analysis of BMO Capital Markets Corp.—Miscellaneous</t>
        </is>
      </c>
      <c r="C44" s="14" t="n">
        <v>41</v>
      </c>
      <c r="D44" s="12" t="inlineStr">
        <is>
          <t>In connection with BMO’s services as the Company’s financial advisor and as successor to the business of GHF, the Company will pay BMO an aggregate fee of approximately $2.52 million, a portion of which was paid upon the signing of GHF’s engagement letter with the Company and in three monthly installments thereafter, a portion of which was paid upon delivery of BMO’s opinion, and the remainder and majority of which is payable upon consummation of the merger. In addition, the Company has agreed to reimburse BMO for certain of its expenses and to indemnify BMO and related persons against various potential liabilities arising out of or in connection with its engagement.</t>
        </is>
      </c>
    </row>
    <row r="45" ht="105.6" customHeight="1">
      <c r="A45" s="12" t="inlineStr">
        <is>
          <t>X-011</t>
        </is>
      </c>
      <c r="B45" s="12" t="inlineStr">
        <is>
          <t>Proposal No. 1—The Merger—Summary of Financial Analysis of BMO Capital Markets Corp.—Miscellaneous</t>
        </is>
      </c>
      <c r="C45" s="14" t="n">
        <v>42</v>
      </c>
      <c r="D45" s="12" t="inlineStr">
        <is>
          <t>In the two years prior to the date of BMO’s opinion, BMO did not have any material relationships, nor were any material relationships mutually understood to be contemplated, in which any compensation was received or was intended to be received by BMO as a result of any such relationship with G&amp;W or any G&amp;W affiliates in connection with the provision of any financial advisory or financing services by BMO to G&amp;W or any of its affiliates. G&amp;W has a Second Amended and Restated Senior Secured Syndicated Facility Agreement dated as of March 20, 2015 under which an affiliate of BMO is a lender with an approximately 5% participation in the syndicate and for which such affiliate has been paid revenue (fees and interest) between $1 million and $5 million, in the aggregate, since January 1, 2014. In the two years prior to the date of BMO’s opinion, BMO did not have any material relationships, nor were any material relationships mutually understood to be contemplated, in which any compensation was received or was intended to be received by BMO as a result of any such relationship with the Company or its affiliates, other than to act as the Company’s financial advisor in connection with the merger.</t>
        </is>
      </c>
    </row>
    <row r="46" ht="39.59999999999999" customHeight="1">
      <c r="A46" s="12" t="inlineStr">
        <is>
          <t>X-012</t>
        </is>
      </c>
      <c r="B46" s="12" t="inlineStr">
        <is>
          <t>Summary—Market Price of Our Common Stock</t>
        </is>
      </c>
      <c r="C46" s="14" t="n">
        <v>11</v>
      </c>
      <c r="D46" s="12" t="inlineStr">
        <is>
          <t>Our common stock is listed on the NASDAQ under the trading symbol “PWX”. The closing sale price of Company common stock on the NASDAQ on August 12, 2016, which was the last trading day before we announced the merger, was $16.30. On September 16, 2016, the last trading day before the date of this proxy statement, the closing price of Company common stock on the NASDAQ was $24.88.</t>
        </is>
      </c>
    </row>
    <row r="47" ht="66" customHeight="1">
      <c r="A47" s="12" t="inlineStr">
        <is>
          <t>X-013</t>
        </is>
      </c>
      <c r="B47" s="12" t="inlineStr">
        <is>
          <t>The Merger Agreement—Merger Consideration</t>
        </is>
      </c>
      <c r="C47" s="14" t="n">
        <v>50</v>
      </c>
      <c r="D47" s="12" t="inlineStr">
        <is>
          <t>At the effective time of the merger, each share of preferred stock issued and outstanding immediately prior to the effective time of the merger (other than shares of preferred stock held by any shareholder who is entitled to demand and makes a proper demand for payment of the fair value of such preferred stock pursuant to the RIBCA) shall be deemed to be automatically converted, along with the aggregate accrued or accumulated and unpaid dividends thereon, into 100 shares of common stock (based on the existing conversion ratio of the preferred stock), without any further action by the relevant holder of such preferred stock or the Company. All</t>
        </is>
      </c>
    </row>
    <row r="48" ht="79.19999999999999" customHeight="1">
      <c r="A48" s="12" t="inlineStr">
        <is>
          <t>X-014</t>
        </is>
      </c>
      <c r="B48" s="12" t="inlineStr">
        <is>
          <t>The Merger Agreement—Merger Consideration</t>
        </is>
      </c>
      <c r="C48" s="14" t="n">
        <v>51</v>
      </c>
      <c r="D48" s="12" t="inlineStr">
        <is>
          <t>preferred stock, when so deemed converted, shall no longer be outstanding and shall automatically be retired and shall cease to exist, and each holder of such shares of preferred stock will cease to have any rights with respect thereto, except the right to receive the merger consideration payable with respect to the common stock into which such shares of preferred stock have been deemed converted. At the effective time of the merger, each share of common stock issued and outstanding immediately prior to the effective time (including any common stock into which the preferred stock is deemed to be converted, but excluding shares of common stock that are owned by G&amp;W or any of its direct or indirect subsidiaries, including Merger Sub) will be canceled and will be converted automatically into the right to receive $25.00 in cash without interest.</t>
        </is>
      </c>
    </row>
    <row r="49" ht="66" customHeight="1">
      <c r="A49" s="12" t="inlineStr">
        <is>
          <t>X-015</t>
        </is>
      </c>
      <c r="B49" s="12" t="inlineStr">
        <is>
          <t>The Merger Agreement—Conditions to the Merger</t>
        </is>
      </c>
      <c r="C49" s="14" t="n">
        <v>52</v>
      </c>
      <c r="D49" s="12" t="inlineStr">
        <is>
          <t>• either (i) final approval or authorization of, or exemption by, the STB with respect to the merger has been obtained, and neither the STB nor any other governmental entity shall have imposed any conditions or obligations on the merger (other than immaterial conditions or obligations and required labor protective conditions) or (ii) if the STB has not issued a decision approving, authorizing or exempting the merger (or denying the requested approval, authorization or exemption), then the STB has provided G&amp;W with a written informal opinion that the proposed voting trust submitted by G&amp;W to the STB would insulate G&amp;W from unauthorized control of the Company between the effective time of the merger and receipt of final STB approval, authorization or exemption, as the case may be; and</t>
        </is>
      </c>
    </row>
    <row r="50" ht="52.8" customHeight="1">
      <c r="A50" s="12" t="inlineStr">
        <is>
          <t>X-016</t>
        </is>
      </c>
      <c r="B50" s="12" t="inlineStr">
        <is>
          <t>The Merger Agreement—Termination of the Merger Agreement</t>
        </is>
      </c>
      <c r="C50" s="14" t="n">
        <v>54</v>
      </c>
      <c r="D50" s="12" t="inlineStr">
        <is>
          <t>• by G&amp;W or the Company, if the merger is not completed by December 31, 2016 (or, if the only unsatisfied condition is STB approval of the merger, by February 28, 2017) (such date, the “outside date”), provided that the right to terminate the merger agreement under this circumstance will not be available to a party whose failure to fulfill any material obligation under the merger agreement was the cause of or results in the failure of the merger to occur on or before such date; or</t>
        </is>
      </c>
    </row>
    <row r="51" ht="16" customHeight="1">
      <c r="A51" s="12" t="inlineStr">
        <is>
          <t>X-017</t>
        </is>
      </c>
      <c r="B51" s="12" t="inlineStr">
        <is>
          <t>The Merger Agreement—Termination Fee</t>
        </is>
      </c>
      <c r="C51" s="14" t="n">
        <v>55</v>
      </c>
      <c r="D51" s="12" t="inlineStr">
        <is>
          <t>Under the terms of the merger agreement, the Company must pay G&amp;W a termination fee of $3,785,000 if:</t>
        </is>
      </c>
    </row>
    <row r="52" ht="39.59999999999999" customHeight="1">
      <c r="A52" s="12" t="inlineStr">
        <is>
          <t>X-018</t>
        </is>
      </c>
      <c r="B52" s="12" t="inlineStr">
        <is>
          <t>The Merger Agreement—Limitations on Considering Other Acquisition Proposals; Non-Solicitation Provisions and Exceptions</t>
        </is>
      </c>
      <c r="C52" s="14" t="n">
        <v>57</v>
      </c>
      <c r="D52" s="12" t="inlineStr">
        <is>
          <t>• the Board first determines (1) after consultation with, and taking into account the advice of, its financial advisor and outside legal counsel, that such takeover proposal constitutes, or is reasonably likely to lead to, a superior proposal, and (2) after consultation with, and taking into account the advice of, its outside legal counsel, that the failure to take such action would be inconsistent with the Board’s fiduciary duties to our shareholders under applicable law; and</t>
        </is>
      </c>
    </row>
    <row r="53" ht="79.19999999999999" customHeight="1">
      <c r="A53" s="12" t="inlineStr">
        <is>
          <t>X-019</t>
        </is>
      </c>
      <c r="B53" s="12" t="inlineStr">
        <is>
          <t>The Merger Agreement—Limitations on Considering Other Acquisition Proposals; Non-Solicitation Provisions and Exceptions</t>
        </is>
      </c>
      <c r="C53" s="14" t="n">
        <v>57</v>
      </c>
      <c r="D53" s="12" t="inlineStr">
        <is>
          <t>A “superior proposal” means any bona fide unsolicited takeover proposal that if consummated would result in a third party owning, directly or indirectly, (a) 50% or more of common stock and preferred stock (or securities of the surviving entity in a merger or the resulting direct or indirect parent of the Company or such surviving entity) or (b) 50% or more of the assets (based on the fair market value thereof, as determined by the Board in good faith) of the Company and its subsidiaries, taken as a whole, which, in either case, the Board determines (after consultation with, and taking into account the advice of, its financial advisor and outside counsel), would be more favorable to the shareholders of the Company from a financial point of view than the merger, taking into account all legal, financial (including the financing terms thereof), regulatory and other aspects of such offer and the likelihood and timing of consummation.</t>
        </is>
      </c>
    </row>
    <row r="54" ht="39.59999999999999" customHeight="1">
      <c r="A54" s="12" t="inlineStr">
        <is>
          <t>X-020</t>
        </is>
      </c>
      <c r="B54" s="12" t="inlineStr">
        <is>
          <t>The Voting Agreement</t>
        </is>
      </c>
      <c r="C54" s="14" t="n">
        <v>72</v>
      </c>
      <c r="D54" s="12" t="inlineStr">
        <is>
          <t>In connection with the execution of the merger agreement, G&amp;W and the Company entered into a voting agreement with the Robert H. Eder Trust and the Linda Eder Trust (which we refer to as the “Eder Trusts”), which, as of the date of the voting agreement, collectively owned 842,742 shares of common stock and 500 shares of preferred stock. Under the voting agreement, each Eder Trust must vote all of its shares of Company stock:</t>
        </is>
      </c>
    </row>
    <row r="55" ht="52.8" customHeight="1">
      <c r="A55" s="12" t="inlineStr">
        <is>
          <t>X-021</t>
        </is>
      </c>
      <c r="B55" s="12" t="inlineStr">
        <is>
          <t>Summary—Voting Agreement</t>
        </is>
      </c>
      <c r="C55" s="14" t="n">
        <v>26</v>
      </c>
      <c r="D55" s="12" t="inlineStr">
        <is>
          <t>The Eder Trusts have executed a voting agreement with G&amp;W and the Company under which the Eder Trusts have agreed to vote their shares in favor of approving the merger agreement. As of the record date, the Eder Trusts held 842,742 shares of common stock, representing approximately 17.3% of the outstanding shares of common stock, and 500 shares of preferred stock, representing approximately 78.1% of the outstanding shares of preferred stock. See the section of this proxy statement titled “The Voting Agreement” beginning on page 72 for further information regarding the voting agreement.</t>
        </is>
      </c>
    </row>
    <row r="56" ht="66" customHeight="1">
      <c r="A56" s="12" t="inlineStr">
        <is>
          <t>X-022</t>
        </is>
      </c>
      <c r="B56" s="12" t="inlineStr">
        <is>
          <t>The Merger Agreement—Efforts to Complete the Merger</t>
        </is>
      </c>
      <c r="C56" s="14" t="n">
        <v>65</v>
      </c>
      <c r="D56" s="12" t="inlineStr">
        <is>
          <t>exemption by, the STB of the merger. On September 1, 2016, G&amp;W filed a petition for exemption with the STB requesting approval or exemption to complete the merger and control the Company. On September 14, 2016, G&amp;W also submitted a form of voting trust agreement to the STB seeking a written informal opinion that using a voting trust arrangement would insulate G&amp;W from having unauthorized control of the Company if (i) G&amp;W has not received from the STB the approval or exemption of the merger before the effective time of the merger and (ii) the stock of the surviving corporation is placed into the voting trust immediately following the merger.</t>
        </is>
      </c>
    </row>
  </sheetData>
  <autoFilter ref="A1:D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s="15" t="inlineStr">
        <is>
          <t>What happened</t>
        </is>
      </c>
      <c r="B1" s="15" t="inlineStr">
        <is>
          <t>Type</t>
        </is>
      </c>
      <c r="C1" s="15" t="inlineStr">
        <is>
          <t>Formality</t>
        </is>
      </c>
      <c r="D1" s="15" t="inlineStr">
        <is>
          <t>Conditions level</t>
        </is>
      </c>
      <c r="E1" s="15" t="inlineStr">
        <is>
          <t>Include</t>
        </is>
      </c>
      <c r="F1" s="15" t="inlineStr">
        <is>
          <t>Date basis</t>
        </is>
      </c>
      <c r="G1" s="15" t="inlineStr">
        <is>
          <t>Date method</t>
        </is>
      </c>
      <c r="H1" s="15" t="inlineStr">
        <is>
          <t>Price kind</t>
        </is>
      </c>
      <c r="I1" s="15" t="inlineStr">
        <is>
          <t>Price origin</t>
        </is>
      </c>
      <c r="J1" s="15" t="inlineStr">
        <is>
          <t>All cash</t>
        </is>
      </c>
      <c r="K1" s="15" t="inlineStr">
        <is>
          <t>Deadline treatment</t>
        </is>
      </c>
      <c r="L1" s="15" t="inlineStr">
        <is>
          <t>Round finality</t>
        </is>
      </c>
      <c r="M1" s="15" t="inlineStr">
        <is>
          <t>Decided by</t>
        </is>
      </c>
      <c r="N1" s="15" t="inlineStr">
        <is>
          <t>Exit reason</t>
        </is>
      </c>
      <c r="O1" s="15" t="inlineStr">
        <is>
          <t>Outcome basis</t>
        </is>
      </c>
    </row>
    <row r="2">
      <c r="A2" t="inlineStr">
        <is>
          <t>Target interest</t>
        </is>
      </c>
      <c r="B2" t="inlineStr">
        <is>
          <t>Strategic</t>
        </is>
      </c>
      <c r="C2" t="inlineStr">
        <is>
          <t>Formal</t>
        </is>
      </c>
      <c r="D2" t="inlineStr">
        <is>
          <t>None</t>
        </is>
      </c>
      <c r="E2" t="inlineStr">
        <is>
          <t>Yes</t>
        </is>
      </c>
      <c r="F2" t="inlineStr">
        <is>
          <t>Reported day</t>
        </is>
      </c>
      <c r="G2" t="inlineStr">
        <is>
          <t>Reported</t>
        </is>
      </c>
      <c r="H2" t="inlineStr">
        <is>
          <t>Point</t>
        </is>
      </c>
      <c r="I2" t="inlineStr">
        <is>
          <t>Stated</t>
        </is>
      </c>
      <c r="J2" t="inlineStr">
        <is>
          <t>Yes</t>
        </is>
      </c>
      <c r="K2" t="inlineStr">
        <is>
          <t>Extended</t>
        </is>
      </c>
      <c r="L2" t="inlineStr">
        <is>
          <t>Announced as final</t>
        </is>
      </c>
      <c r="M2" t="inlineStr">
        <is>
          <t>Bidder</t>
        </is>
      </c>
      <c r="N2" t="inlineStr">
        <is>
          <t>Value below market price</t>
        </is>
      </c>
      <c r="O2" t="inlineStr">
        <is>
          <t>Stated</t>
        </is>
      </c>
    </row>
    <row r="3">
      <c r="A3" t="inlineStr">
        <is>
          <t>Bidder interest</t>
        </is>
      </c>
      <c r="B3" t="inlineStr">
        <is>
          <t>Financial</t>
        </is>
      </c>
      <c r="C3" t="inlineStr">
        <is>
          <t>Informal</t>
        </is>
      </c>
      <c r="D3" t="inlineStr">
        <is>
          <t>Light</t>
        </is>
      </c>
      <c r="E3" t="inlineStr">
        <is>
          <t>No</t>
        </is>
      </c>
      <c r="F3" t="inlineStr">
        <is>
          <t>Inferred day</t>
        </is>
      </c>
      <c r="G3" t="inlineStr">
        <is>
          <t>Inferred</t>
        </is>
      </c>
      <c r="H3" t="inlineStr">
        <is>
          <t>Bidder range</t>
        </is>
      </c>
      <c r="I3" t="inlineStr">
        <is>
          <t>Carried forward</t>
        </is>
      </c>
      <c r="J3" t="inlineStr">
        <is>
          <t>No</t>
        </is>
      </c>
      <c r="K3" t="inlineStr">
        <is>
          <t>Late bids accepted</t>
        </is>
      </c>
      <c r="L3" t="inlineStr">
        <is>
          <t>Inferred final</t>
        </is>
      </c>
      <c r="M3" t="inlineStr">
        <is>
          <t>Target</t>
        </is>
      </c>
      <c r="N3" t="inlineStr">
        <is>
          <t>Value at or below market price</t>
        </is>
      </c>
      <c r="O3" t="inlineStr">
        <is>
          <t>Inferred: residual</t>
        </is>
      </c>
    </row>
    <row r="4">
      <c r="A4" t="inlineStr">
        <is>
          <t>Target sale decision</t>
        </is>
      </c>
      <c r="B4" t="inlineStr">
        <is>
          <t>Mixed</t>
        </is>
      </c>
      <c r="C4" t="inlineStr">
        <is>
          <t>Insufficient evidence</t>
        </is>
      </c>
      <c r="D4" t="inlineStr">
        <is>
          <t>Heavy</t>
        </is>
      </c>
      <c r="F4" t="inlineStr">
        <is>
          <t>Reported interval</t>
        </is>
      </c>
      <c r="G4" t="inlineStr">
        <is>
          <t>Assigned: deadline</t>
        </is>
      </c>
      <c r="H4" t="inlineStr">
        <is>
          <t>Group envelope</t>
        </is>
      </c>
      <c r="I4" t="inlineStr">
        <is>
          <t>Inferred</t>
        </is>
      </c>
      <c r="J4" t="inlineStr">
        <is>
          <t>Not stated</t>
        </is>
      </c>
      <c r="K4" t="inlineStr">
        <is>
          <t>Enforced</t>
        </is>
      </c>
      <c r="L4" t="inlineStr">
        <is>
          <t>Not final</t>
        </is>
      </c>
      <c r="M4" t="inlineStr">
        <is>
          <t>Both</t>
        </is>
      </c>
      <c r="N4" t="inlineStr">
        <is>
          <t>Value below earlier offer</t>
        </is>
      </c>
      <c r="O4" t="inlineStr">
        <is>
          <t>Inferred: exclusivity</t>
        </is>
      </c>
    </row>
    <row r="5">
      <c r="A5" t="inlineStr">
        <is>
          <t>Activist pressure</t>
        </is>
      </c>
      <c r="B5" t="inlineStr">
        <is>
          <t>Unknown</t>
        </is>
      </c>
      <c r="C5" t="inlineStr">
        <is>
          <t>Varies</t>
        </is>
      </c>
      <c r="D5" t="inlineStr">
        <is>
          <t>Insufficient evidence</t>
        </is>
      </c>
      <c r="F5" t="inlineStr">
        <is>
          <t>Approximate window</t>
        </is>
      </c>
      <c r="G5" t="inlineStr">
        <is>
          <t>Assigned: decision day</t>
        </is>
      </c>
      <c r="H5" t="inlineStr">
        <is>
          <t>Bound only</t>
        </is>
      </c>
      <c r="K5" t="inlineStr">
        <is>
          <t>Passed without action</t>
        </is>
      </c>
      <c r="M5" t="inlineStr">
        <is>
          <t>Unknown</t>
        </is>
      </c>
      <c r="N5" t="inlineStr">
        <is>
          <t>Value at earlier offer</t>
        </is>
      </c>
      <c r="O5" t="inlineStr">
        <is>
          <t>Inferred: silent</t>
        </is>
      </c>
    </row>
    <row r="6">
      <c r="A6" t="inlineStr">
        <is>
          <t>Activist involvement</t>
        </is>
      </c>
      <c r="D6" t="inlineStr">
        <is>
          <t>Varies</t>
        </is>
      </c>
      <c r="F6" t="inlineStr">
        <is>
          <t>Relative only</t>
        </is>
      </c>
      <c r="G6" t="inlineStr">
        <is>
          <t>Assigned: midpoint</t>
        </is>
      </c>
      <c r="H6" t="inlineStr">
        <is>
          <t>Undisclosed</t>
        </is>
      </c>
      <c r="K6" t="inlineStr">
        <is>
          <t>Unclear</t>
        </is>
      </c>
      <c r="N6" t="inlineStr">
        <is>
          <t>Would not improve earlier offer</t>
        </is>
      </c>
      <c r="O6" t="inlineStr">
        <is>
          <t>Inferred: identity</t>
        </is>
      </c>
    </row>
    <row r="7">
      <c r="A7" t="inlineStr">
        <is>
          <t>Adviser engaged</t>
        </is>
      </c>
      <c r="F7" t="inlineStr">
        <is>
          <t>Undated</t>
        </is>
      </c>
      <c r="G7" t="inlineStr">
        <is>
          <t>Assigned: bound</t>
        </is>
      </c>
      <c r="K7" t="inlineStr">
        <is>
          <t>No deadline stated</t>
        </is>
      </c>
      <c r="N7" t="inlineStr">
        <is>
          <t>Lower offer than rivals</t>
        </is>
      </c>
    </row>
    <row r="8">
      <c r="A8" t="inlineStr">
        <is>
          <t>Adviser service observed</t>
        </is>
      </c>
      <c r="G8" t="inlineStr">
        <is>
          <t>Assigned: sequence</t>
        </is>
      </c>
      <c r="K8" t="inlineStr">
        <is>
          <t>Extended; Late bids accepted</t>
        </is>
      </c>
      <c r="N8" t="inlineStr">
        <is>
          <t>Terms or process</t>
        </is>
      </c>
    </row>
    <row r="9">
      <c r="A9" t="inlineStr">
        <is>
          <t>Adviser ended</t>
        </is>
      </c>
      <c r="N9" t="inlineStr">
        <is>
          <t>Other stated reason</t>
        </is>
      </c>
    </row>
    <row r="10">
      <c r="A10" t="inlineStr">
        <is>
          <t>Contact</t>
        </is>
      </c>
      <c r="N10" t="inlineStr">
        <is>
          <t>Not stated</t>
        </is>
      </c>
    </row>
    <row r="11">
      <c r="A11" t="inlineStr">
        <is>
          <t>NDA signed</t>
        </is>
      </c>
    </row>
    <row r="12">
      <c r="A12" t="inlineStr">
        <is>
          <t>Round opened</t>
        </is>
      </c>
    </row>
    <row r="13">
      <c r="A13" t="inlineStr">
        <is>
          <t>Deadline set</t>
        </is>
      </c>
    </row>
    <row r="14">
      <c r="A14" t="inlineStr">
        <is>
          <t>Deadline revised</t>
        </is>
      </c>
    </row>
    <row r="15">
      <c r="A15" t="inlineStr">
        <is>
          <t>Deadline</t>
        </is>
      </c>
    </row>
    <row r="16">
      <c r="A16" t="inlineStr">
        <is>
          <t>Target decision</t>
        </is>
      </c>
    </row>
    <row r="17">
      <c r="A17" t="inlineStr">
        <is>
          <t>Information access changed</t>
        </is>
      </c>
    </row>
    <row r="18">
      <c r="A18" t="inlineStr">
        <is>
          <t>Material process update</t>
        </is>
      </c>
    </row>
    <row r="19">
      <c r="A19" t="inlineStr">
        <is>
          <t>Exclusivity changed</t>
        </is>
      </c>
    </row>
    <row r="20">
      <c r="A20" t="inlineStr">
        <is>
          <t>Bid</t>
        </is>
      </c>
    </row>
    <row r="21">
      <c r="A21" t="inlineStr">
        <is>
          <t>Bid reaffirmed</t>
        </is>
      </c>
    </row>
    <row r="22">
      <c r="A22" t="inlineStr">
        <is>
          <t>Offer update</t>
        </is>
      </c>
    </row>
    <row r="23">
      <c r="A23" t="inlineStr">
        <is>
          <t>Other-scope bid</t>
        </is>
      </c>
    </row>
    <row r="24">
      <c r="A24" t="inlineStr">
        <is>
          <t>Valuation statement</t>
        </is>
      </c>
    </row>
    <row r="25">
      <c r="A25" t="inlineStr">
        <is>
          <t>Bidding group changed</t>
        </is>
      </c>
    </row>
    <row r="26">
      <c r="A26" t="inlineStr">
        <is>
          <t>Joined group</t>
        </is>
      </c>
    </row>
    <row r="27">
      <c r="A27" t="inlineStr">
        <is>
          <t>Dropped by target</t>
        </is>
      </c>
    </row>
    <row r="28">
      <c r="A28" t="inlineStr">
        <is>
          <t>Withdrew</t>
        </is>
      </c>
    </row>
    <row r="29">
      <c r="A29" t="inlineStr">
        <is>
          <t>Did not submit</t>
        </is>
      </c>
    </row>
    <row r="30">
      <c r="A30" t="inlineStr">
        <is>
          <t>Participation paused</t>
        </is>
      </c>
    </row>
    <row r="31">
      <c r="A31" t="inlineStr">
        <is>
          <t>Re-entered</t>
        </is>
      </c>
    </row>
    <row r="32">
      <c r="A32" t="inlineStr">
        <is>
          <t>Not selected at signing</t>
        </is>
      </c>
    </row>
    <row r="33">
      <c r="A33" t="inlineStr">
        <is>
          <t>Sale process announced</t>
        </is>
      </c>
    </row>
    <row r="34">
      <c r="A34" t="inlineStr">
        <is>
          <t>Bid announced</t>
        </is>
      </c>
    </row>
    <row r="35">
      <c r="A35" t="inlineStr">
        <is>
          <t>Merger announced</t>
        </is>
      </c>
    </row>
    <row r="36">
      <c r="A36" t="inlineStr">
        <is>
          <t>Merger agreement signed</t>
        </is>
      </c>
    </row>
    <row r="37">
      <c r="A37" t="inlineStr">
        <is>
          <t>Go-shop changed</t>
        </is>
      </c>
    </row>
    <row r="38">
      <c r="A38" t="inlineStr">
        <is>
          <t>Process terminated</t>
        </is>
      </c>
    </row>
    <row r="39">
      <c r="A39" t="inlineStr">
        <is>
          <t>Process restarted</t>
        </is>
      </c>
    </row>
    <row r="40">
      <c r="A40" t="inlineStr">
        <is>
          <t>Agreement terminated</t>
        </is>
      </c>
    </row>
    <row r="41">
      <c r="A41"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2026-09-19T13:41:54Z</dcterms:created>
  <dcterms:modified xmlns:dcterms="http://purl.org/dc/terms/" xmlns:xsi="http://www.w3.org/2001/XMLSchema-instance" xsi:type="dcterms:W3CDTF">2026-09-19T13:41:54Z</dcterms:modified>
</cp:coreProperties>
</file>