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AI original" sheetId="5" state="hidden" r:id="rId5"/>
    <sheet xmlns:r="http://schemas.openxmlformats.org/officeDocument/2006/relationships" name="Lists" sheetId="6" state="hidden" r:id="rId6"/>
  </sheets>
  <definedNames>
    <definedName name="EventLabels">Lists!$A$2:$A$41</definedName>
    <definedName name="TypeList">Lists!$B$2:$B$5</definedName>
    <definedName name="FormalityList">Lists!$C$2:$C$5</definedName>
    <definedName name="ConditionsList">Lists!$D$2:$D$6</definedName>
    <definedName name="IncludeList">Lists!$E$2:$E$3</definedName>
    <definedName name="DateBasisList">Lists!$F$2:$F$7</definedName>
    <definedName name="DateMethodList">Lists!$G$2:$G$8</definedName>
    <definedName name="PriceKindList">Lists!$H$2:$H$6</definedName>
    <definedName name="PriceOriginList">Lists!$I$2:$I$4</definedName>
    <definedName name="AllCashList">Lists!$J$2:$J$4</definedName>
    <definedName name="DeadlineTreatList">Lists!$K$2:$K$8</definedName>
    <definedName name="RoundFinalityList">Lists!$L$2:$L$4</definedName>
    <definedName name="DecidedByList">Lists!$M$2:$M$5</definedName>
    <definedName name="ExitReasonList">Lists!$N$2:$N$10</definedName>
    <definedName name="OutcomeBasisList">Lists!$O$2:$O$6</definedName>
    <definedName name="_xlnm._FilterDatabase" localSheetId="0" hidden="1">'Deal ledger'!$A$1:$AM$58</definedName>
    <definedName name="_xlnm._FilterDatabase" localSheetId="3" hidden="1">'Source text'!$A$1:$D$63</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6">
    <font>
      <name val="Calibri"/>
      <family val="2"/>
      <color theme="1"/>
      <sz val="11"/>
      <scheme val="minor"/>
    </font>
    <font>
      <b val="1"/>
      <color rgb="00FFFFFF"/>
      <sz val="10"/>
    </font>
    <font>
      <color rgb="000563C1"/>
      <sz val="11"/>
      <u val="single"/>
    </font>
    <font>
      <b val="1"/>
      <color rgb="001F4E79"/>
      <sz val="10"/>
    </font>
    <font>
      <b val="1"/>
      <sz val="13"/>
    </font>
    <font>
      <b val="1"/>
      <color rgb="001F4E79"/>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xf numFmtId="0" fontId="4" fillId="0" borderId="0" pivotButton="0" quotePrefix="0" xfId="0"/>
    <xf numFmtId="0" fontId="0" fillId="0" borderId="0" applyAlignment="1" pivotButton="0" quotePrefix="0" xfId="0">
      <alignment vertical="top"/>
    </xf>
    <xf numFmtId="0" fontId="5" fillId="0" borderId="0" pivotButton="0" quotePrefix="0" xfId="0"/>
    <xf numFmtId="0" fontId="1" fillId="2" borderId="0" pivotButton="0" quotePrefix="0" xfId="0"/>
    <xf numFmtId="165" fontId="0" fillId="0" borderId="0" pivotButton="0" quotePrefix="0" xfId="0"/>
    <xf numFmtId="2" fontId="0" fillId="0" borderId="0" pivotButton="0" quotePrefix="0" xfId="0"/>
    <xf numFmtId="0" fontId="3" fillId="0" borderId="0" pivotButton="0" quotePrefix="0" xfId="0"/>
  </cellXfs>
  <cellStyles count="1">
    <cellStyle name="Normal" xfId="0" builtinId="0" hidden="0"/>
  </cellStyles>
  <dxfs count="1">
    <dxf>
      <font>
        <b val="1"/>
        <color rgb="FF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4" customWidth="1" min="3" max="3"/>
    <col width="15" customWidth="1" min="4" max="4"/>
    <col width="8" customWidth="1" min="5" max="5"/>
    <col width="7" customWidth="1" min="6" max="6"/>
    <col width="10" customWidth="1" min="7" max="7"/>
    <col width="60" customWidth="1" min="8" max="8"/>
    <col width="11" customWidth="1" min="9" max="9"/>
    <col width="11" customWidth="1" min="10" max="10"/>
    <col width="70" customWidth="1" min="11" max="11"/>
    <col width="13" customWidth="1" min="12" max="12"/>
    <col width="9" customWidth="1" min="13" max="13"/>
    <col width="16" customWidth="1" min="14" max="14"/>
    <col hidden="1" outlineLevel="1" width="8" customWidth="1" min="15" max="39"/>
  </cols>
  <sheetData>
    <row r="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c r="A2" s="2" t="n">
        <v>1</v>
      </c>
      <c r="B2" s="2" t="inlineStr">
        <is>
          <t>Fourth quarter 2015 (day not disclosed)</t>
        </is>
      </c>
      <c r="C2" s="2" t="inlineStr">
        <is>
          <t>Party A (Class I rail partner)</t>
        </is>
      </c>
      <c r="D2" s="2" t="inlineStr">
        <is>
          <t>Bidder interest</t>
        </is>
      </c>
      <c r="E2" s="2" t="n">
        <v>1</v>
      </c>
      <c r="F2" s="2" t="n">
        <v>0</v>
      </c>
      <c r="G2" s="2" t="inlineStr">
        <is>
          <t>Strategic</t>
        </is>
      </c>
      <c r="H2" s="2" t="inlineStr">
        <is>
          <t>Unpriced, inbound expression of interest: Party A suggested possible joint ventures and expressed interest in acquiring equity in PWRR. Not a bid; direction inbound from a commercial partner.</t>
        </is>
      </c>
      <c r="I2" s="2" t="inlineStr"/>
      <c r="J2" s="2" t="inlineStr"/>
      <c r="K2" s="2" t="inlineStr">
        <is>
          <t>Stated: “During the meeting, Party A suggested possible joint venture arrangements and expressed some interest in acquiring equity in the Company to further develop strategic opportunities and enhance regional connectivity.” (p.27). Convention: this is a preliminary, unpriced interest, not an acquisition proposal; recorded as the first-contact fact for Party A. Working date is the Q4 2015 calendar midpoint (Assigned: midpoint) as a display convention (Q7).</t>
        </is>
      </c>
      <c r="L2" s="3" t="inlineStr">
        <is>
          <t>P-002</t>
        </is>
      </c>
      <c r="M2" s="2" t="inlineStr">
        <is>
          <t>Q7</t>
        </is>
      </c>
      <c r="N2" s="2" t="inlineStr"/>
      <c r="O2" s="2" t="inlineStr">
        <is>
          <t>R001</t>
        </is>
      </c>
      <c r="P2" s="2" t="inlineStr">
        <is>
          <t>Yes</t>
        </is>
      </c>
      <c r="Q2" s="2" t="n">
        <v>1</v>
      </c>
      <c r="R2" s="4" t="n">
        <v>42278</v>
      </c>
      <c r="S2" s="4" t="n">
        <v>42369</v>
      </c>
      <c r="T2" s="4" t="n">
        <v>42323</v>
      </c>
      <c r="U2" s="2" t="inlineStr">
        <is>
          <t>Approximate window</t>
        </is>
      </c>
      <c r="V2" s="2" t="inlineStr">
        <is>
          <t>Assigned: midpoint</t>
        </is>
      </c>
      <c r="W2" s="5" t="n"/>
      <c r="X2" s="5" t="n"/>
      <c r="Y2" s="2" t="inlineStr"/>
      <c r="Z2" s="2" t="inlineStr"/>
      <c r="AA2" s="2" t="inlineStr"/>
      <c r="AB2" s="2" t="inlineStr"/>
      <c r="AC2" s="5" t="n"/>
      <c r="AD2" s="2" t="inlineStr"/>
      <c r="AE2" s="4" t="n"/>
      <c r="AF2" s="2" t="inlineStr"/>
      <c r="AG2" s="2" t="inlineStr"/>
      <c r="AH2" s="2" t="inlineStr"/>
      <c r="AI2" s="2" t="inlineStr"/>
      <c r="AJ2" s="2" t="inlineStr"/>
      <c r="AK2" s="2" t="n">
        <v>27</v>
      </c>
      <c r="AL2" s="2" t="inlineStr"/>
      <c r="AM2" s="2" t="inlineStr">
        <is>
          <t>PWRR–G&amp;W</t>
        </is>
      </c>
    </row>
    <row r="3">
      <c r="A3" s="2" t="n">
        <v>2</v>
      </c>
      <c r="B3" s="2" t="inlineStr">
        <is>
          <t>Fourth quarter 2015 (after Party A's expression of interest; day not disclosed)</t>
        </is>
      </c>
      <c r="C3" s="2" t="inlineStr">
        <is>
          <t>PWRR Board (subcommittee of Barrett and Anderson)</t>
        </is>
      </c>
      <c r="D3" s="2" t="inlineStr">
        <is>
          <t>Target decision</t>
        </is>
      </c>
      <c r="E3" s="2" t="n">
        <v>1</v>
      </c>
      <c r="F3" s="2" t="n">
        <v>0</v>
      </c>
      <c r="G3" s="2" t="inlineStr"/>
      <c r="H3" s="2" t="inlineStr">
        <is>
          <t>Board appointed a two-director subcommittee to interview investment banks and evaluate strategic options, including potential change-of-control transactions, prompted by Party A's interest. Sale exploration, not a commitment to sell.</t>
        </is>
      </c>
      <c r="I3" s="2" t="inlineStr"/>
      <c r="J3" s="2" t="inlineStr"/>
      <c r="K3" s="2" t="inlineStr">
        <is>
          <t>Stated: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(p.27). Inferred: the appointment followed receipt of a report of the Party A meeting; timing is only Q4 2015. Working date shares the Q4 2015 midpoint with R001; their order within the quarter is not disclosed (Q7).</t>
        </is>
      </c>
      <c r="L3" s="3" t="inlineStr">
        <is>
          <t>P-002</t>
        </is>
      </c>
      <c r="M3" s="2" t="inlineStr">
        <is>
          <t>Q7</t>
        </is>
      </c>
      <c r="N3" s="2" t="inlineStr"/>
      <c r="O3" s="2" t="inlineStr">
        <is>
          <t>R002</t>
        </is>
      </c>
      <c r="P3" s="2" t="inlineStr">
        <is>
          <t>Yes</t>
        </is>
      </c>
      <c r="Q3" s="2" t="n"/>
      <c r="R3" s="4" t="n">
        <v>42278</v>
      </c>
      <c r="S3" s="4" t="n">
        <v>42369</v>
      </c>
      <c r="T3" s="4" t="n">
        <v>42323</v>
      </c>
      <c r="U3" s="2" t="inlineStr">
        <is>
          <t>Approximate window</t>
        </is>
      </c>
      <c r="V3" s="2" t="inlineStr">
        <is>
          <t>Assigned: midpoint</t>
        </is>
      </c>
      <c r="W3" s="5" t="n"/>
      <c r="X3" s="5" t="n"/>
      <c r="Y3" s="2" t="inlineStr"/>
      <c r="Z3" s="2" t="inlineStr"/>
      <c r="AA3" s="2" t="inlineStr"/>
      <c r="AB3" s="2" t="inlineStr"/>
      <c r="AC3" s="5" t="n"/>
      <c r="AD3" s="2" t="inlineStr"/>
      <c r="AE3" s="4" t="n"/>
      <c r="AF3" s="2" t="inlineStr"/>
      <c r="AG3" s="2" t="inlineStr"/>
      <c r="AH3" s="2" t="inlineStr"/>
      <c r="AI3" s="2" t="inlineStr"/>
      <c r="AJ3" s="2" t="inlineStr"/>
      <c r="AK3" s="2" t="n">
        <v>27</v>
      </c>
      <c r="AL3" s="2" t="inlineStr"/>
      <c r="AM3" s="2" t="inlineStr">
        <is>
          <t>PWRR–G&amp;W</t>
        </is>
      </c>
    </row>
    <row r="4">
      <c r="A4" s="2" t="n">
        <v>3</v>
      </c>
      <c r="B4" s="2" t="inlineStr">
        <is>
          <t>01/27/2016</t>
        </is>
      </c>
      <c r="C4" s="2" t="inlineStr">
        <is>
          <t>PWRR / GHF (later BMO)</t>
        </is>
      </c>
      <c r="D4" s="2" t="inlineStr">
        <is>
          <t>Adviser engaged</t>
        </is>
      </c>
      <c r="E4" s="2" t="n">
        <v>1</v>
      </c>
      <c r="F4" s="2" t="n">
        <v>0</v>
      </c>
      <c r="G4" s="2" t="inlineStr"/>
      <c r="H4" s="2" t="inlineStr">
        <is>
          <t>Board approved retaining Greene Holcomb &amp; Fisher LLC (GHF) as the Company's investment banking firm after the subcommittee interviewed several firms; GHF represented it would not represent any potential buyer or financing provider. GHF's business was acquired by BMO Capital Markets Corp. on 08/01/2016; the relationship continues as BMO (fee approx. $2.52 million, majority payable at closing).</t>
        </is>
      </c>
      <c r="I4" s="2" t="inlineStr"/>
      <c r="J4" s="2" t="inlineStr"/>
      <c r="K4" s="2" t="inlineStr">
        <is>
          <t>Stated: “the subcommittee recommended to the Board that the Company retain GHF as its investment banking firm.” and “Following this presentation, the Board approved the subcommittee’s recommendation and the Company engaged GHF.” (p.27). Stated: “GHF represented to the Company that it would not represent any potential buyer of the Company in connection with an offer to purchase the Company or any person proposing to provide financing in connection with such an offer.” (p.27). Adviser engaged — actual reported engagement. Later disclosures (fee, BMO acquisition, fairness opinion) sit on this same relationship; a renamed/acquired firm does not get a second adviser row.</t>
        </is>
      </c>
      <c r="L4" s="3" t="inlineStr">
        <is>
          <t>P-002; X-016; X-022</t>
        </is>
      </c>
      <c r="M4" s="2" t="inlineStr"/>
      <c r="N4" s="2" t="inlineStr"/>
      <c r="O4" s="2" t="inlineStr">
        <is>
          <t>R003</t>
        </is>
      </c>
      <c r="P4" s="2" t="inlineStr">
        <is>
          <t>Yes</t>
        </is>
      </c>
      <c r="Q4" s="2" t="n"/>
      <c r="R4" s="4" t="n">
        <v>42396</v>
      </c>
      <c r="S4" s="4" t="n">
        <v>42396</v>
      </c>
      <c r="T4" s="4" t="n">
        <v>42396</v>
      </c>
      <c r="U4" s="2" t="inlineStr">
        <is>
          <t>Reported day</t>
        </is>
      </c>
      <c r="V4" s="2" t="inlineStr">
        <is>
          <t>Reported</t>
        </is>
      </c>
      <c r="W4" s="5" t="n"/>
      <c r="X4" s="5" t="n"/>
      <c r="Y4" s="2" t="inlineStr"/>
      <c r="Z4" s="2" t="inlineStr"/>
      <c r="AA4" s="2" t="inlineStr"/>
      <c r="AB4" s="2" t="inlineStr"/>
      <c r="AC4" s="5" t="n"/>
      <c r="AD4" s="2" t="inlineStr"/>
      <c r="AE4" s="4" t="n"/>
      <c r="AF4" s="2" t="inlineStr"/>
      <c r="AG4" s="2" t="inlineStr"/>
      <c r="AH4" s="2" t="inlineStr"/>
      <c r="AI4" s="2" t="inlineStr"/>
      <c r="AJ4" s="2" t="inlineStr"/>
      <c r="AK4" s="2" t="n">
        <v>27</v>
      </c>
      <c r="AL4" s="2" t="inlineStr">
        <is>
          <t>adviser relationship continues as BMO (R056)</t>
        </is>
      </c>
      <c r="AM4" s="2" t="inlineStr">
        <is>
          <t>PWRR–G&amp;W</t>
        </is>
      </c>
    </row>
    <row r="5">
      <c r="A5" s="2" t="n">
        <v>4</v>
      </c>
      <c r="B5" s="2" t="inlineStr">
        <is>
          <t>03/14/2016</t>
        </is>
      </c>
      <c r="C5" s="2" t="inlineStr">
        <is>
          <t>PWRR Board</t>
        </is>
      </c>
      <c r="D5" s="2" t="inlineStr">
        <is>
          <t>Target sale decision</t>
        </is>
      </c>
      <c r="E5" s="2" t="n">
        <v>1</v>
      </c>
      <c r="F5" s="2" t="n">
        <v>0</v>
      </c>
      <c r="G5" s="2" t="inlineStr"/>
      <c r="H5" s="2" t="inlineStr">
        <is>
          <t>Board approved GHF's proposed process: proceed with discussions with Party A and also solicit interest from other third parties regarding a change-in-control transaction. Transaction Committee appointed (Barrett (Chair), Anderson, Garvey) to supervise the process; the committee could not itself approve a transaction.</t>
        </is>
      </c>
      <c r="I5" s="2" t="inlineStr"/>
      <c r="J5" s="2" t="inlineStr"/>
      <c r="K5" s="2" t="inlineStr">
        <is>
          <t>Stated: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 and “and its shareholders to proceed with the transaction strategy discussed with representatives of GHF.” (pp.27-28) and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(p.28). Candidate Round 1 anchor kept as its own row: the outreach wave began about two weeks later and is used instead (Q1).</t>
        </is>
      </c>
      <c r="L5" s="3" t="inlineStr">
        <is>
          <t>P-003; P-004</t>
        </is>
      </c>
      <c r="M5" s="2" t="inlineStr">
        <is>
          <t>Q1</t>
        </is>
      </c>
      <c r="N5" s="2" t="inlineStr"/>
      <c r="O5" s="2" t="inlineStr">
        <is>
          <t>R004</t>
        </is>
      </c>
      <c r="P5" s="2" t="inlineStr">
        <is>
          <t>Yes</t>
        </is>
      </c>
      <c r="Q5" s="2" t="n"/>
      <c r="R5" s="4" t="n">
        <v>42443</v>
      </c>
      <c r="S5" s="4" t="n">
        <v>42443</v>
      </c>
      <c r="T5" s="4" t="n">
        <v>42443</v>
      </c>
      <c r="U5" s="2" t="inlineStr">
        <is>
          <t>Reported day</t>
        </is>
      </c>
      <c r="V5" s="2" t="inlineStr">
        <is>
          <t>Reported</t>
        </is>
      </c>
      <c r="W5" s="5" t="n"/>
      <c r="X5" s="5" t="n"/>
      <c r="Y5" s="2" t="inlineStr"/>
      <c r="Z5" s="2" t="inlineStr"/>
      <c r="AA5" s="2" t="inlineStr"/>
      <c r="AB5" s="2" t="inlineStr"/>
      <c r="AC5" s="5" t="n"/>
      <c r="AD5" s="2" t="inlineStr"/>
      <c r="AE5" s="4" t="n"/>
      <c r="AF5" s="2" t="inlineStr"/>
      <c r="AG5" s="2" t="inlineStr"/>
      <c r="AH5" s="2" t="inlineStr"/>
      <c r="AI5" s="2" t="inlineStr"/>
      <c r="AJ5" s="2" t="inlineStr"/>
      <c r="AK5" s="2" t="n">
        <v>27</v>
      </c>
      <c r="AL5" s="2" t="inlineStr">
        <is>
          <t>candidate R1 anchor for R007</t>
        </is>
      </c>
      <c r="AM5" s="2" t="inlineStr">
        <is>
          <t>PWRR–G&amp;W</t>
        </is>
      </c>
    </row>
    <row r="6">
      <c r="A6" s="2" t="n">
        <v>5</v>
      </c>
      <c r="B6" s="2" t="inlineStr">
        <is>
          <t>03/24/2016</t>
        </is>
      </c>
      <c r="C6" s="2" t="inlineStr">
        <is>
          <t>Transaction Committee / GHF</t>
        </is>
      </c>
      <c r="D6" s="2" t="inlineStr">
        <is>
          <t>Target decision</t>
        </is>
      </c>
      <c r="E6" s="2" t="n">
        <v>1</v>
      </c>
      <c r="F6" s="2" t="n">
        <v>0</v>
      </c>
      <c r="G6" s="2" t="inlineStr"/>
      <c r="H6" s="2" t="inlineStr">
        <is>
          <t>Committee authorized GHF to contact Party A and other potential buyers to gauge interest in a change-in-control transaction; management reported its 03/22-03/23 meetings with Party A and that Party A had been told of GHF's engagement.</t>
        </is>
      </c>
      <c r="I6" s="2" t="inlineStr"/>
      <c r="J6" s="2" t="inlineStr"/>
      <c r="K6" s="2" t="inlineStr">
        <is>
          <t>Stated: “Mr. Noreck reported that he and other members of the senior management team had met with various representatives of Party A on March 22 and 23, 2016 and had informed Party A of GHF’s engagement.” and “The Transaction Committee authorized GHF to contact Party A as well as other potential buyers to determine their level of interest in a change in control transaction.” (p.28). Candidate Round 1 anchor kept as its own row: it launched outreach within about a week, but the dated first outreach wave is the anchor (Q1).</t>
        </is>
      </c>
      <c r="L6" s="3" t="inlineStr">
        <is>
          <t>P-005; P-006</t>
        </is>
      </c>
      <c r="M6" s="2" t="inlineStr">
        <is>
          <t>Q1</t>
        </is>
      </c>
      <c r="N6" s="2" t="inlineStr"/>
      <c r="O6" s="2" t="inlineStr">
        <is>
          <t>R005</t>
        </is>
      </c>
      <c r="P6" s="2" t="inlineStr">
        <is>
          <t>Yes</t>
        </is>
      </c>
      <c r="Q6" s="2" t="n"/>
      <c r="R6" s="4" t="n">
        <v>42453</v>
      </c>
      <c r="S6" s="4" t="n">
        <v>42453</v>
      </c>
      <c r="T6" s="4" t="n">
        <v>42453</v>
      </c>
      <c r="U6" s="2" t="inlineStr">
        <is>
          <t>Reported day</t>
        </is>
      </c>
      <c r="V6" s="2" t="inlineStr">
        <is>
          <t>Reported</t>
        </is>
      </c>
      <c r="W6" s="5" t="n"/>
      <c r="X6" s="5" t="n"/>
      <c r="Y6" s="2" t="inlineStr"/>
      <c r="Z6" s="2" t="inlineStr"/>
      <c r="AA6" s="2" t="inlineStr"/>
      <c r="AB6" s="2" t="inlineStr"/>
      <c r="AC6" s="5" t="n"/>
      <c r="AD6" s="2" t="inlineStr"/>
      <c r="AE6" s="4" t="n"/>
      <c r="AF6" s="2" t="inlineStr"/>
      <c r="AG6" s="2" t="inlineStr"/>
      <c r="AH6" s="2" t="inlineStr"/>
      <c r="AI6" s="2" t="inlineStr"/>
      <c r="AJ6" s="2" t="inlineStr"/>
      <c r="AK6" s="2" t="n">
        <v>28</v>
      </c>
      <c r="AL6" s="2" t="inlineStr">
        <is>
          <t>candidate R1 anchor for R007</t>
        </is>
      </c>
      <c r="AM6" s="2" t="inlineStr">
        <is>
          <t>PWRR–G&amp;W</t>
        </is>
      </c>
    </row>
    <row r="7">
      <c r="A7" s="2" t="n">
        <v>6</v>
      </c>
      <c r="B7" s="2" t="inlineStr">
        <is>
          <t>Participated in committee meetings from 03/24/2016 (service date; retention date not disclosed)</t>
        </is>
      </c>
      <c r="C7" s="2" t="inlineStr">
        <is>
          <t>Hinckley, Allen &amp; Snyder LLP (target legal counsel)</t>
        </is>
      </c>
      <c r="D7" s="2" t="inlineStr">
        <is>
          <t>Adviser service observed</t>
        </is>
      </c>
      <c r="E7" s="2" t="n">
        <v>1</v>
      </c>
      <c r="F7" s="2" t="n">
        <v>0</v>
      </c>
      <c r="G7" s="2" t="inlineStr"/>
      <c r="H7" s="2" t="inlineStr">
        <is>
          <t>Company legal counsel; participated in all Transaction Committee meetings from 03/24/2016; drafted and negotiated the merger agreement and disclosure letter, responded to bidder diligence questions, and advised the Board.</t>
        </is>
      </c>
      <c r="I7" s="2" t="inlineStr"/>
      <c r="J7" s="2" t="inlineStr"/>
      <c r="K7" s="2" t="inlineStr">
        <is>
          <t>Stated: “Members of management and representatives of each of GHF and the Company’s legal counsel, Hinckley, Allen &amp; Snyder LLP (which we refer to as “Hinckley Allen”), participated in all meetings of the Transaction Committee, except as otherwise indicated.” (p.28). Adviser service observed, not engaged: the filing does not give a retention date, so the earliest supported service date (the 03/24/2016 committee meeting) is used. First narrative mention is not itself proof of retention.</t>
        </is>
      </c>
      <c r="L7" s="3" t="inlineStr">
        <is>
          <t>P-006; P-025; P-028</t>
        </is>
      </c>
      <c r="M7" s="2" t="inlineStr"/>
      <c r="N7" s="2" t="inlineStr"/>
      <c r="O7" s="2" t="inlineStr">
        <is>
          <t>R006</t>
        </is>
      </c>
      <c r="P7" s="2" t="inlineStr">
        <is>
          <t>Yes</t>
        </is>
      </c>
      <c r="Q7" s="2" t="n"/>
      <c r="R7" s="4" t="n">
        <v>42453</v>
      </c>
      <c r="S7" s="4" t="n">
        <v>42453</v>
      </c>
      <c r="T7" s="4" t="n">
        <v>42453</v>
      </c>
      <c r="U7" s="2" t="inlineStr">
        <is>
          <t>Reported day</t>
        </is>
      </c>
      <c r="V7" s="2" t="inlineStr">
        <is>
          <t>Reported</t>
        </is>
      </c>
      <c r="W7" s="5" t="n"/>
      <c r="X7" s="5" t="n"/>
      <c r="Y7" s="2" t="inlineStr"/>
      <c r="Z7" s="2" t="inlineStr"/>
      <c r="AA7" s="2" t="inlineStr"/>
      <c r="AB7" s="2" t="inlineStr"/>
      <c r="AC7" s="5" t="n"/>
      <c r="AD7" s="2" t="inlineStr"/>
      <c r="AE7" s="4" t="n"/>
      <c r="AF7" s="2" t="inlineStr"/>
      <c r="AG7" s="2" t="inlineStr"/>
      <c r="AH7" s="2" t="inlineStr"/>
      <c r="AI7" s="2" t="inlineStr"/>
      <c r="AJ7" s="2" t="inlineStr"/>
      <c r="AK7" s="2" t="n">
        <v>28</v>
      </c>
      <c r="AL7" s="2" t="inlineStr"/>
      <c r="AM7" s="2" t="inlineStr">
        <is>
          <t>PWRR–G&amp;W</t>
        </is>
      </c>
    </row>
    <row r="8">
      <c r="A8" s="2" t="n">
        <v>7</v>
      </c>
      <c r="B8" s="2" t="inlineStr">
        <is>
          <t>Week of 03/28/2016</t>
        </is>
      </c>
      <c r="C8" s="2" t="inlineStr">
        <is>
          <t>PWRR / GHF</t>
        </is>
      </c>
      <c r="D8" s="2" t="inlineStr">
        <is>
          <t>Round opened</t>
        </is>
      </c>
      <c r="E8" s="2" t="n">
        <v>1</v>
      </c>
      <c r="F8" s="2" t="n">
        <v>1</v>
      </c>
      <c r="G8" s="2" t="inlineStr"/>
      <c r="H8" s="2" t="inlineStr">
        <is>
          <t>R1 anchor: first outreach wave — GHF contacted 11 potential strategic buyers (including Party A) and 18 potential financial buyers during the week of 03/28/2016 to determine interest in a change-in-control transaction. Other candidate anchors: R005 (03/24/2016 committee authorization; direct launch within about a week) and R004 (03/14/2016 Board process decision). Objective: gauge interest and solicit non-binding indications of interest (IOI deadline later set for 05/10/2016, revised to 05/19/2016). Finality: Not final — an indicative, non-binding stage with no final or binding solicitation.</t>
        </is>
      </c>
      <c r="I8" s="2" t="inlineStr"/>
      <c r="J8" s="2" t="inlineStr"/>
      <c r="K8" s="2" t="inlineStr">
        <is>
          <t>Stated: “During the week of March 28, 2016, in accordance with the Transaction Committee’s directives, representatives of GHF contacted 11 potential strategic buyers (including Party A) and 18 potential financial buyers.” (p.28). Convention: R1 opens with the first outreach wave under the section 6.3 rule; the engagement (R003) and the process decisions (R004, R005) were earlier. Not final: the filing announces no final or binding solicitation at this stage (Q1).</t>
        </is>
      </c>
      <c r="L8" s="3" t="inlineStr">
        <is>
          <t>P-006</t>
        </is>
      </c>
      <c r="M8" s="2" t="inlineStr">
        <is>
          <t>Q1</t>
        </is>
      </c>
      <c r="N8" s="2" t="inlineStr"/>
      <c r="O8" s="2" t="inlineStr">
        <is>
          <t>R007</t>
        </is>
      </c>
      <c r="P8" s="2" t="inlineStr">
        <is>
          <t>Yes</t>
        </is>
      </c>
      <c r="Q8" s="2" t="n"/>
      <c r="R8" s="4" t="n">
        <v>42457</v>
      </c>
      <c r="S8" s="4" t="n">
        <v>42463</v>
      </c>
      <c r="T8" s="4" t="n">
        <v>42457</v>
      </c>
      <c r="U8" s="2" t="inlineStr">
        <is>
          <t>Reported interval</t>
        </is>
      </c>
      <c r="V8" s="2" t="inlineStr">
        <is>
          <t>Assigned: bound</t>
        </is>
      </c>
      <c r="W8" s="5" t="n"/>
      <c r="X8" s="5" t="n"/>
      <c r="Y8" s="2" t="inlineStr"/>
      <c r="Z8" s="2" t="inlineStr"/>
      <c r="AA8" s="2" t="inlineStr"/>
      <c r="AB8" s="2" t="inlineStr"/>
      <c r="AC8" s="5" t="n"/>
      <c r="AD8" s="2" t="inlineStr"/>
      <c r="AE8" s="4" t="n"/>
      <c r="AF8" s="2" t="inlineStr"/>
      <c r="AG8" s="2" t="inlineStr">
        <is>
          <t>Not final</t>
        </is>
      </c>
      <c r="AH8" s="2" t="inlineStr"/>
      <c r="AI8" s="2" t="inlineStr"/>
      <c r="AJ8" s="2" t="inlineStr"/>
      <c r="AK8" s="2" t="n">
        <v>28</v>
      </c>
      <c r="AL8" s="2" t="inlineStr">
        <is>
          <t>R004; R005; anchored on the wave; admits R008/R009 contacts</t>
        </is>
      </c>
      <c r="AM8" s="2" t="inlineStr">
        <is>
          <t>PWRR–G&amp;W</t>
        </is>
      </c>
    </row>
    <row r="9">
      <c r="A9" s="2" t="n">
        <v>8</v>
      </c>
      <c r="B9" s="2" t="inlineStr">
        <is>
          <t>Week of 03/28/2016</t>
        </is>
      </c>
      <c r="C9" s="2" t="inlineStr">
        <is>
          <t>11 potential strategic buyers (incl. Party A)</t>
        </is>
      </c>
      <c r="D9" s="2" t="inlineStr">
        <is>
          <t>Contact</t>
        </is>
      </c>
      <c r="E9" s="2" t="n">
        <v>1</v>
      </c>
      <c r="F9" s="2" t="n">
        <v>1</v>
      </c>
      <c r="G9" s="2" t="inlineStr">
        <is>
          <t>Strategic</t>
        </is>
      </c>
      <c r="H9" s="2" t="inlineStr">
        <is>
          <t>Target-initiated outreach by GHF to determine interest in a change-in-control transaction; 11 strategic buyers contacted. Party A was already in contact since Q4 2015 (R001).</t>
        </is>
      </c>
      <c r="I9" s="2" t="inlineStr"/>
      <c r="J9" s="2" t="inlineStr"/>
      <c r="K9" s="2" t="inlineStr">
        <is>
          <t>Stated: “During the week of March 28, 2016, in accordance with the Transaction Committee’s directives, representatives of GHF contacted 11 potential strategic buyers (including Party A) and 18 potential financial buyers.” (p.28). Inferred: these are whole-company acquisition contacts (acquisition of the Company, not a segment). Party A is counted once in this cohort though its first contact is R001 (contact detail row, Q3).</t>
        </is>
      </c>
      <c r="L9" s="3" t="inlineStr">
        <is>
          <t>P-006</t>
        </is>
      </c>
      <c r="M9" s="2" t="inlineStr">
        <is>
          <t>Q3</t>
        </is>
      </c>
      <c r="N9" s="2" t="inlineStr"/>
      <c r="O9" s="2" t="inlineStr">
        <is>
          <t>R008</t>
        </is>
      </c>
      <c r="P9" s="2" t="inlineStr">
        <is>
          <t>Yes</t>
        </is>
      </c>
      <c r="Q9" s="2" t="n">
        <v>11</v>
      </c>
      <c r="R9" s="4" t="n">
        <v>42457</v>
      </c>
      <c r="S9" s="4" t="n">
        <v>42463</v>
      </c>
      <c r="T9" s="4" t="n">
        <v>42457</v>
      </c>
      <c r="U9" s="2" t="inlineStr">
        <is>
          <t>Reported interval</t>
        </is>
      </c>
      <c r="V9" s="2" t="inlineStr">
        <is>
          <t>Assigned: bound</t>
        </is>
      </c>
      <c r="W9" s="5" t="n"/>
      <c r="X9" s="5" t="n"/>
      <c r="Y9" s="2" t="inlineStr"/>
      <c r="Z9" s="2" t="inlineStr"/>
      <c r="AA9" s="2" t="inlineStr"/>
      <c r="AB9" s="2" t="inlineStr"/>
      <c r="AC9" s="5" t="n"/>
      <c r="AD9" s="2" t="inlineStr"/>
      <c r="AE9" s="4" t="n"/>
      <c r="AF9" s="2" t="inlineStr"/>
      <c r="AG9" s="2" t="inlineStr"/>
      <c r="AH9" s="2" t="inlineStr"/>
      <c r="AI9" s="2" t="inlineStr"/>
      <c r="AJ9" s="2" t="inlineStr"/>
      <c r="AK9" s="2" t="n">
        <v>28</v>
      </c>
      <c r="AL9" s="2" t="inlineStr"/>
      <c r="AM9" s="2" t="inlineStr">
        <is>
          <t>PWRR–G&amp;W</t>
        </is>
      </c>
    </row>
    <row r="10">
      <c r="A10" s="2" t="n">
        <v>9</v>
      </c>
      <c r="B10" s="2" t="inlineStr">
        <is>
          <t>Week of 03/28/2016</t>
        </is>
      </c>
      <c r="C10" s="2" t="inlineStr">
        <is>
          <t>18 potential financial buyers</t>
        </is>
      </c>
      <c r="D10" s="2" t="inlineStr">
        <is>
          <t>Contact</t>
        </is>
      </c>
      <c r="E10" s="2" t="n">
        <v>1</v>
      </c>
      <c r="F10" s="2" t="n">
        <v>1</v>
      </c>
      <c r="G10" s="2" t="inlineStr">
        <is>
          <t>Financial</t>
        </is>
      </c>
      <c r="H10" s="2" t="inlineStr">
        <is>
          <t>Target-initiated outreach by GHF; 18 financial buyers (private equity/financial investors) contacted about a change-in-control transaction.</t>
        </is>
      </c>
      <c r="I10" s="2" t="inlineStr"/>
      <c r="J10" s="2" t="inlineStr"/>
      <c r="K10" s="2" t="inlineStr">
        <is>
          <t>Stated: “During the week of March 28, 2016, in accordance with the Transaction Committee’s directives, representatives of GHF contacted 11 potential strategic buyers (including Party A) and 18 potential financial buyers.” (p.28). Cohort split by type as the filing supplies the split. Four of these 18 did not sign confidentiality agreements (R013).</t>
        </is>
      </c>
      <c r="L10" s="3" t="inlineStr">
        <is>
          <t>P-006</t>
        </is>
      </c>
      <c r="M10" s="2" t="inlineStr">
        <is>
          <t>Q3</t>
        </is>
      </c>
      <c r="N10" s="2" t="inlineStr"/>
      <c r="O10" s="2" t="inlineStr">
        <is>
          <t>R009</t>
        </is>
      </c>
      <c r="P10" s="2" t="inlineStr">
        <is>
          <t>Yes</t>
        </is>
      </c>
      <c r="Q10" s="2" t="n">
        <v>18</v>
      </c>
      <c r="R10" s="4" t="n">
        <v>42457</v>
      </c>
      <c r="S10" s="4" t="n">
        <v>42463</v>
      </c>
      <c r="T10" s="4" t="n">
        <v>42457</v>
      </c>
      <c r="U10" s="2" t="inlineStr">
        <is>
          <t>Reported interval</t>
        </is>
      </c>
      <c r="V10" s="2" t="inlineStr">
        <is>
          <t>Assigned: bound</t>
        </is>
      </c>
      <c r="W10" s="5" t="n"/>
      <c r="X10" s="5" t="n"/>
      <c r="Y10" s="2" t="inlineStr"/>
      <c r="Z10" s="2" t="inlineStr"/>
      <c r="AA10" s="2" t="inlineStr"/>
      <c r="AB10" s="2" t="inlineStr"/>
      <c r="AC10" s="5" t="n"/>
      <c r="AD10" s="2" t="inlineStr"/>
      <c r="AE10" s="4" t="n"/>
      <c r="AF10" s="2" t="inlineStr"/>
      <c r="AG10" s="2" t="inlineStr"/>
      <c r="AH10" s="2" t="inlineStr"/>
      <c r="AI10" s="2" t="inlineStr"/>
      <c r="AJ10" s="2" t="inlineStr"/>
      <c r="AK10" s="2" t="n">
        <v>28</v>
      </c>
      <c r="AL10" s="2" t="inlineStr"/>
      <c r="AM10" s="2" t="inlineStr">
        <is>
          <t>PWRR–G&amp;W</t>
        </is>
      </c>
    </row>
    <row r="11">
      <c r="A11" s="2" t="n">
        <v>10</v>
      </c>
      <c r="B11" s="2" t="inlineStr">
        <is>
          <t>by 04/07/2016 (reported at the 04/07/2016 committee meeting; approach day not disclosed)</t>
        </is>
      </c>
      <c r="C11" s="2" t="inlineStr">
        <is>
          <t>Two additional Class I railroads</t>
        </is>
      </c>
      <c r="D11" s="2" t="inlineStr">
        <is>
          <t>Contact</t>
        </is>
      </c>
      <c r="E11" s="2" t="n">
        <v>1</v>
      </c>
      <c r="F11" s="2" t="n">
        <v>1</v>
      </c>
      <c r="G11" s="2" t="inlineStr">
        <is>
          <t>Strategic</t>
        </is>
      </c>
      <c r="H11" s="2" t="inlineStr">
        <is>
          <t>The Company separately approached two additional Class I railroads to gauge transaction interest. Overlap with the 11 strategic buyers contacted by GHF is unresolved; additive Count left blank rather than assuming disjointness.</t>
        </is>
      </c>
      <c r="I11" s="2" t="inlineStr"/>
      <c r="J11" s="2" t="inlineStr"/>
      <c r="K11" s="2" t="inlineStr">
        <is>
          <t>Stated: “Mr. Noreck reported that the Company had also approached two additional Class I railroads to determine their interest in a possible transaction.” (p.28). Inferred: the approaches preceded the 04/07/2016 report and followed the outreach decision; only the report date is supported. Working date = the known bound (Assigned: bound). Qualified quantity: contact total is 29 plus up to 2 unresolved (Q3).</t>
        </is>
      </c>
      <c r="L11" s="3" t="inlineStr">
        <is>
          <t>P-008</t>
        </is>
      </c>
      <c r="M11" s="2" t="inlineStr">
        <is>
          <t>Q3</t>
        </is>
      </c>
      <c r="N11" s="2" t="inlineStr"/>
      <c r="O11" s="2" t="inlineStr">
        <is>
          <t>R010</t>
        </is>
      </c>
      <c r="P11" s="2" t="inlineStr">
        <is>
          <t>Yes</t>
        </is>
      </c>
      <c r="Q11" s="2" t="n"/>
      <c r="R11" s="4" t="n"/>
      <c r="S11" s="4" t="n">
        <v>42467</v>
      </c>
      <c r="T11" s="4" t="n">
        <v>42467</v>
      </c>
      <c r="U11" s="2" t="inlineStr">
        <is>
          <t>Relative only</t>
        </is>
      </c>
      <c r="V11" s="2" t="inlineStr">
        <is>
          <t>Assigned: bound</t>
        </is>
      </c>
      <c r="W11" s="5" t="n"/>
      <c r="X11" s="5" t="n"/>
      <c r="Y11" s="2" t="inlineStr"/>
      <c r="Z11" s="2" t="inlineStr"/>
      <c r="AA11" s="2" t="inlineStr"/>
      <c r="AB11" s="2" t="inlineStr"/>
      <c r="AC11" s="5" t="n"/>
      <c r="AD11" s="2" t="inlineStr"/>
      <c r="AE11" s="4" t="n"/>
      <c r="AF11" s="2" t="inlineStr"/>
      <c r="AG11" s="2" t="inlineStr"/>
      <c r="AH11" s="2" t="inlineStr"/>
      <c r="AI11" s="2" t="inlineStr"/>
      <c r="AJ11" s="2" t="inlineStr"/>
      <c r="AK11" s="2" t="n">
        <v>28</v>
      </c>
      <c r="AL11" s="2" t="inlineStr"/>
      <c r="AM11" s="2" t="inlineStr">
        <is>
          <t>PWRR–G&amp;W</t>
        </is>
      </c>
    </row>
    <row r="12">
      <c r="A12" s="2" t="n">
        <v>11</v>
      </c>
      <c r="B12" s="2" t="inlineStr">
        <is>
          <t>04/07/2016</t>
        </is>
      </c>
      <c r="C12" s="2" t="inlineStr">
        <is>
          <t>Transaction Committee / GHF</t>
        </is>
      </c>
      <c r="D12" s="2" t="inlineStr">
        <is>
          <t>Target decision</t>
        </is>
      </c>
      <c r="E12" s="2" t="n">
        <v>1</v>
      </c>
      <c r="F12" s="2" t="n">
        <v>1</v>
      </c>
      <c r="G12" s="2" t="inlineStr"/>
      <c r="H12" s="2" t="inlineStr">
        <is>
          <t>Committee authorized GHF to contact the five convention attendees (including G&amp;W) and other strategic buyers and private equity firms under confidentiality agreement to confirm continuing interest; management had also approached two additional Class I railroads (R010).</t>
        </is>
      </c>
      <c r="I12" s="2" t="inlineStr"/>
      <c r="J12" s="2" t="inlineStr"/>
      <c r="K12" s="2" t="inlineStr">
        <is>
          <t>Stated: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(p.28). Process continuation, not a new round; the round's information stage (management presentations and data room) is uniform for advancing bidders (R020).</t>
        </is>
      </c>
      <c r="L12" s="3" t="inlineStr">
        <is>
          <t>P-008</t>
        </is>
      </c>
      <c r="M12" s="2" t="inlineStr"/>
      <c r="N12" s="2" t="inlineStr"/>
      <c r="O12" s="2" t="inlineStr">
        <is>
          <t>R011</t>
        </is>
      </c>
      <c r="P12" s="2" t="inlineStr">
        <is>
          <t>Yes</t>
        </is>
      </c>
      <c r="Q12" s="2" t="n"/>
      <c r="R12" s="4" t="n">
        <v>42467</v>
      </c>
      <c r="S12" s="4" t="n">
        <v>42467</v>
      </c>
      <c r="T12" s="4" t="n">
        <v>42467</v>
      </c>
      <c r="U12" s="2" t="inlineStr">
        <is>
          <t>Reported day</t>
        </is>
      </c>
      <c r="V12" s="2" t="inlineStr">
        <is>
          <t>Reported</t>
        </is>
      </c>
      <c r="W12" s="5" t="n"/>
      <c r="X12" s="5" t="n"/>
      <c r="Y12" s="2" t="inlineStr"/>
      <c r="Z12" s="2" t="inlineStr"/>
      <c r="AA12" s="2" t="inlineStr"/>
      <c r="AB12" s="2" t="inlineStr"/>
      <c r="AC12" s="5" t="n"/>
      <c r="AD12" s="2" t="inlineStr"/>
      <c r="AE12" s="4" t="n"/>
      <c r="AF12" s="2" t="inlineStr"/>
      <c r="AG12" s="2" t="inlineStr"/>
      <c r="AH12" s="2" t="inlineStr"/>
      <c r="AI12" s="2" t="inlineStr"/>
      <c r="AJ12" s="2" t="inlineStr"/>
      <c r="AK12" s="2" t="n">
        <v>28</v>
      </c>
      <c r="AL12" s="2" t="inlineStr"/>
      <c r="AM12" s="2" t="inlineStr">
        <is>
          <t>PWRR–G&amp;W</t>
        </is>
      </c>
    </row>
    <row r="13">
      <c r="A13" s="2" t="n">
        <v>12</v>
      </c>
      <c r="B13" s="2" t="inlineStr">
        <is>
          <t>after week of 03/28/2016; by 04/22/2016 (execution days not disclosed)</t>
        </is>
      </c>
      <c r="C13" s="2" t="inlineStr">
        <is>
          <t>11 strategic NDA signers</t>
        </is>
      </c>
      <c r="D13" s="2" t="inlineStr">
        <is>
          <t>NDA signed</t>
        </is>
      </c>
      <c r="E13" s="2" t="n">
        <v>1</v>
      </c>
      <c r="F13" s="2" t="n">
        <v>1</v>
      </c>
      <c r="G13" s="2" t="inlineStr">
        <is>
          <t>Strategic</t>
        </is>
      </c>
      <c r="H13" s="2" t="inlineStr">
        <is>
          <t>Each of the 11 strategic buyers contacted by GHF executed a confidentiality agreement; no standstill or similar provision. Party A, Party B and G&amp;W are inside this cohort; their individual NDA dates are not disclosed. Party B's inclusion is assumed (R014 assumes otherwise for count purposes; Q3).</t>
        </is>
      </c>
      <c r="I13" s="2" t="inlineStr"/>
      <c r="J13" s="2" t="inlineStr"/>
      <c r="K13" s="2" t="inlineStr">
        <is>
          <t>Stated: “Each of the potential strategic buyers and 14 potential financial buyers subsequently executed confidentiality agreements.” (p.28) and “The confidentiality agreements did not contain any “standstill” or similar provision that would prohibit a potential buyer from submitting a proposal or making an offer to acquire the Company.” (p.28). Inferred: agreements executed after the contact wave and exist by 04/22/2016, when the memorandum went to buyers that had executed them (R014). Working date = window midpoint (Q7).</t>
        </is>
      </c>
      <c r="L13" s="3" t="inlineStr">
        <is>
          <t>P-006; P-009</t>
        </is>
      </c>
      <c r="M13" s="2" t="inlineStr">
        <is>
          <t>Q3</t>
        </is>
      </c>
      <c r="N13" s="2" t="inlineStr"/>
      <c r="O13" s="2" t="inlineStr">
        <is>
          <t>R012</t>
        </is>
      </c>
      <c r="P13" s="2" t="inlineStr">
        <is>
          <t>Yes</t>
        </is>
      </c>
      <c r="Q13" s="2" t="n">
        <v>11</v>
      </c>
      <c r="R13" s="4" t="n">
        <v>42457</v>
      </c>
      <c r="S13" s="4" t="n">
        <v>42482</v>
      </c>
      <c r="T13" s="4" t="n">
        <v>42469</v>
      </c>
      <c r="U13" s="2" t="inlineStr">
        <is>
          <t>Approximate window</t>
        </is>
      </c>
      <c r="V13" s="2" t="inlineStr">
        <is>
          <t>Assigned: midpoint</t>
        </is>
      </c>
      <c r="W13" s="5" t="n"/>
      <c r="X13" s="5" t="n"/>
      <c r="Y13" s="2" t="inlineStr"/>
      <c r="Z13" s="2" t="inlineStr"/>
      <c r="AA13" s="2" t="inlineStr"/>
      <c r="AB13" s="2" t="inlineStr"/>
      <c r="AC13" s="5" t="n"/>
      <c r="AD13" s="2" t="inlineStr"/>
      <c r="AE13" s="4" t="n"/>
      <c r="AF13" s="2" t="inlineStr"/>
      <c r="AG13" s="2" t="inlineStr"/>
      <c r="AH13" s="2" t="inlineStr"/>
      <c r="AI13" s="2" t="inlineStr"/>
      <c r="AJ13" s="2" t="inlineStr"/>
      <c r="AK13" s="2" t="n">
        <v>28</v>
      </c>
      <c r="AL13" s="2" t="inlineStr"/>
      <c r="AM13" s="2" t="inlineStr">
        <is>
          <t>PWRR–G&amp;W</t>
        </is>
      </c>
    </row>
    <row r="14">
      <c r="A14" s="2" t="n">
        <v>13</v>
      </c>
      <c r="B14" s="2" t="inlineStr">
        <is>
          <t>after week of 03/28/2016; by 04/22/2016 (execution days not disclosed)</t>
        </is>
      </c>
      <c r="C14" s="2" t="inlineStr">
        <is>
          <t>14 potential financial NDA signers</t>
        </is>
      </c>
      <c r="D14" s="2" t="inlineStr">
        <is>
          <t>NDA signed</t>
        </is>
      </c>
      <c r="E14" s="2" t="n">
        <v>1</v>
      </c>
      <c r="F14" s="2" t="n">
        <v>1</v>
      </c>
      <c r="G14" s="2" t="inlineStr">
        <is>
          <t>Financial</t>
        </is>
      </c>
      <c r="H14" s="2" t="inlineStr">
        <is>
          <t>14 of the 18 financial buyers contacted executed confidentiality agreements; no standstill. Four contacted financial buyers did not sign and are not counted as NDA participants. Party D is a financial buyer within this cohort.</t>
        </is>
      </c>
      <c r="I14" s="2" t="inlineStr"/>
      <c r="J14" s="2" t="inlineStr"/>
      <c r="K14" s="2" t="inlineStr">
        <is>
          <t>Stated: “Each of the potential strategic buyers and 14 potential financial buyers subsequently executed confidentiality agreements.” (p.28). Inferred: same window as R012. Cohort split by type as supplied (Q3).</t>
        </is>
      </c>
      <c r="L14" s="3" t="inlineStr">
        <is>
          <t>P-006</t>
        </is>
      </c>
      <c r="M14" s="2" t="inlineStr">
        <is>
          <t>Q3</t>
        </is>
      </c>
      <c r="N14" s="2" t="inlineStr"/>
      <c r="O14" s="2" t="inlineStr">
        <is>
          <t>R013</t>
        </is>
      </c>
      <c r="P14" s="2" t="inlineStr">
        <is>
          <t>Yes</t>
        </is>
      </c>
      <c r="Q14" s="2" t="n">
        <v>14</v>
      </c>
      <c r="R14" s="4" t="n">
        <v>42457</v>
      </c>
      <c r="S14" s="4" t="n">
        <v>42482</v>
      </c>
      <c r="T14" s="4" t="n">
        <v>42469</v>
      </c>
      <c r="U14" s="2" t="inlineStr">
        <is>
          <t>Approximate window</t>
        </is>
      </c>
      <c r="V14" s="2" t="inlineStr">
        <is>
          <t>Assigned: midpoint</t>
        </is>
      </c>
      <c r="W14" s="5" t="n"/>
      <c r="X14" s="5" t="n"/>
      <c r="Y14" s="2" t="inlineStr"/>
      <c r="Z14" s="2" t="inlineStr"/>
      <c r="AA14" s="2" t="inlineStr"/>
      <c r="AB14" s="2" t="inlineStr"/>
      <c r="AC14" s="5" t="n"/>
      <c r="AD14" s="2" t="inlineStr"/>
      <c r="AE14" s="4" t="n"/>
      <c r="AF14" s="2" t="inlineStr"/>
      <c r="AG14" s="2" t="inlineStr"/>
      <c r="AH14" s="2" t="inlineStr"/>
      <c r="AI14" s="2" t="inlineStr"/>
      <c r="AJ14" s="2" t="inlineStr"/>
      <c r="AK14" s="2" t="n">
        <v>28</v>
      </c>
      <c r="AL14" s="2" t="inlineStr"/>
      <c r="AM14" s="2" t="inlineStr">
        <is>
          <t>PWRR–G&amp;W</t>
        </is>
      </c>
    </row>
    <row r="15">
      <c r="A15" s="2" t="n">
        <v>14</v>
      </c>
      <c r="B15" s="2" t="inlineStr">
        <is>
          <t>04/21/2016</t>
        </is>
      </c>
      <c r="C15" s="2" t="inlineStr">
        <is>
          <t>Party B</t>
        </is>
      </c>
      <c r="D15" s="2" t="inlineStr">
        <is>
          <t>Contact</t>
        </is>
      </c>
      <c r="E15" s="2" t="n">
        <v>1</v>
      </c>
      <c r="F15" s="2" t="n">
        <v>1</v>
      </c>
      <c r="G15" s="2" t="inlineStr">
        <is>
          <t>Strategic</t>
        </is>
      </c>
      <c r="H15" s="2" t="inlineStr">
        <is>
          <t>Target-initiated introductory meeting between the Company/GHF and Party B, 'another potential strategic buyer'. Whether Party B is one of the 11 buyers contacted in the week of 03/28/2016 is not stated; additive Count left blank. Party B executed a confidentiality agreement by 04/22/2016.</t>
        </is>
      </c>
      <c r="I15" s="2" t="inlineStr"/>
      <c r="J15" s="2" t="inlineStr"/>
      <c r="K15" s="2" t="inlineStr">
        <is>
          <t>Stated: “Subsequently, on April 21, 2016, the Company and representatives of GHF held an introductory meeting with another potential strategic buyer (“Party B”).” (p.28). Stated: the 04/22/2016 memorandum went to buyers including Party B 'that had executed confidentiality agreements' (p.28). Count left blank because the overlap with R008 is unresolved (Q3).</t>
        </is>
      </c>
      <c r="L15" s="3" t="inlineStr">
        <is>
          <t>P-008; P-009</t>
        </is>
      </c>
      <c r="M15" s="2" t="inlineStr">
        <is>
          <t>Q3</t>
        </is>
      </c>
      <c r="N15" s="2" t="inlineStr"/>
      <c r="O15" s="2" t="inlineStr">
        <is>
          <t>R014</t>
        </is>
      </c>
      <c r="P15" s="2" t="inlineStr">
        <is>
          <t>Yes</t>
        </is>
      </c>
      <c r="Q15" s="2" t="n"/>
      <c r="R15" s="4" t="n">
        <v>42481</v>
      </c>
      <c r="S15" s="4" t="n">
        <v>42481</v>
      </c>
      <c r="T15" s="4" t="n">
        <v>42481</v>
      </c>
      <c r="U15" s="2" t="inlineStr">
        <is>
          <t>Reported day</t>
        </is>
      </c>
      <c r="V15" s="2" t="inlineStr">
        <is>
          <t>Reported</t>
        </is>
      </c>
      <c r="W15" s="5" t="n"/>
      <c r="X15" s="5" t="n"/>
      <c r="Y15" s="2" t="inlineStr"/>
      <c r="Z15" s="2" t="inlineStr"/>
      <c r="AA15" s="2" t="inlineStr"/>
      <c r="AB15" s="2" t="inlineStr"/>
      <c r="AC15" s="5" t="n"/>
      <c r="AD15" s="2" t="inlineStr"/>
      <c r="AE15" s="4" t="n"/>
      <c r="AF15" s="2" t="inlineStr"/>
      <c r="AG15" s="2" t="inlineStr"/>
      <c r="AH15" s="2" t="inlineStr"/>
      <c r="AI15" s="2" t="inlineStr"/>
      <c r="AJ15" s="2" t="inlineStr"/>
      <c r="AK15" s="2" t="n">
        <v>28</v>
      </c>
      <c r="AL15" s="2" t="inlineStr"/>
      <c r="AM15" s="2" t="inlineStr">
        <is>
          <t>PWRR–G&amp;W</t>
        </is>
      </c>
    </row>
    <row r="16">
      <c r="A16" s="2" t="n">
        <v>15</v>
      </c>
      <c r="B16" s="2" t="inlineStr">
        <is>
          <t>by 04/27/2016 (advice reported at the 04/27/2016 Board meeting)</t>
        </is>
      </c>
      <c r="C16" s="2" t="inlineStr">
        <is>
          <t>PWRR Board / GHF</t>
        </is>
      </c>
      <c r="D16" s="2" t="inlineStr">
        <is>
          <t>Deadline set</t>
        </is>
      </c>
      <c r="E16" s="2" t="n">
        <v>1</v>
      </c>
      <c r="F16" s="2" t="n">
        <v>1</v>
      </c>
      <c r="G16" s="2" t="inlineStr"/>
      <c r="H16" s="2" t="inlineStr">
        <is>
          <t>All potential buyers advised to submit a non-binding indication of interest by 05/10/2016; communicated at or before the 04/27/2016 Board executive session (held without Mr. Eder). Due date: 05/10/2016.</t>
        </is>
      </c>
      <c r="I16" s="2" t="inlineStr"/>
      <c r="J16" s="2" t="inlineStr"/>
      <c r="K16" s="2" t="inlineStr">
        <is>
          <t>Stated: “each potential buyer had been advised to submit a non-binding indication of interest by May 10, 2016 (which deadline was subsequently postponed to May 19, 2016 to ensure the potential buyers had sufficient time to formulate their most compelling offers).” (p.29). The advice is known only through the later report, so Working date = the report day as the known bound (Assigned: bound); the 05/10/2016 due date was later superseded (R016).</t>
        </is>
      </c>
      <c r="L16" s="3" t="inlineStr">
        <is>
          <t>P-010</t>
        </is>
      </c>
      <c r="M16" s="2" t="inlineStr">
        <is>
          <t>Q2</t>
        </is>
      </c>
      <c r="N16" s="2" t="inlineStr"/>
      <c r="O16" s="2" t="inlineStr">
        <is>
          <t>R015</t>
        </is>
      </c>
      <c r="P16" s="2" t="inlineStr">
        <is>
          <t>Yes</t>
        </is>
      </c>
      <c r="Q16" s="2" t="n"/>
      <c r="R16" s="4" t="n"/>
      <c r="S16" s="4" t="n">
        <v>42487</v>
      </c>
      <c r="T16" s="4" t="n">
        <v>42487</v>
      </c>
      <c r="U16" s="2" t="inlineStr">
        <is>
          <t>Relative only</t>
        </is>
      </c>
      <c r="V16" s="2" t="inlineStr">
        <is>
          <t>Assigned: bound</t>
        </is>
      </c>
      <c r="W16" s="5" t="n"/>
      <c r="X16" s="5" t="n"/>
      <c r="Y16" s="2" t="inlineStr"/>
      <c r="Z16" s="2" t="inlineStr"/>
      <c r="AA16" s="2" t="inlineStr"/>
      <c r="AB16" s="2" t="inlineStr"/>
      <c r="AC16" s="5" t="n"/>
      <c r="AD16" s="2" t="inlineStr"/>
      <c r="AE16" s="4" t="n">
        <v>42500</v>
      </c>
      <c r="AF16" s="2" t="inlineStr">
        <is>
          <t>Extended</t>
        </is>
      </c>
      <c r="AG16" s="2" t="inlineStr"/>
      <c r="AH16" s="2" t="inlineStr"/>
      <c r="AI16" s="2" t="inlineStr"/>
      <c r="AJ16" s="2" t="inlineStr"/>
      <c r="AK16" s="2" t="n">
        <v>29</v>
      </c>
      <c r="AL16" s="2" t="inlineStr"/>
      <c r="AM16" s="2" t="inlineStr">
        <is>
          <t>PWRR–G&amp;W</t>
        </is>
      </c>
    </row>
    <row r="17">
      <c r="A17" s="2" t="n">
        <v>16</v>
      </c>
      <c r="B17" s="2" t="inlineStr">
        <is>
          <t>after 04/27/2016; before 05/19/2016 (revision day not disclosed)</t>
        </is>
      </c>
      <c r="C17" s="2" t="inlineStr">
        <is>
          <t>PWRR / GHF</t>
        </is>
      </c>
      <c r="D17" s="2" t="inlineStr">
        <is>
          <t>Deadline revised</t>
        </is>
      </c>
      <c r="E17" s="2" t="n">
        <v>1</v>
      </c>
      <c r="F17" s="2" t="n">
        <v>1</v>
      </c>
      <c r="G17" s="2" t="inlineStr"/>
      <c r="H17" s="2" t="inlineStr">
        <is>
          <t>IOI deadline postponed from 05/10/2016 to 05/19/2016 to give buyers time to formulate their most compelling offers; target-side action, not a bidder request. New due date: 05/19/2016.</t>
        </is>
      </c>
      <c r="I17" s="2" t="inlineStr"/>
      <c r="J17" s="2" t="inlineStr"/>
      <c r="K17" s="2" t="inlineStr">
        <is>
          <t>Stated: “each potential buyer had been advised to submit a non-binding indication of interest by May 10, 2016 (which deadline was subsequently postponed to May 19, 2016 to ensure the potential buyers had sufficient time to formulate their most compelling offers).” (p.29). Inferred: revision occurred after the 04/27/2016 report and before the replaced date; Working date = midpoint of that window (Assigned: midpoint, Q7).</t>
        </is>
      </c>
      <c r="L17" s="3" t="inlineStr">
        <is>
          <t>P-010</t>
        </is>
      </c>
      <c r="M17" s="2" t="inlineStr">
        <is>
          <t>Q2; Q7</t>
        </is>
      </c>
      <c r="N17" s="2" t="inlineStr"/>
      <c r="O17" s="2" t="inlineStr">
        <is>
          <t>R016</t>
        </is>
      </c>
      <c r="P17" s="2" t="inlineStr">
        <is>
          <t>Yes</t>
        </is>
      </c>
      <c r="Q17" s="2" t="n"/>
      <c r="R17" s="4" t="n">
        <v>42488</v>
      </c>
      <c r="S17" s="4" t="n">
        <v>42509</v>
      </c>
      <c r="T17" s="4" t="n">
        <v>42498</v>
      </c>
      <c r="U17" s="2" t="inlineStr">
        <is>
          <t>Relative only</t>
        </is>
      </c>
      <c r="V17" s="2" t="inlineStr">
        <is>
          <t>Assigned: midpoint</t>
        </is>
      </c>
      <c r="W17" s="5" t="n"/>
      <c r="X17" s="5" t="n"/>
      <c r="Y17" s="2" t="inlineStr"/>
      <c r="Z17" s="2" t="inlineStr"/>
      <c r="AA17" s="2" t="inlineStr"/>
      <c r="AB17" s="2" t="inlineStr"/>
      <c r="AC17" s="5" t="n"/>
      <c r="AD17" s="2" t="inlineStr"/>
      <c r="AE17" s="4" t="n">
        <v>42509</v>
      </c>
      <c r="AF17" s="2" t="inlineStr"/>
      <c r="AG17" s="2" t="inlineStr"/>
      <c r="AH17" s="2" t="inlineStr"/>
      <c r="AI17" s="2" t="inlineStr"/>
      <c r="AJ17" s="2" t="inlineStr"/>
      <c r="AK17" s="2" t="n">
        <v>29</v>
      </c>
      <c r="AL17" s="2" t="inlineStr"/>
      <c r="AM17" s="2" t="inlineStr">
        <is>
          <t>PWRR–G&amp;W</t>
        </is>
      </c>
    </row>
    <row r="18">
      <c r="A18" s="2" t="n">
        <v>17</v>
      </c>
      <c r="B18" s="2" t="inlineStr">
        <is>
          <t>05/19/2016</t>
        </is>
      </c>
      <c r="C18" s="2" t="inlineStr">
        <is>
          <t>PWRR / potential buyers</t>
        </is>
      </c>
      <c r="D18" s="2" t="inlineStr">
        <is>
          <t>Deadline</t>
        </is>
      </c>
      <c r="E18" s="2" t="n">
        <v>1</v>
      </c>
      <c r="F18" s="2" t="n">
        <v>1</v>
      </c>
      <c r="G18" s="2" t="inlineStr"/>
      <c r="H18" s="2" t="inlineStr">
        <is>
          <t>IOI due date reached. Deadline treatment: Enforced — after the due date the committee reviewed the IOIs (05/23/2016) and excluded the two low bidders (06/01/2016) on the bids in hand, with no revision to the due date. The receipt window 05/19-06/01 straddles the due date, so no late bid is recorded.</t>
        </is>
      </c>
      <c r="I18" s="2" t="inlineStr"/>
      <c r="J18" s="2" t="inlineStr"/>
      <c r="K18" s="2" t="inlineStr">
        <is>
          <t>Stated: “each potential buyer had been advised to submit a non-binding indication of interest by May 10, 2016 (which deadline was subsequently postponed to May 19, 2016 to ensure the potential buyers had sufficient time to formulate their most compelling offers).” and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(p.29). Convention: treatment determined from what followed in the round (Enforced; no extension and no late-acceptance finding because the window straddles the date) (Q2).</t>
        </is>
      </c>
      <c r="L18" s="3" t="inlineStr">
        <is>
          <t>P-010; P-011</t>
        </is>
      </c>
      <c r="M18" s="2" t="inlineStr">
        <is>
          <t>Q2</t>
        </is>
      </c>
      <c r="N18" s="2" t="inlineStr"/>
      <c r="O18" s="2" t="inlineStr">
        <is>
          <t>R017</t>
        </is>
      </c>
      <c r="P18" s="2" t="inlineStr">
        <is>
          <t>Yes</t>
        </is>
      </c>
      <c r="Q18" s="2" t="n"/>
      <c r="R18" s="4" t="n">
        <v>42509</v>
      </c>
      <c r="S18" s="4" t="n">
        <v>42509</v>
      </c>
      <c r="T18" s="4" t="n">
        <v>42509</v>
      </c>
      <c r="U18" s="2" t="inlineStr">
        <is>
          <t>Reported day</t>
        </is>
      </c>
      <c r="V18" s="2" t="inlineStr">
        <is>
          <t>Reported</t>
        </is>
      </c>
      <c r="W18" s="5" t="n"/>
      <c r="X18" s="5" t="n"/>
      <c r="Y18" s="2" t="inlineStr"/>
      <c r="Z18" s="2" t="inlineStr"/>
      <c r="AA18" s="2" t="inlineStr"/>
      <c r="AB18" s="2" t="inlineStr"/>
      <c r="AC18" s="5" t="n"/>
      <c r="AD18" s="2" t="inlineStr"/>
      <c r="AE18" s="4" t="n">
        <v>42509</v>
      </c>
      <c r="AF18" s="2" t="inlineStr">
        <is>
          <t>Enforced</t>
        </is>
      </c>
      <c r="AG18" s="2" t="inlineStr"/>
      <c r="AH18" s="2" t="inlineStr"/>
      <c r="AI18" s="2" t="inlineStr"/>
      <c r="AJ18" s="2" t="inlineStr"/>
      <c r="AK18" s="2" t="n">
        <v>29</v>
      </c>
      <c r="AL18" s="2" t="inlineStr"/>
      <c r="AM18" s="2" t="inlineStr">
        <is>
          <t>PWRR–G&amp;W</t>
        </is>
      </c>
    </row>
    <row r="19">
      <c r="A19" s="2" t="n">
        <v>18</v>
      </c>
      <c r="B19" s="2" t="inlineStr">
        <is>
          <t>Between 05/19/2016 and 06/01/2016</t>
        </is>
      </c>
      <c r="C19" s="2" t="inlineStr">
        <is>
          <t>Nine IOI bidders (anonymous cohort)</t>
        </is>
      </c>
      <c r="D19" s="2" t="inlineStr">
        <is>
          <t>Bid</t>
        </is>
      </c>
      <c r="E19" s="2" t="n">
        <v>1</v>
      </c>
      <c r="F19" s="2" t="n">
        <v>1</v>
      </c>
      <c r="G19" s="2" t="inlineStr">
        <is>
          <t>Unknown</t>
        </is>
      </c>
      <c r="H19" s="2" t="inlineStr">
        <is>
          <t>Nine written non-binding IOIs from potential buyers; offer prices $17.93-$26.50 per share as-converted, implying equity values of $90-$134 million. Bid basis: purchase of 100% of outstanding common stock on a dollar-per-share basis assuming preferred conversion. Mixed strategic/financial population not split by the filing.</t>
        </is>
      </c>
      <c r="I19" s="2" t="inlineStr">
        <is>
          <t>Informal</t>
        </is>
      </c>
      <c r="J19" s="2" t="inlineStr">
        <is>
          <t>Heavy</t>
        </is>
      </c>
      <c r="K19" s="2" t="inlineStr">
        <is>
          <t>Stated: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(p.29). Formality: Informal (preliminary indications, no final/binding solicitation; no bidder-returned agreement markups reported). Conditions: Heavy by context — made before substantive (data-room or management) access;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 shows data-site access came only after the 06/01/2016 selection. Group price envelope; not a per-member range (Q3, Q6).</t>
        </is>
      </c>
      <c r="L19" s="3" t="inlineStr">
        <is>
          <t>P-011; P-012</t>
        </is>
      </c>
      <c r="M19" s="2" t="inlineStr">
        <is>
          <t>Q3; Q5; Q6</t>
        </is>
      </c>
      <c r="N19" s="2" t="inlineStr"/>
      <c r="O19" s="2" t="inlineStr">
        <is>
          <t>R018</t>
        </is>
      </c>
      <c r="P19" s="2" t="inlineStr">
        <is>
          <t>Yes</t>
        </is>
      </c>
      <c r="Q19" s="2" t="n">
        <v>9</v>
      </c>
      <c r="R19" s="4" t="n">
        <v>42509</v>
      </c>
      <c r="S19" s="4" t="n">
        <v>42522</v>
      </c>
      <c r="T19" s="4" t="n">
        <v>42509</v>
      </c>
      <c r="U19" s="2" t="inlineStr">
        <is>
          <t>Reported interval</t>
        </is>
      </c>
      <c r="V19" s="2" t="inlineStr">
        <is>
          <t>Assigned: deadline</t>
        </is>
      </c>
      <c r="W19" s="5" t="n">
        <v>17.93</v>
      </c>
      <c r="X19" s="5" t="n">
        <v>26.5</v>
      </c>
      <c r="Y19" s="2" t="inlineStr">
        <is>
          <t>Group envelope</t>
        </is>
      </c>
      <c r="Z19" s="2" t="inlineStr">
        <is>
          <t>Stated</t>
        </is>
      </c>
      <c r="AA19" s="2" t="inlineStr">
        <is>
          <t>USD</t>
        </is>
      </c>
      <c r="AB19" s="2" t="inlineStr">
        <is>
          <t>Not stated</t>
        </is>
      </c>
      <c r="AC19" s="5" t="n"/>
      <c r="AD19" s="2" t="inlineStr">
        <is>
          <t>Fin: not stated; DD required: substantive; DD open: no; Excl: not stated</t>
        </is>
      </c>
      <c r="AE19" s="4" t="n"/>
      <c r="AF19" s="2" t="inlineStr"/>
      <c r="AG19" s="2" t="inlineStr"/>
      <c r="AH19" s="2" t="inlineStr"/>
      <c r="AI19" s="2" t="inlineStr"/>
      <c r="AJ19" s="2" t="inlineStr"/>
      <c r="AK19" s="2" t="n">
        <v>29</v>
      </c>
      <c r="AL19" s="2" t="inlineStr"/>
      <c r="AM19" s="2" t="inlineStr">
        <is>
          <t>PWRR–G&amp;W</t>
        </is>
      </c>
    </row>
    <row r="20">
      <c r="A20" s="2" t="n">
        <v>19</v>
      </c>
      <c r="B20" s="2" t="inlineStr">
        <is>
          <t>by 05/19/2016</t>
        </is>
      </c>
      <c r="C20" s="2" t="inlineStr">
        <is>
          <t>16 remaining wave NDA signers (anonymous cohort)</t>
        </is>
      </c>
      <c r="D20" s="2" t="inlineStr">
        <is>
          <t>Did not submit</t>
        </is>
      </c>
      <c r="E20" s="2" t="n">
        <v>1</v>
      </c>
      <c r="F20" s="2" t="n">
        <v>1</v>
      </c>
      <c r="G20" s="2" t="inlineStr">
        <is>
          <t>Unknown</t>
        </is>
      </c>
      <c r="H20" s="2" t="inlineStr">
        <is>
          <t>Inferred: residual — 25 wave NDA signers (11 strategic + 14 financial) minus 9 IOI submitters = 16 non-submitters; base assumes all nine IOIs came from the 25 signers. No motive, date or identity is inferred for any member.</t>
        </is>
      </c>
      <c r="I20" s="2" t="inlineStr"/>
      <c r="J20" s="2" t="inlineStr"/>
      <c r="K20" s="2" t="inlineStr">
        <is>
          <t>Inferred: arithmetic base — “Each of the potential strategic buyers and 14 potential financial buyers subsequently executed confidentiality agreements.” (p.28) and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(p.29); the Reasons section states “25 of whom entered into confidentiality agreements with the Company and received information related to the Company and six of whom submitted non-binding letters of intent” (p.33). Eligibility: all potential buyers were advised to submit IOIs (R015). Closing inference at the first identified transition (Q4).</t>
        </is>
      </c>
      <c r="L20" s="3" t="inlineStr">
        <is>
          <t>P-011; P-006; X-012</t>
        </is>
      </c>
      <c r="M20" s="2" t="inlineStr">
        <is>
          <t>Q3; Q4</t>
        </is>
      </c>
      <c r="N20" s="2" t="inlineStr"/>
      <c r="O20" s="2" t="inlineStr">
        <is>
          <t>R019</t>
        </is>
      </c>
      <c r="P20" s="2" t="inlineStr">
        <is>
          <t>Yes</t>
        </is>
      </c>
      <c r="Q20" s="2" t="n">
        <v>16</v>
      </c>
      <c r="R20" s="4" t="n"/>
      <c r="S20" s="4" t="n">
        <v>42509</v>
      </c>
      <c r="T20" s="4" t="n">
        <v>42509</v>
      </c>
      <c r="U20" s="2" t="inlineStr">
        <is>
          <t>Relative only</t>
        </is>
      </c>
      <c r="V20" s="2" t="inlineStr">
        <is>
          <t>Assigned: deadline</t>
        </is>
      </c>
      <c r="W20" s="5" t="n"/>
      <c r="X20" s="5" t="n"/>
      <c r="Y20" s="2" t="inlineStr"/>
      <c r="Z20" s="2" t="inlineStr"/>
      <c r="AA20" s="2" t="inlineStr"/>
      <c r="AB20" s="2" t="inlineStr"/>
      <c r="AC20" s="5" t="n"/>
      <c r="AD20" s="2" t="inlineStr"/>
      <c r="AE20" s="4" t="n"/>
      <c r="AF20" s="2" t="inlineStr"/>
      <c r="AG20" s="2" t="inlineStr"/>
      <c r="AH20" s="2" t="inlineStr">
        <is>
          <t>Unknown</t>
        </is>
      </c>
      <c r="AI20" s="2" t="inlineStr">
        <is>
          <t>Not stated</t>
        </is>
      </c>
      <c r="AJ20" s="2" t="inlineStr">
        <is>
          <t>Inferred: residual</t>
        </is>
      </c>
      <c r="AK20" s="2" t="n">
        <v>29</v>
      </c>
      <c r="AL20" s="2" t="inlineStr"/>
      <c r="AM20" s="2" t="inlineStr">
        <is>
          <t>PWRR–G&amp;W</t>
        </is>
      </c>
    </row>
    <row r="21">
      <c r="A21" s="2" t="n">
        <v>20</v>
      </c>
      <c r="B21" s="2" t="inlineStr">
        <is>
          <t>06/01/2016</t>
        </is>
      </c>
      <c r="C21" s="2" t="inlineStr">
        <is>
          <t>Transaction Committee</t>
        </is>
      </c>
      <c r="D21" s="2" t="inlineStr">
        <is>
          <t>Round opened</t>
        </is>
      </c>
      <c r="E21" s="2" t="n">
        <v>1</v>
      </c>
      <c r="F21" s="2" t="n">
        <v>2</v>
      </c>
      <c r="G21" s="2" t="inlineStr"/>
      <c r="H21" s="2" t="inlineStr">
        <is>
          <t>R2 opens: after committee review of the IOIs on 05/23/2016 and 06/01/2016, the committee excluded the two low bidders and selected the remaining seven to advance to in-person management presentations and additional diligence, with access to an internet data site. Uniform stage access for all advancing bidders; no differentiated access. Objective: presentations and diligence ahead of LOI submissions. Finality: Not final — no final, binding or best-and-final solicitation (the LOI deadline is set later, R023).</t>
        </is>
      </c>
      <c r="I21" s="2" t="inlineStr"/>
      <c r="J21" s="2" t="inlineStr"/>
      <c r="K21" s="2" t="inlineStr">
        <is>
          <t>Stated: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 and “In view of the substantial amount of management time that would be required for management presentations, the Transaction Committee concluded that the two low bidders should be excluded from that process.” (p.29). Convention: a distinct information stage linked to the coming offers opens R2; an alternative boundary (the mid-June LOI instruction) is kept as R023 (Q1). The 05/23/2016 review is folded here; it did not decide anything.</t>
        </is>
      </c>
      <c r="L21" s="3" t="inlineStr">
        <is>
          <t>P-011</t>
        </is>
      </c>
      <c r="M21" s="2" t="inlineStr">
        <is>
          <t>Q1</t>
        </is>
      </c>
      <c r="N21" s="2" t="inlineStr"/>
      <c r="O21" s="2" t="inlineStr">
        <is>
          <t>R020</t>
        </is>
      </c>
      <c r="P21" s="2" t="inlineStr">
        <is>
          <t>Yes</t>
        </is>
      </c>
      <c r="Q21" s="2" t="n"/>
      <c r="R21" s="4" t="n">
        <v>42522</v>
      </c>
      <c r="S21" s="4" t="n">
        <v>42522</v>
      </c>
      <c r="T21" s="4" t="n">
        <v>42522</v>
      </c>
      <c r="U21" s="2" t="inlineStr">
        <is>
          <t>Reported day</t>
        </is>
      </c>
      <c r="V21" s="2" t="inlineStr">
        <is>
          <t>Reported</t>
        </is>
      </c>
      <c r="W21" s="5" t="n"/>
      <c r="X21" s="5" t="n"/>
      <c r="Y21" s="2" t="inlineStr"/>
      <c r="Z21" s="2" t="inlineStr"/>
      <c r="AA21" s="2" t="inlineStr"/>
      <c r="AB21" s="2" t="inlineStr"/>
      <c r="AC21" s="5" t="n"/>
      <c r="AD21" s="2" t="inlineStr"/>
      <c r="AE21" s="4" t="n"/>
      <c r="AF21" s="2" t="inlineStr"/>
      <c r="AG21" s="2" t="inlineStr">
        <is>
          <t>Not final</t>
        </is>
      </c>
      <c r="AH21" s="2" t="inlineStr"/>
      <c r="AI21" s="2" t="inlineStr"/>
      <c r="AJ21" s="2" t="inlineStr"/>
      <c r="AK21" s="2" t="n">
        <v>29</v>
      </c>
      <c r="AL21" s="2" t="inlineStr">
        <is>
          <t>R021; R023; admits R029-R035</t>
        </is>
      </c>
      <c r="AM21" s="2" t="inlineStr">
        <is>
          <t>PWRR–G&amp;W</t>
        </is>
      </c>
    </row>
    <row r="22">
      <c r="A22" s="2" t="n">
        <v>21</v>
      </c>
      <c r="B22" s="2" t="inlineStr">
        <is>
          <t>06/01/2016</t>
        </is>
      </c>
      <c r="C22" s="2" t="inlineStr">
        <is>
          <t>Two low IOI bidders (anonymous cohort)</t>
        </is>
      </c>
      <c r="D22" s="2" t="inlineStr">
        <is>
          <t>Dropped by target</t>
        </is>
      </c>
      <c r="E22" s="2" t="n">
        <v>1</v>
      </c>
      <c r="F22" s="2" t="n">
        <v>1</v>
      </c>
      <c r="G22" s="2" t="inlineStr">
        <is>
          <t>Unknown</t>
        </is>
      </c>
      <c r="H22" s="2" t="inlineStr">
        <is>
          <t>Excluded from the management-presentation stage: the two lowest of the nine IOIs. Stage left: Round 1 (advancement decision). Stated reason: lower offers than rivals.</t>
        </is>
      </c>
      <c r="I22" s="2" t="inlineStr"/>
      <c r="J22" s="2" t="inlineStr"/>
      <c r="K22" s="2" t="inlineStr">
        <is>
          <t>Stated: “In view of the substantial amount of management time that would be required for management presentations, the Transaction Committee concluded that the two low bidders should be excluded from that process.” (p.29). Exit reason Lower offer than rivals; identity of the two is not disclosed and is not inferred. Outcome basis Stated (no notice date is given; Working date = decision day).</t>
        </is>
      </c>
      <c r="L22" s="3" t="inlineStr">
        <is>
          <t>P-011</t>
        </is>
      </c>
      <c r="M22" s="2" t="inlineStr"/>
      <c r="N22" s="2" t="inlineStr"/>
      <c r="O22" s="2" t="inlineStr">
        <is>
          <t>R021</t>
        </is>
      </c>
      <c r="P22" s="2" t="inlineStr">
        <is>
          <t>Yes</t>
        </is>
      </c>
      <c r="Q22" s="2" t="n">
        <v>2</v>
      </c>
      <c r="R22" s="4" t="n">
        <v>42522</v>
      </c>
      <c r="S22" s="4" t="n">
        <v>42522</v>
      </c>
      <c r="T22" s="4" t="n">
        <v>42522</v>
      </c>
      <c r="U22" s="2" t="inlineStr">
        <is>
          <t>Reported day</t>
        </is>
      </c>
      <c r="V22" s="2" t="inlineStr">
        <is>
          <t>Reported</t>
        </is>
      </c>
      <c r="W22" s="5" t="n"/>
      <c r="X22" s="5" t="n"/>
      <c r="Y22" s="2" t="inlineStr"/>
      <c r="Z22" s="2" t="inlineStr"/>
      <c r="AA22" s="2" t="inlineStr"/>
      <c r="AB22" s="2" t="inlineStr"/>
      <c r="AC22" s="5" t="n"/>
      <c r="AD22" s="2" t="inlineStr"/>
      <c r="AE22" s="4" t="n"/>
      <c r="AF22" s="2" t="inlineStr"/>
      <c r="AG22" s="2" t="inlineStr"/>
      <c r="AH22" s="2" t="inlineStr">
        <is>
          <t>Target</t>
        </is>
      </c>
      <c r="AI22" s="2" t="inlineStr">
        <is>
          <t>Lower offer than rivals</t>
        </is>
      </c>
      <c r="AJ22" s="2" t="inlineStr">
        <is>
          <t>Stated</t>
        </is>
      </c>
      <c r="AK22" s="2" t="n">
        <v>29</v>
      </c>
      <c r="AL22" s="2" t="inlineStr"/>
      <c r="AM22" s="2" t="inlineStr">
        <is>
          <t>PWRR–G&amp;W</t>
        </is>
      </c>
    </row>
    <row r="23">
      <c r="A23" s="2" t="n">
        <v>22</v>
      </c>
      <c r="B23" s="2" t="inlineStr">
        <is>
          <t>by 06/01/2016</t>
        </is>
      </c>
      <c r="C23" s="2" t="inlineStr">
        <is>
          <t>Party A</t>
        </is>
      </c>
      <c r="D23" s="2" t="inlineStr">
        <is>
          <t>Did not submit</t>
        </is>
      </c>
      <c r="E23" s="2" t="n">
        <v>1</v>
      </c>
      <c r="F23" s="2" t="n">
        <v>1</v>
      </c>
      <c r="G23" s="2" t="inlineStr">
        <is>
          <t>Strategic</t>
        </is>
      </c>
      <c r="H23" s="2" t="inlineStr">
        <is>
          <t>Inferred: identity — Party A last appears at the 04/22/2016 memorandum distribution to NDA signers and is not mentioned in the bidding rounds; recommended reading: it sits in the 16-signer non-submitter residual (R019). Alternative: it could be one of the two low bidders excluded on 06/01/2016 (R021). Count 0; no unit is moved from either cohort.</t>
        </is>
      </c>
      <c r="I23" s="2" t="inlineStr"/>
      <c r="J23" s="2" t="inlineStr"/>
      <c r="K23" s="2" t="inlineStr">
        <is>
          <t>Inferred: “a memorandum concerning the Company and its prospects, which was distributed to the potential buyers, including Party A, Party B and G&amp;W, that had executed confidentiality agreements.” (p.28); non-submitter base per R019 arithmetic. The row records only that Party A was out by the 06/01/2016 transition, not how or why. Working date = the advancement decision (Assigned: decision day, Q4).</t>
        </is>
      </c>
      <c r="L23" s="3" t="inlineStr">
        <is>
          <t>P-009; P-011</t>
        </is>
      </c>
      <c r="M23" s="2" t="inlineStr">
        <is>
          <t>Q4</t>
        </is>
      </c>
      <c r="N23" s="2" t="inlineStr"/>
      <c r="O23" s="2" t="inlineStr">
        <is>
          <t>R022</t>
        </is>
      </c>
      <c r="P23" s="2" t="inlineStr">
        <is>
          <t>Yes</t>
        </is>
      </c>
      <c r="Q23" s="2" t="n">
        <v>0</v>
      </c>
      <c r="R23" s="4" t="n"/>
      <c r="S23" s="4" t="n">
        <v>42522</v>
      </c>
      <c r="T23" s="4" t="n">
        <v>42522</v>
      </c>
      <c r="U23" s="2" t="inlineStr">
        <is>
          <t>Relative only</t>
        </is>
      </c>
      <c r="V23" s="2" t="inlineStr">
        <is>
          <t>Assigned: decision day</t>
        </is>
      </c>
      <c r="W23" s="5" t="n"/>
      <c r="X23" s="5" t="n"/>
      <c r="Y23" s="2" t="inlineStr"/>
      <c r="Z23" s="2" t="inlineStr"/>
      <c r="AA23" s="2" t="inlineStr"/>
      <c r="AB23" s="2" t="inlineStr"/>
      <c r="AC23" s="5" t="n"/>
      <c r="AD23" s="2" t="inlineStr"/>
      <c r="AE23" s="4" t="n"/>
      <c r="AF23" s="2" t="inlineStr"/>
      <c r="AG23" s="2" t="inlineStr"/>
      <c r="AH23" s="2" t="inlineStr">
        <is>
          <t>Unknown</t>
        </is>
      </c>
      <c r="AI23" s="2" t="inlineStr">
        <is>
          <t>Not stated</t>
        </is>
      </c>
      <c r="AJ23" s="2" t="inlineStr">
        <is>
          <t>Inferred: identity</t>
        </is>
      </c>
      <c r="AK23" s="2" t="n">
        <v>28</v>
      </c>
      <c r="AL23" s="2" t="inlineStr"/>
      <c r="AM23" s="2" t="inlineStr">
        <is>
          <t>PWRR–G&amp;W</t>
        </is>
      </c>
    </row>
    <row r="24">
      <c r="A24" s="2" t="n">
        <v>23</v>
      </c>
      <c r="B24" s="2" t="inlineStr">
        <is>
          <t>Mid-June 2016</t>
        </is>
      </c>
      <c r="C24" s="2" t="inlineStr">
        <is>
          <t>PWRR / GHF</t>
        </is>
      </c>
      <c r="D24" s="2" t="inlineStr">
        <is>
          <t>Deadline set</t>
        </is>
      </c>
      <c r="E24" s="2" t="n">
        <v>1</v>
      </c>
      <c r="F24" s="2" t="n">
        <v>2</v>
      </c>
      <c r="G24" s="2" t="inlineStr"/>
      <c r="H24" s="2" t="inlineStr">
        <is>
          <t>All potential buyers instructed to submit non-binding LOIs by 07/20/2016 with mark-ups of the forms of merger agreement, disclosure letter and voting agreement (posted to the data site 06/29, 06/30 and 07/11/2016); valuation instructed on a 100%-of-common dollar-per-share basis assuming preferred conversion, or non-cash terms. Due date: 07/20/2016.</t>
        </is>
      </c>
      <c r="I24" s="2" t="inlineStr"/>
      <c r="J24" s="2" t="inlineStr"/>
      <c r="K24" s="2" t="inlineStr">
        <is>
          <t>Stated: “In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and “Potential buyers were instructed to provide a valuation for the Company based on the purchase of 100% of the outstanding common stock on a dollar per share basis (assuming conversion of the preferred stock into common stock) or the financial terms of any non-cash proposal.” (p.29) and “On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 (p.29). Draft postings are transaction documents, not separate ledger rows (section 4). In context 'all potential buyers' means the continuing participants (R020) plus late entrant Party C; Q3.</t>
        </is>
      </c>
      <c r="L24" s="3" t="inlineStr">
        <is>
          <t>P-012; P-013</t>
        </is>
      </c>
      <c r="M24" s="2" t="inlineStr">
        <is>
          <t>Q2; Q3</t>
        </is>
      </c>
      <c r="N24" s="2" t="inlineStr"/>
      <c r="O24" s="2" t="inlineStr">
        <is>
          <t>R023</t>
        </is>
      </c>
      <c r="P24" s="2" t="inlineStr">
        <is>
          <t>Yes</t>
        </is>
      </c>
      <c r="Q24" s="2" t="n"/>
      <c r="R24" s="4" t="n">
        <v>42532</v>
      </c>
      <c r="S24" s="4" t="n">
        <v>42541</v>
      </c>
      <c r="T24" s="4" t="n">
        <v>42536</v>
      </c>
      <c r="U24" s="2" t="inlineStr">
        <is>
          <t>Approximate window</t>
        </is>
      </c>
      <c r="V24" s="2" t="inlineStr">
        <is>
          <t>Assigned: midpoint</t>
        </is>
      </c>
      <c r="W24" s="5" t="n"/>
      <c r="X24" s="5" t="n"/>
      <c r="Y24" s="2" t="inlineStr"/>
      <c r="Z24" s="2" t="inlineStr"/>
      <c r="AA24" s="2" t="inlineStr"/>
      <c r="AB24" s="2" t="inlineStr"/>
      <c r="AC24" s="5" t="n"/>
      <c r="AD24" s="2" t="inlineStr"/>
      <c r="AE24" s="4" t="n">
        <v>42571</v>
      </c>
      <c r="AF24" s="2" t="inlineStr">
        <is>
          <t>Late bids accepted</t>
        </is>
      </c>
      <c r="AG24" s="2" t="inlineStr"/>
      <c r="AH24" s="2" t="inlineStr"/>
      <c r="AI24" s="2" t="inlineStr"/>
      <c r="AJ24" s="2" t="inlineStr"/>
      <c r="AK24" s="2" t="n">
        <v>29</v>
      </c>
      <c r="AL24" s="2" t="inlineStr">
        <is>
          <t>carries the R2 solicitation deadline (Q1 alternative boundary)</t>
        </is>
      </c>
      <c r="AM24" s="2" t="inlineStr">
        <is>
          <t>PWRR–G&amp;W</t>
        </is>
      </c>
    </row>
    <row r="25">
      <c r="A25" s="2" t="n">
        <v>24</v>
      </c>
      <c r="B25" s="2" t="inlineStr">
        <is>
          <t>Early July 2016 (day not disclosed)</t>
        </is>
      </c>
      <c r="C25" s="2" t="inlineStr">
        <is>
          <t>Party C</t>
        </is>
      </c>
      <c r="D25" s="2" t="inlineStr">
        <is>
          <t>Contact</t>
        </is>
      </c>
      <c r="E25" s="2" t="n">
        <v>1</v>
      </c>
      <c r="F25" s="2" t="n">
        <v>2</v>
      </c>
      <c r="G25" s="2" t="inlineStr">
        <is>
          <t>Strategic</t>
        </is>
      </c>
      <c r="H25" s="2" t="inlineStr">
        <is>
          <t>Inbound: a potential strategic buyer not previously in the process approached management expressing interest in acquiring the Company. Bidder-initiated.</t>
        </is>
      </c>
      <c r="I25" s="2" t="inlineStr"/>
      <c r="J25" s="2" t="inlineStr"/>
      <c r="K25" s="2" t="inlineStr">
        <is>
          <t>Stated: “In early July 2016, a potential strategic buyer that had not previously been part of the process (“Party C”) approached the Company’s management and expressed interest in acquiring the Company.” (p.29). Working date = midpoint of the early-July band (Assigned: midpoint; Q7).</t>
        </is>
      </c>
      <c r="L25" s="3" t="inlineStr">
        <is>
          <t>P-014</t>
        </is>
      </c>
      <c r="M25" s="2" t="inlineStr">
        <is>
          <t>Q7</t>
        </is>
      </c>
      <c r="N25" s="2" t="inlineStr"/>
      <c r="O25" s="2" t="inlineStr">
        <is>
          <t>R024</t>
        </is>
      </c>
      <c r="P25" s="2" t="inlineStr">
        <is>
          <t>Yes</t>
        </is>
      </c>
      <c r="Q25" s="2" t="n">
        <v>1</v>
      </c>
      <c r="R25" s="4" t="n">
        <v>42552</v>
      </c>
      <c r="S25" s="4" t="n">
        <v>42561</v>
      </c>
      <c r="T25" s="4" t="n">
        <v>42556</v>
      </c>
      <c r="U25" s="2" t="inlineStr">
        <is>
          <t>Approximate window</t>
        </is>
      </c>
      <c r="V25" s="2" t="inlineStr">
        <is>
          <t>Assigned: midpoint</t>
        </is>
      </c>
      <c r="W25" s="5" t="n"/>
      <c r="X25" s="5" t="n"/>
      <c r="Y25" s="2" t="inlineStr"/>
      <c r="Z25" s="2" t="inlineStr"/>
      <c r="AA25" s="2" t="inlineStr"/>
      <c r="AB25" s="2" t="inlineStr"/>
      <c r="AC25" s="5" t="n"/>
      <c r="AD25" s="2" t="inlineStr"/>
      <c r="AE25" s="4" t="n"/>
      <c r="AF25" s="2" t="inlineStr"/>
      <c r="AG25" s="2" t="inlineStr"/>
      <c r="AH25" s="2" t="inlineStr"/>
      <c r="AI25" s="2" t="inlineStr"/>
      <c r="AJ25" s="2" t="inlineStr"/>
      <c r="AK25" s="2" t="n">
        <v>29</v>
      </c>
      <c r="AL25" s="2" t="inlineStr"/>
      <c r="AM25" s="2" t="inlineStr">
        <is>
          <t>PWRR–G&amp;W</t>
        </is>
      </c>
    </row>
    <row r="26">
      <c r="A26" s="2" t="n">
        <v>25</v>
      </c>
      <c r="B26" s="2" t="inlineStr">
        <is>
          <t>Early July 2016 (after approach; day not disclosed)</t>
        </is>
      </c>
      <c r="C26" s="2" t="inlineStr">
        <is>
          <t>Party C</t>
        </is>
      </c>
      <c r="D26" s="2" t="inlineStr">
        <is>
          <t>NDA signed</t>
        </is>
      </c>
      <c r="E26" s="2" t="n">
        <v>1</v>
      </c>
      <c r="F26" s="2" t="n">
        <v>2</v>
      </c>
      <c r="G26" s="2" t="inlineStr">
        <is>
          <t>Strategic</t>
        </is>
      </c>
      <c r="H26" s="2" t="inlineStr">
        <is>
          <t>Late entrant Party C executed a confidentiality agreement; NDA count is additional to the 25 wave signers (total 26 executed bidder NDAs; the filing's '25' describes the wave group).</t>
        </is>
      </c>
      <c r="I26" s="2" t="inlineStr"/>
      <c r="J26" s="2" t="inlineStr"/>
      <c r="K26" s="2" t="inlineStr">
        <is>
          <t>Stated: “After executing a confidentiality agreement, Party C was provided the memorandum concerning the Company provided to the other potential buyers.” (p.29). Stated: Reasons states “25 of whom entered into confidentiality agreements with the Company and received information related to the Company and six of whom submitted non-binding letters of intent” (p.33) — reconciliation in Summary and Q3.</t>
        </is>
      </c>
      <c r="L26" s="3" t="inlineStr">
        <is>
          <t>P-014; X-012</t>
        </is>
      </c>
      <c r="M26" s="2" t="inlineStr">
        <is>
          <t>Q3</t>
        </is>
      </c>
      <c r="N26" s="2" t="inlineStr"/>
      <c r="O26" s="2" t="inlineStr">
        <is>
          <t>R025</t>
        </is>
      </c>
      <c r="P26" s="2" t="inlineStr">
        <is>
          <t>Yes</t>
        </is>
      </c>
      <c r="Q26" s="2" t="n">
        <v>1</v>
      </c>
      <c r="R26" s="4" t="n">
        <v>42552</v>
      </c>
      <c r="S26" s="4" t="n">
        <v>42561</v>
      </c>
      <c r="T26" s="4" t="n">
        <v>42556</v>
      </c>
      <c r="U26" s="2" t="inlineStr">
        <is>
          <t>Approximate window</t>
        </is>
      </c>
      <c r="V26" s="2" t="inlineStr">
        <is>
          <t>Assigned: midpoint</t>
        </is>
      </c>
      <c r="W26" s="5" t="n"/>
      <c r="X26" s="5" t="n"/>
      <c r="Y26" s="2" t="inlineStr"/>
      <c r="Z26" s="2" t="inlineStr"/>
      <c r="AA26" s="2" t="inlineStr"/>
      <c r="AB26" s="2" t="inlineStr"/>
      <c r="AC26" s="5" t="n"/>
      <c r="AD26" s="2" t="inlineStr"/>
      <c r="AE26" s="4" t="n"/>
      <c r="AF26" s="2" t="inlineStr"/>
      <c r="AG26" s="2" t="inlineStr"/>
      <c r="AH26" s="2" t="inlineStr"/>
      <c r="AI26" s="2" t="inlineStr"/>
      <c r="AJ26" s="2" t="inlineStr"/>
      <c r="AK26" s="2" t="n">
        <v>29</v>
      </c>
      <c r="AL26" s="2" t="inlineStr"/>
      <c r="AM26" s="2" t="inlineStr">
        <is>
          <t>PWRR–G&amp;W</t>
        </is>
      </c>
    </row>
    <row r="27">
      <c r="A27" s="2" t="n">
        <v>26</v>
      </c>
      <c r="B27" s="2" t="inlineStr">
        <is>
          <t>Early July 2016 - 07/14/2016</t>
        </is>
      </c>
      <c r="C27" s="2" t="inlineStr">
        <is>
          <t>Party C</t>
        </is>
      </c>
      <c r="D27" s="2" t="inlineStr">
        <is>
          <t>Information access changed</t>
        </is>
      </c>
      <c r="E27" s="2" t="n">
        <v>1</v>
      </c>
      <c r="F27" s="2" t="n">
        <v>2</v>
      </c>
      <c r="G27" s="2" t="inlineStr">
        <is>
          <t>Strategic</t>
        </is>
      </c>
      <c r="H27" s="2" t="inlineStr">
        <is>
          <t>Late entrant catch-up access: Party C was given the buyer memorandum already provided to wave signers, then internet data-site access, and a management presentation by telephone on 07/14/2016. Other live bidders had received these earlier, so this is differentiated catch-up access, not uniform stage access.</t>
        </is>
      </c>
      <c r="I27" s="2" t="inlineStr"/>
      <c r="J27" s="2" t="inlineStr"/>
      <c r="K27" s="2" t="inlineStr">
        <is>
          <t>Stated: “After executing a confidentiality agreement, Party C was provided the memorandum concerning the Company provided to the other potential buyers.” and “Subsequently, Party C was provided access to the internet data site and the Company’s management held a management presentation with Party C by telephone on July 14, 2016.” (p.29). One row for the access decision. Working date moved to the nearest admissible day (07/05/2016) to keep sequence after R024/R025 while inside its early-July-07/14 window (Assigned: sequence; Q7).</t>
        </is>
      </c>
      <c r="L27" s="3" t="inlineStr">
        <is>
          <t>P-014</t>
        </is>
      </c>
      <c r="M27" s="2" t="inlineStr">
        <is>
          <t>Q3; Q7</t>
        </is>
      </c>
      <c r="N27" s="2" t="inlineStr"/>
      <c r="O27" s="2" t="inlineStr">
        <is>
          <t>R026</t>
        </is>
      </c>
      <c r="P27" s="2" t="inlineStr">
        <is>
          <t>Yes</t>
        </is>
      </c>
      <c r="Q27" s="2" t="n"/>
      <c r="R27" s="4" t="n">
        <v>42552</v>
      </c>
      <c r="S27" s="4" t="n">
        <v>42565</v>
      </c>
      <c r="T27" s="4" t="n">
        <v>42556</v>
      </c>
      <c r="U27" s="2" t="inlineStr">
        <is>
          <t>Approximate window</t>
        </is>
      </c>
      <c r="V27" s="2" t="inlineStr">
        <is>
          <t>Assigned: sequence</t>
        </is>
      </c>
      <c r="W27" s="5" t="n"/>
      <c r="X27" s="5" t="n"/>
      <c r="Y27" s="2" t="inlineStr"/>
      <c r="Z27" s="2" t="inlineStr"/>
      <c r="AA27" s="2" t="inlineStr"/>
      <c r="AB27" s="2" t="inlineStr"/>
      <c r="AC27" s="5" t="n"/>
      <c r="AD27" s="2" t="inlineStr"/>
      <c r="AE27" s="4" t="n"/>
      <c r="AF27" s="2" t="inlineStr"/>
      <c r="AG27" s="2" t="inlineStr"/>
      <c r="AH27" s="2" t="inlineStr"/>
      <c r="AI27" s="2" t="inlineStr"/>
      <c r="AJ27" s="2" t="inlineStr"/>
      <c r="AK27" s="2" t="n">
        <v>29</v>
      </c>
      <c r="AL27" s="2" t="inlineStr"/>
      <c r="AM27" s="2" t="inlineStr">
        <is>
          <t>PWRR–G&amp;W</t>
        </is>
      </c>
    </row>
    <row r="28">
      <c r="A28" s="2" t="n">
        <v>27</v>
      </c>
      <c r="B28" s="2" t="inlineStr">
        <is>
          <t>07/12/2016</t>
        </is>
      </c>
      <c r="C28" s="2" t="inlineStr">
        <is>
          <t>Party C</t>
        </is>
      </c>
      <c r="D28" s="2" t="inlineStr">
        <is>
          <t>Bid</t>
        </is>
      </c>
      <c r="E28" s="2" t="n">
        <v>1</v>
      </c>
      <c r="F28" s="2" t="n">
        <v>2</v>
      </c>
      <c r="G28" s="2" t="inlineStr">
        <is>
          <t>Strategic</t>
        </is>
      </c>
      <c r="H28" s="2" t="inlineStr">
        <is>
          <t>IOI at $21.00 per share (implied equity value $108 million), submitted before data-site access and the 07/14/2016 management presentation. Late entrant; informal indication ahead of its LOI (R032).</t>
        </is>
      </c>
      <c r="I28" s="2" t="inlineStr">
        <is>
          <t>Informal</t>
        </is>
      </c>
      <c r="J28" s="2" t="inlineStr">
        <is>
          <t>Heavy</t>
        </is>
      </c>
      <c r="K28" s="2" t="inlineStr">
        <is>
          <t>Stated: “On July 12, 2016, Party C submitted an IOI with an offer price per share of $21.00 (implying an equity value of $108 million).” (p.29). Formality: Informal (preliminary indication; no formal signal). Conditions: Heavy by context — no substantive access before the bid; data-site access followed the bid (R026).</t>
        </is>
      </c>
      <c r="L28" s="3" t="inlineStr">
        <is>
          <t>P-014; P-020</t>
        </is>
      </c>
      <c r="M28" s="2" t="inlineStr">
        <is>
          <t>Q5</t>
        </is>
      </c>
      <c r="N28" s="2" t="inlineStr"/>
      <c r="O28" s="2" t="inlineStr">
        <is>
          <t>R027</t>
        </is>
      </c>
      <c r="P28" s="2" t="inlineStr">
        <is>
          <t>Yes</t>
        </is>
      </c>
      <c r="Q28" s="2" t="n">
        <v>1</v>
      </c>
      <c r="R28" s="4" t="n">
        <v>42563</v>
      </c>
      <c r="S28" s="4" t="n">
        <v>42563</v>
      </c>
      <c r="T28" s="4" t="n">
        <v>42563</v>
      </c>
      <c r="U28" s="2" t="inlineStr">
        <is>
          <t>Reported day</t>
        </is>
      </c>
      <c r="V28" s="2" t="inlineStr">
        <is>
          <t>Reported</t>
        </is>
      </c>
      <c r="W28" s="5" t="n">
        <v>21</v>
      </c>
      <c r="X28" s="5" t="n">
        <v>21</v>
      </c>
      <c r="Y28" s="2" t="inlineStr">
        <is>
          <t>Point</t>
        </is>
      </c>
      <c r="Z28" s="2" t="inlineStr">
        <is>
          <t>Stated</t>
        </is>
      </c>
      <c r="AA28" s="2" t="inlineStr">
        <is>
          <t>USD</t>
        </is>
      </c>
      <c r="AB28" s="2" t="inlineStr">
        <is>
          <t>Not stated</t>
        </is>
      </c>
      <c r="AC28" s="5" t="n"/>
      <c r="AD28" s="2" t="inlineStr">
        <is>
          <t>Fin: not stated; DD required: substantive; DD open: no; Excl: not stated</t>
        </is>
      </c>
      <c r="AE28" s="4" t="n"/>
      <c r="AF28" s="2" t="inlineStr"/>
      <c r="AG28" s="2" t="inlineStr"/>
      <c r="AH28" s="2" t="inlineStr"/>
      <c r="AI28" s="2" t="inlineStr"/>
      <c r="AJ28" s="2" t="inlineStr"/>
      <c r="AK28" s="2" t="n">
        <v>29</v>
      </c>
      <c r="AL28" s="2" t="inlineStr"/>
      <c r="AM28" s="2" t="inlineStr">
        <is>
          <t>PWRR–G&amp;W</t>
        </is>
      </c>
    </row>
    <row r="29">
      <c r="A29" s="2" t="n">
        <v>28</v>
      </c>
      <c r="B29" s="2" t="inlineStr">
        <is>
          <t>07/20/2016</t>
        </is>
      </c>
      <c r="C29" s="2" t="inlineStr">
        <is>
          <t>PWRR / potential buyers</t>
        </is>
      </c>
      <c r="D29" s="2" t="inlineStr">
        <is>
          <t>Deadline</t>
        </is>
      </c>
      <c r="E29" s="2" t="n">
        <v>1</v>
      </c>
      <c r="F29" s="2" t="n">
        <v>2</v>
      </c>
      <c r="G29" s="2" t="inlineStr"/>
      <c r="H29" s="2" t="inlineStr">
        <is>
          <t>LOI due date reached. Deadline treatment: Late bids accepted — G&amp;W's LOI arrived 07/21/2016 and was considered, and G&amp;W revised it on 07/26/2016, without any deadline revision.</t>
        </is>
      </c>
      <c r="I29" s="2" t="inlineStr"/>
      <c r="J29" s="2" t="inlineStr"/>
      <c r="K29" s="2" t="inlineStr">
        <is>
          <t>Stated: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(p.29) with the due date from R023. Convention: a bid dated after the due date considered by the target supports late acceptance, not an extension (Q2).</t>
        </is>
      </c>
      <c r="L29" s="3" t="inlineStr">
        <is>
          <t>P-012; P-017</t>
        </is>
      </c>
      <c r="M29" s="2" t="inlineStr">
        <is>
          <t>Q2</t>
        </is>
      </c>
      <c r="N29" s="2" t="inlineStr"/>
      <c r="O29" s="2" t="inlineStr">
        <is>
          <t>R028</t>
        </is>
      </c>
      <c r="P29" s="2" t="inlineStr">
        <is>
          <t>Yes</t>
        </is>
      </c>
      <c r="Q29" s="2" t="n"/>
      <c r="R29" s="4" t="n">
        <v>42571</v>
      </c>
      <c r="S29" s="4" t="n">
        <v>42571</v>
      </c>
      <c r="T29" s="4" t="n">
        <v>42571</v>
      </c>
      <c r="U29" s="2" t="inlineStr">
        <is>
          <t>Reported day</t>
        </is>
      </c>
      <c r="V29" s="2" t="inlineStr">
        <is>
          <t>Reported</t>
        </is>
      </c>
      <c r="W29" s="5" t="n"/>
      <c r="X29" s="5" t="n"/>
      <c r="Y29" s="2" t="inlineStr"/>
      <c r="Z29" s="2" t="inlineStr"/>
      <c r="AA29" s="2" t="inlineStr"/>
      <c r="AB29" s="2" t="inlineStr"/>
      <c r="AC29" s="5" t="n"/>
      <c r="AD29" s="2" t="inlineStr"/>
      <c r="AE29" s="4" t="n">
        <v>42571</v>
      </c>
      <c r="AF29" s="2" t="inlineStr">
        <is>
          <t>Late bids accepted</t>
        </is>
      </c>
      <c r="AG29" s="2" t="inlineStr"/>
      <c r="AH29" s="2" t="inlineStr"/>
      <c r="AI29" s="2" t="inlineStr"/>
      <c r="AJ29" s="2" t="inlineStr"/>
      <c r="AK29" s="2" t="n">
        <v>29</v>
      </c>
      <c r="AL29" s="2" t="inlineStr"/>
      <c r="AM29" s="2" t="inlineStr">
        <is>
          <t>PWRR–G&amp;W</t>
        </is>
      </c>
    </row>
    <row r="30">
      <c r="A30" s="2" t="n">
        <v>29</v>
      </c>
      <c r="B30" s="2" t="inlineStr">
        <is>
          <t>Late July 2016 (day not disclosed; before the 07/27/2016 selection)</t>
        </is>
      </c>
      <c r="C30" s="2" t="inlineStr">
        <is>
          <t>Party B</t>
        </is>
      </c>
      <c r="D30" s="2" t="inlineStr">
        <is>
          <t>Bid</t>
        </is>
      </c>
      <c r="E30" s="2" t="n">
        <v>1</v>
      </c>
      <c r="F30" s="2" t="n">
        <v>2</v>
      </c>
      <c r="G30" s="2" t="inlineStr">
        <is>
          <t>Strategic</t>
        </is>
      </c>
      <c r="H30" s="2" t="inlineStr">
        <is>
          <t>LOI at $24.00 per share, subject to an expedited diligence review; submitted together with mark-ups of the draft merger agreement and voting agreement.</t>
        </is>
      </c>
      <c r="I30" s="2" t="inlineStr">
        <is>
          <t>Formal</t>
        </is>
      </c>
      <c r="J30" s="2" t="inlineStr">
        <is>
          <t>Light</t>
        </is>
      </c>
      <c r="K30" s="2" t="inlineStr">
        <is>
          <t>Stated: “Party B submitted an LOI to acquire the Company for a price of $24.00 per share (subject to an expedited diligence review).” and “In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 (p.29). Formality: Formal — bidder-returned acquisition agreement markups (signal 1). Conditions: Light — only an expedited/confirmatory diligence review; no financing or other condition reported. Received window 07/20-07/27 (Q7): the 07/27/2016 meeting is the first point by which all six LOIs are established as received; the 07/22/2016 review makes 07/20-07/22 the likelier window (not entered as a bound).</t>
        </is>
      </c>
      <c r="L30" s="3" t="inlineStr">
        <is>
          <t>P-015; P-016</t>
        </is>
      </c>
      <c r="M30" s="2" t="inlineStr">
        <is>
          <t>Q5; Q7</t>
        </is>
      </c>
      <c r="N30" s="2" t="inlineStr"/>
      <c r="O30" s="2" t="inlineStr">
        <is>
          <t>R029</t>
        </is>
      </c>
      <c r="P30" s="2" t="inlineStr">
        <is>
          <t>Yes</t>
        </is>
      </c>
      <c r="Q30" s="2" t="n">
        <v>1</v>
      </c>
      <c r="R30" s="4" t="n">
        <v>42571</v>
      </c>
      <c r="S30" s="4" t="n">
        <v>42578</v>
      </c>
      <c r="T30" s="4" t="n">
        <v>42571</v>
      </c>
      <c r="U30" s="2" t="inlineStr">
        <is>
          <t>Approximate window</t>
        </is>
      </c>
      <c r="V30" s="2" t="inlineStr">
        <is>
          <t>Assigned: deadline</t>
        </is>
      </c>
      <c r="W30" s="5" t="n">
        <v>24</v>
      </c>
      <c r="X30" s="5" t="n">
        <v>24</v>
      </c>
      <c r="Y30" s="2" t="inlineStr">
        <is>
          <t>Point</t>
        </is>
      </c>
      <c r="Z30" s="2" t="inlineStr">
        <is>
          <t>Stated</t>
        </is>
      </c>
      <c r="AA30" s="2" t="inlineStr">
        <is>
          <t>USD</t>
        </is>
      </c>
      <c r="AB30" s="2" t="inlineStr">
        <is>
          <t>Not stated</t>
        </is>
      </c>
      <c r="AC30" s="5" t="n"/>
      <c r="AD30" s="2" t="inlineStr">
        <is>
          <t>Fin: not stated; DD required: confirmatory; DD open: yes; Excl: not stated</t>
        </is>
      </c>
      <c r="AE30" s="4" t="n"/>
      <c r="AF30" s="2" t="inlineStr"/>
      <c r="AG30" s="2" t="inlineStr"/>
      <c r="AH30" s="2" t="inlineStr"/>
      <c r="AI30" s="2" t="inlineStr"/>
      <c r="AJ30" s="2" t="inlineStr"/>
      <c r="AK30" s="2" t="n">
        <v>29</v>
      </c>
      <c r="AL30" s="2" t="inlineStr"/>
      <c r="AM30" s="2" t="inlineStr">
        <is>
          <t>PWRR–G&amp;W</t>
        </is>
      </c>
    </row>
    <row r="31">
      <c r="A31" s="2" t="n">
        <v>30</v>
      </c>
      <c r="B31" s="2" t="inlineStr">
        <is>
          <t>Late July 2016 (day not disclosed; before the 07/27/2016 selection)</t>
        </is>
      </c>
      <c r="C31" s="2" t="inlineStr">
        <is>
          <t>Party E</t>
        </is>
      </c>
      <c r="D31" s="2" t="inlineStr">
        <is>
          <t>Bid</t>
        </is>
      </c>
      <c r="E31" s="2" t="n">
        <v>1</v>
      </c>
      <c r="F31" s="2" t="n">
        <v>2</v>
      </c>
      <c r="G31" s="2" t="inlineStr">
        <is>
          <t>Strategic</t>
        </is>
      </c>
      <c r="H31" s="2" t="inlineStr">
        <is>
          <t>LOI at $21.26 per share, subject to a 60-day exclusivity period for due diligence and negotiation of definitive documentation; provided a summary of material issues and proposed changes to the merger agreement and voting agreement instead of full mark-ups.</t>
        </is>
      </c>
      <c r="I31" s="2" t="inlineStr">
        <is>
          <t>Informal</t>
        </is>
      </c>
      <c r="J31" s="2" t="inlineStr">
        <is>
          <t>Heavy</t>
        </is>
      </c>
      <c r="K31" s="2" t="inlineStr">
        <is>
          <t>Stated: “Party E (a strategic buyer) submitted an LOI to acquire the Company for a price of $21.26 per share (subject to a 60-day exclusivity period for due diligence and negotiation of definitive documentation).” and “In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 (p.30). Formality: Informal — an issues summary is not a returned agreement markup; no other formal signal (borderline, Q5). Conditions: Heavy — stated multi-week exclusive diligence and definitive-document negotiation period.</t>
        </is>
      </c>
      <c r="L31" s="3" t="inlineStr">
        <is>
          <t>P-018; P-015</t>
        </is>
      </c>
      <c r="M31" s="2" t="inlineStr">
        <is>
          <t>Q5; Q7</t>
        </is>
      </c>
      <c r="N31" s="2" t="inlineStr"/>
      <c r="O31" s="2" t="inlineStr">
        <is>
          <t>R030</t>
        </is>
      </c>
      <c r="P31" s="2" t="inlineStr">
        <is>
          <t>Yes</t>
        </is>
      </c>
      <c r="Q31" s="2" t="n">
        <v>1</v>
      </c>
      <c r="R31" s="4" t="n">
        <v>42571</v>
      </c>
      <c r="S31" s="4" t="n">
        <v>42578</v>
      </c>
      <c r="T31" s="4" t="n">
        <v>42571</v>
      </c>
      <c r="U31" s="2" t="inlineStr">
        <is>
          <t>Approximate window</t>
        </is>
      </c>
      <c r="V31" s="2" t="inlineStr">
        <is>
          <t>Assigned: deadline</t>
        </is>
      </c>
      <c r="W31" s="5" t="n">
        <v>21.26</v>
      </c>
      <c r="X31" s="5" t="n">
        <v>21.26</v>
      </c>
      <c r="Y31" s="2" t="inlineStr">
        <is>
          <t>Point</t>
        </is>
      </c>
      <c r="Z31" s="2" t="inlineStr">
        <is>
          <t>Stated</t>
        </is>
      </c>
      <c r="AA31" s="2" t="inlineStr">
        <is>
          <t>USD</t>
        </is>
      </c>
      <c r="AB31" s="2" t="inlineStr">
        <is>
          <t>Not stated</t>
        </is>
      </c>
      <c r="AC31" s="5" t="n"/>
      <c r="AD31" s="2" t="inlineStr">
        <is>
          <t>Fin: not stated; DD required: substantive (60 days); DD open: yes; Excl: requested (60 days)</t>
        </is>
      </c>
      <c r="AE31" s="4" t="n"/>
      <c r="AF31" s="2" t="inlineStr"/>
      <c r="AG31" s="2" t="inlineStr"/>
      <c r="AH31" s="2" t="inlineStr"/>
      <c r="AI31" s="2" t="inlineStr"/>
      <c r="AJ31" s="2" t="inlineStr"/>
      <c r="AK31" s="2" t="n">
        <v>30</v>
      </c>
      <c r="AL31" s="2" t="inlineStr"/>
      <c r="AM31" s="2" t="inlineStr">
        <is>
          <t>PWRR–G&amp;W</t>
        </is>
      </c>
    </row>
    <row r="32">
      <c r="A32" s="2" t="n">
        <v>31</v>
      </c>
      <c r="B32" s="2" t="inlineStr">
        <is>
          <t>Late July 2016 (day not disclosed; before the 07/27/2016 selection)</t>
        </is>
      </c>
      <c r="C32" s="2" t="inlineStr">
        <is>
          <t>Party D</t>
        </is>
      </c>
      <c r="D32" s="2" t="inlineStr">
        <is>
          <t>Bid</t>
        </is>
      </c>
      <c r="E32" s="2" t="n">
        <v>1</v>
      </c>
      <c r="F32" s="2" t="n">
        <v>2</v>
      </c>
      <c r="G32" s="2" t="inlineStr">
        <is>
          <t>Financial</t>
        </is>
      </c>
      <c r="H32" s="2" t="inlineStr">
        <is>
          <t>LOI at $21.00 per share, subject to a four-week diligence period; submitted together with mark-ups of the draft merger agreement and voting agreement.</t>
        </is>
      </c>
      <c r="I32" s="2" t="inlineStr">
        <is>
          <t>Formal</t>
        </is>
      </c>
      <c r="J32" s="2" t="inlineStr">
        <is>
          <t>Heavy</t>
        </is>
      </c>
      <c r="K32" s="2" t="inlineStr">
        <is>
          <t>Stated: “Party D (a financial buyer) submitted an LOI to acquire the Company for a price of $21.00 per share (subject to a four-week diligence period).” and “In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 (p.30). Formality: Formal — bidder-returned markups (signal 1). Conditions: Heavy — stated four-week substantive diligence period.</t>
        </is>
      </c>
      <c r="L32" s="3" t="inlineStr">
        <is>
          <t>P-019; P-015</t>
        </is>
      </c>
      <c r="M32" s="2" t="inlineStr">
        <is>
          <t>Q5; Q7</t>
        </is>
      </c>
      <c r="N32" s="2" t="inlineStr"/>
      <c r="O32" s="2" t="inlineStr">
        <is>
          <t>R031</t>
        </is>
      </c>
      <c r="P32" s="2" t="inlineStr">
        <is>
          <t>Yes</t>
        </is>
      </c>
      <c r="Q32" s="2" t="n">
        <v>1</v>
      </c>
      <c r="R32" s="4" t="n">
        <v>42571</v>
      </c>
      <c r="S32" s="4" t="n">
        <v>42578</v>
      </c>
      <c r="T32" s="4" t="n">
        <v>42571</v>
      </c>
      <c r="U32" s="2" t="inlineStr">
        <is>
          <t>Approximate window</t>
        </is>
      </c>
      <c r="V32" s="2" t="inlineStr">
        <is>
          <t>Assigned: deadline</t>
        </is>
      </c>
      <c r="W32" s="5" t="n">
        <v>21</v>
      </c>
      <c r="X32" s="5" t="n">
        <v>21</v>
      </c>
      <c r="Y32" s="2" t="inlineStr">
        <is>
          <t>Point</t>
        </is>
      </c>
      <c r="Z32" s="2" t="inlineStr">
        <is>
          <t>Stated</t>
        </is>
      </c>
      <c r="AA32" s="2" t="inlineStr">
        <is>
          <t>USD</t>
        </is>
      </c>
      <c r="AB32" s="2" t="inlineStr">
        <is>
          <t>Not stated</t>
        </is>
      </c>
      <c r="AC32" s="5" t="n"/>
      <c r="AD32" s="2" t="inlineStr">
        <is>
          <t>Fin: not stated; DD required: substantive (4 wks); DD open: yes; Excl: not stated</t>
        </is>
      </c>
      <c r="AE32" s="4" t="n"/>
      <c r="AF32" s="2" t="inlineStr"/>
      <c r="AG32" s="2" t="inlineStr"/>
      <c r="AH32" s="2" t="inlineStr"/>
      <c r="AI32" s="2" t="inlineStr"/>
      <c r="AJ32" s="2" t="inlineStr"/>
      <c r="AK32" s="2" t="n">
        <v>30</v>
      </c>
      <c r="AL32" s="2" t="inlineStr"/>
      <c r="AM32" s="2" t="inlineStr">
        <is>
          <t>PWRR–G&amp;W</t>
        </is>
      </c>
    </row>
    <row r="33">
      <c r="A33" s="2" t="n">
        <v>32</v>
      </c>
      <c r="B33" s="2" t="inlineStr">
        <is>
          <t>Late July 2016 (day not disclosed; before the 07/27/2016 selection)</t>
        </is>
      </c>
      <c r="C33" s="2" t="inlineStr">
        <is>
          <t>Party C</t>
        </is>
      </c>
      <c r="D33" s="2" t="inlineStr">
        <is>
          <t>Bid</t>
        </is>
      </c>
      <c r="E33" s="2" t="n">
        <v>1</v>
      </c>
      <c r="F33" s="2" t="n">
        <v>2</v>
      </c>
      <c r="G33" s="2" t="inlineStr">
        <is>
          <t>Strategic</t>
        </is>
      </c>
      <c r="H33" s="2" t="inlineStr">
        <is>
          <t>LOI at $19.30 per share, subject to a 30-day diligence period. Follows Party C's 07/12/2016 IOI (R027).</t>
        </is>
      </c>
      <c r="I33" s="2" t="inlineStr">
        <is>
          <t>Informal</t>
        </is>
      </c>
      <c r="J33" s="2" t="inlineStr">
        <is>
          <t>Heavy</t>
        </is>
      </c>
      <c r="K33" s="2" t="inlineStr">
        <is>
          <t>Stated: “Party C submitted an LOI to acquire the Company for a price of $19.30 per share (subject to a 30-day diligence period).” (p.30). Formality: Informal — no returned agreement markup or final-solicitation response; the issues summary was Party E's. Conditions: Heavy — stated 30-day substantive diligence period.</t>
        </is>
      </c>
      <c r="L33" s="3" t="inlineStr">
        <is>
          <t>P-020</t>
        </is>
      </c>
      <c r="M33" s="2" t="inlineStr">
        <is>
          <t>Q5; Q7</t>
        </is>
      </c>
      <c r="N33" s="2" t="inlineStr"/>
      <c r="O33" s="2" t="inlineStr">
        <is>
          <t>R032</t>
        </is>
      </c>
      <c r="P33" s="2" t="inlineStr">
        <is>
          <t>Yes</t>
        </is>
      </c>
      <c r="Q33" s="2" t="n">
        <v>0</v>
      </c>
      <c r="R33" s="4" t="n">
        <v>42571</v>
      </c>
      <c r="S33" s="4" t="n">
        <v>42578</v>
      </c>
      <c r="T33" s="4" t="n">
        <v>42571</v>
      </c>
      <c r="U33" s="2" t="inlineStr">
        <is>
          <t>Approximate window</t>
        </is>
      </c>
      <c r="V33" s="2" t="inlineStr">
        <is>
          <t>Assigned: deadline</t>
        </is>
      </c>
      <c r="W33" s="5" t="n">
        <v>19.3</v>
      </c>
      <c r="X33" s="5" t="n">
        <v>19.3</v>
      </c>
      <c r="Y33" s="2" t="inlineStr">
        <is>
          <t>Point</t>
        </is>
      </c>
      <c r="Z33" s="2" t="inlineStr">
        <is>
          <t>Stated</t>
        </is>
      </c>
      <c r="AA33" s="2" t="inlineStr">
        <is>
          <t>USD</t>
        </is>
      </c>
      <c r="AB33" s="2" t="inlineStr">
        <is>
          <t>Not stated</t>
        </is>
      </c>
      <c r="AC33" s="5" t="n"/>
      <c r="AD33" s="2" t="inlineStr">
        <is>
          <t>Fin: not stated; DD required: substantive (30 days); DD open: yes; Excl: not stated</t>
        </is>
      </c>
      <c r="AE33" s="4" t="n"/>
      <c r="AF33" s="2" t="inlineStr"/>
      <c r="AG33" s="2" t="inlineStr"/>
      <c r="AH33" s="2" t="inlineStr"/>
      <c r="AI33" s="2" t="inlineStr"/>
      <c r="AJ33" s="2" t="inlineStr"/>
      <c r="AK33" s="2" t="n">
        <v>30</v>
      </c>
      <c r="AL33" s="2" t="inlineStr">
        <is>
          <t>same bidder as R027 in the same round; Count 0</t>
        </is>
      </c>
      <c r="AM33" s="2" t="inlineStr">
        <is>
          <t>PWRR–G&amp;W</t>
        </is>
      </c>
    </row>
    <row r="34">
      <c r="A34" s="2" t="n">
        <v>33</v>
      </c>
      <c r="B34" s="2" t="inlineStr">
        <is>
          <t>Late July 2016 (day not disclosed; before the 07/27/2016 selection)</t>
        </is>
      </c>
      <c r="C34" s="2" t="inlineStr">
        <is>
          <t>Party F</t>
        </is>
      </c>
      <c r="D34" s="2" t="inlineStr">
        <is>
          <t>Bid</t>
        </is>
      </c>
      <c r="E34" s="2" t="n">
        <v>1</v>
      </c>
      <c r="F34" s="2" t="n">
        <v>2</v>
      </c>
      <c r="G34" s="2" t="inlineStr">
        <is>
          <t>Strategic</t>
        </is>
      </c>
      <c r="H34" s="2" t="inlineStr">
        <is>
          <t>LOI at $19.20 per share, subject to a 30-day due diligence period.</t>
        </is>
      </c>
      <c r="I34" s="2" t="inlineStr">
        <is>
          <t>Informal</t>
        </is>
      </c>
      <c r="J34" s="2" t="inlineStr">
        <is>
          <t>Heavy</t>
        </is>
      </c>
      <c r="K34" s="2" t="inlineStr">
        <is>
          <t>Stated: “Party F (a strategic buyer) submitted an LOI to acquire the Company for a price of $19.20 per share (subject to a 30-day due diligence period).” (p.30). Formality: Informal — no formal signal reported. Conditions: Heavy — stated 30-day substantive diligence period. Party F later supplies financing support to Party E's revised LOI (R046).</t>
        </is>
      </c>
      <c r="L34" s="3" t="inlineStr">
        <is>
          <t>P-021</t>
        </is>
      </c>
      <c r="M34" s="2" t="inlineStr">
        <is>
          <t>Q5; Q7</t>
        </is>
      </c>
      <c r="N34" s="2" t="inlineStr"/>
      <c r="O34" s="2" t="inlineStr">
        <is>
          <t>R033</t>
        </is>
      </c>
      <c r="P34" s="2" t="inlineStr">
        <is>
          <t>Yes</t>
        </is>
      </c>
      <c r="Q34" s="2" t="n">
        <v>1</v>
      </c>
      <c r="R34" s="4" t="n">
        <v>42571</v>
      </c>
      <c r="S34" s="4" t="n">
        <v>42578</v>
      </c>
      <c r="T34" s="4" t="n">
        <v>42571</v>
      </c>
      <c r="U34" s="2" t="inlineStr">
        <is>
          <t>Approximate window</t>
        </is>
      </c>
      <c r="V34" s="2" t="inlineStr">
        <is>
          <t>Assigned: deadline</t>
        </is>
      </c>
      <c r="W34" s="5" t="n">
        <v>19.2</v>
      </c>
      <c r="X34" s="5" t="n">
        <v>19.2</v>
      </c>
      <c r="Y34" s="2" t="inlineStr">
        <is>
          <t>Point</t>
        </is>
      </c>
      <c r="Z34" s="2" t="inlineStr">
        <is>
          <t>Stated</t>
        </is>
      </c>
      <c r="AA34" s="2" t="inlineStr">
        <is>
          <t>USD</t>
        </is>
      </c>
      <c r="AB34" s="2" t="inlineStr">
        <is>
          <t>Not stated</t>
        </is>
      </c>
      <c r="AC34" s="5" t="n"/>
      <c r="AD34" s="2" t="inlineStr">
        <is>
          <t>Fin: not stated; DD required: substantive (30 days); DD open: yes; Excl: not stated</t>
        </is>
      </c>
      <c r="AE34" s="4" t="n"/>
      <c r="AF34" s="2" t="inlineStr"/>
      <c r="AG34" s="2" t="inlineStr"/>
      <c r="AH34" s="2" t="inlineStr"/>
      <c r="AI34" s="2" t="inlineStr"/>
      <c r="AJ34" s="2" t="inlineStr"/>
      <c r="AK34" s="2" t="n">
        <v>30</v>
      </c>
      <c r="AL34" s="2" t="inlineStr">
        <is>
          <t>financing supporter of R046</t>
        </is>
      </c>
      <c r="AM34" s="2" t="inlineStr">
        <is>
          <t>PWRR–G&amp;W</t>
        </is>
      </c>
    </row>
    <row r="35">
      <c r="A35" s="2" t="n">
        <v>34</v>
      </c>
      <c r="B35" s="2" t="inlineStr">
        <is>
          <t>by 07/20/2016 (election day not disclosed)</t>
        </is>
      </c>
      <c r="C35" s="2" t="inlineStr">
        <is>
          <t>One strategic buyer (anonymous)</t>
        </is>
      </c>
      <c r="D35" s="2" t="inlineStr">
        <is>
          <t>Did not submit</t>
        </is>
      </c>
      <c r="E35" s="2" t="n">
        <v>1</v>
      </c>
      <c r="F35" s="2" t="n">
        <v>2</v>
      </c>
      <c r="G35" s="2" t="inlineStr">
        <is>
          <t>Strategic</t>
        </is>
      </c>
      <c r="H35" s="2" t="inlineStr">
        <is>
          <t>Elected not to submit an LOI in the R2 solicitation; one of the two electors (one strategic, one financial) reported by the filing. No reason stated. Outcome stated, not inferred.</t>
        </is>
      </c>
      <c r="I35" s="2" t="inlineStr"/>
      <c r="J35" s="2" t="inlineStr"/>
      <c r="K35" s="2" t="inlineStr">
        <is>
          <t>Stated: “One strategic buyer and one financial buyer elected not to submit an LOI.” (p.30). Assigned to the advancing group (the seven selected in R020) — the reading most consistent with the process narrative; unresolved base question in Q3. Working date = the LOI due date (Assigned: deadline).</t>
        </is>
      </c>
      <c r="L35" s="3" t="inlineStr">
        <is>
          <t>P-022</t>
        </is>
      </c>
      <c r="M35" s="2" t="inlineStr">
        <is>
          <t>Q3; Q4</t>
        </is>
      </c>
      <c r="N35" s="2" t="inlineStr"/>
      <c r="O35" s="2" t="inlineStr">
        <is>
          <t>R034</t>
        </is>
      </c>
      <c r="P35" s="2" t="inlineStr">
        <is>
          <t>Yes</t>
        </is>
      </c>
      <c r="Q35" s="2" t="n">
        <v>1</v>
      </c>
      <c r="R35" s="4" t="n"/>
      <c r="S35" s="4" t="n">
        <v>42571</v>
      </c>
      <c r="T35" s="4" t="n">
        <v>42571</v>
      </c>
      <c r="U35" s="2" t="inlineStr">
        <is>
          <t>Relative only</t>
        </is>
      </c>
      <c r="V35" s="2" t="inlineStr">
        <is>
          <t>Assigned: deadline</t>
        </is>
      </c>
      <c r="W35" s="5" t="n"/>
      <c r="X35" s="5" t="n"/>
      <c r="Y35" s="2" t="inlineStr"/>
      <c r="Z35" s="2" t="inlineStr"/>
      <c r="AA35" s="2" t="inlineStr"/>
      <c r="AB35" s="2" t="inlineStr"/>
      <c r="AC35" s="5" t="n"/>
      <c r="AD35" s="2" t="inlineStr"/>
      <c r="AE35" s="4" t="n"/>
      <c r="AF35" s="2" t="inlineStr"/>
      <c r="AG35" s="2" t="inlineStr"/>
      <c r="AH35" s="2" t="inlineStr">
        <is>
          <t>Bidder</t>
        </is>
      </c>
      <c r="AI35" s="2" t="inlineStr">
        <is>
          <t>Not stated</t>
        </is>
      </c>
      <c r="AJ35" s="2" t="inlineStr">
        <is>
          <t>Stated</t>
        </is>
      </c>
      <c r="AK35" s="2" t="n">
        <v>30</v>
      </c>
      <c r="AL35" s="2" t="inlineStr"/>
      <c r="AM35" s="2" t="inlineStr">
        <is>
          <t>PWRR–G&amp;W</t>
        </is>
      </c>
    </row>
    <row r="36">
      <c r="A36" s="2" t="n">
        <v>35</v>
      </c>
      <c r="B36" s="2" t="inlineStr">
        <is>
          <t>by 07/20/2016 (election day not disclosed)</t>
        </is>
      </c>
      <c r="C36" s="2" t="inlineStr">
        <is>
          <t>One financial buyer (anonymous)</t>
        </is>
      </c>
      <c r="D36" s="2" t="inlineStr">
        <is>
          <t>Did not submit</t>
        </is>
      </c>
      <c r="E36" s="2" t="n">
        <v>1</v>
      </c>
      <c r="F36" s="2" t="n">
        <v>2</v>
      </c>
      <c r="G36" s="2" t="inlineStr">
        <is>
          <t>Financial</t>
        </is>
      </c>
      <c r="H36" s="2" t="inlineStr">
        <is>
          <t>Elected not to submit an LOI in the R2 solicitation; the second elector. No reason stated. Outcome stated, not inferred.</t>
        </is>
      </c>
      <c r="I36" s="2" t="inlineStr"/>
      <c r="J36" s="2" t="inlineStr"/>
      <c r="K36" s="2" t="inlineStr">
        <is>
          <t>Stated: “One strategic buyer and one financial buyer elected not to submit an LOI.” (p.30). Same base assumption as R034 (Q3). Working date = the LOI due date (Assigned: deadline).</t>
        </is>
      </c>
      <c r="L36" s="3" t="inlineStr">
        <is>
          <t>P-022</t>
        </is>
      </c>
      <c r="M36" s="2" t="inlineStr">
        <is>
          <t>Q3; Q4</t>
        </is>
      </c>
      <c r="N36" s="2" t="inlineStr"/>
      <c r="O36" s="2" t="inlineStr">
        <is>
          <t>R035</t>
        </is>
      </c>
      <c r="P36" s="2" t="inlineStr">
        <is>
          <t>Yes</t>
        </is>
      </c>
      <c r="Q36" s="2" t="n">
        <v>1</v>
      </c>
      <c r="R36" s="4" t="n"/>
      <c r="S36" s="4" t="n">
        <v>42571</v>
      </c>
      <c r="T36" s="4" t="n">
        <v>42571</v>
      </c>
      <c r="U36" s="2" t="inlineStr">
        <is>
          <t>Relative only</t>
        </is>
      </c>
      <c r="V36" s="2" t="inlineStr">
        <is>
          <t>Assigned: deadline</t>
        </is>
      </c>
      <c r="W36" s="5" t="n"/>
      <c r="X36" s="5" t="n"/>
      <c r="Y36" s="2" t="inlineStr"/>
      <c r="Z36" s="2" t="inlineStr"/>
      <c r="AA36" s="2" t="inlineStr"/>
      <c r="AB36" s="2" t="inlineStr"/>
      <c r="AC36" s="5" t="n"/>
      <c r="AD36" s="2" t="inlineStr"/>
      <c r="AE36" s="4" t="n"/>
      <c r="AF36" s="2" t="inlineStr"/>
      <c r="AG36" s="2" t="inlineStr"/>
      <c r="AH36" s="2" t="inlineStr">
        <is>
          <t>Bidder</t>
        </is>
      </c>
      <c r="AI36" s="2" t="inlineStr">
        <is>
          <t>Not stated</t>
        </is>
      </c>
      <c r="AJ36" s="2" t="inlineStr">
        <is>
          <t>Stated</t>
        </is>
      </c>
      <c r="AK36" s="2" t="n">
        <v>30</v>
      </c>
      <c r="AL36" s="2" t="inlineStr"/>
      <c r="AM36" s="2" t="inlineStr">
        <is>
          <t>PWRR–G&amp;W</t>
        </is>
      </c>
    </row>
    <row r="37">
      <c r="A37" s="2" t="n">
        <v>36</v>
      </c>
      <c r="B37" s="2" t="inlineStr">
        <is>
          <t>07/21/2016</t>
        </is>
      </c>
      <c r="C37" s="2" t="inlineStr">
        <is>
          <t>G&amp;W</t>
        </is>
      </c>
      <c r="D37" s="2" t="inlineStr">
        <is>
          <t>Bid</t>
        </is>
      </c>
      <c r="E37" s="2" t="n">
        <v>1</v>
      </c>
      <c r="F37" s="2" t="n">
        <v>2</v>
      </c>
      <c r="G37" s="2" t="inlineStr">
        <is>
          <t>Strategic</t>
        </is>
      </c>
      <c r="H37" s="2" t="inlineStr">
        <is>
          <t>LOI at $21.15 per share: $20.02 cash at closing plus $1.13 in the form of a contingent value right (CVR) based on the subsequent sale of the South Quay property; subject to a three-week exclusive diligence period. Submitted mark-ups of the merger agreement and voting agreement and a disclosure-letter mark-up. Arrived after the 07/20/2016 due date and was considered (R028).</t>
        </is>
      </c>
      <c r="I37" s="2" t="inlineStr">
        <is>
          <t>Formal</t>
        </is>
      </c>
      <c r="J37" s="2" t="inlineStr">
        <is>
          <t>Heavy</t>
        </is>
      </c>
      <c r="K37" s="2" t="inlineStr">
        <is>
          <t>Stated: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(p.29) and “In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 (p.29). Formality: Formal — bidder-returned markups (signal 1). Conditions: Heavy — stated three-week exclusive diligence period. All cash Yes (the CVR is a contingent cash payment based on a property sale), fixed cash at closing $20.02 (Q6).</t>
        </is>
      </c>
      <c r="L37" s="3" t="inlineStr">
        <is>
          <t>P-015; P-017</t>
        </is>
      </c>
      <c r="M37" s="2" t="inlineStr">
        <is>
          <t>Q5; Q6</t>
        </is>
      </c>
      <c r="N37" s="2" t="inlineStr"/>
      <c r="O37" s="2" t="inlineStr">
        <is>
          <t>R036</t>
        </is>
      </c>
      <c r="P37" s="2" t="inlineStr">
        <is>
          <t>Yes</t>
        </is>
      </c>
      <c r="Q37" s="2" t="n">
        <v>1</v>
      </c>
      <c r="R37" s="4" t="n">
        <v>42572</v>
      </c>
      <c r="S37" s="4" t="n">
        <v>42572</v>
      </c>
      <c r="T37" s="4" t="n">
        <v>42572</v>
      </c>
      <c r="U37" s="2" t="inlineStr">
        <is>
          <t>Reported day</t>
        </is>
      </c>
      <c r="V37" s="2" t="inlineStr">
        <is>
          <t>Reported</t>
        </is>
      </c>
      <c r="W37" s="5" t="n">
        <v>21.15</v>
      </c>
      <c r="X37" s="5" t="n">
        <v>21.15</v>
      </c>
      <c r="Y37" s="2" t="inlineStr">
        <is>
          <t>Point</t>
        </is>
      </c>
      <c r="Z37" s="2" t="inlineStr">
        <is>
          <t>Stated</t>
        </is>
      </c>
      <c r="AA37" s="2" t="inlineStr">
        <is>
          <t>USD</t>
        </is>
      </c>
      <c r="AB37" s="2" t="inlineStr">
        <is>
          <t>Yes</t>
        </is>
      </c>
      <c r="AC37" s="5" t="n">
        <v>20.02</v>
      </c>
      <c r="AD37" s="2" t="inlineStr">
        <is>
          <t>Fin: not stated; DD required: substantive (3 wks); DD open: yes; Excl: requested (3 wks)</t>
        </is>
      </c>
      <c r="AE37" s="4" t="n"/>
      <c r="AF37" s="2" t="inlineStr"/>
      <c r="AG37" s="2" t="inlineStr"/>
      <c r="AH37" s="2" t="inlineStr"/>
      <c r="AI37" s="2" t="inlineStr"/>
      <c r="AJ37" s="2" t="inlineStr"/>
      <c r="AK37" s="2" t="n">
        <v>29</v>
      </c>
      <c r="AL37" s="2" t="inlineStr">
        <is>
          <t>revised by R037</t>
        </is>
      </c>
      <c r="AM37" s="2" t="inlineStr">
        <is>
          <t>PWRR–G&amp;W</t>
        </is>
      </c>
    </row>
    <row r="38">
      <c r="A38" s="2" t="n">
        <v>37</v>
      </c>
      <c r="B38" s="2" t="inlineStr">
        <is>
          <t>07/26/2016</t>
        </is>
      </c>
      <c r="C38" s="2" t="inlineStr">
        <is>
          <t>G&amp;W</t>
        </is>
      </c>
      <c r="D38" s="2" t="inlineStr">
        <is>
          <t>Bid</t>
        </is>
      </c>
      <c r="E38" s="2" t="n">
        <v>1</v>
      </c>
      <c r="F38" s="2" t="n">
        <v>2</v>
      </c>
      <c r="G38" s="2" t="inlineStr">
        <is>
          <t>Strategic</t>
        </is>
      </c>
      <c r="H38" s="2" t="inlineStr">
        <is>
          <t>Revised LOI at $22.15 per share: $21.02 cash at closing plus $1.13 CVR, after GHF feedback that the price and CVR structure were not competitive.</t>
        </is>
      </c>
      <c r="I38" s="2" t="inlineStr">
        <is>
          <t>Formal</t>
        </is>
      </c>
      <c r="J38" s="2" t="inlineStr">
        <is>
          <t>Heavy</t>
        </is>
      </c>
      <c r="K38" s="2" t="inlineStr">
        <is>
          <t>Stated: “On July 26, 2016, in response to feedback from representatives of GHF indicating its price and CVR structure were not competitive, G&amp;W submitted a revised LOI, which increased its offer to $22.15 per share (including $21.02 in cash and $1.13 CVR).” (p.29). Formality: Formal — carried forward from R036 (continuing proposal; no return to a preliminary basis). Conditions: Heavy — three-week exclusive diligence period persists; reconsidered at this revision. Count 0: same bidder, same round as R036.</t>
        </is>
      </c>
      <c r="L38" s="3" t="inlineStr">
        <is>
          <t>P-017</t>
        </is>
      </c>
      <c r="M38" s="2" t="inlineStr">
        <is>
          <t>Q5; Q6</t>
        </is>
      </c>
      <c r="N38" s="2" t="inlineStr"/>
      <c r="O38" s="2" t="inlineStr">
        <is>
          <t>R037</t>
        </is>
      </c>
      <c r="P38" s="2" t="inlineStr">
        <is>
          <t>Yes</t>
        </is>
      </c>
      <c r="Q38" s="2" t="n">
        <v>0</v>
      </c>
      <c r="R38" s="4" t="n">
        <v>42577</v>
      </c>
      <c r="S38" s="4" t="n">
        <v>42577</v>
      </c>
      <c r="T38" s="4" t="n">
        <v>42577</v>
      </c>
      <c r="U38" s="2" t="inlineStr">
        <is>
          <t>Reported day</t>
        </is>
      </c>
      <c r="V38" s="2" t="inlineStr">
        <is>
          <t>Reported</t>
        </is>
      </c>
      <c r="W38" s="5" t="n">
        <v>22.15</v>
      </c>
      <c r="X38" s="5" t="n">
        <v>22.15</v>
      </c>
      <c r="Y38" s="2" t="inlineStr">
        <is>
          <t>Point</t>
        </is>
      </c>
      <c r="Z38" s="2" t="inlineStr">
        <is>
          <t>Stated</t>
        </is>
      </c>
      <c r="AA38" s="2" t="inlineStr">
        <is>
          <t>USD</t>
        </is>
      </c>
      <c r="AB38" s="2" t="inlineStr">
        <is>
          <t>Yes</t>
        </is>
      </c>
      <c r="AC38" s="5" t="n">
        <v>21.02</v>
      </c>
      <c r="AD38" s="2" t="inlineStr">
        <is>
          <t>Fin: not stated; DD required: substantive (3 wks); DD open: yes; Excl: requested (3 wks)</t>
        </is>
      </c>
      <c r="AE38" s="4" t="n"/>
      <c r="AF38" s="2" t="inlineStr"/>
      <c r="AG38" s="2" t="inlineStr"/>
      <c r="AH38" s="2" t="inlineStr"/>
      <c r="AI38" s="2" t="inlineStr"/>
      <c r="AJ38" s="2" t="inlineStr"/>
      <c r="AK38" s="2" t="n">
        <v>29</v>
      </c>
      <c r="AL38" s="2" t="inlineStr">
        <is>
          <t>revises R036; Count 0 (same bidder and round as R036)</t>
        </is>
      </c>
      <c r="AM38" s="2" t="inlineStr">
        <is>
          <t>PWRR–G&amp;W</t>
        </is>
      </c>
    </row>
    <row r="39">
      <c r="A39" s="2" t="n">
        <v>38</v>
      </c>
      <c r="B39" s="2" t="inlineStr">
        <is>
          <t>07/27/2016</t>
        </is>
      </c>
      <c r="C39" s="2" t="inlineStr">
        <is>
          <t>Transaction Committee</t>
        </is>
      </c>
      <c r="D39" s="2" t="inlineStr">
        <is>
          <t>Round opened</t>
        </is>
      </c>
      <c r="E39" s="2" t="n">
        <v>1</v>
      </c>
      <c r="F39" s="2" t="n">
        <v>3</v>
      </c>
      <c r="G39" s="2" t="inlineStr"/>
      <c r="H39" s="2" t="inlineStr">
        <is>
          <t>R3 opens: after reviewing the LOIs (07/22/2016 telephone conference and 07/27/2016 in-person meeting), the committee chose G&amp;W and Party B for confirmatory due diligence and negotiations because of their higher offers; remaining bidders were told they were no longer involved. Objective: on-site confirmatory diligence (07/27-08/11/2016) and negotiation of a definitive merger agreement with the two finalists. Finality: Inferred final — no announcement, but the target moved to definitive negotiation with selected bidders and to completing an agreement with one of them.</t>
        </is>
      </c>
      <c r="I39" s="2" t="inlineStr"/>
      <c r="J39" s="2" t="inlineStr"/>
      <c r="K39" s="2"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and “From July 27, 2016 through August 11, 2016, Party B and G&amp;W conducted on-site financial, legal and environmental due diligence, including hi-rail trips to inspect the Company’s track infrastructure.” (p.31). Convention: definitive negotiation with selected bidders opens R3 (section 6.3). Director Smith (GATX, 4.92% holder) recused himself from the process. Finality inferred from the move to definitive negotiation (Q1).</t>
        </is>
      </c>
      <c r="L39" s="3" t="inlineStr">
        <is>
          <t>P-023; P-026</t>
        </is>
      </c>
      <c r="M39" s="2" t="inlineStr">
        <is>
          <t>Q1</t>
        </is>
      </c>
      <c r="N39" s="2" t="inlineStr"/>
      <c r="O39" s="2" t="inlineStr">
        <is>
          <t>R038</t>
        </is>
      </c>
      <c r="P39" s="2" t="inlineStr">
        <is>
          <t>Yes</t>
        </is>
      </c>
      <c r="Q39" s="2" t="n"/>
      <c r="R39" s="4" t="n">
        <v>42578</v>
      </c>
      <c r="S39" s="4" t="n">
        <v>42578</v>
      </c>
      <c r="T39" s="4" t="n">
        <v>42578</v>
      </c>
      <c r="U39" s="2" t="inlineStr">
        <is>
          <t>Reported day</t>
        </is>
      </c>
      <c r="V39" s="2" t="inlineStr">
        <is>
          <t>Reported</t>
        </is>
      </c>
      <c r="W39" s="5" t="n"/>
      <c r="X39" s="5" t="n"/>
      <c r="Y39" s="2" t="inlineStr"/>
      <c r="Z39" s="2" t="inlineStr"/>
      <c r="AA39" s="2" t="inlineStr"/>
      <c r="AB39" s="2" t="inlineStr"/>
      <c r="AC39" s="5" t="n"/>
      <c r="AD39" s="2" t="inlineStr"/>
      <c r="AE39" s="4" t="n"/>
      <c r="AF39" s="2" t="inlineStr"/>
      <c r="AG39" s="2" t="inlineStr">
        <is>
          <t>Inferred final</t>
        </is>
      </c>
      <c r="AH39" s="2" t="inlineStr"/>
      <c r="AI39" s="2" t="inlineStr"/>
      <c r="AJ39" s="2" t="inlineStr"/>
      <c r="AK39" s="2" t="n">
        <v>30</v>
      </c>
      <c r="AL39" s="2" t="inlineStr">
        <is>
          <t>admits R043-R046; ends R2</t>
        </is>
      </c>
      <c r="AM39" s="2" t="inlineStr">
        <is>
          <t>PWRR–G&amp;W</t>
        </is>
      </c>
    </row>
    <row r="40">
      <c r="A40" s="2" t="n">
        <v>39</v>
      </c>
      <c r="B40" s="2" t="inlineStr">
        <is>
          <t>07/27/2016</t>
        </is>
      </c>
      <c r="C40" s="2" t="inlineStr">
        <is>
          <t>Party E</t>
        </is>
      </c>
      <c r="D40" s="2" t="inlineStr">
        <is>
          <t>Dropped by target</t>
        </is>
      </c>
      <c r="E40" s="2" t="n">
        <v>1</v>
      </c>
      <c r="F40" s="2" t="n">
        <v>2</v>
      </c>
      <c r="G40" s="2" t="inlineStr">
        <is>
          <t>Strategic</t>
        </is>
      </c>
      <c r="H40" s="2" t="inlineStr">
        <is>
          <t>Told it was no longer involved after G&amp;W and Party B were selected on higher offers. Stage left: Round 2 (finalist selection). Stated reason: lower offer than rivals (target choice).</t>
        </is>
      </c>
      <c r="I40" s="2" t="inlineStr"/>
      <c r="J40" s="2" t="inlineStr"/>
      <c r="K40" s="2"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Notification undated; Working date = the decision day (Assigned: decision day). Re-entry follows at R045.</t>
        </is>
      </c>
      <c r="L40" s="3" t="inlineStr">
        <is>
          <t>P-023</t>
        </is>
      </c>
      <c r="M40" s="2" t="inlineStr"/>
      <c r="N40" s="2" t="inlineStr"/>
      <c r="O40" s="2" t="inlineStr">
        <is>
          <t>R039</t>
        </is>
      </c>
      <c r="P40" s="2" t="inlineStr">
        <is>
          <t>Yes</t>
        </is>
      </c>
      <c r="Q40" s="2" t="n">
        <v>1</v>
      </c>
      <c r="R40" s="4" t="n">
        <v>42578</v>
      </c>
      <c r="S40" s="4" t="n">
        <v>42578</v>
      </c>
      <c r="T40" s="4" t="n">
        <v>42578</v>
      </c>
      <c r="U40" s="2" t="inlineStr">
        <is>
          <t>Relative only</t>
        </is>
      </c>
      <c r="V40" s="2" t="inlineStr">
        <is>
          <t>Assigned: decision day</t>
        </is>
      </c>
      <c r="W40" s="5" t="n"/>
      <c r="X40" s="5" t="n"/>
      <c r="Y40" s="2" t="inlineStr"/>
      <c r="Z40" s="2" t="inlineStr"/>
      <c r="AA40" s="2" t="inlineStr"/>
      <c r="AB40" s="2" t="inlineStr"/>
      <c r="AC40" s="5" t="n"/>
      <c r="AD40" s="2" t="inlineStr"/>
      <c r="AE40" s="4" t="n"/>
      <c r="AF40" s="2" t="inlineStr"/>
      <c r="AG40" s="2" t="inlineStr"/>
      <c r="AH40" s="2" t="inlineStr">
        <is>
          <t>Target</t>
        </is>
      </c>
      <c r="AI40" s="2" t="inlineStr">
        <is>
          <t>Lower offer than rivals</t>
        </is>
      </c>
      <c r="AJ40" s="2" t="inlineStr">
        <is>
          <t>Stated</t>
        </is>
      </c>
      <c r="AK40" s="2" t="n">
        <v>30</v>
      </c>
      <c r="AL40" s="2" t="inlineStr">
        <is>
          <t>re-enters at R045</t>
        </is>
      </c>
      <c r="AM40" s="2" t="inlineStr">
        <is>
          <t>PWRR–G&amp;W</t>
        </is>
      </c>
    </row>
    <row r="41">
      <c r="A41" s="2" t="n">
        <v>40</v>
      </c>
      <c r="B41" s="2" t="inlineStr">
        <is>
          <t>07/27/2016</t>
        </is>
      </c>
      <c r="C41" s="2" t="inlineStr">
        <is>
          <t>Party D</t>
        </is>
      </c>
      <c r="D41" s="2" t="inlineStr">
        <is>
          <t>Dropped by target</t>
        </is>
      </c>
      <c r="E41" s="2" t="n">
        <v>1</v>
      </c>
      <c r="F41" s="2" t="n">
        <v>2</v>
      </c>
      <c r="G41" s="2" t="inlineStr">
        <is>
          <t>Financial</t>
        </is>
      </c>
      <c r="H41" s="2" t="inlineStr">
        <is>
          <t>Told it was no longer involved after G&amp;W and Party B were selected on higher offers. Stage left: Round 2 (finalist selection). Stated reason: lower offer than rivals (target choice).</t>
        </is>
      </c>
      <c r="I41" s="2" t="inlineStr"/>
      <c r="J41" s="2" t="inlineStr"/>
      <c r="K41" s="2"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Notification undated; Working date = the decision day (Assigned: decision day). Re-entry follows at R043.</t>
        </is>
      </c>
      <c r="L41" s="3" t="inlineStr">
        <is>
          <t>P-023</t>
        </is>
      </c>
      <c r="M41" s="2" t="inlineStr"/>
      <c r="N41" s="2" t="inlineStr"/>
      <c r="O41" s="2" t="inlineStr">
        <is>
          <t>R040</t>
        </is>
      </c>
      <c r="P41" s="2" t="inlineStr">
        <is>
          <t>Yes</t>
        </is>
      </c>
      <c r="Q41" s="2" t="n">
        <v>1</v>
      </c>
      <c r="R41" s="4" t="n">
        <v>42578</v>
      </c>
      <c r="S41" s="4" t="n">
        <v>42578</v>
      </c>
      <c r="T41" s="4" t="n">
        <v>42578</v>
      </c>
      <c r="U41" s="2" t="inlineStr">
        <is>
          <t>Relative only</t>
        </is>
      </c>
      <c r="V41" s="2" t="inlineStr">
        <is>
          <t>Assigned: decision day</t>
        </is>
      </c>
      <c r="W41" s="5" t="n"/>
      <c r="X41" s="5" t="n"/>
      <c r="Y41" s="2" t="inlineStr"/>
      <c r="Z41" s="2" t="inlineStr"/>
      <c r="AA41" s="2" t="inlineStr"/>
      <c r="AB41" s="2" t="inlineStr"/>
      <c r="AC41" s="5" t="n"/>
      <c r="AD41" s="2" t="inlineStr"/>
      <c r="AE41" s="4" t="n"/>
      <c r="AF41" s="2" t="inlineStr"/>
      <c r="AG41" s="2" t="inlineStr"/>
      <c r="AH41" s="2" t="inlineStr">
        <is>
          <t>Target</t>
        </is>
      </c>
      <c r="AI41" s="2" t="inlineStr">
        <is>
          <t>Lower offer than rivals</t>
        </is>
      </c>
      <c r="AJ41" s="2" t="inlineStr">
        <is>
          <t>Stated</t>
        </is>
      </c>
      <c r="AK41" s="2" t="n">
        <v>30</v>
      </c>
      <c r="AL41" s="2" t="inlineStr">
        <is>
          <t>re-enters at R043</t>
        </is>
      </c>
      <c r="AM41" s="2" t="inlineStr">
        <is>
          <t>PWRR–G&amp;W</t>
        </is>
      </c>
    </row>
    <row r="42">
      <c r="A42" s="2" t="n">
        <v>41</v>
      </c>
      <c r="B42" s="2" t="inlineStr">
        <is>
          <t>07/27/2016</t>
        </is>
      </c>
      <c r="C42" s="2" t="inlineStr">
        <is>
          <t>Party C</t>
        </is>
      </c>
      <c r="D42" s="2" t="inlineStr">
        <is>
          <t>Dropped by target</t>
        </is>
      </c>
      <c r="E42" s="2" t="n">
        <v>1</v>
      </c>
      <c r="F42" s="2" t="n">
        <v>2</v>
      </c>
      <c r="G42" s="2" t="inlineStr">
        <is>
          <t>Strategic</t>
        </is>
      </c>
      <c r="H42" s="2" t="inlineStr">
        <is>
          <t>Told it was no longer involved after G&amp;W and Party B were selected on higher offers. Stage left: Round 2 (finalist selection); last participation was its $19.30 LOI (R032).</t>
        </is>
      </c>
      <c r="I42" s="2" t="inlineStr"/>
      <c r="J42" s="2" t="inlineStr"/>
      <c r="K42" s="2"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Notification undated; Working date = the decision day (Assigned: decision day).</t>
        </is>
      </c>
      <c r="L42" s="3" t="inlineStr">
        <is>
          <t>P-023</t>
        </is>
      </c>
      <c r="M42" s="2" t="inlineStr"/>
      <c r="N42" s="2" t="inlineStr"/>
      <c r="O42" s="2" t="inlineStr">
        <is>
          <t>R041</t>
        </is>
      </c>
      <c r="P42" s="2" t="inlineStr">
        <is>
          <t>Yes</t>
        </is>
      </c>
      <c r="Q42" s="2" t="n">
        <v>1</v>
      </c>
      <c r="R42" s="4" t="n">
        <v>42578</v>
      </c>
      <c r="S42" s="4" t="n">
        <v>42578</v>
      </c>
      <c r="T42" s="4" t="n">
        <v>42578</v>
      </c>
      <c r="U42" s="2" t="inlineStr">
        <is>
          <t>Relative only</t>
        </is>
      </c>
      <c r="V42" s="2" t="inlineStr">
        <is>
          <t>Assigned: decision day</t>
        </is>
      </c>
      <c r="W42" s="5" t="n"/>
      <c r="X42" s="5" t="n"/>
      <c r="Y42" s="2" t="inlineStr"/>
      <c r="Z42" s="2" t="inlineStr"/>
      <c r="AA42" s="2" t="inlineStr"/>
      <c r="AB42" s="2" t="inlineStr"/>
      <c r="AC42" s="5" t="n"/>
      <c r="AD42" s="2" t="inlineStr"/>
      <c r="AE42" s="4" t="n"/>
      <c r="AF42" s="2" t="inlineStr"/>
      <c r="AG42" s="2" t="inlineStr"/>
      <c r="AH42" s="2" t="inlineStr">
        <is>
          <t>Target</t>
        </is>
      </c>
      <c r="AI42" s="2" t="inlineStr">
        <is>
          <t>Lower offer than rivals</t>
        </is>
      </c>
      <c r="AJ42" s="2" t="inlineStr">
        <is>
          <t>Stated</t>
        </is>
      </c>
      <c r="AK42" s="2" t="n">
        <v>30</v>
      </c>
      <c r="AL42" s="2" t="inlineStr"/>
      <c r="AM42" s="2" t="inlineStr">
        <is>
          <t>PWRR–G&amp;W</t>
        </is>
      </c>
    </row>
    <row r="43">
      <c r="A43" s="2" t="n">
        <v>42</v>
      </c>
      <c r="B43" s="2" t="inlineStr">
        <is>
          <t>07/27/2016</t>
        </is>
      </c>
      <c r="C43" s="2" t="inlineStr">
        <is>
          <t>Party F</t>
        </is>
      </c>
      <c r="D43" s="2" t="inlineStr">
        <is>
          <t>Dropped by target</t>
        </is>
      </c>
      <c r="E43" s="2" t="n">
        <v>1</v>
      </c>
      <c r="F43" s="2" t="n">
        <v>2</v>
      </c>
      <c r="G43" s="2" t="inlineStr">
        <is>
          <t>Strategic</t>
        </is>
      </c>
      <c r="H43" s="2" t="inlineStr">
        <is>
          <t>Told it was no longer involved after G&amp;W and Party B were selected on higher offers. Stage left: Round 2 (finalist selection); its $19.20 LOI (R033) ends here. It later provides financing support to Party E's revised LOI (R046) without re-entering as an independent bidder.</t>
        </is>
      </c>
      <c r="I43" s="2" t="inlineStr"/>
      <c r="J43" s="2" t="inlineStr"/>
      <c r="K43" s="2"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Notification undated; Working date = the decision day (Assigned: decision day). Support recorded on R046; no new row for an exited supporter.</t>
        </is>
      </c>
      <c r="L43" s="3" t="inlineStr">
        <is>
          <t>P-023</t>
        </is>
      </c>
      <c r="M43" s="2" t="inlineStr"/>
      <c r="N43" s="2" t="inlineStr"/>
      <c r="O43" s="2" t="inlineStr">
        <is>
          <t>R042</t>
        </is>
      </c>
      <c r="P43" s="2" t="inlineStr">
        <is>
          <t>Yes</t>
        </is>
      </c>
      <c r="Q43" s="2" t="n">
        <v>1</v>
      </c>
      <c r="R43" s="4" t="n">
        <v>42578</v>
      </c>
      <c r="S43" s="4" t="n">
        <v>42578</v>
      </c>
      <c r="T43" s="4" t="n">
        <v>42578</v>
      </c>
      <c r="U43" s="2" t="inlineStr">
        <is>
          <t>Relative only</t>
        </is>
      </c>
      <c r="V43" s="2" t="inlineStr">
        <is>
          <t>Assigned: decision day</t>
        </is>
      </c>
      <c r="W43" s="5" t="n"/>
      <c r="X43" s="5" t="n"/>
      <c r="Y43" s="2" t="inlineStr"/>
      <c r="Z43" s="2" t="inlineStr"/>
      <c r="AA43" s="2" t="inlineStr"/>
      <c r="AB43" s="2" t="inlineStr"/>
      <c r="AC43" s="5" t="n"/>
      <c r="AD43" s="2" t="inlineStr"/>
      <c r="AE43" s="4" t="n"/>
      <c r="AF43" s="2" t="inlineStr"/>
      <c r="AG43" s="2" t="inlineStr"/>
      <c r="AH43" s="2" t="inlineStr">
        <is>
          <t>Target</t>
        </is>
      </c>
      <c r="AI43" s="2" t="inlineStr">
        <is>
          <t>Lower offer than rivals</t>
        </is>
      </c>
      <c r="AJ43" s="2" t="inlineStr">
        <is>
          <t>Stated</t>
        </is>
      </c>
      <c r="AK43" s="2" t="n">
        <v>30</v>
      </c>
      <c r="AL43" s="2" t="inlineStr"/>
      <c r="AM43" s="2" t="inlineStr">
        <is>
          <t>PWRR–G&amp;W</t>
        </is>
      </c>
    </row>
    <row r="44">
      <c r="A44" s="2" t="n">
        <v>43</v>
      </c>
      <c r="B44" s="2" t="inlineStr">
        <is>
          <t>08/01/2016</t>
        </is>
      </c>
      <c r="C44" s="2" t="inlineStr">
        <is>
          <t>Party D</t>
        </is>
      </c>
      <c r="D44" s="2" t="inlineStr">
        <is>
          <t>Re-entered</t>
        </is>
      </c>
      <c r="E44" s="2" t="n">
        <v>1</v>
      </c>
      <c r="F44" s="2" t="n">
        <v>3</v>
      </c>
      <c r="G44" s="2" t="inlineStr">
        <is>
          <t>Financial</t>
        </is>
      </c>
      <c r="H44" s="2" t="inlineStr">
        <is>
          <t>Renewed participation after being told it was out on 07/27/2016: in the 07/29/2016 calls Party D expressed interest in reengaging and enhancing its offer and it submitted a revised LOI on 08/01/2016.</t>
        </is>
      </c>
      <c r="I44" s="2" t="inlineStr"/>
      <c r="J44" s="2" t="inlineStr"/>
      <c r="K44" s="2" t="inlineStr">
        <is>
          <t>Stated: “On July 29, 2016, representatives of GHF had calls with Party D and Party E. During those calls, Party D and Party E both expressed interest in reengaging and enhancing their offers.” (p.30) and “On August 1, 2016, Party D submitted a revised LOI at a price of $24.00 per share and Party E submitted a revised LOI, along with financing support, from Party F, at a price of $23.81 per share. Both revised proposals contained a 30-day due diligence period.” (p.30). Re-entered requires renewed activity, not formal admission; the revised LOI considered by the committee on 08/01/2016 supplies it.</t>
        </is>
      </c>
      <c r="L44" s="3" t="inlineStr">
        <is>
          <t>P-024</t>
        </is>
      </c>
      <c r="M44" s="2" t="inlineStr">
        <is>
          <t>Q4</t>
        </is>
      </c>
      <c r="N44" s="2" t="inlineStr"/>
      <c r="O44" s="2" t="inlineStr">
        <is>
          <t>R043</t>
        </is>
      </c>
      <c r="P44" s="2" t="inlineStr">
        <is>
          <t>Yes</t>
        </is>
      </c>
      <c r="Q44" s="2" t="n">
        <v>1</v>
      </c>
      <c r="R44" s="4" t="n">
        <v>42583</v>
      </c>
      <c r="S44" s="4" t="n">
        <v>42583</v>
      </c>
      <c r="T44" s="4" t="n">
        <v>42583</v>
      </c>
      <c r="U44" s="2" t="inlineStr">
        <is>
          <t>Reported day</t>
        </is>
      </c>
      <c r="V44" s="2" t="inlineStr">
        <is>
          <t>Reported</t>
        </is>
      </c>
      <c r="W44" s="5" t="n"/>
      <c r="X44" s="5" t="n"/>
      <c r="Y44" s="2" t="inlineStr"/>
      <c r="Z44" s="2" t="inlineStr"/>
      <c r="AA44" s="2" t="inlineStr"/>
      <c r="AB44" s="2" t="inlineStr"/>
      <c r="AC44" s="5" t="n"/>
      <c r="AD44" s="2" t="inlineStr"/>
      <c r="AE44" s="4" t="n"/>
      <c r="AF44" s="2" t="inlineStr"/>
      <c r="AG44" s="2" t="inlineStr"/>
      <c r="AH44" s="2" t="inlineStr"/>
      <c r="AI44" s="2" t="inlineStr"/>
      <c r="AJ44" s="2" t="inlineStr"/>
      <c r="AK44" s="2" t="n">
        <v>30</v>
      </c>
      <c r="AL44" s="2" t="inlineStr">
        <is>
          <t>after R040; before R044</t>
        </is>
      </c>
      <c r="AM44" s="2" t="inlineStr">
        <is>
          <t>PWRR–G&amp;W</t>
        </is>
      </c>
    </row>
    <row r="45">
      <c r="A45" s="2" t="n">
        <v>44</v>
      </c>
      <c r="B45" s="2" t="inlineStr">
        <is>
          <t>08/01/2016</t>
        </is>
      </c>
      <c r="C45" s="2" t="inlineStr">
        <is>
          <t>Party D</t>
        </is>
      </c>
      <c r="D45" s="2" t="inlineStr">
        <is>
          <t>Bid</t>
        </is>
      </c>
      <c r="E45" s="2" t="n">
        <v>1</v>
      </c>
      <c r="F45" s="2" t="n">
        <v>3</v>
      </c>
      <c r="G45" s="2" t="inlineStr">
        <is>
          <t>Financial</t>
        </is>
      </c>
      <c r="H45" s="2" t="inlineStr">
        <is>
          <t>Revised LOI at $24.00 per share, subject to a 30-day due diligence period. On 08/02/2016 Party D also requested a Company commitment not to sign with another bidder during that period.</t>
        </is>
      </c>
      <c r="I45" s="2" t="inlineStr">
        <is>
          <t>Formal</t>
        </is>
      </c>
      <c r="J45" s="2" t="inlineStr">
        <is>
          <t>Heavy</t>
        </is>
      </c>
      <c r="K45" s="2" t="inlineStr">
        <is>
          <t>Stated: “On August 1, 2016, Party D submitted a revised LOI at a price of $24.00 per share and Party E submitted a revised LOI, along with financing support, from Party F, at a price of $23.81 per share. Both revised proposals contained a 30-day due diligence period.”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 (p.30). Formality: Formal — carried forward from R031 (continuing proposal). Conditions: Heavy — stated 30-day substantive diligence; Excl records the requested no-sign commitment (30 days), which was not granted (R048).</t>
        </is>
      </c>
      <c r="L45" s="3" t="inlineStr">
        <is>
          <t>P-024</t>
        </is>
      </c>
      <c r="M45" s="2" t="inlineStr">
        <is>
          <t>Q5; Q6</t>
        </is>
      </c>
      <c r="N45" s="2" t="inlineStr"/>
      <c r="O45" s="2" t="inlineStr">
        <is>
          <t>R044</t>
        </is>
      </c>
      <c r="P45" s="2" t="inlineStr">
        <is>
          <t>Yes</t>
        </is>
      </c>
      <c r="Q45" s="2" t="n">
        <v>1</v>
      </c>
      <c r="R45" s="4" t="n">
        <v>42583</v>
      </c>
      <c r="S45" s="4" t="n">
        <v>42583</v>
      </c>
      <c r="T45" s="4" t="n">
        <v>42583</v>
      </c>
      <c r="U45" s="2" t="inlineStr">
        <is>
          <t>Reported day</t>
        </is>
      </c>
      <c r="V45" s="2" t="inlineStr">
        <is>
          <t>Reported</t>
        </is>
      </c>
      <c r="W45" s="5" t="n">
        <v>24</v>
      </c>
      <c r="X45" s="5" t="n">
        <v>24</v>
      </c>
      <c r="Y45" s="2" t="inlineStr">
        <is>
          <t>Point</t>
        </is>
      </c>
      <c r="Z45" s="2" t="inlineStr">
        <is>
          <t>Stated</t>
        </is>
      </c>
      <c r="AA45" s="2" t="inlineStr">
        <is>
          <t>USD</t>
        </is>
      </c>
      <c r="AB45" s="2" t="inlineStr">
        <is>
          <t>Not stated</t>
        </is>
      </c>
      <c r="AC45" s="5" t="n"/>
      <c r="AD45" s="2" t="inlineStr">
        <is>
          <t>Fin: not stated; DD required: substantive (30 days); DD open: no; Excl: requested (30 days)</t>
        </is>
      </c>
      <c r="AE45" s="4" t="n"/>
      <c r="AF45" s="2" t="inlineStr"/>
      <c r="AG45" s="2" t="inlineStr"/>
      <c r="AH45" s="2" t="inlineStr"/>
      <c r="AI45" s="2" t="inlineStr"/>
      <c r="AJ45" s="2" t="inlineStr"/>
      <c r="AK45" s="2" t="n">
        <v>30</v>
      </c>
      <c r="AL45" s="2" t="inlineStr">
        <is>
          <t>revises R031; closed at R048</t>
        </is>
      </c>
      <c r="AM45" s="2" t="inlineStr">
        <is>
          <t>PWRR–G&amp;W</t>
        </is>
      </c>
    </row>
    <row r="46">
      <c r="A46" s="2" t="n">
        <v>45</v>
      </c>
      <c r="B46" s="2" t="inlineStr">
        <is>
          <t>08/01/2016</t>
        </is>
      </c>
      <c r="C46" s="2" t="inlineStr">
        <is>
          <t>Party E</t>
        </is>
      </c>
      <c r="D46" s="2" t="inlineStr">
        <is>
          <t>Re-entered</t>
        </is>
      </c>
      <c r="E46" s="2" t="n">
        <v>1</v>
      </c>
      <c r="F46" s="2" t="n">
        <v>3</v>
      </c>
      <c r="G46" s="2" t="inlineStr">
        <is>
          <t>Strategic</t>
        </is>
      </c>
      <c r="H46" s="2" t="inlineStr">
        <is>
          <t>Renewed participation after being told it was out on 07/27/2016: in the 07/29/2016 calls Party E expressed interest in reengaging and enhancing its offer and it submitted a revised LOI on 08/01/2016.</t>
        </is>
      </c>
      <c r="I46" s="2" t="inlineStr"/>
      <c r="J46" s="2" t="inlineStr"/>
      <c r="K46" s="2" t="inlineStr">
        <is>
          <t>Stated: “On July 29, 2016, representatives of GHF had calls with Party D and Party E. During those calls, Party D and Party E both expressed interest in reengaging and enhancing their offers.” (p.30) and “On August 1, 2016, Party D submitted a revised LOI at a price of $24.00 per share and Party E submitted a revised LOI, along with financing support, from Party F, at a price of $23.81 per share. Both revised proposals contained a 30-day due diligence period.” (p.30). The revised LOI considered by the committee on 08/01/2016 establishes renewed activity.</t>
        </is>
      </c>
      <c r="L46" s="3" t="inlineStr">
        <is>
          <t>P-024</t>
        </is>
      </c>
      <c r="M46" s="2" t="inlineStr">
        <is>
          <t>Q4</t>
        </is>
      </c>
      <c r="N46" s="2" t="inlineStr"/>
      <c r="O46" s="2" t="inlineStr">
        <is>
          <t>R045</t>
        </is>
      </c>
      <c r="P46" s="2" t="inlineStr">
        <is>
          <t>Yes</t>
        </is>
      </c>
      <c r="Q46" s="2" t="n">
        <v>1</v>
      </c>
      <c r="R46" s="4" t="n">
        <v>42583</v>
      </c>
      <c r="S46" s="4" t="n">
        <v>42583</v>
      </c>
      <c r="T46" s="4" t="n">
        <v>42583</v>
      </c>
      <c r="U46" s="2" t="inlineStr">
        <is>
          <t>Reported day</t>
        </is>
      </c>
      <c r="V46" s="2" t="inlineStr">
        <is>
          <t>Reported</t>
        </is>
      </c>
      <c r="W46" s="5" t="n"/>
      <c r="X46" s="5" t="n"/>
      <c r="Y46" s="2" t="inlineStr"/>
      <c r="Z46" s="2" t="inlineStr"/>
      <c r="AA46" s="2" t="inlineStr"/>
      <c r="AB46" s="2" t="inlineStr"/>
      <c r="AC46" s="5" t="n"/>
      <c r="AD46" s="2" t="inlineStr"/>
      <c r="AE46" s="4" t="n"/>
      <c r="AF46" s="2" t="inlineStr"/>
      <c r="AG46" s="2" t="inlineStr"/>
      <c r="AH46" s="2" t="inlineStr"/>
      <c r="AI46" s="2" t="inlineStr"/>
      <c r="AJ46" s="2" t="inlineStr"/>
      <c r="AK46" s="2" t="n">
        <v>30</v>
      </c>
      <c r="AL46" s="2" t="inlineStr">
        <is>
          <t>after R039; before R046</t>
        </is>
      </c>
      <c r="AM46" s="2" t="inlineStr">
        <is>
          <t>PWRR–G&amp;W</t>
        </is>
      </c>
    </row>
    <row r="47">
      <c r="A47" s="2" t="n">
        <v>46</v>
      </c>
      <c r="B47" s="2" t="inlineStr">
        <is>
          <t>08/01/2016</t>
        </is>
      </c>
      <c r="C47" s="2" t="inlineStr">
        <is>
          <t>Party E</t>
        </is>
      </c>
      <c r="D47" s="2" t="inlineStr">
        <is>
          <t>Bid</t>
        </is>
      </c>
      <c r="E47" s="2" t="n">
        <v>1</v>
      </c>
      <c r="F47" s="2" t="n">
        <v>3</v>
      </c>
      <c r="G47" s="2" t="inlineStr">
        <is>
          <t>Strategic</t>
        </is>
      </c>
      <c r="H47" s="2" t="inlineStr">
        <is>
          <t>Support: Party F (financing) — revised LOI at $23.81 per share, submitted with financing support from Party F (which submitted its own $19.20 LOI in R2 and exited on 07/27/2016); subject to a 30-day due diligence period. Party F is a financing supporter, not a member of a bidding group.</t>
        </is>
      </c>
      <c r="I47" s="2" t="inlineStr">
        <is>
          <t>Informal</t>
        </is>
      </c>
      <c r="J47" s="2" t="inlineStr">
        <is>
          <t>Heavy</t>
        </is>
      </c>
      <c r="K47" s="2" t="inlineStr">
        <is>
          <t>Stated: “On August 1, 2016, Party D submitted a revised LOI at a price of $24.00 per share and Party E submitted a revised LOI, along with financing support, from Party F, at a price of $23.81 per share. Both revised proposals contained a 30-day due diligence period.” (p.30). Formality: Informal — the original LOI was an issues summary and no new formal signal (markup) is reported (Q5). Conditions: Heavy — stated 30-day substantive diligence. Financing support recorded here; exited supporter gets no new row (section 5.3).</t>
        </is>
      </c>
      <c r="L47" s="3" t="inlineStr">
        <is>
          <t>P-024</t>
        </is>
      </c>
      <c r="M47" s="2" t="inlineStr">
        <is>
          <t>Q5; Q6</t>
        </is>
      </c>
      <c r="N47" s="2" t="inlineStr"/>
      <c r="O47" s="2" t="inlineStr">
        <is>
          <t>R046</t>
        </is>
      </c>
      <c r="P47" s="2" t="inlineStr">
        <is>
          <t>Yes</t>
        </is>
      </c>
      <c r="Q47" s="2" t="n">
        <v>1</v>
      </c>
      <c r="R47" s="4" t="n">
        <v>42583</v>
      </c>
      <c r="S47" s="4" t="n">
        <v>42583</v>
      </c>
      <c r="T47" s="4" t="n">
        <v>42583</v>
      </c>
      <c r="U47" s="2" t="inlineStr">
        <is>
          <t>Reported day</t>
        </is>
      </c>
      <c r="V47" s="2" t="inlineStr">
        <is>
          <t>Reported</t>
        </is>
      </c>
      <c r="W47" s="5" t="n">
        <v>23.81</v>
      </c>
      <c r="X47" s="5" t="n">
        <v>23.81</v>
      </c>
      <c r="Y47" s="2" t="inlineStr">
        <is>
          <t>Point</t>
        </is>
      </c>
      <c r="Z47" s="2" t="inlineStr">
        <is>
          <t>Stated</t>
        </is>
      </c>
      <c r="AA47" s="2" t="inlineStr">
        <is>
          <t>USD</t>
        </is>
      </c>
      <c r="AB47" s="2" t="inlineStr">
        <is>
          <t>Not stated</t>
        </is>
      </c>
      <c r="AC47" s="5" t="n"/>
      <c r="AD47" s="2" t="inlineStr">
        <is>
          <t>Fin: represented; DD required: substantive (30 days); DD open: yes; Excl: not stated</t>
        </is>
      </c>
      <c r="AE47" s="4" t="n"/>
      <c r="AF47" s="2" t="inlineStr"/>
      <c r="AG47" s="2" t="inlineStr"/>
      <c r="AH47" s="2" t="inlineStr"/>
      <c r="AI47" s="2" t="inlineStr"/>
      <c r="AJ47" s="2" t="inlineStr"/>
      <c r="AK47" s="2" t="n">
        <v>30</v>
      </c>
      <c r="AL47" s="2" t="inlineStr">
        <is>
          <t>revises R030; Support: R033 (Party F, financing)</t>
        </is>
      </c>
      <c r="AM47" s="2" t="inlineStr">
        <is>
          <t>PWRR–G&amp;W</t>
        </is>
      </c>
    </row>
    <row r="48">
      <c r="A48" s="2" t="n">
        <v>47</v>
      </c>
      <c r="B48" s="2" t="inlineStr">
        <is>
          <t>08/02/2016</t>
        </is>
      </c>
      <c r="C48" s="2" t="inlineStr">
        <is>
          <t>Party E</t>
        </is>
      </c>
      <c r="D48" s="2" t="inlineStr">
        <is>
          <t>Bid reaffirmed</t>
        </is>
      </c>
      <c r="E48" s="2" t="n">
        <v>1</v>
      </c>
      <c r="F48" s="2" t="n">
        <v>3</v>
      </c>
      <c r="G48" s="2" t="inlineStr">
        <is>
          <t>Strategic</t>
        </is>
      </c>
      <c r="H48" s="2" t="inlineStr">
        <is>
          <t>Bid reversion: withdrew its 08/01/2016 revised $23.81 proposal but confirmed its original $21.26 proposal, whose conditions (60-day exclusivity for diligence and definitive documentation) stand. Not a process withdrawal.</t>
        </is>
      </c>
      <c r="I48" s="2" t="inlineStr">
        <is>
          <t>Informal</t>
        </is>
      </c>
      <c r="J48" s="2" t="inlineStr">
        <is>
          <t>Heavy</t>
        </is>
      </c>
      <c r="K48" s="2" t="inlineStr">
        <is>
          <t>Stated: “Party E withdrew its revised proposal on August 2, 2016 (but confirmed its original proposal of $21.26 per share)” (p.30). Price carried forward from R030 (identified earlier row; not a new price observation). Formality: Informal — never established as Formal. Conditions: Heavy — the original LOI's stated 60-day exclusive diligence period carries with the confirmed proposal; DD open not disclosed for this date.</t>
        </is>
      </c>
      <c r="L48" s="3" t="inlineStr">
        <is>
          <t>P-024</t>
        </is>
      </c>
      <c r="M48" s="2" t="inlineStr">
        <is>
          <t>Q4; Q5</t>
        </is>
      </c>
      <c r="N48" s="2" t="inlineStr"/>
      <c r="O48" s="2" t="inlineStr">
        <is>
          <t>R047</t>
        </is>
      </c>
      <c r="P48" s="2" t="inlineStr">
        <is>
          <t>Yes</t>
        </is>
      </c>
      <c r="Q48" s="2" t="n">
        <v>0</v>
      </c>
      <c r="R48" s="4" t="n">
        <v>42584</v>
      </c>
      <c r="S48" s="4" t="n">
        <v>42584</v>
      </c>
      <c r="T48" s="4" t="n">
        <v>42584</v>
      </c>
      <c r="U48" s="2" t="inlineStr">
        <is>
          <t>Reported day</t>
        </is>
      </c>
      <c r="V48" s="2" t="inlineStr">
        <is>
          <t>Reported</t>
        </is>
      </c>
      <c r="W48" s="5" t="n">
        <v>21.26</v>
      </c>
      <c r="X48" s="5" t="n">
        <v>21.26</v>
      </c>
      <c r="Y48" s="2" t="inlineStr">
        <is>
          <t>Point</t>
        </is>
      </c>
      <c r="Z48" s="2" t="inlineStr">
        <is>
          <t>Carried forward</t>
        </is>
      </c>
      <c r="AA48" s="2" t="inlineStr">
        <is>
          <t>USD</t>
        </is>
      </c>
      <c r="AB48" s="2" t="inlineStr">
        <is>
          <t>Not stated</t>
        </is>
      </c>
      <c r="AC48" s="5" t="n"/>
      <c r="AD48" s="2" t="inlineStr">
        <is>
          <t>Fin: not stated; DD required: substantive (60 days); DD open: not disclosed; Excl: requested (60 days)</t>
        </is>
      </c>
      <c r="AE48" s="4" t="n"/>
      <c r="AF48" s="2" t="inlineStr"/>
      <c r="AG48" s="2" t="inlineStr"/>
      <c r="AH48" s="2" t="inlineStr"/>
      <c r="AI48" s="2" t="inlineStr"/>
      <c r="AJ48" s="2" t="inlineStr"/>
      <c r="AK48" s="2" t="n">
        <v>30</v>
      </c>
      <c r="AL48" s="2" t="inlineStr">
        <is>
          <t>reverts to R030; withdraws R046; Count 0 (same bidder and round as R046)</t>
        </is>
      </c>
      <c r="AM48" s="2" t="inlineStr">
        <is>
          <t>PWRR–G&amp;W</t>
        </is>
      </c>
    </row>
    <row r="49">
      <c r="A49" s="2" t="n">
        <v>48</v>
      </c>
      <c r="B49" s="2" t="inlineStr">
        <is>
          <t>08/02/2016</t>
        </is>
      </c>
      <c r="C49" s="2" t="inlineStr">
        <is>
          <t>Party D</t>
        </is>
      </c>
      <c r="D49" s="2" t="inlineStr">
        <is>
          <t>Withdrew</t>
        </is>
      </c>
      <c r="E49" s="2" t="n">
        <v>1</v>
      </c>
      <c r="F49" s="2" t="n">
        <v>3</v>
      </c>
      <c r="G49" s="2" t="inlineStr">
        <is>
          <t>Financial</t>
        </is>
      </c>
      <c r="H49" s="2" t="inlineStr">
        <is>
          <t>Declined to shorten its 30-day diligence and requested a commitment that the Company not sign with another bidder during that period; the Company declined (active interest of Party B and G&amp;W); Party D then indicated it would not proceed with further diligence at that time. Stage left: Round 3.</t>
        </is>
      </c>
      <c r="I49" s="2" t="inlineStr"/>
      <c r="J49" s="2" t="inlineStr"/>
      <c r="K49" s="2" t="inlineStr">
        <is>
          <t>Stated: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 (p.30). Bidder-side decision not to continue; read as a withdrawal (Bidder), not a temporary pause, though the filing says 'at that time' (alternative flagged, Q4). Exit reason Terms or process: the unavailable no-sign commitment, not price.</t>
        </is>
      </c>
      <c r="L49" s="3" t="inlineStr">
        <is>
          <t>P-024</t>
        </is>
      </c>
      <c r="M49" s="2" t="inlineStr">
        <is>
          <t>Q4</t>
        </is>
      </c>
      <c r="N49" s="2" t="inlineStr"/>
      <c r="O49" s="2" t="inlineStr">
        <is>
          <t>R048</t>
        </is>
      </c>
      <c r="P49" s="2" t="inlineStr">
        <is>
          <t>Yes</t>
        </is>
      </c>
      <c r="Q49" s="2" t="n">
        <v>1</v>
      </c>
      <c r="R49" s="4" t="n">
        <v>42584</v>
      </c>
      <c r="S49" s="4" t="n">
        <v>42584</v>
      </c>
      <c r="T49" s="4" t="n">
        <v>42584</v>
      </c>
      <c r="U49" s="2" t="inlineStr">
        <is>
          <t>Reported day</t>
        </is>
      </c>
      <c r="V49" s="2" t="inlineStr">
        <is>
          <t>Reported</t>
        </is>
      </c>
      <c r="W49" s="5" t="n"/>
      <c r="X49" s="5" t="n"/>
      <c r="Y49" s="2" t="inlineStr"/>
      <c r="Z49" s="2" t="inlineStr"/>
      <c r="AA49" s="2" t="inlineStr"/>
      <c r="AB49" s="2" t="inlineStr"/>
      <c r="AC49" s="5" t="n"/>
      <c r="AD49" s="2" t="inlineStr"/>
      <c r="AE49" s="4" t="n"/>
      <c r="AF49" s="2" t="inlineStr"/>
      <c r="AG49" s="2" t="inlineStr"/>
      <c r="AH49" s="2" t="inlineStr">
        <is>
          <t>Bidder</t>
        </is>
      </c>
      <c r="AI49" s="2" t="inlineStr">
        <is>
          <t>Terms or process</t>
        </is>
      </c>
      <c r="AJ49" s="2" t="inlineStr">
        <is>
          <t>Stated</t>
        </is>
      </c>
      <c r="AK49" s="2" t="n">
        <v>30</v>
      </c>
      <c r="AL49" s="2" t="inlineStr">
        <is>
          <t>closes R044</t>
        </is>
      </c>
      <c r="AM49" s="2" t="inlineStr">
        <is>
          <t>PWRR–G&amp;W</t>
        </is>
      </c>
    </row>
    <row r="50">
      <c r="A50" s="2" t="n">
        <v>49</v>
      </c>
      <c r="B50" s="2" t="inlineStr">
        <is>
          <t>08/04/2016</t>
        </is>
      </c>
      <c r="C50" s="2" t="inlineStr">
        <is>
          <t>Party B</t>
        </is>
      </c>
      <c r="D50" s="2" t="inlineStr">
        <is>
          <t>Bid reaffirmed</t>
        </is>
      </c>
      <c r="E50" s="2" t="n">
        <v>1</v>
      </c>
      <c r="F50" s="2" t="n">
        <v>3</v>
      </c>
      <c r="G50" s="2" t="inlineStr">
        <is>
          <t>Strategic</t>
        </is>
      </c>
      <c r="H50" s="2" t="inlineStr">
        <is>
          <t>Reaffirmed by: returned draft — Party B's legal counsel returned a revised merger-agreement draft while the Company was finalizing an agreement with Party B (committee direction 08/04/2016 to prioritize and complete negotiation with Party B); $24.00 carried forward from R029. On-site diligence continued to 08/11/2016. Flagged for review (late reconfirmation).</t>
        </is>
      </c>
      <c r="I50" s="2" t="inlineStr">
        <is>
          <t>Formal</t>
        </is>
      </c>
      <c r="J50" s="2" t="inlineStr">
        <is>
          <t>Light</t>
        </is>
      </c>
      <c r="K50" s="2" t="inlineStr">
        <is>
          <t>Stated: “On August 4, 2016, legal counsel for Party B provided a revised draft of the merger agreement and, following negotiations between their respective legal counsels, the Company provided Party B with a revised draft of the merger agreement and disclosure letter on August 5, 2016.” (p.31),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(p.31) and “From July 27, 2016 through August 11, 2016, Party B and G&amp;W conducted on-site financial, legal and environmental due diligence, including hi-rail trips to inspect the Company’s track infrastructure.” (p.31). Conditions: Light — the only condition Party B attached was an expedited diligence review; DD open: yes (on-site through 08/11/2016). A returned draft does not itself show diligence or financing conditions have fallen away; the price is not restated as a new observation (Q5).</t>
        </is>
      </c>
      <c r="L50" s="3" t="inlineStr">
        <is>
          <t>P-026; P-027</t>
        </is>
      </c>
      <c r="M50" s="2" t="inlineStr">
        <is>
          <t>Q5</t>
        </is>
      </c>
      <c r="N50" s="2" t="inlineStr"/>
      <c r="O50" s="2" t="inlineStr">
        <is>
          <t>R049</t>
        </is>
      </c>
      <c r="P50" s="2" t="inlineStr">
        <is>
          <t>Yes</t>
        </is>
      </c>
      <c r="Q50" s="2" t="n">
        <v>1</v>
      </c>
      <c r="R50" s="4" t="n">
        <v>42586</v>
      </c>
      <c r="S50" s="4" t="n">
        <v>42586</v>
      </c>
      <c r="T50" s="4" t="n">
        <v>42586</v>
      </c>
      <c r="U50" s="2" t="inlineStr">
        <is>
          <t>Reported day</t>
        </is>
      </c>
      <c r="V50" s="2" t="inlineStr">
        <is>
          <t>Reported</t>
        </is>
      </c>
      <c r="W50" s="5" t="n">
        <v>24</v>
      </c>
      <c r="X50" s="5" t="n">
        <v>24</v>
      </c>
      <c r="Y50" s="2" t="inlineStr">
        <is>
          <t>Point</t>
        </is>
      </c>
      <c r="Z50" s="2" t="inlineStr">
        <is>
          <t>Carried forward</t>
        </is>
      </c>
      <c r="AA50" s="2" t="inlineStr">
        <is>
          <t>USD</t>
        </is>
      </c>
      <c r="AB50" s="2" t="inlineStr">
        <is>
          <t>Not stated</t>
        </is>
      </c>
      <c r="AC50" s="5" t="n"/>
      <c r="AD50" s="2" t="inlineStr">
        <is>
          <t>Fin: not stated; DD required: confirmatory; DD open: yes; Excl: not stated</t>
        </is>
      </c>
      <c r="AE50" s="4" t="n"/>
      <c r="AF50" s="2" t="inlineStr"/>
      <c r="AG50" s="2" t="inlineStr"/>
      <c r="AH50" s="2" t="inlineStr"/>
      <c r="AI50" s="2" t="inlineStr"/>
      <c r="AJ50" s="2" t="inlineStr"/>
      <c r="AK50" s="2" t="n">
        <v>31</v>
      </c>
      <c r="AL50" s="2" t="inlineStr">
        <is>
          <t>reaffirms R029</t>
        </is>
      </c>
      <c r="AM50" s="2" t="inlineStr">
        <is>
          <t>PWRR–G&amp;W</t>
        </is>
      </c>
    </row>
    <row r="51">
      <c r="A51" s="2" t="n">
        <v>50</v>
      </c>
      <c r="B51" s="2" t="inlineStr">
        <is>
          <t>08/09/2016</t>
        </is>
      </c>
      <c r="C51" s="2" t="inlineStr">
        <is>
          <t>Transaction Committee</t>
        </is>
      </c>
      <c r="D51" s="2" t="inlineStr">
        <is>
          <t>Target decision</t>
        </is>
      </c>
      <c r="E51" s="2" t="n">
        <v>1</v>
      </c>
      <c r="F51" s="2" t="n">
        <v>3</v>
      </c>
      <c r="G51" s="2" t="inlineStr"/>
      <c r="H51" s="2" t="inlineStr">
        <is>
          <t>Committee directed BMO to tell G&amp;W the Company intended to enter into a merger agreement with another bidder (Party B); G&amp;W asked to continue diligence on 08/10-08/11/2016 to potentially facilitate an improved offer, which was granted.</t>
        </is>
      </c>
      <c r="I51" s="2" t="inlineStr"/>
      <c r="J51" s="2" t="inlineStr"/>
      <c r="K51" s="2" t="inlineStr">
        <is>
          <t>Stated: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(p.31). Preferred-bidder decision; continuing diligence for G&amp;W was allowed and produced the 08/12/2016 revised LOI (R053).</t>
        </is>
      </c>
      <c r="L51" s="3" t="inlineStr">
        <is>
          <t>P-027</t>
        </is>
      </c>
      <c r="M51" s="2" t="inlineStr"/>
      <c r="N51" s="2" t="inlineStr"/>
      <c r="O51" s="2" t="inlineStr">
        <is>
          <t>R050</t>
        </is>
      </c>
      <c r="P51" s="2" t="inlineStr">
        <is>
          <t>Yes</t>
        </is>
      </c>
      <c r="Q51" s="2" t="n"/>
      <c r="R51" s="4" t="n">
        <v>42591</v>
      </c>
      <c r="S51" s="4" t="n">
        <v>42591</v>
      </c>
      <c r="T51" s="4" t="n">
        <v>42591</v>
      </c>
      <c r="U51" s="2" t="inlineStr">
        <is>
          <t>Reported day</t>
        </is>
      </c>
      <c r="V51" s="2" t="inlineStr">
        <is>
          <t>Reported</t>
        </is>
      </c>
      <c r="W51" s="5" t="n"/>
      <c r="X51" s="5" t="n"/>
      <c r="Y51" s="2" t="inlineStr"/>
      <c r="Z51" s="2" t="inlineStr"/>
      <c r="AA51" s="2" t="inlineStr"/>
      <c r="AB51" s="2" t="inlineStr"/>
      <c r="AC51" s="5" t="n"/>
      <c r="AD51" s="2" t="inlineStr"/>
      <c r="AE51" s="4" t="n"/>
      <c r="AF51" s="2" t="inlineStr"/>
      <c r="AG51" s="2" t="inlineStr"/>
      <c r="AH51" s="2" t="inlineStr"/>
      <c r="AI51" s="2" t="inlineStr"/>
      <c r="AJ51" s="2" t="inlineStr"/>
      <c r="AK51" s="2" t="n">
        <v>31</v>
      </c>
      <c r="AL51" s="2" t="inlineStr">
        <is>
          <t>leads to R053</t>
        </is>
      </c>
      <c r="AM51" s="2" t="inlineStr">
        <is>
          <t>PWRR–G&amp;W</t>
        </is>
      </c>
    </row>
    <row r="52">
      <c r="A52" s="2" t="n">
        <v>51</v>
      </c>
      <c r="B52" s="2" t="inlineStr">
        <is>
          <t>Service first observed 08/10/2016 (retention date not disclosed)</t>
        </is>
      </c>
      <c r="C52" s="2" t="inlineStr">
        <is>
          <t>Simpson Thacher &amp; Bartlett LLP (G&amp;W legal counsel)</t>
        </is>
      </c>
      <c r="D52" s="2" t="inlineStr">
        <is>
          <t>Adviser service observed</t>
        </is>
      </c>
      <c r="E52" s="2" t="n">
        <v>1</v>
      </c>
      <c r="F52" s="2" t="n">
        <v>3</v>
      </c>
      <c r="G52" s="2" t="inlineStr"/>
      <c r="H52" s="2" t="inlineStr">
        <is>
          <t>G&amp;W's legal counsel; negotiated merger-agreement and disclosure-letter provisions with Hinckley Allen and participated in finalizing documents through signing on 08/12/2016.</t>
        </is>
      </c>
      <c r="I52" s="2" t="inlineStr"/>
      <c r="J52" s="2" t="inlineStr"/>
      <c r="K52" s="2" t="inlineStr">
        <is>
          <t>Stated: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(p.31). Adviser service observed at the earliest supported service date; the filing does not disclose G&amp;W's financial adviser (Summary).</t>
        </is>
      </c>
      <c r="L52" s="3" t="inlineStr">
        <is>
          <t>P-027</t>
        </is>
      </c>
      <c r="M52" s="2" t="inlineStr"/>
      <c r="N52" s="2" t="inlineStr"/>
      <c r="O52" s="2" t="inlineStr">
        <is>
          <t>R051</t>
        </is>
      </c>
      <c r="P52" s="2" t="inlineStr">
        <is>
          <t>Yes</t>
        </is>
      </c>
      <c r="Q52" s="2" t="n"/>
      <c r="R52" s="4" t="n">
        <v>42592</v>
      </c>
      <c r="S52" s="4" t="n">
        <v>42592</v>
      </c>
      <c r="T52" s="4" t="n">
        <v>42592</v>
      </c>
      <c r="U52" s="2" t="inlineStr">
        <is>
          <t>Reported day</t>
        </is>
      </c>
      <c r="V52" s="2" t="inlineStr">
        <is>
          <t>Reported</t>
        </is>
      </c>
      <c r="W52" s="5" t="n"/>
      <c r="X52" s="5" t="n"/>
      <c r="Y52" s="2" t="inlineStr"/>
      <c r="Z52" s="2" t="inlineStr"/>
      <c r="AA52" s="2" t="inlineStr"/>
      <c r="AB52" s="2" t="inlineStr"/>
      <c r="AC52" s="5" t="n"/>
      <c r="AD52" s="2" t="inlineStr"/>
      <c r="AE52" s="4" t="n"/>
      <c r="AF52" s="2" t="inlineStr"/>
      <c r="AG52" s="2" t="inlineStr"/>
      <c r="AH52" s="2" t="inlineStr"/>
      <c r="AI52" s="2" t="inlineStr"/>
      <c r="AJ52" s="2" t="inlineStr"/>
      <c r="AK52" s="2" t="n">
        <v>31</v>
      </c>
      <c r="AL52" s="2" t="inlineStr"/>
      <c r="AM52" s="2" t="inlineStr">
        <is>
          <t>PWRR–G&amp;W</t>
        </is>
      </c>
    </row>
    <row r="53">
      <c r="A53" s="2" t="n">
        <v>52</v>
      </c>
      <c r="B53" s="2" t="inlineStr">
        <is>
          <t>08/12/2016 (call date; counsel unnamed)</t>
        </is>
      </c>
      <c r="C53" s="2" t="inlineStr">
        <is>
          <t>Unnamed STB counsel (Company)</t>
        </is>
      </c>
      <c r="D53" s="2" t="inlineStr">
        <is>
          <t>Adviser service observed</t>
        </is>
      </c>
      <c r="E53" s="2" t="n">
        <v>1</v>
      </c>
      <c r="F53" s="2" t="n">
        <v>3</v>
      </c>
      <c r="G53" s="2" t="inlineStr"/>
      <c r="H53" s="2" t="inlineStr">
        <is>
          <t>Regulatory counsel; advised the Board during the 08/12/2016 meeting on STB approval paths, voting-trust use and timing for a transaction with either finalist.</t>
        </is>
      </c>
      <c r="I53" s="2" t="inlineStr"/>
      <c r="J53" s="2" t="inlineStr"/>
      <c r="K53" s="2" t="inlineStr">
        <is>
          <t>Stated: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(p.32). The filing does not name the firm; recorded generically as the Company's STB counsel (an unnamed firm is not inferred to be a later-named adviser).</t>
        </is>
      </c>
      <c r="L53" s="3" t="inlineStr">
        <is>
          <t>P-031</t>
        </is>
      </c>
      <c r="M53" s="2" t="inlineStr"/>
      <c r="N53" s="2" t="inlineStr"/>
      <c r="O53" s="2" t="inlineStr">
        <is>
          <t>R052</t>
        </is>
      </c>
      <c r="P53" s="2" t="inlineStr">
        <is>
          <t>Yes</t>
        </is>
      </c>
      <c r="Q53" s="2" t="n"/>
      <c r="R53" s="4" t="n">
        <v>42594</v>
      </c>
      <c r="S53" s="4" t="n">
        <v>42594</v>
      </c>
      <c r="T53" s="4" t="n">
        <v>42594</v>
      </c>
      <c r="U53" s="2" t="inlineStr">
        <is>
          <t>Reported day</t>
        </is>
      </c>
      <c r="V53" s="2" t="inlineStr">
        <is>
          <t>Reported</t>
        </is>
      </c>
      <c r="W53" s="5" t="n"/>
      <c r="X53" s="5" t="n"/>
      <c r="Y53" s="2" t="inlineStr"/>
      <c r="Z53" s="2" t="inlineStr"/>
      <c r="AA53" s="2" t="inlineStr"/>
      <c r="AB53" s="2" t="inlineStr"/>
      <c r="AC53" s="5" t="n"/>
      <c r="AD53" s="2" t="inlineStr"/>
      <c r="AE53" s="4" t="n"/>
      <c r="AF53" s="2" t="inlineStr"/>
      <c r="AG53" s="2" t="inlineStr"/>
      <c r="AH53" s="2" t="inlineStr"/>
      <c r="AI53" s="2" t="inlineStr"/>
      <c r="AJ53" s="2" t="inlineStr"/>
      <c r="AK53" s="2" t="n">
        <v>32</v>
      </c>
      <c r="AL53" s="2" t="inlineStr"/>
      <c r="AM53" s="2" t="inlineStr">
        <is>
          <t>PWRR–G&amp;W</t>
        </is>
      </c>
    </row>
    <row r="54">
      <c r="A54" s="2" t="n">
        <v>53</v>
      </c>
      <c r="B54" s="2" t="inlineStr">
        <is>
          <t>08/12/2016</t>
        </is>
      </c>
      <c r="C54" s="2" t="inlineStr">
        <is>
          <t>G&amp;W</t>
        </is>
      </c>
      <c r="D54" s="2" t="inlineStr">
        <is>
          <t>Bid</t>
        </is>
      </c>
      <c r="E54" s="2" t="n">
        <v>1</v>
      </c>
      <c r="F54" s="2" t="n">
        <v>3</v>
      </c>
      <c r="G54" s="2" t="inlineStr">
        <is>
          <t>Strategic</t>
        </is>
      </c>
      <c r="H54" s="2" t="inlineStr">
        <is>
          <t>Revised LOI at $25.00 per share in cash, excluding the earlier CVR, with mark-ups of the merger agreement and voting agreement (disclosure-letter mark-up followed the same day); offer to expire at 6:00 p.m. on 08/13/2016. Signalled on 08/11/2016 after completing physical diligence.</t>
        </is>
      </c>
      <c r="I54" s="2" t="inlineStr">
        <is>
          <t>Formal</t>
        </is>
      </c>
      <c r="J54" s="2" t="inlineStr">
        <is>
          <t>Light</t>
        </is>
      </c>
      <c r="K54" s="2" t="inlineStr">
        <is>
          <t>Stated: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(p.31) and “On August 11, 2016, G&amp;W indicated its possible intention to submit a revised LOI on August 12, 2016, having just completed its physical diligence of the Company’s track infrastructure.” (p.31). Formality: Formal — returned agreement markups (signal 1). Conditions: Light — diligence completed (DD open: no), documents still being negotiated to signing; no financing condition in the executed agreement and G&amp;W represented its financial wherewithal (X-015). All cash Yes; $25.00 fixed at closing; CVR removed. Alternative None reading flagged (Q5, Q6).</t>
        </is>
      </c>
      <c r="L54" s="3" t="inlineStr">
        <is>
          <t>P-027; P-028; X-015</t>
        </is>
      </c>
      <c r="M54" s="2" t="inlineStr">
        <is>
          <t>Q5; Q6</t>
        </is>
      </c>
      <c r="N54" s="2" t="inlineStr"/>
      <c r="O54" s="2" t="inlineStr">
        <is>
          <t>R053</t>
        </is>
      </c>
      <c r="P54" s="2" t="inlineStr">
        <is>
          <t>Yes</t>
        </is>
      </c>
      <c r="Q54" s="2" t="n">
        <v>1</v>
      </c>
      <c r="R54" s="4" t="n">
        <v>42594</v>
      </c>
      <c r="S54" s="4" t="n">
        <v>42594</v>
      </c>
      <c r="T54" s="4" t="n">
        <v>42594</v>
      </c>
      <c r="U54" s="2" t="inlineStr">
        <is>
          <t>Reported day</t>
        </is>
      </c>
      <c r="V54" s="2" t="inlineStr">
        <is>
          <t>Reported</t>
        </is>
      </c>
      <c r="W54" s="5" t="n">
        <v>25</v>
      </c>
      <c r="X54" s="5" t="n">
        <v>25</v>
      </c>
      <c r="Y54" s="2" t="inlineStr">
        <is>
          <t>Point</t>
        </is>
      </c>
      <c r="Z54" s="2" t="inlineStr">
        <is>
          <t>Stated</t>
        </is>
      </c>
      <c r="AA54" s="2" t="inlineStr">
        <is>
          <t>USD</t>
        </is>
      </c>
      <c r="AB54" s="2" t="inlineStr">
        <is>
          <t>Yes</t>
        </is>
      </c>
      <c r="AC54" s="5" t="n">
        <v>25</v>
      </c>
      <c r="AD54" s="2" t="inlineStr">
        <is>
          <t>Fin: no contingency; DD required: none; DD open: no; Excl: not stated</t>
        </is>
      </c>
      <c r="AE54" s="4" t="n"/>
      <c r="AF54" s="2" t="inlineStr"/>
      <c r="AG54" s="2" t="inlineStr"/>
      <c r="AH54" s="2" t="inlineStr"/>
      <c r="AI54" s="2" t="inlineStr"/>
      <c r="AJ54" s="2" t="inlineStr"/>
      <c r="AK54" s="2" t="n">
        <v>31</v>
      </c>
      <c r="AL54" s="2" t="inlineStr">
        <is>
          <t>revises R037; accepted at R056</t>
        </is>
      </c>
      <c r="AM54" s="2" t="inlineStr">
        <is>
          <t>PWRR–G&amp;W</t>
        </is>
      </c>
    </row>
    <row r="55">
      <c r="A55" s="2" t="n">
        <v>54</v>
      </c>
      <c r="B55" s="2" t="inlineStr">
        <is>
          <t>08/12/2016</t>
        </is>
      </c>
      <c r="C55" s="2" t="inlineStr">
        <is>
          <t>Party B</t>
        </is>
      </c>
      <c r="D55" s="2" t="inlineStr">
        <is>
          <t>Not selected at signing</t>
        </is>
      </c>
      <c r="E55" s="2" t="n">
        <v>1</v>
      </c>
      <c r="F55" s="2" t="n">
        <v>3</v>
      </c>
      <c r="G55" s="2" t="inlineStr">
        <is>
          <t>Strategic</t>
        </is>
      </c>
      <c r="H55" s="2" t="inlineStr">
        <is>
          <t>Still-live finalist: asked by BMO (at the Board's request) whether it would increase its price and it declined; the Board then determined the G&amp;W offer was the superior proposal and signed with G&amp;W. Diligence had ended 08/11/2016. Stage left: Round 3.</t>
        </is>
      </c>
      <c r="I55" s="2" t="inlineStr"/>
      <c r="J55" s="2" t="inlineStr"/>
      <c r="K55" s="2" t="inlineStr">
        <is>
          <t>Stated: “At the request of the Board, representatives of BMO then contacted Party B to determine if it would increase its offer price. Party B indicated that it would not increase its price.” (p.32) and “The Board determined that the G&amp;W offer represented the superior proposal.” (p.32). Outcome basis Stated (the bidder was still bidding when the target chose another). Exit reason Would not improve earlier offer, while actual selection agency is the target's.</t>
        </is>
      </c>
      <c r="L55" s="3" t="inlineStr">
        <is>
          <t>P-031; P-032</t>
        </is>
      </c>
      <c r="M55" s="2" t="inlineStr">
        <is>
          <t>Q4</t>
        </is>
      </c>
      <c r="N55" s="2" t="inlineStr"/>
      <c r="O55" s="2" t="inlineStr">
        <is>
          <t>R054</t>
        </is>
      </c>
      <c r="P55" s="2" t="inlineStr">
        <is>
          <t>Yes</t>
        </is>
      </c>
      <c r="Q55" s="2" t="n">
        <v>1</v>
      </c>
      <c r="R55" s="4" t="n">
        <v>42594</v>
      </c>
      <c r="S55" s="4" t="n">
        <v>42594</v>
      </c>
      <c r="T55" s="4" t="n">
        <v>42594</v>
      </c>
      <c r="U55" s="2" t="inlineStr">
        <is>
          <t>Reported day</t>
        </is>
      </c>
      <c r="V55" s="2" t="inlineStr">
        <is>
          <t>Reported</t>
        </is>
      </c>
      <c r="W55" s="5" t="n"/>
      <c r="X55" s="5" t="n"/>
      <c r="Y55" s="2" t="inlineStr"/>
      <c r="Z55" s="2" t="inlineStr"/>
      <c r="AA55" s="2" t="inlineStr"/>
      <c r="AB55" s="2" t="inlineStr"/>
      <c r="AC55" s="5" t="n"/>
      <c r="AD55" s="2" t="inlineStr"/>
      <c r="AE55" s="4" t="n"/>
      <c r="AF55" s="2" t="inlineStr"/>
      <c r="AG55" s="2" t="inlineStr"/>
      <c r="AH55" s="2" t="inlineStr">
        <is>
          <t>Target</t>
        </is>
      </c>
      <c r="AI55" s="2" t="inlineStr">
        <is>
          <t>Would not improve earlier offer</t>
        </is>
      </c>
      <c r="AJ55" s="2" t="inlineStr">
        <is>
          <t>Stated</t>
        </is>
      </c>
      <c r="AK55" s="2" t="n">
        <v>32</v>
      </c>
      <c r="AL55" s="2" t="inlineStr">
        <is>
          <t>after R049</t>
        </is>
      </c>
      <c r="AM55" s="2" t="inlineStr">
        <is>
          <t>PWRR–G&amp;W</t>
        </is>
      </c>
    </row>
    <row r="56">
      <c r="A56" s="2" t="n">
        <v>55</v>
      </c>
      <c r="B56" s="2" t="inlineStr">
        <is>
          <t>by 08/12/2016</t>
        </is>
      </c>
      <c r="C56" s="2" t="inlineStr">
        <is>
          <t>Party E</t>
        </is>
      </c>
      <c r="D56" s="2" t="inlineStr">
        <is>
          <t>Not selected at signing</t>
        </is>
      </c>
      <c r="E56" s="2" t="n">
        <v>1</v>
      </c>
      <c r="F56" s="2" t="n">
        <v>3</v>
      </c>
      <c r="G56" s="2" t="inlineStr">
        <is>
          <t>Strategic</t>
        </is>
      </c>
      <c r="H56" s="2" t="inlineStr">
        <is>
          <t>Inferred: silent — last reported act was confirming its original $21.26 proposal on 08/02/2016 (R047) after withdrawing its revised proposal; never mentioned again before signing. Stage left: Round 3.</t>
        </is>
      </c>
      <c r="I56" s="2" t="inlineStr"/>
      <c r="J56" s="2" t="inlineStr"/>
      <c r="K56" s="2" t="inlineStr">
        <is>
          <t>Inferred: “Party E withdrew its revised proposal on August 2, 2016 (but confirmed its original proposal of $21.26 per share)” (p.30) is its last appearance; no notice of exclusion or withdrawal after it is reported. The row records only that Party E was out by signing, not how or why (Q4).</t>
        </is>
      </c>
      <c r="L56" s="3" t="inlineStr">
        <is>
          <t>P-024; P-033</t>
        </is>
      </c>
      <c r="M56" s="2" t="inlineStr">
        <is>
          <t>Q4</t>
        </is>
      </c>
      <c r="N56" s="2" t="inlineStr"/>
      <c r="O56" s="2" t="inlineStr">
        <is>
          <t>R055</t>
        </is>
      </c>
      <c r="P56" s="2" t="inlineStr">
        <is>
          <t>Yes</t>
        </is>
      </c>
      <c r="Q56" s="2" t="n">
        <v>1</v>
      </c>
      <c r="R56" s="4" t="n"/>
      <c r="S56" s="4" t="n">
        <v>42594</v>
      </c>
      <c r="T56" s="4" t="n">
        <v>42594</v>
      </c>
      <c r="U56" s="2" t="inlineStr">
        <is>
          <t>Relative only</t>
        </is>
      </c>
      <c r="V56" s="2" t="inlineStr">
        <is>
          <t>Assigned: bound</t>
        </is>
      </c>
      <c r="W56" s="5" t="n"/>
      <c r="X56" s="5" t="n"/>
      <c r="Y56" s="2" t="inlineStr"/>
      <c r="Z56" s="2" t="inlineStr"/>
      <c r="AA56" s="2" t="inlineStr"/>
      <c r="AB56" s="2" t="inlineStr"/>
      <c r="AC56" s="5" t="n"/>
      <c r="AD56" s="2" t="inlineStr"/>
      <c r="AE56" s="4" t="n"/>
      <c r="AF56" s="2" t="inlineStr"/>
      <c r="AG56" s="2" t="inlineStr"/>
      <c r="AH56" s="2" t="inlineStr">
        <is>
          <t>Unknown</t>
        </is>
      </c>
      <c r="AI56" s="2" t="inlineStr">
        <is>
          <t>Not stated</t>
        </is>
      </c>
      <c r="AJ56" s="2" t="inlineStr">
        <is>
          <t>Inferred: silent</t>
        </is>
      </c>
      <c r="AK56" s="2" t="n">
        <v>30</v>
      </c>
      <c r="AL56" s="2" t="inlineStr"/>
      <c r="AM56" s="2" t="inlineStr">
        <is>
          <t>PWRR–G&amp;W</t>
        </is>
      </c>
    </row>
    <row r="57">
      <c r="A57" s="2" t="n">
        <v>56</v>
      </c>
      <c r="B57" s="2" t="inlineStr">
        <is>
          <t>08/12/2016</t>
        </is>
      </c>
      <c r="C57" s="2" t="inlineStr">
        <is>
          <t>PWRR and G&amp;W (with Merger Sub)</t>
        </is>
      </c>
      <c r="D57" s="2" t="inlineStr">
        <is>
          <t>Merger agreement signed</t>
        </is>
      </c>
      <c r="E57" s="2" t="n">
        <v>1</v>
      </c>
      <c r="F57" s="2" t="n">
        <v>3</v>
      </c>
      <c r="G57" s="2" t="inlineStr"/>
      <c r="H57" s="2" t="inlineStr">
        <is>
          <t>Agreed consideration $25.00 per share in cash (preferred converts 100-for-1 plus accrued/unpaid dividends); Board approval (Director Smith recused) after BMO's oral fairness opinion of the same date; Eder Trusts (842,742 common; 500 preferred) executed a voting agreement with G&amp;W and the Company; termination fee $3,785,000; no go-shop; outside date 12/31/2016 (02/28/2017 if only STB approval remains). Signing is not process termination and is not a new bid.</t>
        </is>
      </c>
      <c r="I57" s="2" t="inlineStr"/>
      <c r="J57" s="2" t="inlineStr"/>
      <c r="K57" s="2" t="inlineStr">
        <is>
          <t>Stated: “Shortly thereafter, Hinckley Allen and Simpson Thacher finalized the transaction documents and the Company and G&amp;W executed the merger agreement, and the Company, G&amp;W and the Eder Trusts executed the voting agreement.” (p.32),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(p.32), “The Board determined that the G&amp;W offer represented the superior proposal.” (p.32) and “payment of a termination fee of $3.785 million to G&amp;W” (p.34); G&amp;W draft terms favored the winner: “the termination fee payable by the Company in the event the Board exercised its “fiduciary out” in order to accept a superior proposal was less under the G&amp;W draft agreement than the Party B draft agreement” (p.32). Routine approval/opinion details incorporated here. No go-shop or post-signing competing proposal is reported in the supplied filing.</t>
        </is>
      </c>
      <c r="L57" s="3" t="inlineStr">
        <is>
          <t>P-032; P-033; X-014; X-016; X-026</t>
        </is>
      </c>
      <c r="M57" s="2" t="inlineStr"/>
      <c r="N57" s="2" t="inlineStr"/>
      <c r="O57" s="2" t="inlineStr">
        <is>
          <t>R056</t>
        </is>
      </c>
      <c r="P57" s="2" t="inlineStr">
        <is>
          <t>Yes</t>
        </is>
      </c>
      <c r="Q57" s="2" t="n"/>
      <c r="R57" s="4" t="n">
        <v>42594</v>
      </c>
      <c r="S57" s="4" t="n">
        <v>42594</v>
      </c>
      <c r="T57" s="4" t="n">
        <v>42594</v>
      </c>
      <c r="U57" s="2" t="inlineStr">
        <is>
          <t>Reported day</t>
        </is>
      </c>
      <c r="V57" s="2" t="inlineStr">
        <is>
          <t>Reported</t>
        </is>
      </c>
      <c r="W57" s="5" t="n"/>
      <c r="X57" s="5" t="n"/>
      <c r="Y57" s="2" t="inlineStr"/>
      <c r="Z57" s="2" t="inlineStr"/>
      <c r="AA57" s="2" t="inlineStr"/>
      <c r="AB57" s="2" t="inlineStr"/>
      <c r="AC57" s="5" t="n"/>
      <c r="AD57" s="2" t="inlineStr"/>
      <c r="AE57" s="4" t="n"/>
      <c r="AF57" s="2" t="inlineStr"/>
      <c r="AG57" s="2" t="inlineStr"/>
      <c r="AH57" s="2" t="inlineStr"/>
      <c r="AI57" s="2" t="inlineStr"/>
      <c r="AJ57" s="2" t="inlineStr"/>
      <c r="AK57" s="2" t="n">
        <v>32</v>
      </c>
      <c r="AL57" s="2" t="inlineStr">
        <is>
          <t>R053 (accepted); R054; R049; voting agreement noted</t>
        </is>
      </c>
      <c r="AM57" s="2" t="inlineStr">
        <is>
          <t>PWRR–G&amp;W</t>
        </is>
      </c>
    </row>
    <row r="58">
      <c r="A58" s="2" t="n">
        <v>57</v>
      </c>
      <c r="B58" s="2" t="inlineStr">
        <is>
          <t>08/15/2016</t>
        </is>
      </c>
      <c r="C58" s="2" t="inlineStr">
        <is>
          <t>PWRR</t>
        </is>
      </c>
      <c r="D58" s="2" t="inlineStr">
        <is>
          <t>Merger announced</t>
        </is>
      </c>
      <c r="E58" s="2" t="n">
        <v>1</v>
      </c>
      <c r="F58" s="2" t="n">
        <v>3</v>
      </c>
      <c r="G58" s="2" t="inlineStr"/>
      <c r="H58" s="2" t="inlineStr">
        <is>
          <t>Press release publicly announced the transaction on Monday 08/15/2016 before the opening of trading of the common stock on NASDAQ. Separate from signing (08/12/2016).</t>
        </is>
      </c>
      <c r="I58" s="2" t="inlineStr"/>
      <c r="J58" s="2" t="inlineStr"/>
      <c r="K58" s="2" t="inlineStr">
        <is>
          <t>Stated: “The Company issued a press release publicly announcing the transaction on Monday, August 15, 2016 prior to the opening of trading of the Company’s common stock on the NASDAQ.” (p.32). Publicity occurred after signing; no earlier sale-process announcement is reported.</t>
        </is>
      </c>
      <c r="L58" s="3" t="inlineStr">
        <is>
          <t>P-033</t>
        </is>
      </c>
      <c r="M58" s="2" t="inlineStr"/>
      <c r="N58" s="2" t="inlineStr"/>
      <c r="O58" s="2" t="inlineStr">
        <is>
          <t>R057</t>
        </is>
      </c>
      <c r="P58" s="2" t="inlineStr">
        <is>
          <t>Yes</t>
        </is>
      </c>
      <c r="Q58" s="2" t="n"/>
      <c r="R58" s="4" t="n">
        <v>42597</v>
      </c>
      <c r="S58" s="4" t="n">
        <v>42597</v>
      </c>
      <c r="T58" s="4" t="n">
        <v>42597</v>
      </c>
      <c r="U58" s="2" t="inlineStr">
        <is>
          <t>Reported day</t>
        </is>
      </c>
      <c r="V58" s="2" t="inlineStr">
        <is>
          <t>Reported</t>
        </is>
      </c>
      <c r="W58" s="5" t="n"/>
      <c r="X58" s="5" t="n"/>
      <c r="Y58" s="2" t="inlineStr"/>
      <c r="Z58" s="2" t="inlineStr"/>
      <c r="AA58" s="2" t="inlineStr"/>
      <c r="AB58" s="2" t="inlineStr"/>
      <c r="AC58" s="5" t="n"/>
      <c r="AD58" s="2" t="inlineStr"/>
      <c r="AE58" s="4" t="n"/>
      <c r="AF58" s="2" t="inlineStr"/>
      <c r="AG58" s="2" t="inlineStr"/>
      <c r="AH58" s="2" t="inlineStr"/>
      <c r="AI58" s="2" t="inlineStr"/>
      <c r="AJ58" s="2" t="inlineStr"/>
      <c r="AK58" s="2" t="n">
        <v>32</v>
      </c>
      <c r="AL58" s="2" t="inlineStr"/>
      <c r="AM58" s="2" t="inlineStr">
        <is>
          <t>PWRR–G&amp;W</t>
        </is>
      </c>
    </row>
  </sheetData>
  <autoFilter ref="A1:AM58"/>
  <conditionalFormatting sqref="A2:AM58">
    <cfRule type="expression" priority="1" dxfId="0">
      <formula>AND($O2&lt;&gt;"",ISNA(MATCH($O2,'AI original'!$O:$O,0)))</formula>
    </cfRule>
    <cfRule type="expression" priority="2" dxfId="0">
      <formula>AND($O2&lt;&gt;"",$A2&lt;&gt;INDEX('AI original'!$A:$AM,MATCH($O2,'AI original'!$O:$O,0),COLUMN()))</formula>
    </cfRule>
  </conditionalFormatting>
  <dataValidations count="15">
    <dataValidation sqref="D2:D58" showDropDown="0" showInputMessage="0" showErrorMessage="0" allowBlank="1" type="list">
      <formula1>=EventLabels</formula1>
    </dataValidation>
    <dataValidation sqref="G2:G58" showDropDown="0" showInputMessage="0" showErrorMessage="0" allowBlank="1" type="list">
      <formula1>=TypeList</formula1>
    </dataValidation>
    <dataValidation sqref="I2:I58" showDropDown="0" showInputMessage="0" showErrorMessage="0" allowBlank="1" type="list">
      <formula1>=FormalityList</formula1>
    </dataValidation>
    <dataValidation sqref="J2:J58" showDropDown="0" showInputMessage="0" showErrorMessage="0" allowBlank="1" type="list">
      <formula1>=ConditionsList</formula1>
    </dataValidation>
    <dataValidation sqref="P2:P58" showDropDown="0" showInputMessage="0" showErrorMessage="0" allowBlank="1" type="list">
      <formula1>=IncludeList</formula1>
    </dataValidation>
    <dataValidation sqref="U2:U58" showDropDown="0" showInputMessage="0" showErrorMessage="0" allowBlank="1" type="list">
      <formula1>=DateBasisList</formula1>
    </dataValidation>
    <dataValidation sqref="V2:V58" showDropDown="0" showInputMessage="0" showErrorMessage="0" allowBlank="1" type="list">
      <formula1>=DateMethodList</formula1>
    </dataValidation>
    <dataValidation sqref="Y2:Y58" showDropDown="0" showInputMessage="0" showErrorMessage="0" allowBlank="1" type="list">
      <formula1>=PriceKindList</formula1>
    </dataValidation>
    <dataValidation sqref="Z2:Z58" showDropDown="0" showInputMessage="0" showErrorMessage="0" allowBlank="1" type="list">
      <formula1>=PriceOriginList</formula1>
    </dataValidation>
    <dataValidation sqref="AB2:AB58" showDropDown="0" showInputMessage="0" showErrorMessage="0" allowBlank="1" type="list">
      <formula1>=AllCashList</formula1>
    </dataValidation>
    <dataValidation sqref="AF2:AF58" showDropDown="0" showInputMessage="0" showErrorMessage="0" allowBlank="1" type="list">
      <formula1>=DeadlineTreatList</formula1>
    </dataValidation>
    <dataValidation sqref="AG2:AG58" showDropDown="0" showInputMessage="0" showErrorMessage="0" allowBlank="1" type="list">
      <formula1>=RoundFinalityList</formula1>
    </dataValidation>
    <dataValidation sqref="AH2:AH58" showDropDown="0" showInputMessage="0" showErrorMessage="0" allowBlank="1" type="list">
      <formula1>=DecidedByList</formula1>
    </dataValidation>
    <dataValidation sqref="AI2:AI58" showDropDown="0" showInputMessage="0" showErrorMessage="0" allowBlank="1" type="list">
      <formula1>=ExitReasonList</formula1>
    </dataValidation>
    <dataValidation sqref="AJ2:AJ58" showDropDown="0" showInputMessage="0" showErrorMessage="0" allowBlank="1" type="list">
      <formula1>=OutcomeBasisList</formula1>
    </dataValidation>
  </dataValidations>
  <hyperlinks>
    <hyperlink ref="L2" location="'Source text'!A3" tooltip="Go to P-002 in Source text"/>
    <hyperlink ref="L3" location="'Source text'!A3" tooltip="Go to P-002 in Source text"/>
    <hyperlink ref="L4" location="'Source text'!A3" tooltip="Go to P-002 in Source text"/>
    <hyperlink ref="L5" location="'Source text'!A4" tooltip="Go to P-003 in Source text"/>
    <hyperlink ref="L6" location="'Source text'!A6" tooltip="Go to P-005 in Source text"/>
    <hyperlink ref="L7" location="'Source text'!A7" tooltip="Go to P-006 in Source text"/>
    <hyperlink ref="L8" location="'Source text'!A7" tooltip="Go to P-006 in Source text"/>
    <hyperlink ref="L9" location="'Source text'!A7" tooltip="Go to P-006 in Source text"/>
    <hyperlink ref="L10" location="'Source text'!A7" tooltip="Go to P-006 in Source text"/>
    <hyperlink ref="L11" location="'Source text'!A9" tooltip="Go to P-008 in Source text"/>
    <hyperlink ref="L12" location="'Source text'!A9" tooltip="Go to P-008 in Source text"/>
    <hyperlink ref="L13" location="'Source text'!A7" tooltip="Go to P-006 in Source text"/>
    <hyperlink ref="L14" location="'Source text'!A7" tooltip="Go to P-006 in Source text"/>
    <hyperlink ref="L15" location="'Source text'!A9" tooltip="Go to P-008 in Source text"/>
    <hyperlink ref="L16" location="'Source text'!A11" tooltip="Go to P-010 in Source text"/>
    <hyperlink ref="L17" location="'Source text'!A11" tooltip="Go to P-010 in Source text"/>
    <hyperlink ref="L18" location="'Source text'!A11" tooltip="Go to P-010 in Source text"/>
    <hyperlink ref="L19" location="'Source text'!A12" tooltip="Go to P-011 in Source text"/>
    <hyperlink ref="L20" location="'Source text'!A12" tooltip="Go to P-011 in Source text"/>
    <hyperlink ref="L21" location="'Source text'!A12" tooltip="Go to P-011 in Source text"/>
    <hyperlink ref="L22" location="'Source text'!A12" tooltip="Go to P-011 in Source text"/>
    <hyperlink ref="L23" location="'Source text'!A10" tooltip="Go to P-009 in Source text"/>
    <hyperlink ref="L24" location="'Source text'!A13" tooltip="Go to P-012 in Source text"/>
    <hyperlink ref="L25" location="'Source text'!A15" tooltip="Go to P-014 in Source text"/>
    <hyperlink ref="L26" location="'Source text'!A15" tooltip="Go to P-014 in Source text"/>
    <hyperlink ref="L27" location="'Source text'!A15" tooltip="Go to P-014 in Source text"/>
    <hyperlink ref="L28" location="'Source text'!A15" tooltip="Go to P-014 in Source text"/>
    <hyperlink ref="L29" location="'Source text'!A13" tooltip="Go to P-012 in Source text"/>
    <hyperlink ref="L30" location="'Source text'!A16" tooltip="Go to P-015 in Source text"/>
    <hyperlink ref="L31" location="'Source text'!A19" tooltip="Go to P-018 in Source text"/>
    <hyperlink ref="L32" location="'Source text'!A20" tooltip="Go to P-019 in Source text"/>
    <hyperlink ref="L33" location="'Source text'!A21" tooltip="Go to P-020 in Source text"/>
    <hyperlink ref="L34" location="'Source text'!A22" tooltip="Go to P-021 in Source text"/>
    <hyperlink ref="L35" location="'Source text'!A23" tooltip="Go to P-022 in Source text"/>
    <hyperlink ref="L36" location="'Source text'!A23" tooltip="Go to P-022 in Source text"/>
    <hyperlink ref="L37" location="'Source text'!A16" tooltip="Go to P-015 in Source text"/>
    <hyperlink ref="L38" location="'Source text'!A18" tooltip="Go to P-017 in Source text"/>
    <hyperlink ref="L39" location="'Source text'!A24" tooltip="Go to P-023 in Source text"/>
    <hyperlink ref="L40" location="'Source text'!A24" tooltip="Go to P-023 in Source text"/>
    <hyperlink ref="L41" location="'Source text'!A24" tooltip="Go to P-023 in Source text"/>
    <hyperlink ref="L42" location="'Source text'!A24" tooltip="Go to P-023 in Source text"/>
    <hyperlink ref="L43" location="'Source text'!A24" tooltip="Go to P-023 in Source text"/>
    <hyperlink ref="L44" location="'Source text'!A25" tooltip="Go to P-024 in Source text"/>
    <hyperlink ref="L45" location="'Source text'!A25" tooltip="Go to P-024 in Source text"/>
    <hyperlink ref="L46" location="'Source text'!A25" tooltip="Go to P-024 in Source text"/>
    <hyperlink ref="L47" location="'Source text'!A25" tooltip="Go to P-024 in Source text"/>
    <hyperlink ref="L48" location="'Source text'!A25" tooltip="Go to P-024 in Source text"/>
    <hyperlink ref="L49" location="'Source text'!A25" tooltip="Go to P-024 in Source text"/>
    <hyperlink ref="L50" location="'Source text'!A27" tooltip="Go to P-026 in Source text"/>
    <hyperlink ref="L51" location="'Source text'!A28" tooltip="Go to P-027 in Source text"/>
    <hyperlink ref="L52" location="'Source text'!A28" tooltip="Go to P-027 in Source text"/>
    <hyperlink ref="L53" location="'Source text'!A32" tooltip="Go to P-031 in Source text"/>
    <hyperlink ref="L54" location="'Source text'!A28" tooltip="Go to P-027 in Source text"/>
    <hyperlink ref="L55" location="'Source text'!A32" tooltip="Go to P-031 in Source text"/>
    <hyperlink ref="L56" location="'Source text'!A25" tooltip="Go to P-024 in Source text"/>
    <hyperlink ref="L57" location="'Source text'!A33" tooltip="Go to P-032 in Source text"/>
    <hyperlink ref="L58" location="'Source text'!A34" tooltip="Go to P-033 in Source tex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44" customWidth="1" min="1" max="1"/>
    <col width="130" customWidth="1" min="2" max="2"/>
    <col width="14" customWidth="1" min="3" max="3"/>
  </cols>
  <sheetData>
    <row r="1">
      <c r="A1" s="6" t="inlineStr">
        <is>
          <t>SUMMARY — Providence &amp; Worcester Railroad Company (PWRR) / Genesee &amp; Wyoming Inc. (G&amp;W)</t>
        </is>
      </c>
    </row>
    <row r="2">
      <c r="A2" s="7" t="inlineStr">
        <is>
          <t>Status</t>
        </is>
      </c>
      <c r="B2" s="2" t="inlineStr">
        <is>
          <t>AI first pass; not human-approved. Instruction revision of 19 September 2026 (Pro). Source coverage: the single supplied filing, DEFM14A proxy statement of Providence and Worcester Railroad Company (file providence-worcester_2016-09-20_DEFM14A.htm); no other sources. Last recheck: none — first pass as delivered; derived outputs are as of this version.</t>
        </is>
      </c>
    </row>
    <row r="4">
      <c r="A4" s="8" t="inlineStr">
        <is>
          <t>1. Status and commercial account</t>
        </is>
      </c>
    </row>
    <row r="5">
      <c r="A5" s="7" t="inlineStr"/>
      <c r="B5" s="2" t="inlineStr">
        <is>
          <t>Initiation: in Q4 2015 PWRR's Chairman/CEO and VP/Chief Commercial Officer met Class I rail partner Party A on commercial matters; Party A floated joint ventures and equity interest, prompting a Board subcommittee banker search and the 01/27/2016 engagement of GHF (whose business was acquired by BMO on 08/01/2016) as the target's financial adviser.</t>
        </is>
      </c>
    </row>
    <row r="6">
      <c r="A6" s="7" t="inlineStr"/>
      <c r="B6" s="2" t="inlineStr">
        <is>
          <t>Process: on 03/14/2016 the Board approved a change-in-control process; the week-of-03/28/2016 outreach wave and April confidentiality agreements produced nine non-binding IOIs (received 05/19-06/01/2016, $17.93-$26.50 as-converted) and later six LOIs (late July 2016, $19.20-$24.00), with Party B and G&amp;W chosen on 07/27/2016 for confirmatory diligence and definitive negotiation.</t>
        </is>
      </c>
    </row>
    <row r="7">
      <c r="A7" s="7" t="inlineStr"/>
      <c r="B7" s="2" t="inlineStr">
        <is>
          <t>Competition: G&amp;W opened at $21.15 per share (including a $1.13 CVR tied to a South Quay property sale) and revised to $22.15 on 07/26/2016 after target feedback that its price and CVR were not competitive, while Party B led at $24.00; Party D ($24.00) and Party E ($23.81, with Party F financing support) briefly re-entered on 08/01/2016 and were both out again by 08/02/2016.</t>
        </is>
      </c>
    </row>
    <row r="8">
      <c r="A8" s="7" t="inlineStr"/>
      <c r="B8" s="2" t="inlineStr">
        <is>
          <t>Selection: with the target preparing to sign with Party B, G&amp;W returned on 08/12/2016 with an all-cash $25.00 LOI (CVR dropped, offer expiring 6:00 p.m. on 08/13/2016); Party B, asked whether it would improve, declined; the Board determined G&amp;W's offer was the superior proposal, BMO delivered its fairness opinion, and the merger agreement was signed the same day.</t>
        </is>
      </c>
    </row>
    <row r="9">
      <c r="A9" s="7" t="inlineStr"/>
      <c r="B9" s="2" t="inlineStr">
        <is>
          <t>Outcome: $25.00 per share in cash (preferred converts 100-for-1 plus accrued/unpaid dividends), a 53% premium over the 08/12/2016 close of $16.30; announced 08/15/2016. STB relief was sought 09/01/2016 (exemption petition) and 09/14/2016 (voting-trust submission); closing was expected in Q4 2016 and is not observed in the filing. No go-shop and no post-signing competing proposal are reported.</t>
        </is>
      </c>
    </row>
    <row r="10">
      <c r="A10" s="7" t="inlineStr"/>
      <c r="B10" s="2" t="inlineStr">
        <is>
          <t>Coverage: one sale process (P1) with three analytical rounds; 26 executed bidder confidentiality agreements (25 in the March-April wave plus late entrant Party C) per the ledger arithmetic against the filing's stated 25; nine IOI submissions and six LOI submissions. Open items: the anonymous two low bidders, the 16 inferred non-submitters, Party A's mapping, and the two additional Class I rail approaches (Q3/Q4).</t>
        </is>
      </c>
    </row>
    <row r="12">
      <c r="A12" s="8" t="inlineStr">
        <is>
          <t>2. Deal facts</t>
        </is>
      </c>
    </row>
    <row r="13">
      <c r="A13" s="7" t="inlineStr">
        <is>
          <t>Target</t>
        </is>
      </c>
      <c r="B13" s="2" t="inlineStr">
        <is>
          <t>Providence and Worcester Railroad Company (PWRR), a Rhode Island corporation; regional freight railroad (approx. 516 route miles; MA/RI/CT/NY); NASDAQ: PWX (X-005).</t>
        </is>
      </c>
    </row>
    <row r="14">
      <c r="A14" s="7" t="inlineStr">
        <is>
          <t>Focal acquirer and type</t>
        </is>
      </c>
      <c r="B14" s="2" t="inlineStr">
        <is>
          <t>Genesee &amp; Wyoming Inc. (G&amp;W), Strategic: an operating short-line/regional freight railroad group (owns/leases 121 freight railroads; NYSE: GWR); acquisition through Pullman Acquisition Sub Inc., a shell formed 08/12/2016 (one bidder unit) (X-006).</t>
        </is>
      </c>
    </row>
    <row r="15">
      <c r="A15" s="7" t="inlineStr">
        <is>
          <t>Agreed consideration</t>
        </is>
      </c>
      <c r="B15" s="2" t="inlineStr">
        <is>
          <t>$25.00 per share in cash for common stock; each preferred share automatically converts into 100 common shares plus accrued/unpaid dividends; options and RSUs are cashed out on a $25.00 basis. All cash, fixed at closing (X-009, X-003).</t>
        </is>
      </c>
    </row>
    <row r="16">
      <c r="A16" s="7" t="inlineStr">
        <is>
          <t>Signing / announcement / completion</t>
        </is>
      </c>
      <c r="B16" s="2" t="inlineStr">
        <is>
          <t>Signed 08/12/2016; announced by press release 08/15/2016 before the NASDAQ open; completion not observed — expected Q4 2016; outside date 12/31/2016 (02/28/2017 if only STB approval remains) (X-008, X-026). The 10/26/2016 special meeting and shareholder vote are scheduled after the filing date.</t>
        </is>
      </c>
    </row>
    <row r="17">
      <c r="A17" s="7" t="inlineStr">
        <is>
          <t>Filing identity and date</t>
        </is>
      </c>
      <c r="B17" s="2" t="inlineStr">
        <is>
          <t>DEFM14A filed by Providence and Worcester Railroad Company; proxy letter dated 09/19/2016; record date 09/16/2016; source file raw_filing/providence-worcester_2016-09-20_DEFM14A.htm; background at printed pages 27-32.</t>
        </is>
      </c>
    </row>
    <row r="18">
      <c r="A18" s="7" t="inlineStr">
        <is>
          <t>Advisers' economics</t>
        </is>
      </c>
      <c r="B18" s="2" t="inlineStr">
        <is>
          <t>BMO aggregate fee approx. $2.52 million, majority payable at closing (X-022). G&amp;W's financial adviser is not disclosed.</t>
        </is>
      </c>
    </row>
    <row r="20">
      <c r="A20" s="8" t="inlineStr">
        <is>
          <t>3. Process and round map (P1)</t>
        </is>
      </c>
    </row>
    <row r="21">
      <c r="A21" s="7" t="inlineStr">
        <is>
          <t>P1 R0 — prior interest (Q4 2015 - 03/14/2016)</t>
        </is>
      </c>
      <c r="B21" s="2" t="inlineStr">
        <is>
          <t>Party A interest (R001), Board subcommittee (R002), GHF engagement (R003), 03/14/2016 process decision (R004); candidate R1 anchors kept as R005 and R004. No Round 0 opening row required.</t>
        </is>
      </c>
    </row>
    <row r="22">
      <c r="A22" s="7" t="inlineStr">
        <is>
          <t>P1 R1 — interest and IOIs</t>
        </is>
      </c>
      <c r="B22" s="2" t="inlineStr">
        <is>
          <t>Opened week of 03/28/2016 (R007; anchor = first outreach wave; panel Q1). Scope: 29 contacted (R008/R009), 25 wave NDA signers (R012/R013). Deadlines: set 05/10/2016 (R015; Extended — superseded by the 05/19/2016 revision), revised 05/19/2016 (R016), due 05/19/2016 Enforced (R017). Outcome: 9 IOIs $17.93-$26.50 (R018); 16 inferred non-submitters (R019); 2 low bidders dropped (R021); 7 advance. Finality: Not final.</t>
        </is>
      </c>
    </row>
    <row r="23">
      <c r="A23" s="7" t="inlineStr">
        <is>
          <t>P1 R2 — diligence stage and LOIs</t>
        </is>
      </c>
      <c r="B23" s="2" t="inlineStr">
        <is>
          <t>Opened 06/01/2016 (R020; seven advancing bidders admitted to management presentations and data site). Deadline set mid-June for 07/20/2016 (R023); due row R028 = Late bids accepted (G&amp;W's 07/21 LOI considered). Scope: 7 + late entrant Party C = 8. Outcome: 6 LOIs (R029-R033, R036; G&amp;W revised R037), 2 electors did not submit (R034/R035), 4 dropped 07/27/2016 (R039-R042), 2 continue. Finality: Not final.</t>
        </is>
      </c>
    </row>
    <row r="24">
      <c r="A24" s="7" t="inlineStr">
        <is>
          <t>P1 R3 — definitive negotiation</t>
        </is>
      </c>
      <c r="B24" s="2" t="inlineStr">
        <is>
          <t>Opened 07/27/2016 (R038; G&amp;W and Party B finalists; on-site diligence 07/27-08/11/2016). Scope: 2 finalists plus re-entries by Party D (R043) and Party E (R045). Outcome: D withdrew 08/02/2016 (R048); E confirmed its original $21.26 (R047) and closes inferred-silent at signing (R055); B declines to improve and is Not selected at signing (R054); G&amp;W wins with $25.00 (R053) and signs (R056). Finality: Inferred final.</t>
        </is>
      </c>
    </row>
    <row r="25">
      <c r="A25" s="7" t="inlineStr">
        <is>
          <t>Post-signing</t>
        </is>
      </c>
      <c r="B25" s="2" t="inlineStr">
        <is>
          <t>No go-shop and no competing proposal reported in the supplied filing; announcement 08/15/2016 (R057). Regulatory steps (STB 09/01 and 09/14/2016) are summarized here only. No second process.</t>
        </is>
      </c>
    </row>
    <row r="27">
      <c r="A27" s="8" t="inlineStr">
        <is>
          <t>4. Participants and advisers</t>
        </is>
      </c>
    </row>
    <row r="28">
      <c r="A28" s="7" t="inlineStr">
        <is>
          <t>PWRR</t>
        </is>
      </c>
      <c r="B28" s="2" t="inlineStr">
        <is>
          <t>Target; Board and Transaction Committee (Barrett (Chair), Anderson, Garvey; Director Smith recused over GATX's 4.92% common stake).</t>
        </is>
      </c>
    </row>
    <row r="29">
      <c r="A29" s="7" t="inlineStr">
        <is>
          <t>G&amp;W (+ Merger Sub)</t>
        </is>
      </c>
      <c r="B29" s="2" t="inlineStr">
        <is>
          <t>Winner; Strategic. First recorded involvement: the 04/03-04/06/2016 convention introductions within the contacted cohort (P-007); LOIs R036/R037, final bid R053, signing R056.</t>
        </is>
      </c>
    </row>
    <row r="30">
      <c r="A30" s="7" t="inlineStr">
        <is>
          <t>Party A</t>
        </is>
      </c>
      <c r="B30" s="2" t="inlineStr">
        <is>
          <t>Strategic Class I rail partner; first interest Q4 2015 (R001); within the contacted/Nda cohorts; last seen at the 04/22/2016 memorandum distribution; closed by an Inferred: identity Did-not-submit row (R022, Count 0) — likely inside the 16 non-submitters, alternatively one of the two low bidders (Q4).</t>
        </is>
      </c>
    </row>
    <row r="31">
      <c r="A31" s="7" t="inlineStr">
        <is>
          <t>Party B</t>
        </is>
      </c>
      <c r="B31" s="2" t="inlineStr">
        <is>
          <t>Strategic; introductory meeting 04/21/2016 (R014); LOI $24.00 (R029); finalist; returned draft 08/04/2016 (R049, late reconfirmation); declined to improve 08/12/2016; Not selected at signing (R054, Stated; exit reason Would not improve earlier offer).</t>
        </is>
      </c>
    </row>
    <row r="32">
      <c r="A32" s="7" t="inlineStr">
        <is>
          <t>Party C</t>
        </is>
      </c>
      <c r="B32" s="2" t="inlineStr">
        <is>
          <t>Strategic late entrant; approach and NDA early July 2016, catch-up access (R024-R026); IOI $21.00 (R027); LOI $19.30 (R032); Dropped 07/27/2016 (R041).</t>
        </is>
      </c>
    </row>
    <row r="33">
      <c r="A33" s="7" t="inlineStr">
        <is>
          <t>Party D</t>
        </is>
      </c>
      <c r="B33" s="2" t="inlineStr">
        <is>
          <t>Financial; LOI $21.00 with markups (R031); finalist; dropped then re-entered 08/01/2016 with a $24.00 revised LOI (R043/R044); Withdrew 08/02/2016 when its no-sign commitment demand was declined (R048).</t>
        </is>
      </c>
    </row>
    <row r="34">
      <c r="A34" s="7" t="inlineStr">
        <is>
          <t>Party E</t>
        </is>
      </c>
      <c r="B34" s="2" t="inlineStr">
        <is>
          <t>Strategic; LOI $21.26 (R030); finalist; dropped then re-entered with a $23.81 revised LOI supported by Party F (R045/R046); withdrew the revised bid and confirmed $21.26 (R047); closes inferred-silent at signing (R055).</t>
        </is>
      </c>
    </row>
    <row r="35">
      <c r="A35" s="7" t="inlineStr">
        <is>
          <t>Party F</t>
        </is>
      </c>
      <c r="B35" s="2" t="inlineStr">
        <is>
          <t>Strategic; LOI $19.20 (R033); dropped 07/27/2016 (R042); financing supporter of Party E's revised LOI (recorded on R046; no new row for an exited supporter).</t>
        </is>
      </c>
    </row>
    <row r="36">
      <c r="A36" s="7" t="inlineStr">
        <is>
          <t>Cohorts</t>
        </is>
      </c>
      <c r="B36" s="2" t="inlineStr">
        <is>
          <t>25 wave NDA signers (11 strategic + 14 financial; R012/R013) including 16 inferred non-submitters (R019); 9 anonymous IOI bidders (R018); 2 anonymous low bidders (R021); 2 anonymous LOI electors (R034/R035). Cohorts are not additional parties to their members.</t>
        </is>
      </c>
    </row>
    <row r="37">
      <c r="A37" s="7" t="inlineStr">
        <is>
          <t>Eder Trusts / GATX</t>
        </is>
      </c>
      <c r="B37" s="2" t="inlineStr">
        <is>
          <t>Eder Trusts: 842,742 common (17.3%) and 500 preferred (78.1%) at record date; executed the voting agreement with G&amp;W and the Company at signing (R056) (X-025). GATX: 4.92% common holder; no approach or bid reported.</t>
        </is>
      </c>
    </row>
    <row r="38">
      <c r="A38" s="7" t="inlineStr">
        <is>
          <t>Advisers</t>
        </is>
      </c>
      <c r="B38" s="2" t="inlineStr">
        <is>
          <t>GHF/BMO — target financial adviser, engaged 01/27/2016; acquisition of GHF by BMO noted 08/01/2016; fairness opinion 08/12/2016; fee approx. $2.52M; 09/06/2016 Board consideration of BMO's omitted affiliate lending relationship with G&amp;W (confirmed not material; P-034, X-023) (R003). Hinckley, Allen &amp; Snyder LLP — target legal counsel, service observed from 03/24/2016 (R006). Simpson Thacher &amp; Bartlett LLP — G&amp;W legal counsel, service observed from 08/10/2016 (R051). Unnamed Company STB counsel (R052).</t>
        </is>
      </c>
    </row>
    <row r="40">
      <c r="A40" s="8" t="inlineStr">
        <is>
          <t>5. Counts and auction screen</t>
        </is>
      </c>
    </row>
    <row r="41">
      <c r="A41" s="7" t="inlineStr">
        <is>
          <t>Auction screen</t>
        </is>
      </c>
      <c r="B41" s="2" t="inlineStr">
        <is>
          <t>Met: more than one independent prospective acquiring bidder unit executed bidder-target confidentiality agreements in this process (11 strategic + 14 financial = 25 in the wave, plus late entrant Party C = 26). No lender-only, adviser or rollover agreements are included; no reuse from an earlier attempt is reported.</t>
        </is>
      </c>
    </row>
    <row r="42">
      <c r="A42" s="7" t="inlineStr">
        <is>
          <t>NDA signatures (ledger formula)</t>
        </is>
      </c>
      <c r="B42" s="2">
        <f>SUMIFS('Deal ledger'!$Q:$Q,'Deal ledger'!$D:$D,"NDA signed",'Deal ledger'!$P:$P,"Yes")</f>
        <v/>
      </c>
    </row>
    <row r="43">
      <c r="A43" s="7" t="inlineStr">
        <is>
          <t>Contacts (ledger formula)</t>
        </is>
      </c>
      <c r="B43" s="2">
        <f>SUMIFS('Deal ledger'!$Q:$Q,'Deal ledger'!$D:$D,"Contact",'Deal ledger'!$P:$P,"Yes")</f>
        <v/>
      </c>
    </row>
    <row r="44">
      <c r="A44" s="7" t="inlineStr">
        <is>
          <t>R1 bidder units (formula)</t>
        </is>
      </c>
      <c r="B44" s="2">
        <f>SUMIFS('Deal ledger'!$Q:$Q,'Deal ledger'!$D:$D,"Bid",'Deal ledger'!$F:$F,1,'Deal ledger'!$P:$P,"Yes")</f>
        <v/>
      </c>
    </row>
    <row r="45">
      <c r="A45" s="7" t="inlineStr">
        <is>
          <t>R2 bidder units (formula)</t>
        </is>
      </c>
      <c r="B45" s="2">
        <f>SUMIFS('Deal ledger'!$Q:$Q,'Deal ledger'!$D:$D,"Bid",'Deal ledger'!$F:$F,2,'Deal ledger'!$P:$P,"Yes")</f>
        <v/>
      </c>
    </row>
    <row r="46">
      <c r="A46" s="7" t="inlineStr">
        <is>
          <t>R3 bidder units (formula)</t>
        </is>
      </c>
      <c r="B46" s="2">
        <f>SUMIFS('Deal ledger'!$Q:$Q,'Deal ledger'!$D:$D,"Bid",'Deal ledger'!$F:$F,3,'Deal ledger'!$P:$P,"Yes")+SUMIFS('Deal ledger'!$Q:$Q,'Deal ledger'!$D:$D,"Bid reaffirmed",'Deal ledger'!$F:$F,3,'Deal ledger'!$P:$P,"Yes")</f>
        <v/>
      </c>
    </row>
    <row r="47">
      <c r="A47" s="7" t="inlineStr">
        <is>
          <t>Inferred exit units (formula)</t>
        </is>
      </c>
      <c r="B47" s="2">
        <f>SUMIFS('Deal ledger'!$Q:$Q,'Deal ledger'!$AJ:$AJ,"Inferred: residual",'Deal ledger'!$P:$P,"Yes")+SUMIFS('Deal ledger'!$Q:$Q,'Deal ledger'!$AJ:$AJ,"Inferred: silent",'Deal ledger'!$P:$P,"Yes")</f>
        <v/>
      </c>
    </row>
    <row r="48">
      <c r="A48" s="7" t="inlineStr">
        <is>
          <t>Reconciliation of source totals</t>
        </is>
      </c>
      <c r="B48" s="2" t="inlineStr">
        <is>
          <t>Filing assertion '25' NDA signers at X-012 describes the wave group (11 strategic + 14 financial per P-006); the ledger adds Party C (R025) because the filing says Party C had not previously been part of the process. Six LOI submissions (X-012) match R029-R033 and R036; the nine IOIs (P-011) match R018. The contact sum of 30 excludes blank-count rows (two Class I approaches, R010; Party B's individual meeting, R014) and excludes Party A's Q4 2015 detail row (R001), which is an additional included contact record also inside the 29-cohort.</t>
        </is>
      </c>
    </row>
    <row r="49">
      <c r="A49" s="7" t="inlineStr">
        <is>
          <t>Per-stage balance (entrants - stated exits - inferred exits = continuing)</t>
        </is>
      </c>
      <c r="B49" s="2" t="inlineStr">
        <is>
          <t>R1: 25 - 2 - 16 = 7 (inferred share of exits 16/18). R2: 8 (7 + Party C) - 6 (2 electors + 4 dropped) - 0 = 2. R3: 4 (2 finalists + D and E re-entries) - 3 (D withdrew, B not selected stated, E not selected inferred) = 1 (G&amp;W). At signing only the winner remains; participants 26 + 2 re-entries; outcome tallies are occurrences/affected units (D and E each appear in a drop and a later exit), not unique permanent exits.</t>
        </is>
      </c>
    </row>
    <row r="50">
      <c r="A50" s="7" t="inlineStr">
        <is>
          <t>Bid-version vs unit counts</t>
        </is>
      </c>
      <c r="B50" s="2" t="inlineStr">
        <is>
          <t>Seven R2 Bid rows but six R2 units (Party C's IOI and LOI are one unit; G&amp;W's revision carries Count 0). Three R3 priced submissions plus two reaffirmations but four R3 units (Party E appears in both a bid and a reaffirmation; R047 Count 0). Row count does not establish submission count.</t>
        </is>
      </c>
    </row>
    <row r="52">
      <c r="A52" s="8" t="inlineStr">
        <is>
          <t>6. Comparability and inputs (glossary below)</t>
        </is>
      </c>
    </row>
    <row r="53">
      <c r="A53" s="7" t="inlineStr">
        <is>
          <t>Scope and structure</t>
        </is>
      </c>
      <c r="B53" s="2" t="inlineStr">
        <is>
          <t>No other-scope or partial proposals are reported: the IOIs and LOIs were for 100% of the common stock on an as-converted basis. G&amp;W's $1.13 CVR (South Quay property sale) was a contingent cash component of a whole-company offer, not a separate asset deal.</t>
        </is>
      </c>
    </row>
    <row r="54">
      <c r="A54" s="7" t="inlineStr">
        <is>
          <t>LOI comparability</t>
        </is>
      </c>
      <c r="B54" s="2" t="inlineStr">
        <is>
          <t>The six LOI prices were 'based on different assumptions and requirements related to transaction expenses and change in control payments' (P-022) and are not normalized here; they are not like-for-like quotes. The $17.93-$26.50 IOI figure is a group envelope across nine bids, not any member's range.</t>
        </is>
      </c>
    </row>
    <row r="55">
      <c r="A55" s="7" t="inlineStr">
        <is>
          <t>BMO analyses (not offers)</t>
        </is>
      </c>
      <c r="B55" s="2" t="inlineStr">
        <is>
          <t>Selected publicly traded companies: implied $10.95-$15.09; selected precedent transactions: $10.54-$26.50; discounted cash flow: $10.82-$12.34; each added the $12.5 million South Quay book value and was prepared on a fully-diluted basis against the $25.00 consideration (X-018 to X-021). These are valuation analyses, not bids.</t>
        </is>
      </c>
    </row>
    <row r="56">
      <c r="A56" s="7" t="inlineStr">
        <is>
          <t>Market benchmarks</t>
        </is>
      </c>
      <c r="B56" s="2" t="inlineStr">
        <is>
          <t>Common stock close $16.30 on 08/12/2016 (last trading day before announcement; the 53% premium benchmark) and $24.88 on 09/16/2016 (last trading day before the proxy) (X-011, X-013).</t>
        </is>
      </c>
    </row>
    <row r="57">
      <c r="A57" s="7" t="inlineStr">
        <is>
          <t>Share and capital inputs (record date 09/16/2016)</t>
        </is>
      </c>
      <c r="B57" s="2" t="inlineStr">
        <is>
          <t>4,866,593 common shares outstanding; 640 preferred shares (8 holders) convertible 100-for-1; preferred is non-cumulative with dividends limited to $5.00 per share per year (X-007, X-027). Directors and executive officers held 1,107,002 common (22.7%) and 500 preferred (78.1%) (X-028); the Eder Trusts held 842,742 common (17.3%) and 500 preferred (78.1%) (X-025).</t>
        </is>
      </c>
    </row>
    <row r="58">
      <c r="A58" s="7" t="inlineStr">
        <is>
          <t>Labeled calculation (convention, not a stated value)</t>
        </is>
      </c>
      <c r="B58" s="2" t="inlineStr">
        <is>
          <t>As-converted equity value at $25.00 = (4,866,593 common + 640 preferred x 100) x $25.00 = 4,930,593 x $25.00 = approx. $123.26 million, using record-date counts and excluding option/RSU dilution; the 08/12/2016 board materials may have used different counts. The $3.785 million termination fee is described by the filing as approximately 3% of transaction value (implied value approx. $126 million on the filing's own arithmetic).</t>
        </is>
      </c>
    </row>
    <row r="59">
      <c r="A59" s="7" t="inlineStr">
        <is>
          <t>Projections (summary)</t>
        </is>
      </c>
      <c r="B59" s="2" t="inlineStr">
        <is>
          <t>Management projections used by BMO: revenue 18.1/35.3/37.3/41.4/43.6 $M for 2016(Q3-Q4)-2020; tax-affected EBIT 2.1/(0.5)/0.2/1.4/2.8; unlevered free cash flow (1.7)/(0.5)/(0.1)/1.4/1.9 (X-024). Projections, not facts or offers.</t>
        </is>
      </c>
    </row>
    <row r="60">
      <c r="A60" s="7" t="inlineStr">
        <is>
          <t>Glossary</t>
        </is>
      </c>
      <c r="B60" s="2" t="inlineStr">
        <is>
          <t>NDA = confidentiality/non-disclosure agreement; IOI = indication of interest; LOI = letter of intent; CVR = contingent value right; as-converted = treating preferred as 100 common shares; STB = Surface Transportation Board; R0-R3 = analytical rounds of Process 1; wave cohort = the 25 buyers that signed NDAs after the March 2016 outreach.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6" customWidth="1" min="1" max="1"/>
    <col width="30" customWidth="1" min="2" max="2"/>
    <col width="90" customWidth="1" min="3" max="3"/>
    <col width="60" customWidth="1" min="4" max="4"/>
    <col width="34" customWidth="1" min="5" max="5"/>
    <col width="45" customWidth="1" min="6" max="6"/>
    <col width="10" customWidth="1" min="7" max="7"/>
    <col width="16" customWidth="1" min="8" max="8"/>
  </cols>
  <sheetData>
    <row r="1">
      <c r="A1" s="9" t="inlineStr">
        <is>
          <t>Q</t>
        </is>
      </c>
      <c r="B1" s="9" t="inlineStr">
        <is>
          <t>Review topic</t>
        </is>
      </c>
      <c r="C1" s="9" t="inlineStr">
        <is>
          <t>Recommended answer</t>
        </is>
      </c>
      <c r="D1" s="9" t="inlineStr">
        <is>
          <t>Why and source</t>
        </is>
      </c>
      <c r="E1" s="9" t="inlineStr">
        <is>
          <t>Affected rows/fields</t>
        </is>
      </c>
      <c r="F1" s="9" t="inlineStr">
        <is>
          <t>Consequence of changing it</t>
        </is>
      </c>
      <c r="G1" s="9" t="inlineStr">
        <is>
          <t>Status</t>
        </is>
      </c>
      <c r="H1" s="9" t="inlineStr">
        <is>
          <t>Reviewer note</t>
        </is>
      </c>
    </row>
    <row r="2">
      <c r="A2" s="2" t="inlineStr">
        <is>
          <t>Q1</t>
        </is>
      </c>
      <c r="B2" s="2" t="inlineStr">
        <is>
          <t>Process and round map; R1 anchor; rejected boundary candidates; post-signing</t>
        </is>
      </c>
      <c r="C2" s="2" t="inlineStr">
        <is>
          <t>One process (P1). R1 opens with the week-of-03/28/2016 first outreach wave (R007); rejected anchor candidates are kept as rows: R005 (03/24/2016 committee authorization; launch within about a week) and R004 (03/14/2016 Board process decision). R2 opens 06/01/2016 (R020, selection of seven advancing bidders to management presentations and a data site); alternative boundary: the mid-June LOI instruction (R023), which would leave the presentation stage inside R1. R3 opens 07/27/2016 (R038, definitive negotiation with G&amp;W and Party B). R1 and R2 are Not final; R3 is Inferred final. Post-signing: no go-shop, no competing proposal, no second process.</t>
        </is>
      </c>
      <c r="D2" s="2" t="inlineStr">
        <is>
          <t>Section 6.2-6.3; P-008 (wave), P-011 (selection), P-012 (LOI instruction), P-023 (finalists). Boundaries are analytical, not filing labels.</t>
        </is>
      </c>
      <c r="E2" s="2" t="inlineStr">
        <is>
          <t>R004, R005, R007, R020, R023, R038 (Round, Round finality, R1 anchor tag)</t>
        </is>
      </c>
      <c r="F2" s="2" t="inlineStr">
        <is>
          <t>Moving R2 to mid-June changes Round values for the 06/01/2016 rows and R029-R037; moving R1 to 03/24/2016 changes the R1 anchor tag and reorders one row; a second process would require a supported abandonment and fresh start, which the filing does not report.</t>
        </is>
      </c>
      <c r="G2" s="2" t="inlineStr">
        <is>
          <t>Pending</t>
        </is>
      </c>
      <c r="H2" s="2" t="inlineStr"/>
    </row>
    <row r="3">
      <c r="A3" s="2" t="inlineStr">
        <is>
          <t>Q2</t>
        </is>
      </c>
      <c r="B3" s="2" t="inlineStr">
        <is>
          <t>Deadline history and treatments</t>
        </is>
      </c>
      <c r="C3" s="2" t="inlineStr">
        <is>
          <t>IOI deadline set 05/10/2016 (R015; Extended by the revision), revised to 05/19/2016 (R016), due 05/19/2016 with treatment Enforced (R017): the next steps (05/23/2016 review, 06/01/2016 selection) used the bids in hand, and the 05/19-06/01 receipt window straddles the due date so no late acceptance is recorded. LOI deadline 07/20/2016 (set at R023, due at R028) with treatment Late bids accepted: G&amp;W's 07/21/2016 LOI was considered and revised 07/26/2016 without any revision to the date. No other bid deadlines; the G&amp;W 08/12/2016 offer expiry (6:00 p.m. 08/13/2016) is an offer term on R053, not a submission deadline.</t>
        </is>
      </c>
      <c r="D3" s="2" t="inlineStr">
        <is>
          <t>Section 8.3; P-010 (IOI deadlines), P-011 (IOI window), P-017 (G&amp;W dates).</t>
        </is>
      </c>
      <c r="E3" s="2" t="inlineStr">
        <is>
          <t>R015, R016, R017, R023, R028 (Due date, Deadline treatment)</t>
        </is>
      </c>
      <c r="F3" s="2" t="inlineStr">
        <is>
          <t>Calling the 05/19/2016 date Late bids accepted or the 07/20/2016 date Enforced would misstate what followed; a notional extension of 07/20/2016 is not supported by the filing.</t>
        </is>
      </c>
      <c r="G3" s="2" t="inlineStr">
        <is>
          <t>Pending</t>
        </is>
      </c>
      <c r="H3" s="2" t="inlineStr"/>
    </row>
    <row r="4">
      <c r="A4" s="2" t="inlineStr">
        <is>
          <t>Q3</t>
        </is>
      </c>
      <c r="B4" s="2" t="inlineStr">
        <is>
          <t>NDA and population bases; cohort overlap</t>
        </is>
      </c>
      <c r="C4" s="2" t="inlineStr">
        <is>
          <t>Wave base is 25 NDA signers (11 strategic + 14 financial, R012/R013); Party C adds the 26th (R025). The filing's '25' (X-012) describes the wave. The nine IOIs are assumed to come from the 25 signers (R018/R019). The two LOI electors are assigned to the seven advancing bidders (R034/R035) rather than to the wider contacted group. Party B's membership in the 11 strategic buyers is assumed but not stated (R014 Count blank). The two additional Class I rail approaches (R010) have unresolved overlap with the 29-contact cohort (Count blank).</t>
        </is>
      </c>
      <c r="D4" s="2" t="inlineStr">
        <is>
          <t>Section 5.2, 7.3; P-006 (11+14), P-011 (nine IOIs), P-022 (electors), X-012 ('25').</t>
        </is>
      </c>
      <c r="E4" s="2" t="inlineStr">
        <is>
          <t>R008-R014, R018, R019, R022, R025, R026, R034, R035 (Count, Type, population text)</t>
        </is>
      </c>
      <c r="F4" s="2" t="inlineStr">
        <is>
          <t>If an IOI came from outside the 25, or Party B/Party C was inside the 25, the residual non-submitter count and the NDA total shift by those units; the auction screen stays Met either way.</t>
        </is>
      </c>
      <c r="G4" s="2" t="inlineStr">
        <is>
          <t>Pending</t>
        </is>
      </c>
      <c r="H4" s="2" t="inlineStr"/>
    </row>
    <row r="5">
      <c r="A5" s="2" t="inlineStr">
        <is>
          <t>Q4</t>
        </is>
      </c>
      <c r="B5" s="2" t="inlineStr">
        <is>
          <t>Participation outcomes, agency and every inferred closing row (grouped by transition)</t>
        </is>
      </c>
      <c r="C5" s="2" t="inlineStr">
        <is>
          <t>Inferred closings: 16 non-submitting wave signers at 05/19/2016 (R019; 25 - 9 = 16, Inferred: residual, Count 16); Party A identity row (R022, Count 0, recommended inside R019, alternative the two low bidders R021); Party E's silent close at signing (R055; last seen confirming $21.26 on 08/02/2016). Stated outcomes: two low IOI bidders dropped (R021); the two electors (R034/R035); E, D, C and F dropped 07/27/2016 (R039-R042); D's Withdrew on 08/02/2016 (R048) - read as withdrawal rather than a temporary pause, though the filing says 'at that time'; B's Not selected at signing (R054, Stated; Would not improve earlier offer) with actual agency Target. Every entrant is closed once per process (D and E re-enter first).</t>
        </is>
      </c>
      <c r="D5" s="2" t="inlineStr">
        <is>
          <t>Section 10.1-10.2; P-011, P-022, P-023, P-024, P-031, P-032.</t>
        </is>
      </c>
      <c r="E5" s="2" t="inlineStr">
        <is>
          <t>R019, R021, R022, R034-R035, R039-R042, R048, R054, R055 (Outcome basis, Decided by, Exit reason, Count)</t>
        </is>
      </c>
      <c r="F5" s="2" t="inlineStr">
        <is>
          <t>Relabeling D as Participation paused would require a further closing row at signing; treating Party A as one of the low bidders changes its label but not any count; declaring a different winner is not supported.</t>
        </is>
      </c>
      <c r="G5" s="2" t="inlineStr">
        <is>
          <t>Pending</t>
        </is>
      </c>
      <c r="H5" s="2" t="inlineStr"/>
    </row>
    <row r="6">
      <c r="A6" s="2" t="inlineStr">
        <is>
          <t>Q5</t>
        </is>
      </c>
      <c r="B6" s="2" t="inlineStr">
        <is>
          <t>Formality and conditions assessments (grouped)</t>
        </is>
      </c>
      <c r="C6" s="2" t="inlineStr">
        <is>
          <t>Formal: Party B's LOI via returned markups (R029) and its 08/04/2016 returned draft (R049, late reconfirmation flagged; price $24.00 carried forward, Conditions Light, DD open yes); G&amp;W's LOIs (R036/R037) and 08/12/2016 bid (R053, Conditions Light, alternative reading None if the bid is treated as sign-ready); Party D's LOIs (R031/R044, Formality carried forward; R044 records the no-sign commitment request as Excl: requested (30 days)). Informal: the nine IOIs (R018), Party C's IOI/LOI (R027/R032), Party E's LOI and revised LOI (R030/R046, issues-summary default; borderline; R046 records Fin: represented for Party F's financing support) and E's reaffirmation (R047). Heavy levels rest on stated diligence periods: G&amp;W 3 weeks; D 4 weeks/30 days; E 60 days and 30 days; C and F 30 days. No None assigned. Every Bid/Bid reaffirmed row carries a fixed-format Conditions detail string.</t>
        </is>
      </c>
      <c r="D6" s="2" t="inlineStr">
        <is>
          <t>Section 9.2-9.3; calibration examples C-D; P-016, P-017, P-018, P-022, P-024, P-027.</t>
        </is>
      </c>
      <c r="E6" s="2" t="inlineStr">
        <is>
          <t>R018, R026-R033, R036, R037, R044, R046, R047, R049, R053 (Formality, Conditions level, Conditions detail)</t>
        </is>
      </c>
      <c r="F6" s="2" t="inlineStr">
        <is>
          <t>Upgrading Party E to Formal without a returned-document or final-solicitation signal would misapply the issues-list default; downgrading G&amp;W's 08/12/2016 bid to None would require support that it was sign-ready with diligence and documents complete.</t>
        </is>
      </c>
      <c r="G6" s="2" t="inlineStr">
        <is>
          <t>Pending</t>
        </is>
      </c>
      <c r="H6" s="2" t="inlineStr"/>
    </row>
    <row r="7">
      <c r="A7" s="2" t="inlineStr">
        <is>
          <t>Q6</t>
        </is>
      </c>
      <c r="B7" s="2" t="inlineStr">
        <is>
          <t>Prices, consideration, CVR and comparability</t>
        </is>
      </c>
      <c r="C7" s="2" t="inlineStr">
        <is>
          <t>The $17.93-$26.50 figure is the nine-IOI group envelope (R018) and is not entered on any member. G&amp;W's cash-plus-CVR bids (R036/R037) are All cash Yes with fixed cash of $20.02/$21.02 and the $1.13 CVR only in text; the 08/12/2016 bid (R053) is $25.00 all cash with the CVR dropped. The six LOI prices rest on differing expense/change-in-control assumptions and are not normalized. Party E's reversion price is carried forward (R047). Preferred converts 100-for-1 plus dividends. The as-converted ~$123.26 million equity figure is a labeled calculation, not a stated transaction value.</t>
        </is>
      </c>
      <c r="D7" s="2" t="inlineStr">
        <is>
          <t>Section 9.4; P-017 (CVR), P-022 (assumptions), X-003/X-009 (consideration), X-007 (shares).</t>
        </is>
      </c>
      <c r="E7" s="2" t="inlineStr">
        <is>
          <t>R018, R027-R033, R036, R037, R041, R044, R046, R047, R053, R056 (Price low/high/kind/origin, All cash, Cash at closing)</t>
        </is>
      </c>
      <c r="F7" s="2" t="inlineStr">
        <is>
          <t>Putting the IOI envelope on individual rows would misattribute group pricing; converting the CVR or averaging ranges is prohibited; changing All cash for G&amp;W would contradict the contingent-cash nature of the CVR.</t>
        </is>
      </c>
      <c r="G7" s="2" t="inlineStr">
        <is>
          <t>Pending</t>
        </is>
      </c>
      <c r="H7" s="2" t="inlineStr"/>
    </row>
    <row r="8">
      <c r="A8" s="2" t="inlineStr">
        <is>
          <t>Q7</t>
        </is>
      </c>
      <c r="B8" s="2" t="inlineStr">
        <is>
          <t>Working-date conventions and within-round ordering</t>
        </is>
      </c>
      <c r="C8" s="2" t="inlineStr">
        <is>
          <t>Conventions used: Q4 2015 rows share 11/15/2015 (midpoint; R001/R002); wave NDAs 04/09/2016 (midpoint of 03/28-04/22; R012/R013); IOI deadline revision 05/08/2016 (midpoint; R016); the five undated late-July LOIs take 07/20/2016 (Assigned: deadline) and are placed ahead of G&amp;W's 07/21/2016 LOI (R029-R033 before R036) though their relative order is not observed; Party C's early-July rows take 07/05/2016 and its access row 07/05/2016 by sequence (spans to 07/14/2016; R024-R026). Sorting by Working date with # as tie-breaker reproduces the ledger order.</t>
        </is>
      </c>
      <c r="D8" s="2" t="inlineStr">
        <is>
          <t>Section 8.1-8.2; calibration example B (late-July LOIs and the 07/20/2016 deadline).</t>
        </is>
      </c>
      <c r="E8" s="2" t="inlineStr">
        <is>
          <t>R001, R002, R012, R013, R016, R023, R024, R025, R026, R029-R033 (Working date, Date method, Date from/to)</t>
        </is>
      </c>
      <c r="F8" s="2" t="inlineStr">
        <is>
          <t>Re-sequencing rows requires re-checking Working dates so the sort property holds; a reviewer preferring the 07/22/2016 review as the LOI receipt bound would narrow R029-R033 windows but not their Working dates.</t>
        </is>
      </c>
      <c r="G8" s="2" t="inlineStr">
        <is>
          <t>Pending</t>
        </is>
      </c>
      <c r="H8" s="2" t="inlineStr"/>
    </row>
    <row r="10">
      <c r="A10" s="8" t="inlineStr">
        <is>
          <t>Section 13 check results (programmatic unless stated)</t>
        </is>
      </c>
    </row>
    <row r="11">
      <c r="A11" s="9" t="inlineStr">
        <is>
          <t>#</t>
        </is>
      </c>
      <c r="B11" s="9" t="inlineStr">
        <is>
          <t>Check</t>
        </is>
      </c>
      <c r="C11" s="9" t="inlineStr">
        <is>
          <t>Status</t>
        </is>
      </c>
      <c r="D11" s="9" t="inlineStr">
        <is>
          <t>Notes</t>
        </is>
      </c>
    </row>
    <row r="12">
      <c r="A12" s="2" t="inlineStr">
        <is>
          <t>1</t>
        </is>
      </c>
      <c r="B12" s="2" t="inlineStr">
        <is>
          <t>Coverage and materiality</t>
        </is>
      </c>
      <c r="C12" s="2" t="inlineStr">
        <is>
          <t>Qualified</t>
        </is>
      </c>
      <c r="D12" s="2" t="inlineStr">
        <is>
          <t>All disclosed core offers, NDAs/contacts, selection steps, outcomes, signing and publicity are represented. Source limitations preserved: two anonymous low bidders, 16 anonymous residual non-submitters, Party A identity, two unresolved Class I approaches.</t>
        </is>
      </c>
    </row>
    <row r="13">
      <c r="A13" s="2" t="inlineStr">
        <is>
          <t>2</t>
        </is>
      </c>
      <c r="B13" s="2" t="inlineStr">
        <is>
          <t>Counts and population</t>
        </is>
      </c>
      <c r="C13" s="2" t="inlineStr">
        <is>
          <t>Qualified</t>
        </is>
      </c>
      <c r="D13" s="2" t="inlineStr">
        <is>
          <t>Summary arithmetic matches included counts (NDA 26; contacts 30 + additional records; R1/R2/R3 units 9/6/4). Bases flagged in Q3; per-stage balances shown with the inferred share.</t>
        </is>
      </c>
    </row>
    <row r="14">
      <c r="A14" s="2" t="inlineStr">
        <is>
          <t>3</t>
        </is>
      </c>
      <c r="B14" s="2" t="inlineStr">
        <is>
          <t>Participation continuity</t>
        </is>
      </c>
      <c r="C14" s="2" t="inlineStr">
        <is>
          <t>Passed</t>
        </is>
      </c>
      <c r="D14" s="2" t="inlineStr">
        <is>
          <t>Every entrant is closed once per process (exits, group joins or inferred rows), winner last; D and E re-entry rows precede their renewed bids; no participant stock goes negative.</t>
        </is>
      </c>
    </row>
    <row r="15">
      <c r="A15" s="2" t="inlineStr">
        <is>
          <t>4</t>
        </is>
      </c>
      <c r="B15" s="2" t="inlineStr">
        <is>
          <t>Dates and order</t>
        </is>
      </c>
      <c r="C15" s="2" t="inlineStr">
        <is>
          <t>Passed (programmatic)</t>
        </is>
      </c>
      <c r="D15" s="2" t="inlineStr">
        <is>
          <t>All rows have Working date and Date method; Working dates never decrease and match # order; no Working date outside its own bounds; Reported-day basis pairs only with Reported; no assigned date labelled Reported.</t>
        </is>
      </c>
    </row>
    <row r="16">
      <c r="A16" s="2" t="inlineStr">
        <is>
          <t>5</t>
        </is>
      </c>
      <c r="B16" s="2" t="inlineStr">
        <is>
          <t>Offers and classifications</t>
        </is>
      </c>
      <c r="C16" s="2" t="inlineStr">
        <is>
          <t>Qualified</t>
        </is>
      </c>
      <c r="D16" s="2" t="inlineStr">
        <is>
          <t>Every Bid/Bid reaffirmed row has Formality, Conditions level and a fixed-format Conditions detail. Borderline calls flagged: Party E formality (Q5); G&amp;W 08/12/2016 Conditions Light vs None (Q5).</t>
        </is>
      </c>
    </row>
    <row r="17">
      <c r="A17" s="2" t="inlineStr">
        <is>
          <t>6</t>
        </is>
      </c>
      <c r="B17" s="2" t="inlineStr">
        <is>
          <t>Structure and consistency</t>
        </is>
      </c>
      <c r="C17" s="2" t="inlineStr">
        <is>
          <t>Passed</t>
        </is>
      </c>
      <c r="D17" s="2" t="inlineStr">
        <is>
          <t>One Round opened row per round, each with finality; R1 row carries the R1 anchor tag and candidate rows; Deadline rows carry treatments matching the Summary map; inferred rows open with their Outcome basis; Page filled wherever Source is.</t>
        </is>
      </c>
    </row>
    <row r="18">
      <c r="A18" s="2" t="inlineStr">
        <is>
          <t>7</t>
        </is>
      </c>
      <c r="B18" s="2" t="inlineStr">
        <is>
          <t>Evidence</t>
        </is>
      </c>
      <c r="C18" s="2" t="inlineStr">
        <is>
          <t>Passed (programmatic)</t>
        </is>
      </c>
      <c r="D18" s="2" t="inlineStr">
        <is>
          <t>All 92 ledger quotations were found in the cited source passages after whitespace/typographic normalization; page citations match the passage pages. Interpretation caveats for cross-paragraph judgments sit in Q1/Q7.</t>
        </is>
      </c>
    </row>
    <row r="19">
      <c r="A19" s="2" t="inlineStr">
        <is>
          <t>8</t>
        </is>
      </c>
      <c r="B19" s="2" t="inlineStr">
        <is>
          <t>Review and workbook operation</t>
        </is>
      </c>
      <c r="C19" s="2" t="inlineStr">
        <is>
          <t>Qualified</t>
        </is>
      </c>
      <c r="D19" s="2" t="inlineStr">
        <is>
          <t>Row ids unique; filters, drop-down validations (Lists) and internal links are written; Summary formulas were validated by replicating their criteria against the ledger data (NDA 26, contacts 30, R1/R2/R3 units 9/6/4, inferred exits 17) but were not recalculated in a spreadsheet application - LibreOffice crashes in this environment on any workbook; conditional-format correction tracking against 'AI original' is built (red bold on changed values and new rows) but not exercised; 'AI original' holds the delivered values. Inspect for clipping after any human edit.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3"/>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6" customWidth="1" min="3" max="3"/>
    <col width="160" customWidth="1" min="4" max="4"/>
  </cols>
  <sheetData>
    <row r="1">
      <c r="A1" s="9" t="inlineStr">
        <is>
          <t>Paragraph</t>
        </is>
      </c>
      <c r="B1" s="9" t="inlineStr">
        <is>
          <t>Section</t>
        </is>
      </c>
      <c r="C1" s="9" t="inlineStr">
        <is>
          <t>Page</t>
        </is>
      </c>
      <c r="D1" s="9" t="inlineStr">
        <is>
          <t>Text</t>
        </is>
      </c>
    </row>
    <row r="2">
      <c r="A2" t="inlineStr">
        <is>
          <t>P-001</t>
        </is>
      </c>
      <c r="B2" t="inlineStr">
        <is>
          <t>Background of the Merger</t>
        </is>
      </c>
      <c r="C2" t="n">
        <v>27</v>
      </c>
      <c r="D2" s="2" t="inlineStr">
        <is>
          <t>Background of the Merger</t>
        </is>
      </c>
    </row>
    <row r="3">
      <c r="A3" t="inlineStr">
        <is>
          <t>P-002</t>
        </is>
      </c>
      <c r="B3" t="inlineStr">
        <is>
          <t>Background of the Merger</t>
        </is>
      </c>
      <c r="C3" t="n">
        <v>27</v>
      </c>
      <c r="D3" s="2" t="inlineStr">
        <is>
          <t>In the fourth quarter of 2015, Robert H. Eder (the Company’s Chairman and Chief Executive Officer) and Frank K. Rogers (the Company’s Vice President and Chief Commercial Officer) met with one of the Company’s Class I rail partners (“Party A”) to discuss joint commercial opportunities. During the meeting, Party A suggested possible joint venture arrangements and expressed some interest in acquiring equity in the Company to further develop strategic opportunities and enhance regional connectivity. 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The subcommittee interviewed several investment banking firms, including Greene Holcomb &amp; Fisher LLC (the business of which was subsequently acquired by BMO Capital Markets Corp. and which we refer to as “GHF” prior to such acquisition and “BMO” thereafter). 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 In selecting GHF, the Board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t>
        </is>
      </c>
    </row>
    <row r="4">
      <c r="A4" t="inlineStr">
        <is>
          <t>P-003</t>
        </is>
      </c>
      <c r="B4" t="inlineStr">
        <is>
          <t>Background of the Merger</t>
        </is>
      </c>
      <c r="C4" t="n">
        <v>27</v>
      </c>
      <c r="D4" s="2"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t>
        </is>
      </c>
    </row>
    <row r="5">
      <c r="A5" t="inlineStr">
        <is>
          <t>P-004</t>
        </is>
      </c>
      <c r="B5" t="inlineStr">
        <is>
          <t>Background of the Merger</t>
        </is>
      </c>
      <c r="C5" t="n">
        <v>28</v>
      </c>
      <c r="D5" s="2" t="inlineStr">
        <is>
          <t>and its shareholders to proceed with the transaction strategy discussed with representatives of GHF. In light of the potentially significant time and effort involved in pursuing such exploratory transaction strategy, as well as the possible need to provide guidance to GHF and management on short notice, at the conclusion of the meeting,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The Transaction Committee did not have the authority to approve or enter into a change of control transaction, which, under Rhode Island law, is an authority that can only be exercised by the full Board. At the time of appointment, Messrs. Barrett and Garvey had been elected by the preferred shareholders and Mr. Anderson had been elected by the common shareholders at the 2015 annual shareholders meeting. At the Company’s 2016 annual shareholders meeting on April 27, 2016, Messrs. Barrett and Anderson were re-elected as directors by the common shareholders and Mr. Garvey was re-elected as a director by the preferred shareholders.</t>
        </is>
      </c>
    </row>
    <row r="6">
      <c r="A6" t="inlineStr">
        <is>
          <t>P-005</t>
        </is>
      </c>
      <c r="B6" t="inlineStr">
        <is>
          <t>Background of the Merger</t>
        </is>
      </c>
      <c r="C6" t="n">
        <v>28</v>
      </c>
      <c r="D6" s="2" t="inlineStr">
        <is>
          <t>On March 22, 2016 and March 23, 2016, Daniel T. Noreck (the Company’s Chief Financial Officer and Treasurer) and other members of the senior management team of the Company met with various representatives of Party A.</t>
        </is>
      </c>
    </row>
    <row r="7">
      <c r="A7" t="inlineStr">
        <is>
          <t>P-006</t>
        </is>
      </c>
      <c r="B7" t="inlineStr">
        <is>
          <t>Background of the Merger</t>
        </is>
      </c>
      <c r="C7" t="n">
        <v>28</v>
      </c>
      <c r="D7" s="2" t="inlineStr">
        <is>
          <t>On March 24, 2016, the Transaction Committee met by telephone conference to discuss the results of management’s meeting with Party A and to discuss next steps in the process. Members of management and representatives of each of GHF and the Company’s legal counsel, Hinckley, Allen &amp; Snyder LLP (which we refer to as “Hinckley Allen”), participated in all meetings of the Transaction Committee, except as otherwise indicated. 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row>
    <row r="8">
      <c r="A8" t="inlineStr">
        <is>
          <t>P-007</t>
        </is>
      </c>
      <c r="B8" t="inlineStr">
        <is>
          <t>Background of the Merger</t>
        </is>
      </c>
      <c r="C8" t="n">
        <v>28</v>
      </c>
      <c r="D8" s="2" t="inlineStr">
        <is>
          <t>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t>
        </is>
      </c>
    </row>
    <row r="9">
      <c r="A9" t="inlineStr">
        <is>
          <t>P-008</t>
        </is>
      </c>
      <c r="B9" t="inlineStr">
        <is>
          <t>Background of the Merger</t>
        </is>
      </c>
      <c r="C9" t="n">
        <v>28</v>
      </c>
      <c r="D9" s="2" t="inlineStr">
        <is>
          <t>On April 7, 2016, the Transaction Committee met by telephone conference and discussed the process to date with representatives of GHF. Representatives of GHF reported that they and Company management had held a series of introductory meetings with five potential strategic buyers (including G&amp;W) at the 2016 Connections Convention. Mr. Noreck reported that the Company had also approached two additional Class I railroads to determine their interest in a possible transaction. After discussion,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Subsequently, on April 21, 2016, the Company and representatives of GHF held an introductory meeting with another potential strategic buyer (“Party B”).</t>
        </is>
      </c>
    </row>
    <row r="10">
      <c r="A10" t="inlineStr">
        <is>
          <t>P-009</t>
        </is>
      </c>
      <c r="B10" t="inlineStr">
        <is>
          <t>Background of the Merger</t>
        </is>
      </c>
      <c r="C10" t="n">
        <v>28</v>
      </c>
      <c r="D10" s="2" t="inlineStr">
        <is>
          <t>With the assistance of GHF, the Company prepared a memorandum concerning the Company and its prospects, which was distributed to the potential buyers, including Party A, Party B and G&amp;W, that had executed confidentiality agreements. The Transaction Committee met with representatives of GHF by telephone conference on April 22, 2016 and discussed the status of discussions with potential buyers. On April 27, 2016,</t>
        </is>
      </c>
    </row>
    <row r="11">
      <c r="A11" t="inlineStr">
        <is>
          <t>P-010</t>
        </is>
      </c>
      <c r="B11" t="inlineStr">
        <is>
          <t>Background of the Merger</t>
        </is>
      </c>
      <c r="C11" t="n">
        <v>29</v>
      </c>
      <c r="D11" s="2" t="inlineStr">
        <is>
          <t>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t>
        </is>
      </c>
    </row>
    <row r="12">
      <c r="A12" t="inlineStr">
        <is>
          <t>P-011</t>
        </is>
      </c>
      <c r="B12" t="inlineStr">
        <is>
          <t>Background of the Merger</t>
        </is>
      </c>
      <c r="C12" t="n">
        <v>29</v>
      </c>
      <c r="D12"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row>
    <row r="13">
      <c r="A13" t="inlineStr">
        <is>
          <t>P-012</t>
        </is>
      </c>
      <c r="B13" t="inlineStr">
        <is>
          <t>Background of the Merger</t>
        </is>
      </c>
      <c r="C13" t="n">
        <v>29</v>
      </c>
      <c r="D13" s="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t>
        </is>
      </c>
    </row>
    <row r="14">
      <c r="A14" t="inlineStr">
        <is>
          <t>P-013</t>
        </is>
      </c>
      <c r="B14" t="inlineStr">
        <is>
          <t>Background of the Merger</t>
        </is>
      </c>
      <c r="C14" t="n">
        <v>29</v>
      </c>
      <c r="D14"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row>
    <row r="15">
      <c r="A15" t="inlineStr">
        <is>
          <t>P-014</t>
        </is>
      </c>
      <c r="B15" t="inlineStr">
        <is>
          <t>Background of the Merger</t>
        </is>
      </c>
      <c r="C15" t="n">
        <v>29</v>
      </c>
      <c r="D15" s="2" t="inlineStr">
        <is>
          <t>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t>
        </is>
      </c>
    </row>
    <row r="16">
      <c r="A16" t="inlineStr">
        <is>
          <t>P-015</t>
        </is>
      </c>
      <c r="B16" t="inlineStr">
        <is>
          <t>Background of the Merger</t>
        </is>
      </c>
      <c r="C16" t="n">
        <v>29</v>
      </c>
      <c r="D16"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row>
    <row r="17">
      <c r="A17" t="inlineStr">
        <is>
          <t>P-016</t>
        </is>
      </c>
      <c r="B17" t="inlineStr">
        <is>
          <t>Background of the Merger</t>
        </is>
      </c>
      <c r="C17" t="n">
        <v>29</v>
      </c>
      <c r="D17" s="2" t="inlineStr">
        <is>
          <t>• Party B submitted an LOI to acquire the Company for a price of $24.00 per share (subject to an expedited diligence review).</t>
        </is>
      </c>
    </row>
    <row r="18">
      <c r="A18" t="inlineStr">
        <is>
          <t>P-017</t>
        </is>
      </c>
      <c r="B18" t="inlineStr">
        <is>
          <t>Background of the Merger</t>
        </is>
      </c>
      <c r="C18" t="n">
        <v>29</v>
      </c>
      <c r="D18" s="2" t="inlineStr">
        <is>
          <t>•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t>
        </is>
      </c>
    </row>
    <row r="19">
      <c r="A19" t="inlineStr">
        <is>
          <t>P-018</t>
        </is>
      </c>
      <c r="B19" t="inlineStr">
        <is>
          <t>Background of the Merger</t>
        </is>
      </c>
      <c r="C19" t="n">
        <v>30</v>
      </c>
      <c r="D19" s="2" t="inlineStr">
        <is>
          <t>• Party E (a strategic buyer) submitted an LOI to acquire the Company for a price of $21.26 per share (subject to a 60-day exclusivity period for due diligence and negotiation of definitive documentation).</t>
        </is>
      </c>
    </row>
    <row r="20">
      <c r="A20" t="inlineStr">
        <is>
          <t>P-019</t>
        </is>
      </c>
      <c r="B20" t="inlineStr">
        <is>
          <t>Background of the Merger</t>
        </is>
      </c>
      <c r="C20" t="n">
        <v>30</v>
      </c>
      <c r="D20" s="2" t="inlineStr">
        <is>
          <t>• Party D (a financial buyer) submitted an LOI to acquire the Company for a price of $21.00 per share (subject to a four-week diligence period).</t>
        </is>
      </c>
    </row>
    <row r="21">
      <c r="A21" t="inlineStr">
        <is>
          <t>P-020</t>
        </is>
      </c>
      <c r="B21" t="inlineStr">
        <is>
          <t>Background of the Merger</t>
        </is>
      </c>
      <c r="C21" t="n">
        <v>30</v>
      </c>
      <c r="D21" s="2" t="inlineStr">
        <is>
          <t>• Party C submitted an LOI to acquire the Company for a price of $19.30 per share (subject to a 30-day diligence period).</t>
        </is>
      </c>
    </row>
    <row r="22">
      <c r="A22" t="inlineStr">
        <is>
          <t>P-021</t>
        </is>
      </c>
      <c r="B22" t="inlineStr">
        <is>
          <t>Background of the Merger</t>
        </is>
      </c>
      <c r="C22" t="n">
        <v>30</v>
      </c>
      <c r="D22" s="2" t="inlineStr">
        <is>
          <t>• Party F (a strategic buyer) submitted an LOI to acquire the Company for a price of $19.20 per share (subject to a 30-day due diligence period).</t>
        </is>
      </c>
    </row>
    <row r="23">
      <c r="A23" t="inlineStr">
        <is>
          <t>P-022</t>
        </is>
      </c>
      <c r="B23" t="inlineStr">
        <is>
          <t>Background of the Merger</t>
        </is>
      </c>
      <c r="C23" t="n">
        <v>30</v>
      </c>
      <c r="D23" s="2" t="inlineStr">
        <is>
          <t>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t>
        </is>
      </c>
    </row>
    <row r="24">
      <c r="A24" t="inlineStr">
        <is>
          <t>P-023</t>
        </is>
      </c>
      <c r="B24" t="inlineStr">
        <is>
          <t>Background of the Merger</t>
        </is>
      </c>
      <c r="C24" t="n">
        <v>30</v>
      </c>
      <c r="D24" s="2" t="inlineStr">
        <is>
          <t>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 The Transaction Committee discussed the process for the on-site due diligence requested by the bidders,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The Transaction Committee updated the independent directors (other than Director Smith) regarding the process at a meeting held immediately prior to the Board’s regular quarterly meeting on July 27, 2016.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t>
        </is>
      </c>
    </row>
    <row r="25">
      <c r="A25" t="inlineStr">
        <is>
          <t>P-024</t>
        </is>
      </c>
      <c r="B25" t="inlineStr">
        <is>
          <t>Background of the Merger</t>
        </is>
      </c>
      <c r="C25" t="n">
        <v>30</v>
      </c>
      <c r="D25" s="2" t="inlineStr">
        <is>
          <t>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t>
        </is>
      </c>
    </row>
    <row r="26">
      <c r="A26" t="inlineStr">
        <is>
          <t>P-025</t>
        </is>
      </c>
      <c r="B26" t="inlineStr">
        <is>
          <t>Background of the Merger</t>
        </is>
      </c>
      <c r="C26" t="n">
        <v>30</v>
      </c>
      <c r="D26" s="2"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 On August 3, 2016, the Company and Hinckley Allen also responded to additional due diligence questions submitted by Party B. On August 4, 2016, the Transaction Committee met by conference call to discuss the process with representatives of BMO and Hinckley Allen on the</t>
        </is>
      </c>
    </row>
    <row r="27">
      <c r="A27" t="inlineStr">
        <is>
          <t>P-026</t>
        </is>
      </c>
      <c r="B27" t="inlineStr">
        <is>
          <t>Background of the Merger</t>
        </is>
      </c>
      <c r="C27" t="n">
        <v>31</v>
      </c>
      <c r="D27" s="2" t="inlineStr">
        <is>
          <t>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t>
        </is>
      </c>
    </row>
    <row r="28">
      <c r="A28" t="inlineStr">
        <is>
          <t>P-027</t>
        </is>
      </c>
      <c r="B28" t="inlineStr">
        <is>
          <t>Background of the Merger</t>
        </is>
      </c>
      <c r="C28" t="n">
        <v>31</v>
      </c>
      <c r="D28"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On August 11, 2016, G&amp;W indicated its possible intention to submit a revised LOI on August 12, 2016, having just completed its physical diligence of the Company’s track infrastructure.</t>
        </is>
      </c>
    </row>
    <row r="29">
      <c r="A29" t="inlineStr">
        <is>
          <t>P-028</t>
        </is>
      </c>
      <c r="B29" t="inlineStr">
        <is>
          <t>Background of the Merger</t>
        </is>
      </c>
      <c r="C29" t="n">
        <v>31</v>
      </c>
      <c r="D29" s="2" t="inlineStr">
        <is>
          <t>Based upon progress made in due diligence and the negotiations with Party B during the week of August 8, 2016, meetings of the Transaction Committee and Board were scheduled for August 12, 2016 in anticipation of reviewing final agreements and approving a transaction with Party B. 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 Upon receipt of the revised LOI and related merger documents, Hinckley Allen and Simpson Thacher negotiated revisions to the merger agreement and disclosure letter. 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t>
        </is>
      </c>
    </row>
    <row r="30">
      <c r="A30" t="inlineStr">
        <is>
          <t>P-029</t>
        </is>
      </c>
      <c r="B30" t="inlineStr">
        <is>
          <t>Background of the Merger</t>
        </is>
      </c>
      <c r="C30" t="n">
        <v>31</v>
      </c>
      <c r="D30" s="2" t="inlineStr">
        <is>
          <t>On the afternoon of August 12, 2016, following the meeting of the Transaction Committee, the Board held a special meeting to review and consider the recommendation of the Transaction Committee with respect to a potential sale transaction. All directors were present in person or by telephone other than Director Smith. The Transaction Committee reported on the process and the status of the negotiations with Party B and G&amp;W. Drafts of the Party B merger agreement, voting agreement and disclosure letter and drafts of the G&amp;W merger agreement, voting agreement and disclosure letter were provided to the directors at the meeting. Hinckley Allen reviewed the material terms of the draft merger agreements provided by Party B and G&amp;W, and the differences between the G&amp;W draft merger agreement and the Party B draft merger agreement. Hinckley Allen also reviewed the Board’s fiduciary obligations in connection with the proposed transaction and responded to questions from the directors. Hinckley Allen advised the Board that both Party B’s and G&amp;W’s draft merger agreements restricted the Company from soliciting a competing proposal, subject to a “fiduciary out” for an unsolicited superior proposal, which required the Company to pay a termination fee equal to 3% of the transaction value in the case of G&amp;W (which the Company had negotiated down from 3.85%) and 3% plus Party B’s transaction expenses (capped at 1% of transaction value) in the case of Party B, in the event the merger agreement was terminated as a result of the Board’s decision to pursue such a proposal.</t>
        </is>
      </c>
    </row>
    <row r="31">
      <c r="A31" t="inlineStr">
        <is>
          <t>P-030</t>
        </is>
      </c>
      <c r="B31" t="inlineStr">
        <is>
          <t>Background of the Merger (continuation)</t>
        </is>
      </c>
      <c r="C31" t="n">
        <v>31</v>
      </c>
      <c r="D31" s="2" t="inlineStr">
        <is>
          <t>Hinckley Allen advised the Board that the draft merger agreement and disclosure letter for both Party B and G&amp;W had minor differences but were substantively the same, except for the following: (1) the price offered by</t>
        </is>
      </c>
    </row>
    <row r="32">
      <c r="A32" t="inlineStr">
        <is>
          <t>P-031</t>
        </is>
      </c>
      <c r="B32" t="inlineStr">
        <is>
          <t>Background of the Merger (continuation)</t>
        </is>
      </c>
      <c r="C32" t="n">
        <v>32</v>
      </c>
      <c r="D32" s="2" t="inlineStr">
        <is>
          <t>G&amp;W was $1.00 more per share; (2) the termination fee payable by the Company in the event the Board exercised its “fiduciary out” in order to accept a superior proposal was less under the G&amp;W draft agreement than the Party B draft agreement; and (3) the STB approval process for G&amp;W and Party B would be different since G&amp;W owned connecting railroads.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Based upon that discussion, the Board determined that the timeframe for, and the likelihood of, obtaining the required regulatory approval was not materially different for a transaction with G&amp;W versus a transaction with Party B. At the request of the Board, representatives of BMO then contacted Party B to determine if it would increase its offer price. Party B indicated that it would not increase its price.</t>
        </is>
      </c>
    </row>
    <row r="33">
      <c r="A33" t="inlineStr">
        <is>
          <t>P-032</t>
        </is>
      </c>
      <c r="B33" t="inlineStr">
        <is>
          <t>Background of the Merger</t>
        </is>
      </c>
      <c r="C33" t="n">
        <v>32</v>
      </c>
      <c r="D33" s="2" t="inlineStr">
        <is>
          <t>The Board determined that the G&amp;W offer represented the superior proposal. At the request of the Board, representatives of BMO reviewed BMO’s financial analyses supporting its opinion to the Board as to the fairness, from a financial point of view, to the holders of our common stock of the consideration to be received by those holders (other than the Eder Trusts) in the merger pursuant to the merger agreement as of August 12, 2016. At the request of the Board, BMO confirmed that it did not have any existing or contemplated material relationships with G&amp;W in connection with the provision of any financial advisory or financing services to G&amp;W.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Following a discussion of the terms of the merger agreement and related matters, 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 and the transactions contemplated thereby, including the merger and the plan of merger.</t>
        </is>
      </c>
    </row>
    <row r="34">
      <c r="A34" t="inlineStr">
        <is>
          <t>P-033</t>
        </is>
      </c>
      <c r="B34" t="inlineStr">
        <is>
          <t>Background of the Merger</t>
        </is>
      </c>
      <c r="C34" t="n">
        <v>32</v>
      </c>
      <c r="D34"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row>
    <row r="35">
      <c r="A35" t="inlineStr">
        <is>
          <t>P-034</t>
        </is>
      </c>
      <c r="B35" t="inlineStr">
        <is>
          <t>Background of the Merger</t>
        </is>
      </c>
      <c r="C35" t="n">
        <v>32</v>
      </c>
      <c r="D35" s="2" t="inlineStr">
        <is>
          <t>Subsequent to the delivery of BMO’s opinion and the Board’s approval of the merger agreement and voting agreement,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as described under the section titled “Summary of Financial Analysis of BMO Capital Markets Corp.— Miscellaneous ” on page 41. On September 6, 2016, the Board considered this new information, determined this relationship was not material to BMO’s independence and confirmed that the Board remained comfortable with the engagement and opinion of BMO.</t>
        </is>
      </c>
    </row>
    <row r="36">
      <c r="A36" t="inlineStr">
        <is>
          <t>X-001</t>
        </is>
      </c>
      <c r="B36" t="inlineStr">
        <is>
          <t>Cover page</t>
        </is>
      </c>
      <c r="D36" s="2" t="inlineStr">
        <is>
          <t>Providence and Worcester Railroad Company</t>
        </is>
      </c>
    </row>
    <row r="37">
      <c r="A37" t="inlineStr">
        <is>
          <t>X-002</t>
        </is>
      </c>
      <c r="B37" t="inlineStr">
        <is>
          <t>Letter to Shareholders</t>
        </is>
      </c>
      <c r="D37" s="2" t="inlineStr">
        <is>
          <t>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 If completed, the merger will result in the Company becoming a wholly-owned subsidiary of G&amp;W.</t>
        </is>
      </c>
    </row>
    <row r="38">
      <c r="A38" t="inlineStr">
        <is>
          <t>X-003</t>
        </is>
      </c>
      <c r="B38" t="inlineStr">
        <is>
          <t>Letter to Shareholders</t>
        </is>
      </c>
      <c r="D38" s="2" t="inlineStr">
        <is>
          <t>If the merger agreement is approved and the merger is subsequently completed, (i) each outstanding share of PWRR preferred stock, par value $50.00 per share (the “preferred stock”), other than preferred stock held by a holder who is entitled to and makes a proper demand for dissenters’ rights, will be deemed to be automatically converted, along with the aggregate accrued or accumulated and unpaid dividends thereon, into 100 shares of PWRR common stock, par value $0.50 per share (the “common stock”) without any further action by the holders of such preferred stock, and (ii) each share of common stock issued and outstanding at the effective time of the merger (including common stock into which the preferred stock has been deemed converted, but excluding common stock owned by G&amp;W or any of its direct or indirect subsidiaries, including Merger Sub) shall, as of the effective time of the merger, be converted into and exchanged for the right to receive cash in the amount of $25.00, without interest, per share of common stock, less any applicable withholding taxes.</t>
        </is>
      </c>
    </row>
    <row r="39">
      <c r="A39" t="inlineStr">
        <is>
          <t>X-004</t>
        </is>
      </c>
      <c r="B39" t="inlineStr">
        <is>
          <t>Summary</t>
        </is>
      </c>
      <c r="C39" t="n">
        <v>1</v>
      </c>
      <c r="D39" s="2" t="inlineStr">
        <is>
          <t>This summary highlights selected information from this proxy statement and may not contain all of the information that is important to you. To more fully understand the merger contemplated by the merger agreement, and for a more complete description of the legal terms of the merger, you should read this entire document, including the materials attached as annexes, as well as the other documents to which we have referred you. See the section of this proxy statement titled “Where You Can Find More Information” beginning on page 78. The page references in parentheses included in this summary will direct you to a more detailed description of each topic presented. In this proxy statement, the terms “PWRR,” the “Company,” “we” “our” and “us” refer to Providence and Worcester Railroad Company, a Rhode Island corporation; the term “G&amp;W” refers to Genesee &amp; Wyoming Inc., a Delaware corporation; the term “Merger Sub” refers to Pullman Acquisition Sub Inc., a Rhode Island corporation and a wholly-owned subsidiary of G&amp;W formed solely for the purpose of entering into the merger agreement and engaging in the transactions contemplated by the merger agreement; the term “common stock” refers to common stock, par value $0.50 per share, of the Company; the term “preferred stock” refers to preferred stock, par value $50.00 per share, of the Company; the term “merger” refers to the merger of Merger Sub with and into the Company with the Company surviving as a wholly-owned subsidiary of G&amp;W; the term “surviving corporation” refers to the Company, following completion of the merger; and the term “merger agreement” refers to the Merger Agreement, dated as of August 12, 2016, by and among G&amp;W, the Company and Merger Sub, a copy of which is included as Annex A to this proxy statement and incorporated into this proxy statement by reference, as amended or modified from time to time.</t>
        </is>
      </c>
    </row>
    <row r="40">
      <c r="A40" t="inlineStr">
        <is>
          <t>X-005</t>
        </is>
      </c>
      <c r="B40" t="inlineStr">
        <is>
          <t>Summary - The Parties to the Merger</t>
        </is>
      </c>
      <c r="C40" t="n">
        <v>1</v>
      </c>
      <c r="D40" s="2" t="inlineStr">
        <is>
          <t>The Company, a Rhode Island corporation, is a regional freight railroad operating in Massachusetts, Rhode Island, Connecticut and New York. The Company is the only interstate freight carrier serving the State of Rhode Island and possesses the exclusive and perpetual right to conduct freight operations over the National Railroad Passenger Corporation’s (Amtrak) Northeast Corridor between New Haven, Connecticut and the Massachusetts/Rhode Island border. Since commencing independent operations in 1973, the Company, through a series of acquisitions of connecting lines and trackage rights agreements, has grown from 45 miles of track to its current system of approximately 516 miles. The Company services the largest international double-stack intermodal terminal facility in New England in Worcester, Massachusetts, a strategic location for regional transportation and distribution enterprises. The Company’s common stock is listed on the Nasdaq Global Select Market (“NASDAQ”) under the ticker symbol “PWX.” The Company’s principal executive offices are located at 75 Hammond Street, Worcester, Massachusetts 01610, its telephone number is (508) 755-4000, and its website is www.pwrr.com.</t>
        </is>
      </c>
    </row>
    <row r="41">
      <c r="A41" t="inlineStr">
        <is>
          <t>X-006</t>
        </is>
      </c>
      <c r="B41" t="inlineStr">
        <is>
          <t>Summary - The Parties to the Merger</t>
        </is>
      </c>
      <c r="C41" t="n">
        <v>1</v>
      </c>
      <c r="D41" s="2" t="inlineStr">
        <is>
          <t>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 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t>
        </is>
      </c>
    </row>
    <row r="42">
      <c r="A42" t="inlineStr">
        <is>
          <t>X-007</t>
        </is>
      </c>
      <c r="B42" t="inlineStr">
        <is>
          <t>Summary - Record Date; Outstanding Shares</t>
        </is>
      </c>
      <c r="C42" t="n">
        <v>2</v>
      </c>
      <c r="D42" s="2" t="inlineStr">
        <is>
          <t>Only holders of record of common stock and preferred stock at the close of business on the record date of September 16, 2016 are entitled to notice of and to vote at the special meeting. As of the record date, there were 4,866,593 shares of common stock outstanding, held of record by approximately 540 shareholders, and there were 640 shares of preferred stock outstanding, held of record by 8 shareholders. Each holder of common stock is entitled to one vote for each share of common stock that he, she or it owned as of the record date. Each holder of preferred stock is entitled to one vote for each share of preferred stock that he, she or it owned as of the record date.</t>
        </is>
      </c>
    </row>
    <row r="43">
      <c r="A43" t="inlineStr">
        <is>
          <t>X-008</t>
        </is>
      </c>
      <c r="B43" t="inlineStr">
        <is>
          <t>Summary - Closing of the Merger</t>
        </is>
      </c>
      <c r="C43" t="n">
        <v>5</v>
      </c>
      <c r="D43" s="2" t="inlineStr">
        <is>
          <t>We expect that the merger will be completed as soon as practicable following the satisfaction or waiver of all closing conditions, including approval of the merger agreement by each class of the Company’s shareholders at the special meeting and receipt of all regulatory approvals. The parties cannot be certain whether or when any of the conditions to the merger will be satisfied, or waived where permissible. We currently expect to complete the merger during the fourth calendar quarter of 2016; however, because the merger is subject to these conditions, we cannot predict the actual timing, or whether the closing of the merger will occur at all.</t>
        </is>
      </c>
    </row>
    <row r="44">
      <c r="A44" t="inlineStr">
        <is>
          <t>X-009</t>
        </is>
      </c>
      <c r="B44" t="inlineStr">
        <is>
          <t>Summary - Merger Consideration</t>
        </is>
      </c>
      <c r="C44" t="n">
        <v>5</v>
      </c>
      <c r="D44" s="2" t="inlineStr">
        <is>
          <t>If the merger is completed, at the effective time of the merger, each issued and outstanding share of preferred stock immediately prior to the effective time of the merger (other than shares of preferred stock held by shareholders who are entitled to demand and make a proper demand for payment of the fair value of such preferred stock pursuant to such holders’ dissenters’ rights under Rhode Island law) will be deemed to be automatically converted, along with the aggregate accrued or accumulated and unpaid dividends thereon, into 100 shares of common stock (based on the existing conversion ratio of the preferred stock), without any further action by the holder of such preferred stock or the Company, and each share of common stock (including common stock into which any preferred stock has been deemed converted, but excluding shares that are owned by G&amp;W or any of its direct or indirect subsidiaries, including Merger Sub) will be canceled and will be converted automatically into the right to receive $25.00 in cash, without interest, less any applicable withholding taxes.</t>
        </is>
      </c>
    </row>
    <row r="45">
      <c r="A45" t="inlineStr">
        <is>
          <t>X-010</t>
        </is>
      </c>
      <c r="B45" t="inlineStr">
        <is>
          <t>Summary - Regulatory Approvals Required for the Merger</t>
        </is>
      </c>
      <c r="C45" t="n">
        <v>11</v>
      </c>
      <c r="D45" s="2" t="inlineStr">
        <is>
          <t>To complete the merger and control the Company, G&amp;W needs the prior approval or exemption of the STB. Prior to the special meeting date, G&amp;W will have filed all necessary applications, petitions or notices with the STB. On September 1, 2016, G&amp;W filed a petition for exemption with the STB requesting the prior approval of or exemption of the STB to complete the merger. On September 14, 2016, G&amp;W also submitted a form of voting trust agreement to the STB seeking a written informal opinion that using a voting trust arrangement would insulate G&amp;W from having unauthorized control of the Company if (i) G&amp;W has not received from the STB the approval or exemption of the merger before the effective time of the merger and (ii) the stock of the surviving corporation is placed into the voting trust immediately following the merger. G&amp;W and the Company cannot predict, however, whether or when the required regulatory approval or exemption will be obtained or whether any such approval or exemption will impose any burdensome condition upon the parties.</t>
        </is>
      </c>
    </row>
    <row r="46">
      <c r="A46" t="inlineStr">
        <is>
          <t>X-011</t>
        </is>
      </c>
      <c r="B46" t="inlineStr">
        <is>
          <t>Summary - Market Price of Our Common Stock</t>
        </is>
      </c>
      <c r="C46" t="n">
        <v>11</v>
      </c>
      <c r="D46" s="2" t="inlineStr">
        <is>
          <t>Our common stock is listed on the NASDAQ under the trading symbol “PWX”. The closing sale price of Company common stock on the NASDAQ on August 12, 2016, which was the last trading day before we announced the merger, was $16.30. On September 16, 2016, the last trading day before the date of this proxy statement, the closing price of Company common stock on the NASDAQ was $24.88.</t>
        </is>
      </c>
    </row>
    <row r="47">
      <c r="A47" t="inlineStr">
        <is>
          <t>X-012</t>
        </is>
      </c>
      <c r="B47" t="inlineStr">
        <is>
          <t>Reasons for the Merger</t>
        </is>
      </c>
      <c r="C47" t="n">
        <v>33</v>
      </c>
      <c r="D47" s="2" t="inlineStr">
        <is>
          <t>• the fact that the Company conducted a lengthy and thorough process, directed by the Board and the Transaction Committee, during which the Board sought offers to purchase from a broad group of potential bidders, including strategic and financial buyers, 25 of whom entered into confidentiality agreements with the Company and received information related to the Company and six of whom submitted non-binding letters of intent;</t>
        </is>
      </c>
    </row>
    <row r="48">
      <c r="A48" t="inlineStr">
        <is>
          <t>X-013</t>
        </is>
      </c>
      <c r="B48" t="inlineStr">
        <is>
          <t>Reasons for the Merger</t>
        </is>
      </c>
      <c r="C48" t="n">
        <v>33</v>
      </c>
      <c r="D48" s="2" t="inlineStr">
        <is>
          <t>• the fact that the value of the merger consideration of $25.00 per share in cash represents a 53% premium over the per share closing price of the Company’s common stock of $16.30 on August 12, 2016, the last trading day concluded prior to the Company and G&amp;W entering into the merger agreement;</t>
        </is>
      </c>
    </row>
    <row r="49">
      <c r="A49" t="inlineStr">
        <is>
          <t>X-014</t>
        </is>
      </c>
      <c r="B49" t="inlineStr">
        <is>
          <t>Reasons for the Merger</t>
        </is>
      </c>
      <c r="C49" t="n">
        <v>34</v>
      </c>
      <c r="D49" s="2" t="inlineStr">
        <is>
          <t>• the Company’s ability, prior to the time that the Company’s shareholders approve the merger agreement and plan of merger, to discuss and negotiate, under specified circumstances, an unsolicited bona fide written takeover proposal should one be made and, if the Board determines in good faith, after consultation with its legal and financial advisors, that the unsolicited bona fide written takeover proposal constitutes, or is reasonably likely to lead to, a superior proposal and that the failure to pursue such superior proposal would be inconsistent with the Board’s fiduciary duties under applicable law, the Board is permitted to terminate the merger agreement in order to enter into a definitive agreement for that superior proposal, subject to certain notice requirements, “matching rights” and payment of a termination fee of $3.785 million to G&amp;W;</t>
        </is>
      </c>
    </row>
    <row r="50">
      <c r="A50" t="inlineStr">
        <is>
          <t>X-015</t>
        </is>
      </c>
      <c r="B50" t="inlineStr">
        <is>
          <t>Reasons for the Merger</t>
        </is>
      </c>
      <c r="C50" t="n">
        <v>34</v>
      </c>
      <c r="D50" s="2" t="inlineStr">
        <is>
          <t>• the absence of a financing condition in the merger agreement and the representation of G&amp;W in the merger agreement as to its financial wherewithal;</t>
        </is>
      </c>
    </row>
    <row r="51">
      <c r="A51" t="inlineStr">
        <is>
          <t>X-016</t>
        </is>
      </c>
      <c r="B51" t="inlineStr">
        <is>
          <t>Opinion of the Company's Financial Advisor</t>
        </is>
      </c>
      <c r="C51" t="n">
        <v>36</v>
      </c>
      <c r="D51" s="2" t="inlineStr">
        <is>
          <t>We retained GHF, the business of which was subsequently acquired by BMO, an affiliate of Bank of Montreal, to act as our financial advisor in connection with the merger. In selecting GHF, we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t>
        </is>
      </c>
    </row>
    <row r="52">
      <c r="A52" t="inlineStr">
        <is>
          <t>X-017</t>
        </is>
      </c>
      <c r="B52" t="inlineStr">
        <is>
          <t>Opinion of the Company's Financial Advisor</t>
        </is>
      </c>
      <c r="C52" t="n">
        <v>36</v>
      </c>
      <c r="D52" s="2" t="inlineStr">
        <is>
          <t>On August 12, 2016, BMO rendered an oral opinion to the Board, which was subsequently confirmed in a written opinion as of the same date, as to the fairness, from a financial point of view, to the holders of our common stock (other than the Eder Trusts) as of that date, and based upon and subject to the assumptions made, matters considered and limitations and qualifications upon the review undertaken by BMO, of the merger consideration per share of our common stock to be received by those shareholders in the merger pursuant to the merger agreement.</t>
        </is>
      </c>
    </row>
    <row r="53">
      <c r="A53" t="inlineStr">
        <is>
          <t>X-018</t>
        </is>
      </c>
      <c r="B53" t="inlineStr">
        <is>
          <t>Summary of Financial Analysis of BMO Capital Markets Corp.</t>
        </is>
      </c>
      <c r="C53" t="n">
        <v>39</v>
      </c>
      <c r="D53" s="2" t="inlineStr">
        <is>
          <t>pursuant to the merger agreement, and BMO included the book value of $12.5 million of the Company’s South Quay property to each of the three valuation methodologies. BMO considered the merger consideration to be received by the shareholders of the Company on a fully-diluted basis. Specifically, BMO conducted a selected publicly traded companies analysis, a precedent transaction analysis, and a discounted cash flow analysis. No individual methodology was given a specific weight, nor can any methodology be viewed individually. Additionally, no company or transaction used in any analysis as a comparison is identical to the Company or the merger, and they all differ in material ways. Accordingly, an analysis of the results described below is not mathematical; rather it involves complex considerations and judgments concerning differences in financial and operating characteristics of the companies and other factors that could affect the public trading value of the selected companies or precedent transactions to which they are being compared. As a consequence, mathematical derivations (such as the high, low, mean and median) of financial data are not by themselves meaningful and in selecting the ranges of multiples to be applied were considered in conjunction with experience and the exercise of judgment. BMO used these analyses to determine the impact of various operating metrics on the implied value per common share of the Company. Each of these analyses yielded a range of implied values, and therefore, those implied value ranges developed from these analyses were viewed by BMO collectively and not individually.</t>
        </is>
      </c>
    </row>
    <row r="54">
      <c r="A54" t="inlineStr">
        <is>
          <t>X-019</t>
        </is>
      </c>
      <c r="B54" t="inlineStr">
        <is>
          <t>Summary of Financial Analysis of BMO Capital Markets Corp.</t>
        </is>
      </c>
      <c r="C54" t="n">
        <v>40</v>
      </c>
      <c r="D54" s="2" t="inlineStr">
        <is>
          <t>This analysis indicated the following implied per share equity value reference range for each share of the Company’s common stock, as compared to the consideration to be received by the Company’s common shareholders in the merger: $10.95 - $14.56 $11.42 - $15.09 $25.00  [Layout note: Table values rendered inline: 'Implied Per Share Equity Value Reference Range / EV/LTM EBITDA $10.95 - $14.56; EV/2016E EBITDA $11.42 - $15.09; Merger Consideration $25.00'.]</t>
        </is>
      </c>
    </row>
    <row r="55">
      <c r="A55" t="inlineStr">
        <is>
          <t>X-020</t>
        </is>
      </c>
      <c r="B55" t="inlineStr">
        <is>
          <t>Summary of Financial Analysis of BMO Capital Markets Corp.</t>
        </is>
      </c>
      <c r="C55" t="n">
        <v>41</v>
      </c>
      <c r="D55" s="2" t="inlineStr">
        <is>
          <t>This analysis indicated the following implied per share equity value reference range for each share of the Company’s common stock, as compared to the consideration to be received by the Company’s common shareholders in the merger: $10.54 - $26.50  [Layout note: Table values rendered inline: '$10.54 - $26.50; Merger Consideration $25.00'.]</t>
        </is>
      </c>
    </row>
    <row r="56">
      <c r="A56" t="inlineStr">
        <is>
          <t>X-021</t>
        </is>
      </c>
      <c r="B56" t="inlineStr">
        <is>
          <t>Summary of Financial Analysis of BMO Capital Markets Corp.</t>
        </is>
      </c>
      <c r="C56" t="n">
        <v>41</v>
      </c>
      <c r="D56" s="2" t="inlineStr">
        <is>
          <t>BMO performed a discounted cash flow analysis to calculate the estimated present value of the unlevered free cash flows that the Company’s management forecasted the Company would generate for the fiscal years 2016 through fiscal year 2020 in the Projections. BMO calculated terminal values for the Company by applying terminal EBITDA multiples ranging from 9.5x to 10.5x and estimates of the Company’s weighted average cost of capital ranging from 11.5% to 13.5%. This analysis indicated the following implied per share equity value reference range for each share of the Company’s common stock, as compared to the consideration to be received by the Company’s common shareholders in the merger: $10.82 - $12.34  [Layout note: Table values rendered inline: '$10.82 - $12.34; Merger Consideration $25.00'.]</t>
        </is>
      </c>
    </row>
    <row r="57">
      <c r="A57" t="inlineStr">
        <is>
          <t>X-022</t>
        </is>
      </c>
      <c r="B57" t="inlineStr">
        <is>
          <t>Summary of Financial Analysis of BMO Capital Markets Corp. - Miscellaneous</t>
        </is>
      </c>
      <c r="C57" t="n">
        <v>41</v>
      </c>
      <c r="D57" s="2" t="inlineStr">
        <is>
          <t>In connection with BMO’s services as the Company’s financial advisor and as successor to the business of GHF, the Company will pay BMO an aggregate fee of approximately $2.52 million, a portion of which was paid upon the signing of GHF’s engagement letter with the Company and in three monthly installments thereafter, a portion of which was paid upon delivery of BMO’s opinion, and the remainder and majority of which is payable upon consummation of the merger. In addition, the Company has agreed to reimburse BMO for certain of its expenses and to indemnify BMO and related persons against various potential liabilities arising out of or in connection with its engagement.</t>
        </is>
      </c>
    </row>
    <row r="58">
      <c r="A58" t="inlineStr">
        <is>
          <t>X-023</t>
        </is>
      </c>
      <c r="B58" t="inlineStr">
        <is>
          <t>Summary of Financial Analysis of BMO Capital Markets Corp. - Miscellaneous</t>
        </is>
      </c>
      <c r="C58" t="n">
        <v>42</v>
      </c>
      <c r="D58" s="2" t="inlineStr">
        <is>
          <t>connection with the provision of any financial advisory or financing services by BMO to G&amp;W or any of its affiliates. G&amp;W has a Second Amended and Restated Senior Secured Syndicated Facility Agreement dated as of March 20, 2015 under which an affiliate of BMO is a lender with an approximately 5% participation in the syndicate and for which such affiliate has been paid revenue (fees and interest) between $1 million and $5 million, in the aggregate, since January 1, 2014. In the two years prior to the date of BMO’s opinion, BMO did not have any material relationships, nor were any material relationships mutually understood to be contemplated, in which any compensation was received or was intended to be received by BMO as a result of any such relationship with the Company or its affiliates, other than to act as the Company’s financial advisor in connection with the merger.</t>
        </is>
      </c>
    </row>
    <row r="59">
      <c r="A59" t="inlineStr">
        <is>
          <t>X-024</t>
        </is>
      </c>
      <c r="B59" t="inlineStr">
        <is>
          <t>Projected Financial Information</t>
        </is>
      </c>
      <c r="C59" t="n">
        <v>43</v>
      </c>
      <c r="D59" s="2" t="inlineStr">
        <is>
          <t>The following is a summary of the Projections:  [Layout note: Projections table rendered inline (dollars in millions): Projected Fiscal Year 2016 (Q3-Q4 only) / 2017 / 2018 / 2019 / 2020; Revenue 18.1 / 35.3 / 37.3 / 41.4 / 43.6; Tax-Affected EBIT 2.1 / (0.5) / 0.2 / 1.4 / 2.8; Unlevered Free Cash Flow (1.7) / (0.5) / (0.1) / 1.4 / 1.9.]</t>
        </is>
      </c>
    </row>
    <row r="60">
      <c r="A60" t="inlineStr">
        <is>
          <t>X-025</t>
        </is>
      </c>
      <c r="B60" t="inlineStr">
        <is>
          <t>The Voting Agreement</t>
        </is>
      </c>
      <c r="C60" t="n">
        <v>72</v>
      </c>
      <c r="D60" s="2" t="inlineStr">
        <is>
          <t>In connection with the execution of the merger agreement, G&amp;W and the Company entered into a voting agreement with the Robert H. Eder Trust and the Linda Eder Trust (which we refer to as the “Eder Trusts”), which, as of the date of the voting agreement, collectively owned 842,742 shares of common stock and 500 shares of preferred stock. Under the voting agreement, each Eder Trust must vote all of its shares of Company stock:</t>
        </is>
      </c>
    </row>
    <row r="61">
      <c r="A61" t="inlineStr">
        <is>
          <t>X-026</t>
        </is>
      </c>
      <c r="B61" t="inlineStr">
        <is>
          <t>The Merger Agreement - Termination of the Merger Agreement</t>
        </is>
      </c>
      <c r="C61" t="n">
        <v>8</v>
      </c>
      <c r="D61" s="2" t="inlineStr">
        <is>
          <t>• by G&amp;W or the Company, if the merger is not completed by December 31, 2016 (or, if the only unsatisfied condition is STB approval of the merger, by February 28, 2017) (such date, the “outside date”), provided that the right to terminate the merger agreement under this circumstance will not be available to a party whose failure to fulfill any material obligation under the merger agreement was the cause of or results in the failure of the merger to occur on or before such date; and</t>
        </is>
      </c>
    </row>
    <row r="62">
      <c r="A62" t="inlineStr">
        <is>
          <t>X-027</t>
        </is>
      </c>
      <c r="B62" t="inlineStr">
        <is>
          <t>Market Price of Common Stock</t>
        </is>
      </c>
      <c r="C62" t="n">
        <v>71</v>
      </c>
      <c r="D62" s="2" t="inlineStr">
        <is>
          <t>Our common stock is quoted on the NASDAQ under the trading symbol “PWX”. The following table sets forth, for the periods indicated, the high and low sale prices per share for our common stock as reported on the NASDAQ. Our preferred stock is not quoted on a market and is non-cumulative and the dividend is limited to $5.00 per share per annum and is convertible to 100 shares of common stock. Also included are dividends paid per share of common stock and preferred stock during these quarterly periods.</t>
        </is>
      </c>
    </row>
    <row r="63">
      <c r="A63" t="inlineStr">
        <is>
          <t>X-028</t>
        </is>
      </c>
      <c r="B63" t="inlineStr">
        <is>
          <t>Summary - Share Ownership of Management</t>
        </is>
      </c>
      <c r="C63" t="n">
        <v>26</v>
      </c>
      <c r="D63" s="2" t="inlineStr">
        <is>
          <t>As of the record date, the directors and executive officers of the Company and their affiliates collectively beneficially owned 1,107,002 shares of common stock (excluding common stock issuable upon conversion of the preferred stock) and 500 shares of preferred stock, or approximately 22.7% of the outstanding common stock and approximately 78.1% of the outstanding preferred stock. We currently expect that each of these individuals will vote all of his or her shares of common stock and preferred stock in favor of each of the proposals to be presented at the special meeting, although none of them other than Mr. Eder are obligated to do so. See the section of this proxy statement titled “Certain Beneficial Owners of Common Stock and Preferred Stock” beginning on page 76 for further information regarding the common stock and preferred stock owned by directors and executive officers of the Company and their affiliates.</t>
        </is>
      </c>
    </row>
  </sheetData>
  <autoFilter ref="A1:D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58"/>
  <sheetViews>
    <sheetView workbookViewId="0">
      <selection activeCell="A1" sqref="A1"/>
    </sheetView>
  </sheetViews>
  <sheetFormatPr baseColWidth="8" defaultRowHeight="15"/>
  <sheetData>
    <row r="1">
      <c r="A1" s="9" t="inlineStr">
        <is>
          <t>#</t>
        </is>
      </c>
      <c r="B1" s="9" t="inlineStr">
        <is>
          <t>When</t>
        </is>
      </c>
      <c r="C1" s="9" t="inlineStr">
        <is>
          <t>Who</t>
        </is>
      </c>
      <c r="D1" s="9" t="inlineStr">
        <is>
          <t>What happened</t>
        </is>
      </c>
      <c r="E1" s="9" t="inlineStr">
        <is>
          <t>Process</t>
        </is>
      </c>
      <c r="F1" s="9" t="inlineStr">
        <is>
          <t>Round</t>
        </is>
      </c>
      <c r="G1" s="9" t="inlineStr">
        <is>
          <t>Type</t>
        </is>
      </c>
      <c r="H1" s="9" t="inlineStr">
        <is>
          <t>Terms or outcome</t>
        </is>
      </c>
      <c r="I1" s="9" t="inlineStr">
        <is>
          <t>Formality</t>
        </is>
      </c>
      <c r="J1" s="9" t="inlineStr">
        <is>
          <t>Conditions level</t>
        </is>
      </c>
      <c r="K1" s="9" t="inlineStr">
        <is>
          <t>Why and evidence</t>
        </is>
      </c>
      <c r="L1" s="9" t="inlineStr">
        <is>
          <t>Source</t>
        </is>
      </c>
      <c r="M1" s="9" t="inlineStr">
        <is>
          <t>Review</t>
        </is>
      </c>
      <c r="N1" s="9" t="inlineStr">
        <is>
          <t>Reviewer note</t>
        </is>
      </c>
      <c r="O1" s="9" t="inlineStr">
        <is>
          <t>Row id</t>
        </is>
      </c>
      <c r="P1" s="9" t="inlineStr">
        <is>
          <t>Include</t>
        </is>
      </c>
      <c r="Q1" s="9" t="inlineStr">
        <is>
          <t>Count</t>
        </is>
      </c>
      <c r="R1" s="9" t="inlineStr">
        <is>
          <t>Date from</t>
        </is>
      </c>
      <c r="S1" s="9" t="inlineStr">
        <is>
          <t>Date to</t>
        </is>
      </c>
      <c r="T1" s="9" t="inlineStr">
        <is>
          <t>Working date</t>
        </is>
      </c>
      <c r="U1" s="9" t="inlineStr">
        <is>
          <t>Date basis</t>
        </is>
      </c>
      <c r="V1" s="9" t="inlineStr">
        <is>
          <t>Date method</t>
        </is>
      </c>
      <c r="W1" s="9" t="inlineStr">
        <is>
          <t>Price low</t>
        </is>
      </c>
      <c r="X1" s="9" t="inlineStr">
        <is>
          <t>Price high</t>
        </is>
      </c>
      <c r="Y1" s="9" t="inlineStr">
        <is>
          <t>Price kind</t>
        </is>
      </c>
      <c r="Z1" s="9" t="inlineStr">
        <is>
          <t>Price origin</t>
        </is>
      </c>
      <c r="AA1" s="9" t="inlineStr">
        <is>
          <t>Currency</t>
        </is>
      </c>
      <c r="AB1" s="9" t="inlineStr">
        <is>
          <t>All cash</t>
        </is>
      </c>
      <c r="AC1" s="9" t="inlineStr">
        <is>
          <t>Cash at closing</t>
        </is>
      </c>
      <c r="AD1" s="9" t="inlineStr">
        <is>
          <t>Conditions detail</t>
        </is>
      </c>
      <c r="AE1" s="9" t="inlineStr">
        <is>
          <t>Due date</t>
        </is>
      </c>
      <c r="AF1" s="9" t="inlineStr">
        <is>
          <t>Deadline treatment</t>
        </is>
      </c>
      <c r="AG1" s="9" t="inlineStr">
        <is>
          <t>Round finality</t>
        </is>
      </c>
      <c r="AH1" s="9" t="inlineStr">
        <is>
          <t>Decided by</t>
        </is>
      </c>
      <c r="AI1" s="9" t="inlineStr">
        <is>
          <t>Exit reason</t>
        </is>
      </c>
      <c r="AJ1" s="9" t="inlineStr">
        <is>
          <t>Outcome basis</t>
        </is>
      </c>
      <c r="AK1" s="9" t="inlineStr">
        <is>
          <t>Page</t>
        </is>
      </c>
      <c r="AL1" s="9" t="inlineStr">
        <is>
          <t>Related rows</t>
        </is>
      </c>
      <c r="AM1" s="9" t="inlineStr">
        <is>
          <t>Deal</t>
        </is>
      </c>
    </row>
    <row r="2">
      <c r="A2" t="n">
        <v>1</v>
      </c>
      <c r="B2" t="inlineStr">
        <is>
          <t>Fourth quarter 2015 (day not disclosed)</t>
        </is>
      </c>
      <c r="C2" t="inlineStr">
        <is>
          <t>Party A (Class I rail partner)</t>
        </is>
      </c>
      <c r="D2" t="inlineStr">
        <is>
          <t>Bidder interest</t>
        </is>
      </c>
      <c r="E2" t="n">
        <v>1</v>
      </c>
      <c r="F2" t="n">
        <v>0</v>
      </c>
      <c r="G2" t="inlineStr">
        <is>
          <t>Strategic</t>
        </is>
      </c>
      <c r="H2" t="inlineStr">
        <is>
          <t>Unpriced, inbound expression of interest: Party A suggested possible joint ventures and expressed interest in acquiring equity in PWRR. Not a bid; direction inbound from a commercial partner.</t>
        </is>
      </c>
      <c r="I2" t="inlineStr"/>
      <c r="J2" t="inlineStr"/>
      <c r="K2" t="inlineStr">
        <is>
          <t>Stated: “During the meeting, Party A suggested possible joint venture arrangements and expressed some interest in acquiring equity in the Company to further develop strategic opportunities and enhance regional connectivity.” (p.27). Convention: this is a preliminary, unpriced interest, not an acquisition proposal; recorded as the first-contact fact for Party A. Working date is the Q4 2015 calendar midpoint (Assigned: midpoint) as a display convention (Q7).</t>
        </is>
      </c>
      <c r="L2" t="inlineStr">
        <is>
          <t>P-002</t>
        </is>
      </c>
      <c r="M2" t="inlineStr">
        <is>
          <t>Q7</t>
        </is>
      </c>
      <c r="N2" t="inlineStr"/>
      <c r="O2" t="inlineStr">
        <is>
          <t>R001</t>
        </is>
      </c>
      <c r="P2" t="inlineStr">
        <is>
          <t>Yes</t>
        </is>
      </c>
      <c r="Q2" t="n">
        <v>1</v>
      </c>
      <c r="R2" s="10" t="n">
        <v>42278</v>
      </c>
      <c r="S2" s="10" t="n">
        <v>42369</v>
      </c>
      <c r="T2" s="10" t="n">
        <v>42323</v>
      </c>
      <c r="U2" t="inlineStr">
        <is>
          <t>Approximate window</t>
        </is>
      </c>
      <c r="V2" t="inlineStr">
        <is>
          <t>Assigned: midpoint</t>
        </is>
      </c>
      <c r="W2" s="11" t="n"/>
      <c r="X2" s="11" t="n"/>
      <c r="Y2" t="inlineStr"/>
      <c r="Z2" t="inlineStr"/>
      <c r="AA2" t="inlineStr"/>
      <c r="AB2" t="inlineStr"/>
      <c r="AC2" s="11" t="n"/>
      <c r="AD2" t="inlineStr"/>
      <c r="AE2" s="10" t="n"/>
      <c r="AF2" t="inlineStr"/>
      <c r="AG2" t="inlineStr"/>
      <c r="AH2" t="inlineStr"/>
      <c r="AI2" t="inlineStr"/>
      <c r="AJ2" t="inlineStr"/>
      <c r="AK2" t="n">
        <v>27</v>
      </c>
      <c r="AL2" t="inlineStr"/>
      <c r="AM2" t="inlineStr">
        <is>
          <t>PWRR–G&amp;W</t>
        </is>
      </c>
    </row>
    <row r="3">
      <c r="A3" t="n">
        <v>2</v>
      </c>
      <c r="B3" t="inlineStr">
        <is>
          <t>Fourth quarter 2015 (after Party A's expression of interest; day not disclosed)</t>
        </is>
      </c>
      <c r="C3" t="inlineStr">
        <is>
          <t>PWRR Board (subcommittee of Barrett and Anderson)</t>
        </is>
      </c>
      <c r="D3" t="inlineStr">
        <is>
          <t>Target decision</t>
        </is>
      </c>
      <c r="E3" t="n">
        <v>1</v>
      </c>
      <c r="F3" t="n">
        <v>0</v>
      </c>
      <c r="G3" t="inlineStr"/>
      <c r="H3" t="inlineStr">
        <is>
          <t>Board appointed a two-director subcommittee to interview investment banks and evaluate strategic options, including potential change-of-control transactions, prompted by Party A's interest. Sale exploration, not a commitment to sell.</t>
        </is>
      </c>
      <c r="I3" t="inlineStr"/>
      <c r="J3" t="inlineStr"/>
      <c r="K3" t="inlineStr">
        <is>
          <t>Stated: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(p.27). Inferred: the appointment followed receipt of a report of the Party A meeting; timing is only Q4 2015. Working date shares the Q4 2015 midpoint with R001; their order within the quarter is not disclosed (Q7).</t>
        </is>
      </c>
      <c r="L3" t="inlineStr">
        <is>
          <t>P-002</t>
        </is>
      </c>
      <c r="M3" t="inlineStr">
        <is>
          <t>Q7</t>
        </is>
      </c>
      <c r="N3" t="inlineStr"/>
      <c r="O3" t="inlineStr">
        <is>
          <t>R002</t>
        </is>
      </c>
      <c r="P3" t="inlineStr">
        <is>
          <t>Yes</t>
        </is>
      </c>
      <c r="R3" s="10" t="n">
        <v>42278</v>
      </c>
      <c r="S3" s="10" t="n">
        <v>42369</v>
      </c>
      <c r="T3" s="10" t="n">
        <v>42323</v>
      </c>
      <c r="U3" t="inlineStr">
        <is>
          <t>Approximate window</t>
        </is>
      </c>
      <c r="V3" t="inlineStr">
        <is>
          <t>Assigned: midpoint</t>
        </is>
      </c>
      <c r="W3" s="11" t="n"/>
      <c r="X3" s="11" t="n"/>
      <c r="Y3" t="inlineStr"/>
      <c r="Z3" t="inlineStr"/>
      <c r="AA3" t="inlineStr"/>
      <c r="AB3" t="inlineStr"/>
      <c r="AC3" s="11" t="n"/>
      <c r="AD3" t="inlineStr"/>
      <c r="AE3" s="10" t="n"/>
      <c r="AF3" t="inlineStr"/>
      <c r="AG3" t="inlineStr"/>
      <c r="AH3" t="inlineStr"/>
      <c r="AI3" t="inlineStr"/>
      <c r="AJ3" t="inlineStr"/>
      <c r="AK3" t="n">
        <v>27</v>
      </c>
      <c r="AL3" t="inlineStr"/>
      <c r="AM3" t="inlineStr">
        <is>
          <t>PWRR–G&amp;W</t>
        </is>
      </c>
    </row>
    <row r="4">
      <c r="A4" t="n">
        <v>3</v>
      </c>
      <c r="B4" t="inlineStr">
        <is>
          <t>01/27/2016</t>
        </is>
      </c>
      <c r="C4" t="inlineStr">
        <is>
          <t>PWRR / GHF (later BMO)</t>
        </is>
      </c>
      <c r="D4" t="inlineStr">
        <is>
          <t>Adviser engaged</t>
        </is>
      </c>
      <c r="E4" t="n">
        <v>1</v>
      </c>
      <c r="F4" t="n">
        <v>0</v>
      </c>
      <c r="G4" t="inlineStr"/>
      <c r="H4" t="inlineStr">
        <is>
          <t>Board approved retaining Greene Holcomb &amp; Fisher LLC (GHF) as the Company's investment banking firm after the subcommittee interviewed several firms; GHF represented it would not represent any potential buyer or financing provider. GHF's business was acquired by BMO Capital Markets Corp. on 08/01/2016; the relationship continues as BMO (fee approx. $2.52 million, majority payable at closing).</t>
        </is>
      </c>
      <c r="I4" t="inlineStr"/>
      <c r="J4" t="inlineStr"/>
      <c r="K4" t="inlineStr">
        <is>
          <t>Stated: “the subcommittee recommended to the Board that the Company retain GHF as its investment banking firm.” and “Following this presentation, the Board approved the subcommittee’s recommendation and the Company engaged GHF.” (p.27). Stated: “GHF represented to the Company that it would not represent any potential buyer of the Company in connection with an offer to purchase the Company or any person proposing to provide financing in connection with such an offer.” (p.27). Adviser engaged — actual reported engagement. Later disclosures (fee, BMO acquisition, fairness opinion) sit on this same relationship; a renamed/acquired firm does not get a second adviser row.</t>
        </is>
      </c>
      <c r="L4" t="inlineStr">
        <is>
          <t>P-002; X-016; X-022</t>
        </is>
      </c>
      <c r="M4" t="inlineStr"/>
      <c r="N4" t="inlineStr"/>
      <c r="O4" t="inlineStr">
        <is>
          <t>R003</t>
        </is>
      </c>
      <c r="P4" t="inlineStr">
        <is>
          <t>Yes</t>
        </is>
      </c>
      <c r="R4" s="10" t="n">
        <v>42396</v>
      </c>
      <c r="S4" s="10" t="n">
        <v>42396</v>
      </c>
      <c r="T4" s="10" t="n">
        <v>42396</v>
      </c>
      <c r="U4" t="inlineStr">
        <is>
          <t>Reported day</t>
        </is>
      </c>
      <c r="V4" t="inlineStr">
        <is>
          <t>Reported</t>
        </is>
      </c>
      <c r="W4" s="11" t="n"/>
      <c r="X4" s="11" t="n"/>
      <c r="Y4" t="inlineStr"/>
      <c r="Z4" t="inlineStr"/>
      <c r="AA4" t="inlineStr"/>
      <c r="AB4" t="inlineStr"/>
      <c r="AC4" s="11" t="n"/>
      <c r="AD4" t="inlineStr"/>
      <c r="AE4" s="10" t="n"/>
      <c r="AF4" t="inlineStr"/>
      <c r="AG4" t="inlineStr"/>
      <c r="AH4" t="inlineStr"/>
      <c r="AI4" t="inlineStr"/>
      <c r="AJ4" t="inlineStr"/>
      <c r="AK4" t="n">
        <v>27</v>
      </c>
      <c r="AL4" t="inlineStr">
        <is>
          <t>adviser relationship continues as BMO (R056)</t>
        </is>
      </c>
      <c r="AM4" t="inlineStr">
        <is>
          <t>PWRR–G&amp;W</t>
        </is>
      </c>
    </row>
    <row r="5">
      <c r="A5" t="n">
        <v>4</v>
      </c>
      <c r="B5" t="inlineStr">
        <is>
          <t>03/14/2016</t>
        </is>
      </c>
      <c r="C5" t="inlineStr">
        <is>
          <t>PWRR Board</t>
        </is>
      </c>
      <c r="D5" t="inlineStr">
        <is>
          <t>Target sale decision</t>
        </is>
      </c>
      <c r="E5" t="n">
        <v>1</v>
      </c>
      <c r="F5" t="n">
        <v>0</v>
      </c>
      <c r="G5" t="inlineStr"/>
      <c r="H5" t="inlineStr">
        <is>
          <t>Board approved GHF's proposed process: proceed with discussions with Party A and also solicit interest from other third parties regarding a change-in-control transaction. Transaction Committee appointed (Barrett (Chair), Anderson, Garvey) to supervise the process; the committee could not itself approve a transaction.</t>
        </is>
      </c>
      <c r="I5" t="inlineStr"/>
      <c r="J5" t="inlineStr"/>
      <c r="K5" t="inlineStr">
        <is>
          <t>Stated: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 and “and its shareholders to proceed with the transaction strategy discussed with representatives of GHF.” (pp.27-28) and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(p.28). Candidate Round 1 anchor kept as its own row: the outreach wave began about two weeks later and is used instead (Q1).</t>
        </is>
      </c>
      <c r="L5" t="inlineStr">
        <is>
          <t>P-003; P-004</t>
        </is>
      </c>
      <c r="M5" t="inlineStr">
        <is>
          <t>Q1</t>
        </is>
      </c>
      <c r="N5" t="inlineStr"/>
      <c r="O5" t="inlineStr">
        <is>
          <t>R004</t>
        </is>
      </c>
      <c r="P5" t="inlineStr">
        <is>
          <t>Yes</t>
        </is>
      </c>
      <c r="R5" s="10" t="n">
        <v>42443</v>
      </c>
      <c r="S5" s="10" t="n">
        <v>42443</v>
      </c>
      <c r="T5" s="10" t="n">
        <v>42443</v>
      </c>
      <c r="U5" t="inlineStr">
        <is>
          <t>Reported day</t>
        </is>
      </c>
      <c r="V5" t="inlineStr">
        <is>
          <t>Reported</t>
        </is>
      </c>
      <c r="W5" s="11" t="n"/>
      <c r="X5" s="11" t="n"/>
      <c r="Y5" t="inlineStr"/>
      <c r="Z5" t="inlineStr"/>
      <c r="AA5" t="inlineStr"/>
      <c r="AB5" t="inlineStr"/>
      <c r="AC5" s="11" t="n"/>
      <c r="AD5" t="inlineStr"/>
      <c r="AE5" s="10" t="n"/>
      <c r="AF5" t="inlineStr"/>
      <c r="AG5" t="inlineStr"/>
      <c r="AH5" t="inlineStr"/>
      <c r="AI5" t="inlineStr"/>
      <c r="AJ5" t="inlineStr"/>
      <c r="AK5" t="n">
        <v>27</v>
      </c>
      <c r="AL5" t="inlineStr">
        <is>
          <t>candidate R1 anchor for R007</t>
        </is>
      </c>
      <c r="AM5" t="inlineStr">
        <is>
          <t>PWRR–G&amp;W</t>
        </is>
      </c>
    </row>
    <row r="6">
      <c r="A6" t="n">
        <v>5</v>
      </c>
      <c r="B6" t="inlineStr">
        <is>
          <t>03/24/2016</t>
        </is>
      </c>
      <c r="C6" t="inlineStr">
        <is>
          <t>Transaction Committee / GHF</t>
        </is>
      </c>
      <c r="D6" t="inlineStr">
        <is>
          <t>Target decision</t>
        </is>
      </c>
      <c r="E6" t="n">
        <v>1</v>
      </c>
      <c r="F6" t="n">
        <v>0</v>
      </c>
      <c r="G6" t="inlineStr"/>
      <c r="H6" t="inlineStr">
        <is>
          <t>Committee authorized GHF to contact Party A and other potential buyers to gauge interest in a change-in-control transaction; management reported its 03/22-03/23 meetings with Party A and that Party A had been told of GHF's engagement.</t>
        </is>
      </c>
      <c r="I6" t="inlineStr"/>
      <c r="J6" t="inlineStr"/>
      <c r="K6" t="inlineStr">
        <is>
          <t>Stated: “Mr. Noreck reported that he and other members of the senior management team had met with various representatives of Party A on March 22 and 23, 2016 and had informed Party A of GHF’s engagement.” and “The Transaction Committee authorized GHF to contact Party A as well as other potential buyers to determine their level of interest in a change in control transaction.” (p.28). Candidate Round 1 anchor kept as its own row: it launched outreach within about a week, but the dated first outreach wave is the anchor (Q1).</t>
        </is>
      </c>
      <c r="L6" t="inlineStr">
        <is>
          <t>P-005; P-006</t>
        </is>
      </c>
      <c r="M6" t="inlineStr">
        <is>
          <t>Q1</t>
        </is>
      </c>
      <c r="N6" t="inlineStr"/>
      <c r="O6" t="inlineStr">
        <is>
          <t>R005</t>
        </is>
      </c>
      <c r="P6" t="inlineStr">
        <is>
          <t>Yes</t>
        </is>
      </c>
      <c r="R6" s="10" t="n">
        <v>42453</v>
      </c>
      <c r="S6" s="10" t="n">
        <v>42453</v>
      </c>
      <c r="T6" s="10" t="n">
        <v>42453</v>
      </c>
      <c r="U6" t="inlineStr">
        <is>
          <t>Reported day</t>
        </is>
      </c>
      <c r="V6" t="inlineStr">
        <is>
          <t>Reported</t>
        </is>
      </c>
      <c r="W6" s="11" t="n"/>
      <c r="X6" s="11" t="n"/>
      <c r="Y6" t="inlineStr"/>
      <c r="Z6" t="inlineStr"/>
      <c r="AA6" t="inlineStr"/>
      <c r="AB6" t="inlineStr"/>
      <c r="AC6" s="11" t="n"/>
      <c r="AD6" t="inlineStr"/>
      <c r="AE6" s="10" t="n"/>
      <c r="AF6" t="inlineStr"/>
      <c r="AG6" t="inlineStr"/>
      <c r="AH6" t="inlineStr"/>
      <c r="AI6" t="inlineStr"/>
      <c r="AJ6" t="inlineStr"/>
      <c r="AK6" t="n">
        <v>28</v>
      </c>
      <c r="AL6" t="inlineStr">
        <is>
          <t>candidate R1 anchor for R007</t>
        </is>
      </c>
      <c r="AM6" t="inlineStr">
        <is>
          <t>PWRR–G&amp;W</t>
        </is>
      </c>
    </row>
    <row r="7">
      <c r="A7" t="n">
        <v>6</v>
      </c>
      <c r="B7" t="inlineStr">
        <is>
          <t>Participated in committee meetings from 03/24/2016 (service date; retention date not disclosed)</t>
        </is>
      </c>
      <c r="C7" t="inlineStr">
        <is>
          <t>Hinckley, Allen &amp; Snyder LLP (target legal counsel)</t>
        </is>
      </c>
      <c r="D7" t="inlineStr">
        <is>
          <t>Adviser service observed</t>
        </is>
      </c>
      <c r="E7" t="n">
        <v>1</v>
      </c>
      <c r="F7" t="n">
        <v>0</v>
      </c>
      <c r="G7" t="inlineStr"/>
      <c r="H7" t="inlineStr">
        <is>
          <t>Company legal counsel; participated in all Transaction Committee meetings from 03/24/2016; drafted and negotiated the merger agreement and disclosure letter, responded to bidder diligence questions, and advised the Board.</t>
        </is>
      </c>
      <c r="I7" t="inlineStr"/>
      <c r="J7" t="inlineStr"/>
      <c r="K7" t="inlineStr">
        <is>
          <t>Stated: “Members of management and representatives of each of GHF and the Company’s legal counsel, Hinckley, Allen &amp; Snyder LLP (which we refer to as “Hinckley Allen”), participated in all meetings of the Transaction Committee, except as otherwise indicated.” (p.28). Adviser service observed, not engaged: the filing does not give a retention date, so the earliest supported service date (the 03/24/2016 committee meeting) is used. First narrative mention is not itself proof of retention.</t>
        </is>
      </c>
      <c r="L7" t="inlineStr">
        <is>
          <t>P-006; P-025; P-028</t>
        </is>
      </c>
      <c r="M7" t="inlineStr"/>
      <c r="N7" t="inlineStr"/>
      <c r="O7" t="inlineStr">
        <is>
          <t>R006</t>
        </is>
      </c>
      <c r="P7" t="inlineStr">
        <is>
          <t>Yes</t>
        </is>
      </c>
      <c r="R7" s="10" t="n">
        <v>42453</v>
      </c>
      <c r="S7" s="10" t="n">
        <v>42453</v>
      </c>
      <c r="T7" s="10" t="n">
        <v>42453</v>
      </c>
      <c r="U7" t="inlineStr">
        <is>
          <t>Reported day</t>
        </is>
      </c>
      <c r="V7" t="inlineStr">
        <is>
          <t>Reported</t>
        </is>
      </c>
      <c r="W7" s="11" t="n"/>
      <c r="X7" s="11" t="n"/>
      <c r="Y7" t="inlineStr"/>
      <c r="Z7" t="inlineStr"/>
      <c r="AA7" t="inlineStr"/>
      <c r="AB7" t="inlineStr"/>
      <c r="AC7" s="11" t="n"/>
      <c r="AD7" t="inlineStr"/>
      <c r="AE7" s="10" t="n"/>
      <c r="AF7" t="inlineStr"/>
      <c r="AG7" t="inlineStr"/>
      <c r="AH7" t="inlineStr"/>
      <c r="AI7" t="inlineStr"/>
      <c r="AJ7" t="inlineStr"/>
      <c r="AK7" t="n">
        <v>28</v>
      </c>
      <c r="AL7" t="inlineStr"/>
      <c r="AM7" t="inlineStr">
        <is>
          <t>PWRR–G&amp;W</t>
        </is>
      </c>
    </row>
    <row r="8">
      <c r="A8" t="n">
        <v>7</v>
      </c>
      <c r="B8" t="inlineStr">
        <is>
          <t>Week of 03/28/2016</t>
        </is>
      </c>
      <c r="C8" t="inlineStr">
        <is>
          <t>PWRR / GHF</t>
        </is>
      </c>
      <c r="D8" t="inlineStr">
        <is>
          <t>Round opened</t>
        </is>
      </c>
      <c r="E8" t="n">
        <v>1</v>
      </c>
      <c r="F8" t="n">
        <v>1</v>
      </c>
      <c r="G8" t="inlineStr"/>
      <c r="H8" t="inlineStr">
        <is>
          <t>R1 anchor: first outreach wave — GHF contacted 11 potential strategic buyers (including Party A) and 18 potential financial buyers during the week of 03/28/2016 to determine interest in a change-in-control transaction. Other candidate anchors: R005 (03/24/2016 committee authorization; direct launch within about a week) and R004 (03/14/2016 Board process decision). Objective: gauge interest and solicit non-binding indications of interest (IOI deadline later set for 05/10/2016, revised to 05/19/2016). Finality: Not final — an indicative, non-binding stage with no final or binding solicitation.</t>
        </is>
      </c>
      <c r="I8" t="inlineStr"/>
      <c r="J8" t="inlineStr"/>
      <c r="K8" t="inlineStr">
        <is>
          <t>Stated: “During the week of March 28, 2016, in accordance with the Transaction Committee’s directives, representatives of GHF contacted 11 potential strategic buyers (including Party A) and 18 potential financial buyers.” (p.28). Convention: R1 opens with the first outreach wave under the section 6.3 rule; the engagement (R003) and the process decisions (R004, R005) were earlier. Not final: the filing announces no final or binding solicitation at this stage (Q1).</t>
        </is>
      </c>
      <c r="L8" t="inlineStr">
        <is>
          <t>P-006</t>
        </is>
      </c>
      <c r="M8" t="inlineStr">
        <is>
          <t>Q1</t>
        </is>
      </c>
      <c r="N8" t="inlineStr"/>
      <c r="O8" t="inlineStr">
        <is>
          <t>R007</t>
        </is>
      </c>
      <c r="P8" t="inlineStr">
        <is>
          <t>Yes</t>
        </is>
      </c>
      <c r="R8" s="10" t="n">
        <v>42457</v>
      </c>
      <c r="S8" s="10" t="n">
        <v>42463</v>
      </c>
      <c r="T8" s="10" t="n">
        <v>42457</v>
      </c>
      <c r="U8" t="inlineStr">
        <is>
          <t>Reported interval</t>
        </is>
      </c>
      <c r="V8" t="inlineStr">
        <is>
          <t>Assigned: bound</t>
        </is>
      </c>
      <c r="W8" s="11" t="n"/>
      <c r="X8" s="11" t="n"/>
      <c r="Y8" t="inlineStr"/>
      <c r="Z8" t="inlineStr"/>
      <c r="AA8" t="inlineStr"/>
      <c r="AB8" t="inlineStr"/>
      <c r="AC8" s="11" t="n"/>
      <c r="AD8" t="inlineStr"/>
      <c r="AE8" s="10" t="n"/>
      <c r="AF8" t="inlineStr"/>
      <c r="AG8" t="inlineStr">
        <is>
          <t>Not final</t>
        </is>
      </c>
      <c r="AH8" t="inlineStr"/>
      <c r="AI8" t="inlineStr"/>
      <c r="AJ8" t="inlineStr"/>
      <c r="AK8" t="n">
        <v>28</v>
      </c>
      <c r="AL8" t="inlineStr">
        <is>
          <t>R004; R005; anchored on the wave; admits R008/R009 contacts</t>
        </is>
      </c>
      <c r="AM8" t="inlineStr">
        <is>
          <t>PWRR–G&amp;W</t>
        </is>
      </c>
    </row>
    <row r="9">
      <c r="A9" t="n">
        <v>8</v>
      </c>
      <c r="B9" t="inlineStr">
        <is>
          <t>Week of 03/28/2016</t>
        </is>
      </c>
      <c r="C9" t="inlineStr">
        <is>
          <t>11 potential strategic buyers (incl. Party A)</t>
        </is>
      </c>
      <c r="D9" t="inlineStr">
        <is>
          <t>Contact</t>
        </is>
      </c>
      <c r="E9" t="n">
        <v>1</v>
      </c>
      <c r="F9" t="n">
        <v>1</v>
      </c>
      <c r="G9" t="inlineStr">
        <is>
          <t>Strategic</t>
        </is>
      </c>
      <c r="H9" t="inlineStr">
        <is>
          <t>Target-initiated outreach by GHF to determine interest in a change-in-control transaction; 11 strategic buyers contacted. Party A was already in contact since Q4 2015 (R001).</t>
        </is>
      </c>
      <c r="I9" t="inlineStr"/>
      <c r="J9" t="inlineStr"/>
      <c r="K9" t="inlineStr">
        <is>
          <t>Stated: “During the week of March 28, 2016, in accordance with the Transaction Committee’s directives, representatives of GHF contacted 11 potential strategic buyers (including Party A) and 18 potential financial buyers.” (p.28). Inferred: these are whole-company acquisition contacts (acquisition of the Company, not a segment). Party A is counted once in this cohort though its first contact is R001 (contact detail row, Q3).</t>
        </is>
      </c>
      <c r="L9" t="inlineStr">
        <is>
          <t>P-006</t>
        </is>
      </c>
      <c r="M9" t="inlineStr">
        <is>
          <t>Q3</t>
        </is>
      </c>
      <c r="N9" t="inlineStr"/>
      <c r="O9" t="inlineStr">
        <is>
          <t>R008</t>
        </is>
      </c>
      <c r="P9" t="inlineStr">
        <is>
          <t>Yes</t>
        </is>
      </c>
      <c r="Q9" t="n">
        <v>11</v>
      </c>
      <c r="R9" s="10" t="n">
        <v>42457</v>
      </c>
      <c r="S9" s="10" t="n">
        <v>42463</v>
      </c>
      <c r="T9" s="10" t="n">
        <v>42457</v>
      </c>
      <c r="U9" t="inlineStr">
        <is>
          <t>Reported interval</t>
        </is>
      </c>
      <c r="V9" t="inlineStr">
        <is>
          <t>Assigned: bound</t>
        </is>
      </c>
      <c r="W9" s="11" t="n"/>
      <c r="X9" s="11" t="n"/>
      <c r="Y9" t="inlineStr"/>
      <c r="Z9" t="inlineStr"/>
      <c r="AA9" t="inlineStr"/>
      <c r="AB9" t="inlineStr"/>
      <c r="AC9" s="11" t="n"/>
      <c r="AD9" t="inlineStr"/>
      <c r="AE9" s="10" t="n"/>
      <c r="AF9" t="inlineStr"/>
      <c r="AG9" t="inlineStr"/>
      <c r="AH9" t="inlineStr"/>
      <c r="AI9" t="inlineStr"/>
      <c r="AJ9" t="inlineStr"/>
      <c r="AK9" t="n">
        <v>28</v>
      </c>
      <c r="AL9" t="inlineStr"/>
      <c r="AM9" t="inlineStr">
        <is>
          <t>PWRR–G&amp;W</t>
        </is>
      </c>
    </row>
    <row r="10">
      <c r="A10" t="n">
        <v>9</v>
      </c>
      <c r="B10" t="inlineStr">
        <is>
          <t>Week of 03/28/2016</t>
        </is>
      </c>
      <c r="C10" t="inlineStr">
        <is>
          <t>18 potential financial buyers</t>
        </is>
      </c>
      <c r="D10" t="inlineStr">
        <is>
          <t>Contact</t>
        </is>
      </c>
      <c r="E10" t="n">
        <v>1</v>
      </c>
      <c r="F10" t="n">
        <v>1</v>
      </c>
      <c r="G10" t="inlineStr">
        <is>
          <t>Financial</t>
        </is>
      </c>
      <c r="H10" t="inlineStr">
        <is>
          <t>Target-initiated outreach by GHF; 18 financial buyers (private equity/financial investors) contacted about a change-in-control transaction.</t>
        </is>
      </c>
      <c r="I10" t="inlineStr"/>
      <c r="J10" t="inlineStr"/>
      <c r="K10" t="inlineStr">
        <is>
          <t>Stated: “During the week of March 28, 2016, in accordance with the Transaction Committee’s directives, representatives of GHF contacted 11 potential strategic buyers (including Party A) and 18 potential financial buyers.” (p.28). Cohort split by type as the filing supplies the split. Four of these 18 did not sign confidentiality agreements (R013).</t>
        </is>
      </c>
      <c r="L10" t="inlineStr">
        <is>
          <t>P-006</t>
        </is>
      </c>
      <c r="M10" t="inlineStr">
        <is>
          <t>Q3</t>
        </is>
      </c>
      <c r="N10" t="inlineStr"/>
      <c r="O10" t="inlineStr">
        <is>
          <t>R009</t>
        </is>
      </c>
      <c r="P10" t="inlineStr">
        <is>
          <t>Yes</t>
        </is>
      </c>
      <c r="Q10" t="n">
        <v>18</v>
      </c>
      <c r="R10" s="10" t="n">
        <v>42457</v>
      </c>
      <c r="S10" s="10" t="n">
        <v>42463</v>
      </c>
      <c r="T10" s="10" t="n">
        <v>42457</v>
      </c>
      <c r="U10" t="inlineStr">
        <is>
          <t>Reported interval</t>
        </is>
      </c>
      <c r="V10" t="inlineStr">
        <is>
          <t>Assigned: bound</t>
        </is>
      </c>
      <c r="W10" s="11" t="n"/>
      <c r="X10" s="11" t="n"/>
      <c r="Y10" t="inlineStr"/>
      <c r="Z10" t="inlineStr"/>
      <c r="AA10" t="inlineStr"/>
      <c r="AB10" t="inlineStr"/>
      <c r="AC10" s="11" t="n"/>
      <c r="AD10" t="inlineStr"/>
      <c r="AE10" s="10" t="n"/>
      <c r="AF10" t="inlineStr"/>
      <c r="AG10" t="inlineStr"/>
      <c r="AH10" t="inlineStr"/>
      <c r="AI10" t="inlineStr"/>
      <c r="AJ10" t="inlineStr"/>
      <c r="AK10" t="n">
        <v>28</v>
      </c>
      <c r="AL10" t="inlineStr"/>
      <c r="AM10" t="inlineStr">
        <is>
          <t>PWRR–G&amp;W</t>
        </is>
      </c>
    </row>
    <row r="11">
      <c r="A11" t="n">
        <v>10</v>
      </c>
      <c r="B11" t="inlineStr">
        <is>
          <t>by 04/07/2016 (reported at the 04/07/2016 committee meeting; approach day not disclosed)</t>
        </is>
      </c>
      <c r="C11" t="inlineStr">
        <is>
          <t>Two additional Class I railroads</t>
        </is>
      </c>
      <c r="D11" t="inlineStr">
        <is>
          <t>Contact</t>
        </is>
      </c>
      <c r="E11" t="n">
        <v>1</v>
      </c>
      <c r="F11" t="n">
        <v>1</v>
      </c>
      <c r="G11" t="inlineStr">
        <is>
          <t>Strategic</t>
        </is>
      </c>
      <c r="H11" t="inlineStr">
        <is>
          <t>The Company separately approached two additional Class I railroads to gauge transaction interest. Overlap with the 11 strategic buyers contacted by GHF is unresolved; additive Count left blank rather than assuming disjointness.</t>
        </is>
      </c>
      <c r="I11" t="inlineStr"/>
      <c r="J11" t="inlineStr"/>
      <c r="K11" t="inlineStr">
        <is>
          <t>Stated: “Mr. Noreck reported that the Company had also approached two additional Class I railroads to determine their interest in a possible transaction.” (p.28). Inferred: the approaches preceded the 04/07/2016 report and followed the outreach decision; only the report date is supported. Working date = the known bound (Assigned: bound). Qualified quantity: contact total is 29 plus up to 2 unresolved (Q3).</t>
        </is>
      </c>
      <c r="L11" t="inlineStr">
        <is>
          <t>P-008</t>
        </is>
      </c>
      <c r="M11" t="inlineStr">
        <is>
          <t>Q3</t>
        </is>
      </c>
      <c r="N11" t="inlineStr"/>
      <c r="O11" t="inlineStr">
        <is>
          <t>R010</t>
        </is>
      </c>
      <c r="P11" t="inlineStr">
        <is>
          <t>Yes</t>
        </is>
      </c>
      <c r="R11" s="10" t="n"/>
      <c r="S11" s="10" t="n">
        <v>42467</v>
      </c>
      <c r="T11" s="10" t="n">
        <v>42467</v>
      </c>
      <c r="U11" t="inlineStr">
        <is>
          <t>Relative only</t>
        </is>
      </c>
      <c r="V11" t="inlineStr">
        <is>
          <t>Assigned: bound</t>
        </is>
      </c>
      <c r="W11" s="11" t="n"/>
      <c r="X11" s="11" t="n"/>
      <c r="Y11" t="inlineStr"/>
      <c r="Z11" t="inlineStr"/>
      <c r="AA11" t="inlineStr"/>
      <c r="AB11" t="inlineStr"/>
      <c r="AC11" s="11" t="n"/>
      <c r="AD11" t="inlineStr"/>
      <c r="AE11" s="10" t="n"/>
      <c r="AF11" t="inlineStr"/>
      <c r="AG11" t="inlineStr"/>
      <c r="AH11" t="inlineStr"/>
      <c r="AI11" t="inlineStr"/>
      <c r="AJ11" t="inlineStr"/>
      <c r="AK11" t="n">
        <v>28</v>
      </c>
      <c r="AL11" t="inlineStr"/>
      <c r="AM11" t="inlineStr">
        <is>
          <t>PWRR–G&amp;W</t>
        </is>
      </c>
    </row>
    <row r="12">
      <c r="A12" t="n">
        <v>11</v>
      </c>
      <c r="B12" t="inlineStr">
        <is>
          <t>04/07/2016</t>
        </is>
      </c>
      <c r="C12" t="inlineStr">
        <is>
          <t>Transaction Committee / GHF</t>
        </is>
      </c>
      <c r="D12" t="inlineStr">
        <is>
          <t>Target decision</t>
        </is>
      </c>
      <c r="E12" t="n">
        <v>1</v>
      </c>
      <c r="F12" t="n">
        <v>1</v>
      </c>
      <c r="G12" t="inlineStr"/>
      <c r="H12" t="inlineStr">
        <is>
          <t>Committee authorized GHF to contact the five convention attendees (including G&amp;W) and other strategic buyers and private equity firms under confidentiality agreement to confirm continuing interest; management had also approached two additional Class I railroads (R010).</t>
        </is>
      </c>
      <c r="I12" t="inlineStr"/>
      <c r="J12" t="inlineStr"/>
      <c r="K12" t="inlineStr">
        <is>
          <t>Stated: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(p.28). Process continuation, not a new round; the round's information stage (management presentations and data room) is uniform for advancing bidders (R020).</t>
        </is>
      </c>
      <c r="L12" t="inlineStr">
        <is>
          <t>P-008</t>
        </is>
      </c>
      <c r="M12" t="inlineStr"/>
      <c r="N12" t="inlineStr"/>
      <c r="O12" t="inlineStr">
        <is>
          <t>R011</t>
        </is>
      </c>
      <c r="P12" t="inlineStr">
        <is>
          <t>Yes</t>
        </is>
      </c>
      <c r="R12" s="10" t="n">
        <v>42467</v>
      </c>
      <c r="S12" s="10" t="n">
        <v>42467</v>
      </c>
      <c r="T12" s="10" t="n">
        <v>42467</v>
      </c>
      <c r="U12" t="inlineStr">
        <is>
          <t>Reported day</t>
        </is>
      </c>
      <c r="V12" t="inlineStr">
        <is>
          <t>Reported</t>
        </is>
      </c>
      <c r="W12" s="11" t="n"/>
      <c r="X12" s="11" t="n"/>
      <c r="Y12" t="inlineStr"/>
      <c r="Z12" t="inlineStr"/>
      <c r="AA12" t="inlineStr"/>
      <c r="AB12" t="inlineStr"/>
      <c r="AC12" s="11" t="n"/>
      <c r="AD12" t="inlineStr"/>
      <c r="AE12" s="10" t="n"/>
      <c r="AF12" t="inlineStr"/>
      <c r="AG12" t="inlineStr"/>
      <c r="AH12" t="inlineStr"/>
      <c r="AI12" t="inlineStr"/>
      <c r="AJ12" t="inlineStr"/>
      <c r="AK12" t="n">
        <v>28</v>
      </c>
      <c r="AL12" t="inlineStr"/>
      <c r="AM12" t="inlineStr">
        <is>
          <t>PWRR–G&amp;W</t>
        </is>
      </c>
    </row>
    <row r="13">
      <c r="A13" t="n">
        <v>12</v>
      </c>
      <c r="B13" t="inlineStr">
        <is>
          <t>after week of 03/28/2016; by 04/22/2016 (execution days not disclosed)</t>
        </is>
      </c>
      <c r="C13" t="inlineStr">
        <is>
          <t>11 strategic NDA signers</t>
        </is>
      </c>
      <c r="D13" t="inlineStr">
        <is>
          <t>NDA signed</t>
        </is>
      </c>
      <c r="E13" t="n">
        <v>1</v>
      </c>
      <c r="F13" t="n">
        <v>1</v>
      </c>
      <c r="G13" t="inlineStr">
        <is>
          <t>Strategic</t>
        </is>
      </c>
      <c r="H13" t="inlineStr">
        <is>
          <t>Each of the 11 strategic buyers contacted by GHF executed a confidentiality agreement; no standstill or similar provision. Party A, Party B and G&amp;W are inside this cohort; their individual NDA dates are not disclosed. Party B's inclusion is assumed (R014 assumes otherwise for count purposes; Q3).</t>
        </is>
      </c>
      <c r="I13" t="inlineStr"/>
      <c r="J13" t="inlineStr"/>
      <c r="K13" t="inlineStr">
        <is>
          <t>Stated: “Each of the potential strategic buyers and 14 potential financial buyers subsequently executed confidentiality agreements.” (p.28) and “The confidentiality agreements did not contain any “standstill” or similar provision that would prohibit a potential buyer from submitting a proposal or making an offer to acquire the Company.” (p.28). Inferred: agreements executed after the contact wave and exist by 04/22/2016, when the memorandum went to buyers that had executed them (R014). Working date = window midpoint (Q7).</t>
        </is>
      </c>
      <c r="L13" t="inlineStr">
        <is>
          <t>P-006; P-009</t>
        </is>
      </c>
      <c r="M13" t="inlineStr">
        <is>
          <t>Q3</t>
        </is>
      </c>
      <c r="N13" t="inlineStr"/>
      <c r="O13" t="inlineStr">
        <is>
          <t>R012</t>
        </is>
      </c>
      <c r="P13" t="inlineStr">
        <is>
          <t>Yes</t>
        </is>
      </c>
      <c r="Q13" t="n">
        <v>11</v>
      </c>
      <c r="R13" s="10" t="n">
        <v>42457</v>
      </c>
      <c r="S13" s="10" t="n">
        <v>42482</v>
      </c>
      <c r="T13" s="10" t="n">
        <v>42469</v>
      </c>
      <c r="U13" t="inlineStr">
        <is>
          <t>Approximate window</t>
        </is>
      </c>
      <c r="V13" t="inlineStr">
        <is>
          <t>Assigned: midpoint</t>
        </is>
      </c>
      <c r="W13" s="11" t="n"/>
      <c r="X13" s="11" t="n"/>
      <c r="Y13" t="inlineStr"/>
      <c r="Z13" t="inlineStr"/>
      <c r="AA13" t="inlineStr"/>
      <c r="AB13" t="inlineStr"/>
      <c r="AC13" s="11" t="n"/>
      <c r="AD13" t="inlineStr"/>
      <c r="AE13" s="10" t="n"/>
      <c r="AF13" t="inlineStr"/>
      <c r="AG13" t="inlineStr"/>
      <c r="AH13" t="inlineStr"/>
      <c r="AI13" t="inlineStr"/>
      <c r="AJ13" t="inlineStr"/>
      <c r="AK13" t="n">
        <v>28</v>
      </c>
      <c r="AL13" t="inlineStr"/>
      <c r="AM13" t="inlineStr">
        <is>
          <t>PWRR–G&amp;W</t>
        </is>
      </c>
    </row>
    <row r="14">
      <c r="A14" t="n">
        <v>13</v>
      </c>
      <c r="B14" t="inlineStr">
        <is>
          <t>after week of 03/28/2016; by 04/22/2016 (execution days not disclosed)</t>
        </is>
      </c>
      <c r="C14" t="inlineStr">
        <is>
          <t>14 potential financial NDA signers</t>
        </is>
      </c>
      <c r="D14" t="inlineStr">
        <is>
          <t>NDA signed</t>
        </is>
      </c>
      <c r="E14" t="n">
        <v>1</v>
      </c>
      <c r="F14" t="n">
        <v>1</v>
      </c>
      <c r="G14" t="inlineStr">
        <is>
          <t>Financial</t>
        </is>
      </c>
      <c r="H14" t="inlineStr">
        <is>
          <t>14 of the 18 financial buyers contacted executed confidentiality agreements; no standstill. Four contacted financial buyers did not sign and are not counted as NDA participants. Party D is a financial buyer within this cohort.</t>
        </is>
      </c>
      <c r="I14" t="inlineStr"/>
      <c r="J14" t="inlineStr"/>
      <c r="K14" t="inlineStr">
        <is>
          <t>Stated: “Each of the potential strategic buyers and 14 potential financial buyers subsequently executed confidentiality agreements.” (p.28). Inferred: same window as R012. Cohort split by type as supplied (Q3).</t>
        </is>
      </c>
      <c r="L14" t="inlineStr">
        <is>
          <t>P-006</t>
        </is>
      </c>
      <c r="M14" t="inlineStr">
        <is>
          <t>Q3</t>
        </is>
      </c>
      <c r="N14" t="inlineStr"/>
      <c r="O14" t="inlineStr">
        <is>
          <t>R013</t>
        </is>
      </c>
      <c r="P14" t="inlineStr">
        <is>
          <t>Yes</t>
        </is>
      </c>
      <c r="Q14" t="n">
        <v>14</v>
      </c>
      <c r="R14" s="10" t="n">
        <v>42457</v>
      </c>
      <c r="S14" s="10" t="n">
        <v>42482</v>
      </c>
      <c r="T14" s="10" t="n">
        <v>42469</v>
      </c>
      <c r="U14" t="inlineStr">
        <is>
          <t>Approximate window</t>
        </is>
      </c>
      <c r="V14" t="inlineStr">
        <is>
          <t>Assigned: midpoint</t>
        </is>
      </c>
      <c r="W14" s="11" t="n"/>
      <c r="X14" s="11" t="n"/>
      <c r="Y14" t="inlineStr"/>
      <c r="Z14" t="inlineStr"/>
      <c r="AA14" t="inlineStr"/>
      <c r="AB14" t="inlineStr"/>
      <c r="AC14" s="11" t="n"/>
      <c r="AD14" t="inlineStr"/>
      <c r="AE14" s="10" t="n"/>
      <c r="AF14" t="inlineStr"/>
      <c r="AG14" t="inlineStr"/>
      <c r="AH14" t="inlineStr"/>
      <c r="AI14" t="inlineStr"/>
      <c r="AJ14" t="inlineStr"/>
      <c r="AK14" t="n">
        <v>28</v>
      </c>
      <c r="AL14" t="inlineStr"/>
      <c r="AM14" t="inlineStr">
        <is>
          <t>PWRR–G&amp;W</t>
        </is>
      </c>
    </row>
    <row r="15">
      <c r="A15" t="n">
        <v>14</v>
      </c>
      <c r="B15" t="inlineStr">
        <is>
          <t>04/21/2016</t>
        </is>
      </c>
      <c r="C15" t="inlineStr">
        <is>
          <t>Party B</t>
        </is>
      </c>
      <c r="D15" t="inlineStr">
        <is>
          <t>Contact</t>
        </is>
      </c>
      <c r="E15" t="n">
        <v>1</v>
      </c>
      <c r="F15" t="n">
        <v>1</v>
      </c>
      <c r="G15" t="inlineStr">
        <is>
          <t>Strategic</t>
        </is>
      </c>
      <c r="H15" t="inlineStr">
        <is>
          <t>Target-initiated introductory meeting between the Company/GHF and Party B, 'another potential strategic buyer'. Whether Party B is one of the 11 buyers contacted in the week of 03/28/2016 is not stated; additive Count left blank. Party B executed a confidentiality agreement by 04/22/2016.</t>
        </is>
      </c>
      <c r="I15" t="inlineStr"/>
      <c r="J15" t="inlineStr"/>
      <c r="K15" t="inlineStr">
        <is>
          <t>Stated: “Subsequently, on April 21, 2016, the Company and representatives of GHF held an introductory meeting with another potential strategic buyer (“Party B”).” (p.28). Stated: the 04/22/2016 memorandum went to buyers including Party B 'that had executed confidentiality agreements' (p.28). Count left blank because the overlap with R008 is unresolved (Q3).</t>
        </is>
      </c>
      <c r="L15" t="inlineStr">
        <is>
          <t>P-008; P-009</t>
        </is>
      </c>
      <c r="M15" t="inlineStr">
        <is>
          <t>Q3</t>
        </is>
      </c>
      <c r="N15" t="inlineStr"/>
      <c r="O15" t="inlineStr">
        <is>
          <t>R014</t>
        </is>
      </c>
      <c r="P15" t="inlineStr">
        <is>
          <t>Yes</t>
        </is>
      </c>
      <c r="R15" s="10" t="n">
        <v>42481</v>
      </c>
      <c r="S15" s="10" t="n">
        <v>42481</v>
      </c>
      <c r="T15" s="10" t="n">
        <v>42481</v>
      </c>
      <c r="U15" t="inlineStr">
        <is>
          <t>Reported day</t>
        </is>
      </c>
      <c r="V15" t="inlineStr">
        <is>
          <t>Reported</t>
        </is>
      </c>
      <c r="W15" s="11" t="n"/>
      <c r="X15" s="11" t="n"/>
      <c r="Y15" t="inlineStr"/>
      <c r="Z15" t="inlineStr"/>
      <c r="AA15" t="inlineStr"/>
      <c r="AB15" t="inlineStr"/>
      <c r="AC15" s="11" t="n"/>
      <c r="AD15" t="inlineStr"/>
      <c r="AE15" s="10" t="n"/>
      <c r="AF15" t="inlineStr"/>
      <c r="AG15" t="inlineStr"/>
      <c r="AH15" t="inlineStr"/>
      <c r="AI15" t="inlineStr"/>
      <c r="AJ15" t="inlineStr"/>
      <c r="AK15" t="n">
        <v>28</v>
      </c>
      <c r="AL15" t="inlineStr"/>
      <c r="AM15" t="inlineStr">
        <is>
          <t>PWRR–G&amp;W</t>
        </is>
      </c>
    </row>
    <row r="16">
      <c r="A16" t="n">
        <v>15</v>
      </c>
      <c r="B16" t="inlineStr">
        <is>
          <t>by 04/27/2016 (advice reported at the 04/27/2016 Board meeting)</t>
        </is>
      </c>
      <c r="C16" t="inlineStr">
        <is>
          <t>PWRR Board / GHF</t>
        </is>
      </c>
      <c r="D16" t="inlineStr">
        <is>
          <t>Deadline set</t>
        </is>
      </c>
      <c r="E16" t="n">
        <v>1</v>
      </c>
      <c r="F16" t="n">
        <v>1</v>
      </c>
      <c r="G16" t="inlineStr"/>
      <c r="H16" t="inlineStr">
        <is>
          <t>All potential buyers advised to submit a non-binding indication of interest by 05/10/2016; communicated at or before the 04/27/2016 Board executive session (held without Mr. Eder). Due date: 05/10/2016.</t>
        </is>
      </c>
      <c r="I16" t="inlineStr"/>
      <c r="J16" t="inlineStr"/>
      <c r="K16" t="inlineStr">
        <is>
          <t>Stated: “each potential buyer had been advised to submit a non-binding indication of interest by May 10, 2016 (which deadline was subsequently postponed to May 19, 2016 to ensure the potential buyers had sufficient time to formulate their most compelling offers).” (p.29). The advice is known only through the later report, so Working date = the report day as the known bound (Assigned: bound); the 05/10/2016 due date was later superseded (R016).</t>
        </is>
      </c>
      <c r="L16" t="inlineStr">
        <is>
          <t>P-010</t>
        </is>
      </c>
      <c r="M16" t="inlineStr">
        <is>
          <t>Q2</t>
        </is>
      </c>
      <c r="N16" t="inlineStr"/>
      <c r="O16" t="inlineStr">
        <is>
          <t>R015</t>
        </is>
      </c>
      <c r="P16" t="inlineStr">
        <is>
          <t>Yes</t>
        </is>
      </c>
      <c r="R16" s="10" t="n"/>
      <c r="S16" s="10" t="n">
        <v>42487</v>
      </c>
      <c r="T16" s="10" t="n">
        <v>42487</v>
      </c>
      <c r="U16" t="inlineStr">
        <is>
          <t>Relative only</t>
        </is>
      </c>
      <c r="V16" t="inlineStr">
        <is>
          <t>Assigned: bound</t>
        </is>
      </c>
      <c r="W16" s="11" t="n"/>
      <c r="X16" s="11" t="n"/>
      <c r="Y16" t="inlineStr"/>
      <c r="Z16" t="inlineStr"/>
      <c r="AA16" t="inlineStr"/>
      <c r="AB16" t="inlineStr"/>
      <c r="AC16" s="11" t="n"/>
      <c r="AD16" t="inlineStr"/>
      <c r="AE16" s="10" t="n">
        <v>42500</v>
      </c>
      <c r="AF16" t="inlineStr">
        <is>
          <t>Extended</t>
        </is>
      </c>
      <c r="AG16" t="inlineStr"/>
      <c r="AH16" t="inlineStr"/>
      <c r="AI16" t="inlineStr"/>
      <c r="AJ16" t="inlineStr"/>
      <c r="AK16" t="n">
        <v>29</v>
      </c>
      <c r="AL16" t="inlineStr"/>
      <c r="AM16" t="inlineStr">
        <is>
          <t>PWRR–G&amp;W</t>
        </is>
      </c>
    </row>
    <row r="17">
      <c r="A17" t="n">
        <v>16</v>
      </c>
      <c r="B17" t="inlineStr">
        <is>
          <t>after 04/27/2016; before 05/19/2016 (revision day not disclosed)</t>
        </is>
      </c>
      <c r="C17" t="inlineStr">
        <is>
          <t>PWRR / GHF</t>
        </is>
      </c>
      <c r="D17" t="inlineStr">
        <is>
          <t>Deadline revised</t>
        </is>
      </c>
      <c r="E17" t="n">
        <v>1</v>
      </c>
      <c r="F17" t="n">
        <v>1</v>
      </c>
      <c r="G17" t="inlineStr"/>
      <c r="H17" t="inlineStr">
        <is>
          <t>IOI deadline postponed from 05/10/2016 to 05/19/2016 to give buyers time to formulate their most compelling offers; target-side action, not a bidder request. New due date: 05/19/2016.</t>
        </is>
      </c>
      <c r="I17" t="inlineStr"/>
      <c r="J17" t="inlineStr"/>
      <c r="K17" t="inlineStr">
        <is>
          <t>Stated: “each potential buyer had been advised to submit a non-binding indication of interest by May 10, 2016 (which deadline was subsequently postponed to May 19, 2016 to ensure the potential buyers had sufficient time to formulate their most compelling offers).” (p.29). Inferred: revision occurred after the 04/27/2016 report and before the replaced date; Working date = midpoint of that window (Assigned: midpoint, Q7).</t>
        </is>
      </c>
      <c r="L17" t="inlineStr">
        <is>
          <t>P-010</t>
        </is>
      </c>
      <c r="M17" t="inlineStr">
        <is>
          <t>Q2; Q7</t>
        </is>
      </c>
      <c r="N17" t="inlineStr"/>
      <c r="O17" t="inlineStr">
        <is>
          <t>R016</t>
        </is>
      </c>
      <c r="P17" t="inlineStr">
        <is>
          <t>Yes</t>
        </is>
      </c>
      <c r="R17" s="10" t="n">
        <v>42488</v>
      </c>
      <c r="S17" s="10" t="n">
        <v>42509</v>
      </c>
      <c r="T17" s="10" t="n">
        <v>42498</v>
      </c>
      <c r="U17" t="inlineStr">
        <is>
          <t>Relative only</t>
        </is>
      </c>
      <c r="V17" t="inlineStr">
        <is>
          <t>Assigned: midpoint</t>
        </is>
      </c>
      <c r="W17" s="11" t="n"/>
      <c r="X17" s="11" t="n"/>
      <c r="Y17" t="inlineStr"/>
      <c r="Z17" t="inlineStr"/>
      <c r="AA17" t="inlineStr"/>
      <c r="AB17" t="inlineStr"/>
      <c r="AC17" s="11" t="n"/>
      <c r="AD17" t="inlineStr"/>
      <c r="AE17" s="10" t="n">
        <v>42509</v>
      </c>
      <c r="AF17" t="inlineStr"/>
      <c r="AG17" t="inlineStr"/>
      <c r="AH17" t="inlineStr"/>
      <c r="AI17" t="inlineStr"/>
      <c r="AJ17" t="inlineStr"/>
      <c r="AK17" t="n">
        <v>29</v>
      </c>
      <c r="AL17" t="inlineStr"/>
      <c r="AM17" t="inlineStr">
        <is>
          <t>PWRR–G&amp;W</t>
        </is>
      </c>
    </row>
    <row r="18">
      <c r="A18" t="n">
        <v>17</v>
      </c>
      <c r="B18" t="inlineStr">
        <is>
          <t>05/19/2016</t>
        </is>
      </c>
      <c r="C18" t="inlineStr">
        <is>
          <t>PWRR / potential buyers</t>
        </is>
      </c>
      <c r="D18" t="inlineStr">
        <is>
          <t>Deadline</t>
        </is>
      </c>
      <c r="E18" t="n">
        <v>1</v>
      </c>
      <c r="F18" t="n">
        <v>1</v>
      </c>
      <c r="G18" t="inlineStr"/>
      <c r="H18" t="inlineStr">
        <is>
          <t>IOI due date reached. Deadline treatment: Enforced — after the due date the committee reviewed the IOIs (05/23/2016) and excluded the two low bidders (06/01/2016) on the bids in hand, with no revision to the due date. The receipt window 05/19-06/01 straddles the due date, so no late bid is recorded.</t>
        </is>
      </c>
      <c r="I18" t="inlineStr"/>
      <c r="J18" t="inlineStr"/>
      <c r="K18" t="inlineStr">
        <is>
          <t>Stated: “each potential buyer had been advised to submit a non-binding indication of interest by May 10, 2016 (which deadline was subsequently postponed to May 19, 2016 to ensure the potential buyers had sufficient time to formulate their most compelling offers).” and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(p.29). Convention: treatment determined from what followed in the round (Enforced; no extension and no late-acceptance finding because the window straddles the date) (Q2).</t>
        </is>
      </c>
      <c r="L18" t="inlineStr">
        <is>
          <t>P-010; P-011</t>
        </is>
      </c>
      <c r="M18" t="inlineStr">
        <is>
          <t>Q2</t>
        </is>
      </c>
      <c r="N18" t="inlineStr"/>
      <c r="O18" t="inlineStr">
        <is>
          <t>R017</t>
        </is>
      </c>
      <c r="P18" t="inlineStr">
        <is>
          <t>Yes</t>
        </is>
      </c>
      <c r="R18" s="10" t="n">
        <v>42509</v>
      </c>
      <c r="S18" s="10" t="n">
        <v>42509</v>
      </c>
      <c r="T18" s="10" t="n">
        <v>42509</v>
      </c>
      <c r="U18" t="inlineStr">
        <is>
          <t>Reported day</t>
        </is>
      </c>
      <c r="V18" t="inlineStr">
        <is>
          <t>Reported</t>
        </is>
      </c>
      <c r="W18" s="11" t="n"/>
      <c r="X18" s="11" t="n"/>
      <c r="Y18" t="inlineStr"/>
      <c r="Z18" t="inlineStr"/>
      <c r="AA18" t="inlineStr"/>
      <c r="AB18" t="inlineStr"/>
      <c r="AC18" s="11" t="n"/>
      <c r="AD18" t="inlineStr"/>
      <c r="AE18" s="10" t="n">
        <v>42509</v>
      </c>
      <c r="AF18" t="inlineStr">
        <is>
          <t>Enforced</t>
        </is>
      </c>
      <c r="AG18" t="inlineStr"/>
      <c r="AH18" t="inlineStr"/>
      <c r="AI18" t="inlineStr"/>
      <c r="AJ18" t="inlineStr"/>
      <c r="AK18" t="n">
        <v>29</v>
      </c>
      <c r="AL18" t="inlineStr"/>
      <c r="AM18" t="inlineStr">
        <is>
          <t>PWRR–G&amp;W</t>
        </is>
      </c>
    </row>
    <row r="19">
      <c r="A19" t="n">
        <v>18</v>
      </c>
      <c r="B19" t="inlineStr">
        <is>
          <t>Between 05/19/2016 and 06/01/2016</t>
        </is>
      </c>
      <c r="C19" t="inlineStr">
        <is>
          <t>Nine IOI bidders (anonymous cohort)</t>
        </is>
      </c>
      <c r="D19" t="inlineStr">
        <is>
          <t>Bid</t>
        </is>
      </c>
      <c r="E19" t="n">
        <v>1</v>
      </c>
      <c r="F19" t="n">
        <v>1</v>
      </c>
      <c r="G19" t="inlineStr">
        <is>
          <t>Unknown</t>
        </is>
      </c>
      <c r="H19" t="inlineStr">
        <is>
          <t>Nine written non-binding IOIs from potential buyers; offer prices $17.93-$26.50 per share as-converted, implying equity values of $90-$134 million. Bid basis: purchase of 100% of outstanding common stock on a dollar-per-share basis assuming preferred conversion. Mixed strategic/financial population not split by the filing.</t>
        </is>
      </c>
      <c r="I19" t="inlineStr">
        <is>
          <t>Informal</t>
        </is>
      </c>
      <c r="J19" t="inlineStr">
        <is>
          <t>Heavy</t>
        </is>
      </c>
      <c r="K19" t="inlineStr">
        <is>
          <t>Stated: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(p.29). Formality: Informal (preliminary indications, no final/binding solicitation; no bidder-returned agreement markups reported). Conditions: Heavy by context — made before substantive (data-room or management) access;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 shows data-site access came only after the 06/01/2016 selection. Group price envelope; not a per-member range (Q3, Q6).</t>
        </is>
      </c>
      <c r="L19" t="inlineStr">
        <is>
          <t>P-011; P-012</t>
        </is>
      </c>
      <c r="M19" t="inlineStr">
        <is>
          <t>Q3; Q5; Q6</t>
        </is>
      </c>
      <c r="N19" t="inlineStr"/>
      <c r="O19" t="inlineStr">
        <is>
          <t>R018</t>
        </is>
      </c>
      <c r="P19" t="inlineStr">
        <is>
          <t>Yes</t>
        </is>
      </c>
      <c r="Q19" t="n">
        <v>9</v>
      </c>
      <c r="R19" s="10" t="n">
        <v>42509</v>
      </c>
      <c r="S19" s="10" t="n">
        <v>42522</v>
      </c>
      <c r="T19" s="10" t="n">
        <v>42509</v>
      </c>
      <c r="U19" t="inlineStr">
        <is>
          <t>Reported interval</t>
        </is>
      </c>
      <c r="V19" t="inlineStr">
        <is>
          <t>Assigned: deadline</t>
        </is>
      </c>
      <c r="W19" s="11" t="n">
        <v>17.93</v>
      </c>
      <c r="X19" s="11" t="n">
        <v>26.5</v>
      </c>
      <c r="Y19" t="inlineStr">
        <is>
          <t>Group envelope</t>
        </is>
      </c>
      <c r="Z19" t="inlineStr">
        <is>
          <t>Stated</t>
        </is>
      </c>
      <c r="AA19" t="inlineStr">
        <is>
          <t>USD</t>
        </is>
      </c>
      <c r="AB19" t="inlineStr">
        <is>
          <t>Not stated</t>
        </is>
      </c>
      <c r="AC19" s="11" t="n"/>
      <c r="AD19" t="inlineStr">
        <is>
          <t>Fin: not stated; DD required: substantive; DD open: no; Excl: not stated</t>
        </is>
      </c>
      <c r="AE19" s="10" t="n"/>
      <c r="AF19" t="inlineStr"/>
      <c r="AG19" t="inlineStr"/>
      <c r="AH19" t="inlineStr"/>
      <c r="AI19" t="inlineStr"/>
      <c r="AJ19" t="inlineStr"/>
      <c r="AK19" t="n">
        <v>29</v>
      </c>
      <c r="AL19" t="inlineStr"/>
      <c r="AM19" t="inlineStr">
        <is>
          <t>PWRR–G&amp;W</t>
        </is>
      </c>
    </row>
    <row r="20">
      <c r="A20" t="n">
        <v>19</v>
      </c>
      <c r="B20" t="inlineStr">
        <is>
          <t>by 05/19/2016</t>
        </is>
      </c>
      <c r="C20" t="inlineStr">
        <is>
          <t>16 remaining wave NDA signers (anonymous cohort)</t>
        </is>
      </c>
      <c r="D20" t="inlineStr">
        <is>
          <t>Did not submit</t>
        </is>
      </c>
      <c r="E20" t="n">
        <v>1</v>
      </c>
      <c r="F20" t="n">
        <v>1</v>
      </c>
      <c r="G20" t="inlineStr">
        <is>
          <t>Unknown</t>
        </is>
      </c>
      <c r="H20" t="inlineStr">
        <is>
          <t>Inferred: residual — 25 wave NDA signers (11 strategic + 14 financial) minus 9 IOI submitters = 16 non-submitters; base assumes all nine IOIs came from the 25 signers. No motive, date or identity is inferred for any member.</t>
        </is>
      </c>
      <c r="I20" t="inlineStr"/>
      <c r="J20" t="inlineStr"/>
      <c r="K20" t="inlineStr">
        <is>
          <t>Inferred: arithmetic base — “Each of the potential strategic buyers and 14 potential financial buyers subsequently executed confidentiality agreements.” (p.28) and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(p.29); the Reasons section states “25 of whom entered into confidentiality agreements with the Company and received information related to the Company and six of whom submitted non-binding letters of intent” (p.33). Eligibility: all potential buyers were advised to submit IOIs (R015). Closing inference at the first identified transition (Q4).</t>
        </is>
      </c>
      <c r="L20" t="inlineStr">
        <is>
          <t>P-011; P-006; X-012</t>
        </is>
      </c>
      <c r="M20" t="inlineStr">
        <is>
          <t>Q3; Q4</t>
        </is>
      </c>
      <c r="N20" t="inlineStr"/>
      <c r="O20" t="inlineStr">
        <is>
          <t>R019</t>
        </is>
      </c>
      <c r="P20" t="inlineStr">
        <is>
          <t>Yes</t>
        </is>
      </c>
      <c r="Q20" t="n">
        <v>16</v>
      </c>
      <c r="R20" s="10" t="n"/>
      <c r="S20" s="10" t="n">
        <v>42509</v>
      </c>
      <c r="T20" s="10" t="n">
        <v>42509</v>
      </c>
      <c r="U20" t="inlineStr">
        <is>
          <t>Relative only</t>
        </is>
      </c>
      <c r="V20" t="inlineStr">
        <is>
          <t>Assigned: deadline</t>
        </is>
      </c>
      <c r="W20" s="11" t="n"/>
      <c r="X20" s="11" t="n"/>
      <c r="Y20" t="inlineStr"/>
      <c r="Z20" t="inlineStr"/>
      <c r="AA20" t="inlineStr"/>
      <c r="AB20" t="inlineStr"/>
      <c r="AC20" s="11" t="n"/>
      <c r="AD20" t="inlineStr"/>
      <c r="AE20" s="10" t="n"/>
      <c r="AF20" t="inlineStr"/>
      <c r="AG20" t="inlineStr"/>
      <c r="AH20" t="inlineStr">
        <is>
          <t>Unknown</t>
        </is>
      </c>
      <c r="AI20" t="inlineStr">
        <is>
          <t>Not stated</t>
        </is>
      </c>
      <c r="AJ20" t="inlineStr">
        <is>
          <t>Inferred: residual</t>
        </is>
      </c>
      <c r="AK20" t="n">
        <v>29</v>
      </c>
      <c r="AL20" t="inlineStr"/>
      <c r="AM20" t="inlineStr">
        <is>
          <t>PWRR–G&amp;W</t>
        </is>
      </c>
    </row>
    <row r="21">
      <c r="A21" t="n">
        <v>20</v>
      </c>
      <c r="B21" t="inlineStr">
        <is>
          <t>06/01/2016</t>
        </is>
      </c>
      <c r="C21" t="inlineStr">
        <is>
          <t>Transaction Committee</t>
        </is>
      </c>
      <c r="D21" t="inlineStr">
        <is>
          <t>Round opened</t>
        </is>
      </c>
      <c r="E21" t="n">
        <v>1</v>
      </c>
      <c r="F21" t="n">
        <v>2</v>
      </c>
      <c r="G21" t="inlineStr"/>
      <c r="H21" t="inlineStr">
        <is>
          <t>R2 opens: after committee review of the IOIs on 05/23/2016 and 06/01/2016, the committee excluded the two low bidders and selected the remaining seven to advance to in-person management presentations and additional diligence, with access to an internet data site. Uniform stage access for all advancing bidders; no differentiated access. Objective: presentations and diligence ahead of LOI submissions. Finality: Not final — no final, binding or best-and-final solicitation (the LOI deadline is set later, R023).</t>
        </is>
      </c>
      <c r="I21" t="inlineStr"/>
      <c r="J21" t="inlineStr"/>
      <c r="K21" t="inlineStr">
        <is>
          <t>Stated: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 and “In view of the substantial amount of management time that would be required for management presentations, the Transaction Committee concluded that the two low bidders should be excluded from that process.” (p.29). Convention: a distinct information stage linked to the coming offers opens R2; an alternative boundary (the mid-June LOI instruction) is kept as R023 (Q1). The 05/23/2016 review is folded here; it did not decide anything.</t>
        </is>
      </c>
      <c r="L21" t="inlineStr">
        <is>
          <t>P-011</t>
        </is>
      </c>
      <c r="M21" t="inlineStr">
        <is>
          <t>Q1</t>
        </is>
      </c>
      <c r="N21" t="inlineStr"/>
      <c r="O21" t="inlineStr">
        <is>
          <t>R020</t>
        </is>
      </c>
      <c r="P21" t="inlineStr">
        <is>
          <t>Yes</t>
        </is>
      </c>
      <c r="R21" s="10" t="n">
        <v>42522</v>
      </c>
      <c r="S21" s="10" t="n">
        <v>42522</v>
      </c>
      <c r="T21" s="10" t="n">
        <v>42522</v>
      </c>
      <c r="U21" t="inlineStr">
        <is>
          <t>Reported day</t>
        </is>
      </c>
      <c r="V21" t="inlineStr">
        <is>
          <t>Reported</t>
        </is>
      </c>
      <c r="W21" s="11" t="n"/>
      <c r="X21" s="11" t="n"/>
      <c r="Y21" t="inlineStr"/>
      <c r="Z21" t="inlineStr"/>
      <c r="AA21" t="inlineStr"/>
      <c r="AB21" t="inlineStr"/>
      <c r="AC21" s="11" t="n"/>
      <c r="AD21" t="inlineStr"/>
      <c r="AE21" s="10" t="n"/>
      <c r="AF21" t="inlineStr"/>
      <c r="AG21" t="inlineStr">
        <is>
          <t>Not final</t>
        </is>
      </c>
      <c r="AH21" t="inlineStr"/>
      <c r="AI21" t="inlineStr"/>
      <c r="AJ21" t="inlineStr"/>
      <c r="AK21" t="n">
        <v>29</v>
      </c>
      <c r="AL21" t="inlineStr">
        <is>
          <t>R021; R023; admits R029-R035</t>
        </is>
      </c>
      <c r="AM21" t="inlineStr">
        <is>
          <t>PWRR–G&amp;W</t>
        </is>
      </c>
    </row>
    <row r="22">
      <c r="A22" t="n">
        <v>21</v>
      </c>
      <c r="B22" t="inlineStr">
        <is>
          <t>06/01/2016</t>
        </is>
      </c>
      <c r="C22" t="inlineStr">
        <is>
          <t>Two low IOI bidders (anonymous cohort)</t>
        </is>
      </c>
      <c r="D22" t="inlineStr">
        <is>
          <t>Dropped by target</t>
        </is>
      </c>
      <c r="E22" t="n">
        <v>1</v>
      </c>
      <c r="F22" t="n">
        <v>1</v>
      </c>
      <c r="G22" t="inlineStr">
        <is>
          <t>Unknown</t>
        </is>
      </c>
      <c r="H22" t="inlineStr">
        <is>
          <t>Excluded from the management-presentation stage: the two lowest of the nine IOIs. Stage left: Round 1 (advancement decision). Stated reason: lower offers than rivals.</t>
        </is>
      </c>
      <c r="I22" t="inlineStr"/>
      <c r="J22" t="inlineStr"/>
      <c r="K22" t="inlineStr">
        <is>
          <t>Stated: “In view of the substantial amount of management time that would be required for management presentations, the Transaction Committee concluded that the two low bidders should be excluded from that process.” (p.29). Exit reason Lower offer than rivals; identity of the two is not disclosed and is not inferred. Outcome basis Stated (no notice date is given; Working date = decision day).</t>
        </is>
      </c>
      <c r="L22" t="inlineStr">
        <is>
          <t>P-011</t>
        </is>
      </c>
      <c r="M22" t="inlineStr"/>
      <c r="N22" t="inlineStr"/>
      <c r="O22" t="inlineStr">
        <is>
          <t>R021</t>
        </is>
      </c>
      <c r="P22" t="inlineStr">
        <is>
          <t>Yes</t>
        </is>
      </c>
      <c r="Q22" t="n">
        <v>2</v>
      </c>
      <c r="R22" s="10" t="n">
        <v>42522</v>
      </c>
      <c r="S22" s="10" t="n">
        <v>42522</v>
      </c>
      <c r="T22" s="10" t="n">
        <v>42522</v>
      </c>
      <c r="U22" t="inlineStr">
        <is>
          <t>Reported day</t>
        </is>
      </c>
      <c r="V22" t="inlineStr">
        <is>
          <t>Reported</t>
        </is>
      </c>
      <c r="W22" s="11" t="n"/>
      <c r="X22" s="11" t="n"/>
      <c r="Y22" t="inlineStr"/>
      <c r="Z22" t="inlineStr"/>
      <c r="AA22" t="inlineStr"/>
      <c r="AB22" t="inlineStr"/>
      <c r="AC22" s="11" t="n"/>
      <c r="AD22" t="inlineStr"/>
      <c r="AE22" s="10" t="n"/>
      <c r="AF22" t="inlineStr"/>
      <c r="AG22" t="inlineStr"/>
      <c r="AH22" t="inlineStr">
        <is>
          <t>Target</t>
        </is>
      </c>
      <c r="AI22" t="inlineStr">
        <is>
          <t>Lower offer than rivals</t>
        </is>
      </c>
      <c r="AJ22" t="inlineStr">
        <is>
          <t>Stated</t>
        </is>
      </c>
      <c r="AK22" t="n">
        <v>29</v>
      </c>
      <c r="AL22" t="inlineStr"/>
      <c r="AM22" t="inlineStr">
        <is>
          <t>PWRR–G&amp;W</t>
        </is>
      </c>
    </row>
    <row r="23">
      <c r="A23" t="n">
        <v>22</v>
      </c>
      <c r="B23" t="inlineStr">
        <is>
          <t>by 06/01/2016</t>
        </is>
      </c>
      <c r="C23" t="inlineStr">
        <is>
          <t>Party A</t>
        </is>
      </c>
      <c r="D23" t="inlineStr">
        <is>
          <t>Did not submit</t>
        </is>
      </c>
      <c r="E23" t="n">
        <v>1</v>
      </c>
      <c r="F23" t="n">
        <v>1</v>
      </c>
      <c r="G23" t="inlineStr">
        <is>
          <t>Strategic</t>
        </is>
      </c>
      <c r="H23" t="inlineStr">
        <is>
          <t>Inferred: identity — Party A last appears at the 04/22/2016 memorandum distribution to NDA signers and is not mentioned in the bidding rounds; recommended reading: it sits in the 16-signer non-submitter residual (R019). Alternative: it could be one of the two low bidders excluded on 06/01/2016 (R021). Count 0; no unit is moved from either cohort.</t>
        </is>
      </c>
      <c r="I23" t="inlineStr"/>
      <c r="J23" t="inlineStr"/>
      <c r="K23" t="inlineStr">
        <is>
          <t>Inferred: “a memorandum concerning the Company and its prospects, which was distributed to the potential buyers, including Party A, Party B and G&amp;W, that had executed confidentiality agreements.” (p.28); non-submitter base per R019 arithmetic. The row records only that Party A was out by the 06/01/2016 transition, not how or why. Working date = the advancement decision (Assigned: decision day, Q4).</t>
        </is>
      </c>
      <c r="L23" t="inlineStr">
        <is>
          <t>P-009; P-011</t>
        </is>
      </c>
      <c r="M23" t="inlineStr">
        <is>
          <t>Q4</t>
        </is>
      </c>
      <c r="N23" t="inlineStr"/>
      <c r="O23" t="inlineStr">
        <is>
          <t>R022</t>
        </is>
      </c>
      <c r="P23" t="inlineStr">
        <is>
          <t>Yes</t>
        </is>
      </c>
      <c r="Q23" t="n">
        <v>0</v>
      </c>
      <c r="R23" s="10" t="n"/>
      <c r="S23" s="10" t="n">
        <v>42522</v>
      </c>
      <c r="T23" s="10" t="n">
        <v>42522</v>
      </c>
      <c r="U23" t="inlineStr">
        <is>
          <t>Relative only</t>
        </is>
      </c>
      <c r="V23" t="inlineStr">
        <is>
          <t>Assigned: decision day</t>
        </is>
      </c>
      <c r="W23" s="11" t="n"/>
      <c r="X23" s="11" t="n"/>
      <c r="Y23" t="inlineStr"/>
      <c r="Z23" t="inlineStr"/>
      <c r="AA23" t="inlineStr"/>
      <c r="AB23" t="inlineStr"/>
      <c r="AC23" s="11" t="n"/>
      <c r="AD23" t="inlineStr"/>
      <c r="AE23" s="10" t="n"/>
      <c r="AF23" t="inlineStr"/>
      <c r="AG23" t="inlineStr"/>
      <c r="AH23" t="inlineStr">
        <is>
          <t>Unknown</t>
        </is>
      </c>
      <c r="AI23" t="inlineStr">
        <is>
          <t>Not stated</t>
        </is>
      </c>
      <c r="AJ23" t="inlineStr">
        <is>
          <t>Inferred: identity</t>
        </is>
      </c>
      <c r="AK23" t="n">
        <v>28</v>
      </c>
      <c r="AL23" t="inlineStr"/>
      <c r="AM23" t="inlineStr">
        <is>
          <t>PWRR–G&amp;W</t>
        </is>
      </c>
    </row>
    <row r="24">
      <c r="A24" t="n">
        <v>23</v>
      </c>
      <c r="B24" t="inlineStr">
        <is>
          <t>Mid-June 2016</t>
        </is>
      </c>
      <c r="C24" t="inlineStr">
        <is>
          <t>PWRR / GHF</t>
        </is>
      </c>
      <c r="D24" t="inlineStr">
        <is>
          <t>Deadline set</t>
        </is>
      </c>
      <c r="E24" t="n">
        <v>1</v>
      </c>
      <c r="F24" t="n">
        <v>2</v>
      </c>
      <c r="G24" t="inlineStr"/>
      <c r="H24" t="inlineStr">
        <is>
          <t>All potential buyers instructed to submit non-binding LOIs by 07/20/2016 with mark-ups of the forms of merger agreement, disclosure letter and voting agreement (posted to the data site 06/29, 06/30 and 07/11/2016); valuation instructed on a 100%-of-common dollar-per-share basis assuming preferred conversion, or non-cash terms. Due date: 07/20/2016.</t>
        </is>
      </c>
      <c r="I24" t="inlineStr"/>
      <c r="J24" t="inlineStr"/>
      <c r="K24" t="inlineStr">
        <is>
          <t>Stated: “In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and “Potential buyers were instructed to provide a valuation for the Company based on the purchase of 100% of the outstanding common stock on a dollar per share basis (assuming conversion of the preferred stock into common stock) or the financial terms of any non-cash proposal.” (p.29) and “On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 (p.29). Draft postings are transaction documents, not separate ledger rows (section 4). In context 'all potential buyers' means the continuing participants (R020) plus late entrant Party C; Q3.</t>
        </is>
      </c>
      <c r="L24" t="inlineStr">
        <is>
          <t>P-012; P-013</t>
        </is>
      </c>
      <c r="M24" t="inlineStr">
        <is>
          <t>Q2; Q3</t>
        </is>
      </c>
      <c r="N24" t="inlineStr"/>
      <c r="O24" t="inlineStr">
        <is>
          <t>R023</t>
        </is>
      </c>
      <c r="P24" t="inlineStr">
        <is>
          <t>Yes</t>
        </is>
      </c>
      <c r="R24" s="10" t="n">
        <v>42532</v>
      </c>
      <c r="S24" s="10" t="n">
        <v>42541</v>
      </c>
      <c r="T24" s="10" t="n">
        <v>42536</v>
      </c>
      <c r="U24" t="inlineStr">
        <is>
          <t>Approximate window</t>
        </is>
      </c>
      <c r="V24" t="inlineStr">
        <is>
          <t>Assigned: midpoint</t>
        </is>
      </c>
      <c r="W24" s="11" t="n"/>
      <c r="X24" s="11" t="n"/>
      <c r="Y24" t="inlineStr"/>
      <c r="Z24" t="inlineStr"/>
      <c r="AA24" t="inlineStr"/>
      <c r="AB24" t="inlineStr"/>
      <c r="AC24" s="11" t="n"/>
      <c r="AD24" t="inlineStr"/>
      <c r="AE24" s="10" t="n">
        <v>42571</v>
      </c>
      <c r="AF24" t="inlineStr">
        <is>
          <t>Late bids accepted</t>
        </is>
      </c>
      <c r="AG24" t="inlineStr"/>
      <c r="AH24" t="inlineStr"/>
      <c r="AI24" t="inlineStr"/>
      <c r="AJ24" t="inlineStr"/>
      <c r="AK24" t="n">
        <v>29</v>
      </c>
      <c r="AL24" t="inlineStr">
        <is>
          <t>carries the R2 solicitation deadline (Q1 alternative boundary)</t>
        </is>
      </c>
      <c r="AM24" t="inlineStr">
        <is>
          <t>PWRR–G&amp;W</t>
        </is>
      </c>
    </row>
    <row r="25">
      <c r="A25" t="n">
        <v>24</v>
      </c>
      <c r="B25" t="inlineStr">
        <is>
          <t>Early July 2016 (day not disclosed)</t>
        </is>
      </c>
      <c r="C25" t="inlineStr">
        <is>
          <t>Party C</t>
        </is>
      </c>
      <c r="D25" t="inlineStr">
        <is>
          <t>Contact</t>
        </is>
      </c>
      <c r="E25" t="n">
        <v>1</v>
      </c>
      <c r="F25" t="n">
        <v>2</v>
      </c>
      <c r="G25" t="inlineStr">
        <is>
          <t>Strategic</t>
        </is>
      </c>
      <c r="H25" t="inlineStr">
        <is>
          <t>Inbound: a potential strategic buyer not previously in the process approached management expressing interest in acquiring the Company. Bidder-initiated.</t>
        </is>
      </c>
      <c r="I25" t="inlineStr"/>
      <c r="J25" t="inlineStr"/>
      <c r="K25" t="inlineStr">
        <is>
          <t>Stated: “In early July 2016, a potential strategic buyer that had not previously been part of the process (“Party C”) approached the Company’s management and expressed interest in acquiring the Company.” (p.29). Working date = midpoint of the early-July band (Assigned: midpoint; Q7).</t>
        </is>
      </c>
      <c r="L25" t="inlineStr">
        <is>
          <t>P-014</t>
        </is>
      </c>
      <c r="M25" t="inlineStr">
        <is>
          <t>Q7</t>
        </is>
      </c>
      <c r="N25" t="inlineStr"/>
      <c r="O25" t="inlineStr">
        <is>
          <t>R024</t>
        </is>
      </c>
      <c r="P25" t="inlineStr">
        <is>
          <t>Yes</t>
        </is>
      </c>
      <c r="Q25" t="n">
        <v>1</v>
      </c>
      <c r="R25" s="10" t="n">
        <v>42552</v>
      </c>
      <c r="S25" s="10" t="n">
        <v>42561</v>
      </c>
      <c r="T25" s="10" t="n">
        <v>42556</v>
      </c>
      <c r="U25" t="inlineStr">
        <is>
          <t>Approximate window</t>
        </is>
      </c>
      <c r="V25" t="inlineStr">
        <is>
          <t>Assigned: midpoint</t>
        </is>
      </c>
      <c r="W25" s="11" t="n"/>
      <c r="X25" s="11" t="n"/>
      <c r="Y25" t="inlineStr"/>
      <c r="Z25" t="inlineStr"/>
      <c r="AA25" t="inlineStr"/>
      <c r="AB25" t="inlineStr"/>
      <c r="AC25" s="11" t="n"/>
      <c r="AD25" t="inlineStr"/>
      <c r="AE25" s="10" t="n"/>
      <c r="AF25" t="inlineStr"/>
      <c r="AG25" t="inlineStr"/>
      <c r="AH25" t="inlineStr"/>
      <c r="AI25" t="inlineStr"/>
      <c r="AJ25" t="inlineStr"/>
      <c r="AK25" t="n">
        <v>29</v>
      </c>
      <c r="AL25" t="inlineStr"/>
      <c r="AM25" t="inlineStr">
        <is>
          <t>PWRR–G&amp;W</t>
        </is>
      </c>
    </row>
    <row r="26">
      <c r="A26" t="n">
        <v>25</v>
      </c>
      <c r="B26" t="inlineStr">
        <is>
          <t>Early July 2016 (after approach; day not disclosed)</t>
        </is>
      </c>
      <c r="C26" t="inlineStr">
        <is>
          <t>Party C</t>
        </is>
      </c>
      <c r="D26" t="inlineStr">
        <is>
          <t>NDA signed</t>
        </is>
      </c>
      <c r="E26" t="n">
        <v>1</v>
      </c>
      <c r="F26" t="n">
        <v>2</v>
      </c>
      <c r="G26" t="inlineStr">
        <is>
          <t>Strategic</t>
        </is>
      </c>
      <c r="H26" t="inlineStr">
        <is>
          <t>Late entrant Party C executed a confidentiality agreement; NDA count is additional to the 25 wave signers (total 26 executed bidder NDAs; the filing's '25' describes the wave group).</t>
        </is>
      </c>
      <c r="I26" t="inlineStr"/>
      <c r="J26" t="inlineStr"/>
      <c r="K26" t="inlineStr">
        <is>
          <t>Stated: “After executing a confidentiality agreement, Party C was provided the memorandum concerning the Company provided to the other potential buyers.” (p.29). Stated: Reasons states “25 of whom entered into confidentiality agreements with the Company and received information related to the Company and six of whom submitted non-binding letters of intent” (p.33) — reconciliation in Summary and Q3.</t>
        </is>
      </c>
      <c r="L26" t="inlineStr">
        <is>
          <t>P-014; X-012</t>
        </is>
      </c>
      <c r="M26" t="inlineStr">
        <is>
          <t>Q3</t>
        </is>
      </c>
      <c r="N26" t="inlineStr"/>
      <c r="O26" t="inlineStr">
        <is>
          <t>R025</t>
        </is>
      </c>
      <c r="P26" t="inlineStr">
        <is>
          <t>Yes</t>
        </is>
      </c>
      <c r="Q26" t="n">
        <v>1</v>
      </c>
      <c r="R26" s="10" t="n">
        <v>42552</v>
      </c>
      <c r="S26" s="10" t="n">
        <v>42561</v>
      </c>
      <c r="T26" s="10" t="n">
        <v>42556</v>
      </c>
      <c r="U26" t="inlineStr">
        <is>
          <t>Approximate window</t>
        </is>
      </c>
      <c r="V26" t="inlineStr">
        <is>
          <t>Assigned: midpoint</t>
        </is>
      </c>
      <c r="W26" s="11" t="n"/>
      <c r="X26" s="11" t="n"/>
      <c r="Y26" t="inlineStr"/>
      <c r="Z26" t="inlineStr"/>
      <c r="AA26" t="inlineStr"/>
      <c r="AB26" t="inlineStr"/>
      <c r="AC26" s="11" t="n"/>
      <c r="AD26" t="inlineStr"/>
      <c r="AE26" s="10" t="n"/>
      <c r="AF26" t="inlineStr"/>
      <c r="AG26" t="inlineStr"/>
      <c r="AH26" t="inlineStr"/>
      <c r="AI26" t="inlineStr"/>
      <c r="AJ26" t="inlineStr"/>
      <c r="AK26" t="n">
        <v>29</v>
      </c>
      <c r="AL26" t="inlineStr"/>
      <c r="AM26" t="inlineStr">
        <is>
          <t>PWRR–G&amp;W</t>
        </is>
      </c>
    </row>
    <row r="27">
      <c r="A27" t="n">
        <v>26</v>
      </c>
      <c r="B27" t="inlineStr">
        <is>
          <t>Early July 2016 - 07/14/2016</t>
        </is>
      </c>
      <c r="C27" t="inlineStr">
        <is>
          <t>Party C</t>
        </is>
      </c>
      <c r="D27" t="inlineStr">
        <is>
          <t>Information access changed</t>
        </is>
      </c>
      <c r="E27" t="n">
        <v>1</v>
      </c>
      <c r="F27" t="n">
        <v>2</v>
      </c>
      <c r="G27" t="inlineStr">
        <is>
          <t>Strategic</t>
        </is>
      </c>
      <c r="H27" t="inlineStr">
        <is>
          <t>Late entrant catch-up access: Party C was given the buyer memorandum already provided to wave signers, then internet data-site access, and a management presentation by telephone on 07/14/2016. Other live bidders had received these earlier, so this is differentiated catch-up access, not uniform stage access.</t>
        </is>
      </c>
      <c r="I27" t="inlineStr"/>
      <c r="J27" t="inlineStr"/>
      <c r="K27" t="inlineStr">
        <is>
          <t>Stated: “After executing a confidentiality agreement, Party C was provided the memorandum concerning the Company provided to the other potential buyers.” and “Subsequently, Party C was provided access to the internet data site and the Company’s management held a management presentation with Party C by telephone on July 14, 2016.” (p.29). One row for the access decision. Working date moved to the nearest admissible day (07/05/2016) to keep sequence after R024/R025 while inside its early-July-07/14 window (Assigned: sequence; Q7).</t>
        </is>
      </c>
      <c r="L27" t="inlineStr">
        <is>
          <t>P-014</t>
        </is>
      </c>
      <c r="M27" t="inlineStr">
        <is>
          <t>Q3; Q7</t>
        </is>
      </c>
      <c r="N27" t="inlineStr"/>
      <c r="O27" t="inlineStr">
        <is>
          <t>R026</t>
        </is>
      </c>
      <c r="P27" t="inlineStr">
        <is>
          <t>Yes</t>
        </is>
      </c>
      <c r="R27" s="10" t="n">
        <v>42552</v>
      </c>
      <c r="S27" s="10" t="n">
        <v>42565</v>
      </c>
      <c r="T27" s="10" t="n">
        <v>42556</v>
      </c>
      <c r="U27" t="inlineStr">
        <is>
          <t>Approximate window</t>
        </is>
      </c>
      <c r="V27" t="inlineStr">
        <is>
          <t>Assigned: sequence</t>
        </is>
      </c>
      <c r="W27" s="11" t="n"/>
      <c r="X27" s="11" t="n"/>
      <c r="Y27" t="inlineStr"/>
      <c r="Z27" t="inlineStr"/>
      <c r="AA27" t="inlineStr"/>
      <c r="AB27" t="inlineStr"/>
      <c r="AC27" s="11" t="n"/>
      <c r="AD27" t="inlineStr"/>
      <c r="AE27" s="10" t="n"/>
      <c r="AF27" t="inlineStr"/>
      <c r="AG27" t="inlineStr"/>
      <c r="AH27" t="inlineStr"/>
      <c r="AI27" t="inlineStr"/>
      <c r="AJ27" t="inlineStr"/>
      <c r="AK27" t="n">
        <v>29</v>
      </c>
      <c r="AL27" t="inlineStr"/>
      <c r="AM27" t="inlineStr">
        <is>
          <t>PWRR–G&amp;W</t>
        </is>
      </c>
    </row>
    <row r="28">
      <c r="A28" t="n">
        <v>27</v>
      </c>
      <c r="B28" t="inlineStr">
        <is>
          <t>07/12/2016</t>
        </is>
      </c>
      <c r="C28" t="inlineStr">
        <is>
          <t>Party C</t>
        </is>
      </c>
      <c r="D28" t="inlineStr">
        <is>
          <t>Bid</t>
        </is>
      </c>
      <c r="E28" t="n">
        <v>1</v>
      </c>
      <c r="F28" t="n">
        <v>2</v>
      </c>
      <c r="G28" t="inlineStr">
        <is>
          <t>Strategic</t>
        </is>
      </c>
      <c r="H28" t="inlineStr">
        <is>
          <t>IOI at $21.00 per share (implied equity value $108 million), submitted before data-site access and the 07/14/2016 management presentation. Late entrant; informal indication ahead of its LOI (R032).</t>
        </is>
      </c>
      <c r="I28" t="inlineStr">
        <is>
          <t>Informal</t>
        </is>
      </c>
      <c r="J28" t="inlineStr">
        <is>
          <t>Heavy</t>
        </is>
      </c>
      <c r="K28" t="inlineStr">
        <is>
          <t>Stated: “On July 12, 2016, Party C submitted an IOI with an offer price per share of $21.00 (implying an equity value of $108 million).” (p.29). Formality: Informal (preliminary indication; no formal signal). Conditions: Heavy by context — no substantive access before the bid; data-site access followed the bid (R026).</t>
        </is>
      </c>
      <c r="L28" t="inlineStr">
        <is>
          <t>P-014; P-020</t>
        </is>
      </c>
      <c r="M28" t="inlineStr">
        <is>
          <t>Q5</t>
        </is>
      </c>
      <c r="N28" t="inlineStr"/>
      <c r="O28" t="inlineStr">
        <is>
          <t>R027</t>
        </is>
      </c>
      <c r="P28" t="inlineStr">
        <is>
          <t>Yes</t>
        </is>
      </c>
      <c r="Q28" t="n">
        <v>1</v>
      </c>
      <c r="R28" s="10" t="n">
        <v>42563</v>
      </c>
      <c r="S28" s="10" t="n">
        <v>42563</v>
      </c>
      <c r="T28" s="10" t="n">
        <v>42563</v>
      </c>
      <c r="U28" t="inlineStr">
        <is>
          <t>Reported day</t>
        </is>
      </c>
      <c r="V28" t="inlineStr">
        <is>
          <t>Reported</t>
        </is>
      </c>
      <c r="W28" s="11" t="n">
        <v>21</v>
      </c>
      <c r="X28" s="11" t="n">
        <v>21</v>
      </c>
      <c r="Y28" t="inlineStr">
        <is>
          <t>Point</t>
        </is>
      </c>
      <c r="Z28" t="inlineStr">
        <is>
          <t>Stated</t>
        </is>
      </c>
      <c r="AA28" t="inlineStr">
        <is>
          <t>USD</t>
        </is>
      </c>
      <c r="AB28" t="inlineStr">
        <is>
          <t>Not stated</t>
        </is>
      </c>
      <c r="AC28" s="11" t="n"/>
      <c r="AD28" t="inlineStr">
        <is>
          <t>Fin: not stated; DD required: substantive; DD open: no; Excl: not stated</t>
        </is>
      </c>
      <c r="AE28" s="10" t="n"/>
      <c r="AF28" t="inlineStr"/>
      <c r="AG28" t="inlineStr"/>
      <c r="AH28" t="inlineStr"/>
      <c r="AI28" t="inlineStr"/>
      <c r="AJ28" t="inlineStr"/>
      <c r="AK28" t="n">
        <v>29</v>
      </c>
      <c r="AL28" t="inlineStr"/>
      <c r="AM28" t="inlineStr">
        <is>
          <t>PWRR–G&amp;W</t>
        </is>
      </c>
    </row>
    <row r="29">
      <c r="A29" t="n">
        <v>28</v>
      </c>
      <c r="B29" t="inlineStr">
        <is>
          <t>07/20/2016</t>
        </is>
      </c>
      <c r="C29" t="inlineStr">
        <is>
          <t>PWRR / potential buyers</t>
        </is>
      </c>
      <c r="D29" t="inlineStr">
        <is>
          <t>Deadline</t>
        </is>
      </c>
      <c r="E29" t="n">
        <v>1</v>
      </c>
      <c r="F29" t="n">
        <v>2</v>
      </c>
      <c r="G29" t="inlineStr"/>
      <c r="H29" t="inlineStr">
        <is>
          <t>LOI due date reached. Deadline treatment: Late bids accepted — G&amp;W's LOI arrived 07/21/2016 and was considered, and G&amp;W revised it on 07/26/2016, without any deadline revision.</t>
        </is>
      </c>
      <c r="I29" t="inlineStr"/>
      <c r="J29" t="inlineStr"/>
      <c r="K29" t="inlineStr">
        <is>
          <t>Stated: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(p.29) with the due date from R023. Convention: a bid dated after the due date considered by the target supports late acceptance, not an extension (Q2).</t>
        </is>
      </c>
      <c r="L29" t="inlineStr">
        <is>
          <t>P-012; P-017</t>
        </is>
      </c>
      <c r="M29" t="inlineStr">
        <is>
          <t>Q2</t>
        </is>
      </c>
      <c r="N29" t="inlineStr"/>
      <c r="O29" t="inlineStr">
        <is>
          <t>R028</t>
        </is>
      </c>
      <c r="P29" t="inlineStr">
        <is>
          <t>Yes</t>
        </is>
      </c>
      <c r="R29" s="10" t="n">
        <v>42571</v>
      </c>
      <c r="S29" s="10" t="n">
        <v>42571</v>
      </c>
      <c r="T29" s="10" t="n">
        <v>42571</v>
      </c>
      <c r="U29" t="inlineStr">
        <is>
          <t>Reported day</t>
        </is>
      </c>
      <c r="V29" t="inlineStr">
        <is>
          <t>Reported</t>
        </is>
      </c>
      <c r="W29" s="11" t="n"/>
      <c r="X29" s="11" t="n"/>
      <c r="Y29" t="inlineStr"/>
      <c r="Z29" t="inlineStr"/>
      <c r="AA29" t="inlineStr"/>
      <c r="AB29" t="inlineStr"/>
      <c r="AC29" s="11" t="n"/>
      <c r="AD29" t="inlineStr"/>
      <c r="AE29" s="10" t="n">
        <v>42571</v>
      </c>
      <c r="AF29" t="inlineStr">
        <is>
          <t>Late bids accepted</t>
        </is>
      </c>
      <c r="AG29" t="inlineStr"/>
      <c r="AH29" t="inlineStr"/>
      <c r="AI29" t="inlineStr"/>
      <c r="AJ29" t="inlineStr"/>
      <c r="AK29" t="n">
        <v>29</v>
      </c>
      <c r="AL29" t="inlineStr"/>
      <c r="AM29" t="inlineStr">
        <is>
          <t>PWRR–G&amp;W</t>
        </is>
      </c>
    </row>
    <row r="30">
      <c r="A30" t="n">
        <v>29</v>
      </c>
      <c r="B30" t="inlineStr">
        <is>
          <t>Late July 2016 (day not disclosed; before the 07/27/2016 selection)</t>
        </is>
      </c>
      <c r="C30" t="inlineStr">
        <is>
          <t>Party B</t>
        </is>
      </c>
      <c r="D30" t="inlineStr">
        <is>
          <t>Bid</t>
        </is>
      </c>
      <c r="E30" t="n">
        <v>1</v>
      </c>
      <c r="F30" t="n">
        <v>2</v>
      </c>
      <c r="G30" t="inlineStr">
        <is>
          <t>Strategic</t>
        </is>
      </c>
      <c r="H30" t="inlineStr">
        <is>
          <t>LOI at $24.00 per share, subject to an expedited diligence review; submitted together with mark-ups of the draft merger agreement and voting agreement.</t>
        </is>
      </c>
      <c r="I30" t="inlineStr">
        <is>
          <t>Formal</t>
        </is>
      </c>
      <c r="J30" t="inlineStr">
        <is>
          <t>Light</t>
        </is>
      </c>
      <c r="K30" t="inlineStr">
        <is>
          <t>Stated: “Party B submitted an LOI to acquire the Company for a price of $24.00 per share (subject to an expedited diligence review).” and “In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 (p.29). Formality: Formal — bidder-returned acquisition agreement markups (signal 1). Conditions: Light — only an expedited/confirmatory diligence review; no financing or other condition reported. Received window 07/20-07/27 (Q7): the 07/27/2016 meeting is the first point by which all six LOIs are established as received; the 07/22/2016 review makes 07/20-07/22 the likelier window (not entered as a bound).</t>
        </is>
      </c>
      <c r="L30" t="inlineStr">
        <is>
          <t>P-015; P-016</t>
        </is>
      </c>
      <c r="M30" t="inlineStr">
        <is>
          <t>Q5; Q7</t>
        </is>
      </c>
      <c r="N30" t="inlineStr"/>
      <c r="O30" t="inlineStr">
        <is>
          <t>R029</t>
        </is>
      </c>
      <c r="P30" t="inlineStr">
        <is>
          <t>Yes</t>
        </is>
      </c>
      <c r="Q30" t="n">
        <v>1</v>
      </c>
      <c r="R30" s="10" t="n">
        <v>42571</v>
      </c>
      <c r="S30" s="10" t="n">
        <v>42578</v>
      </c>
      <c r="T30" s="10" t="n">
        <v>42571</v>
      </c>
      <c r="U30" t="inlineStr">
        <is>
          <t>Approximate window</t>
        </is>
      </c>
      <c r="V30" t="inlineStr">
        <is>
          <t>Assigned: deadline</t>
        </is>
      </c>
      <c r="W30" s="11" t="n">
        <v>24</v>
      </c>
      <c r="X30" s="11" t="n">
        <v>24</v>
      </c>
      <c r="Y30" t="inlineStr">
        <is>
          <t>Point</t>
        </is>
      </c>
      <c r="Z30" t="inlineStr">
        <is>
          <t>Stated</t>
        </is>
      </c>
      <c r="AA30" t="inlineStr">
        <is>
          <t>USD</t>
        </is>
      </c>
      <c r="AB30" t="inlineStr">
        <is>
          <t>Not stated</t>
        </is>
      </c>
      <c r="AC30" s="11" t="n"/>
      <c r="AD30" t="inlineStr">
        <is>
          <t>Fin: not stated; DD required: confirmatory; DD open: yes; Excl: not stated</t>
        </is>
      </c>
      <c r="AE30" s="10" t="n"/>
      <c r="AF30" t="inlineStr"/>
      <c r="AG30" t="inlineStr"/>
      <c r="AH30" t="inlineStr"/>
      <c r="AI30" t="inlineStr"/>
      <c r="AJ30" t="inlineStr"/>
      <c r="AK30" t="n">
        <v>29</v>
      </c>
      <c r="AL30" t="inlineStr"/>
      <c r="AM30" t="inlineStr">
        <is>
          <t>PWRR–G&amp;W</t>
        </is>
      </c>
    </row>
    <row r="31">
      <c r="A31" t="n">
        <v>30</v>
      </c>
      <c r="B31" t="inlineStr">
        <is>
          <t>Late July 2016 (day not disclosed; before the 07/27/2016 selection)</t>
        </is>
      </c>
      <c r="C31" t="inlineStr">
        <is>
          <t>Party E</t>
        </is>
      </c>
      <c r="D31" t="inlineStr">
        <is>
          <t>Bid</t>
        </is>
      </c>
      <c r="E31" t="n">
        <v>1</v>
      </c>
      <c r="F31" t="n">
        <v>2</v>
      </c>
      <c r="G31" t="inlineStr">
        <is>
          <t>Strategic</t>
        </is>
      </c>
      <c r="H31" t="inlineStr">
        <is>
          <t>LOI at $21.26 per share, subject to a 60-day exclusivity period for due diligence and negotiation of definitive documentation; provided a summary of material issues and proposed changes to the merger agreement and voting agreement instead of full mark-ups.</t>
        </is>
      </c>
      <c r="I31" t="inlineStr">
        <is>
          <t>Informal</t>
        </is>
      </c>
      <c r="J31" t="inlineStr">
        <is>
          <t>Heavy</t>
        </is>
      </c>
      <c r="K31" t="inlineStr">
        <is>
          <t>Stated: “Party E (a strategic buyer) submitted an LOI to acquire the Company for a price of $21.26 per share (subject to a 60-day exclusivity period for due diligence and negotiation of definitive documentation).” and “In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 (p.30). Formality: Informal — an issues summary is not a returned agreement markup; no other formal signal (borderline, Q5). Conditions: Heavy — stated multi-week exclusive diligence and definitive-document negotiation period.</t>
        </is>
      </c>
      <c r="L31" t="inlineStr">
        <is>
          <t>P-018; P-015</t>
        </is>
      </c>
      <c r="M31" t="inlineStr">
        <is>
          <t>Q5; Q7</t>
        </is>
      </c>
      <c r="N31" t="inlineStr"/>
      <c r="O31" t="inlineStr">
        <is>
          <t>R030</t>
        </is>
      </c>
      <c r="P31" t="inlineStr">
        <is>
          <t>Yes</t>
        </is>
      </c>
      <c r="Q31" t="n">
        <v>1</v>
      </c>
      <c r="R31" s="10" t="n">
        <v>42571</v>
      </c>
      <c r="S31" s="10" t="n">
        <v>42578</v>
      </c>
      <c r="T31" s="10" t="n">
        <v>42571</v>
      </c>
      <c r="U31" t="inlineStr">
        <is>
          <t>Approximate window</t>
        </is>
      </c>
      <c r="V31" t="inlineStr">
        <is>
          <t>Assigned: deadline</t>
        </is>
      </c>
      <c r="W31" s="11" t="n">
        <v>21.26</v>
      </c>
      <c r="X31" s="11" t="n">
        <v>21.26</v>
      </c>
      <c r="Y31" t="inlineStr">
        <is>
          <t>Point</t>
        </is>
      </c>
      <c r="Z31" t="inlineStr">
        <is>
          <t>Stated</t>
        </is>
      </c>
      <c r="AA31" t="inlineStr">
        <is>
          <t>USD</t>
        </is>
      </c>
      <c r="AB31" t="inlineStr">
        <is>
          <t>Not stated</t>
        </is>
      </c>
      <c r="AC31" s="11" t="n"/>
      <c r="AD31" t="inlineStr">
        <is>
          <t>Fin: not stated; DD required: substantive (60 days); DD open: yes; Excl: requested (60 days)</t>
        </is>
      </c>
      <c r="AE31" s="10" t="n"/>
      <c r="AF31" t="inlineStr"/>
      <c r="AG31" t="inlineStr"/>
      <c r="AH31" t="inlineStr"/>
      <c r="AI31" t="inlineStr"/>
      <c r="AJ31" t="inlineStr"/>
      <c r="AK31" t="n">
        <v>30</v>
      </c>
      <c r="AL31" t="inlineStr"/>
      <c r="AM31" t="inlineStr">
        <is>
          <t>PWRR–G&amp;W</t>
        </is>
      </c>
    </row>
    <row r="32">
      <c r="A32" t="n">
        <v>31</v>
      </c>
      <c r="B32" t="inlineStr">
        <is>
          <t>Late July 2016 (day not disclosed; before the 07/27/2016 selection)</t>
        </is>
      </c>
      <c r="C32" t="inlineStr">
        <is>
          <t>Party D</t>
        </is>
      </c>
      <c r="D32" t="inlineStr">
        <is>
          <t>Bid</t>
        </is>
      </c>
      <c r="E32" t="n">
        <v>1</v>
      </c>
      <c r="F32" t="n">
        <v>2</v>
      </c>
      <c r="G32" t="inlineStr">
        <is>
          <t>Financial</t>
        </is>
      </c>
      <c r="H32" t="inlineStr">
        <is>
          <t>LOI at $21.00 per share, subject to a four-week diligence period; submitted together with mark-ups of the draft merger agreement and voting agreement.</t>
        </is>
      </c>
      <c r="I32" t="inlineStr">
        <is>
          <t>Formal</t>
        </is>
      </c>
      <c r="J32" t="inlineStr">
        <is>
          <t>Heavy</t>
        </is>
      </c>
      <c r="K32" t="inlineStr">
        <is>
          <t>Stated: “Party D (a financial buyer) submitted an LOI to acquire the Company for a price of $21.00 per share (subject to a four-week diligence period).” and “In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 (p.30). Formality: Formal — bidder-returned markups (signal 1). Conditions: Heavy — stated four-week substantive diligence period.</t>
        </is>
      </c>
      <c r="L32" t="inlineStr">
        <is>
          <t>P-019; P-015</t>
        </is>
      </c>
      <c r="M32" t="inlineStr">
        <is>
          <t>Q5; Q7</t>
        </is>
      </c>
      <c r="N32" t="inlineStr"/>
      <c r="O32" t="inlineStr">
        <is>
          <t>R031</t>
        </is>
      </c>
      <c r="P32" t="inlineStr">
        <is>
          <t>Yes</t>
        </is>
      </c>
      <c r="Q32" t="n">
        <v>1</v>
      </c>
      <c r="R32" s="10" t="n">
        <v>42571</v>
      </c>
      <c r="S32" s="10" t="n">
        <v>42578</v>
      </c>
      <c r="T32" s="10" t="n">
        <v>42571</v>
      </c>
      <c r="U32" t="inlineStr">
        <is>
          <t>Approximate window</t>
        </is>
      </c>
      <c r="V32" t="inlineStr">
        <is>
          <t>Assigned: deadline</t>
        </is>
      </c>
      <c r="W32" s="11" t="n">
        <v>21</v>
      </c>
      <c r="X32" s="11" t="n">
        <v>21</v>
      </c>
      <c r="Y32" t="inlineStr">
        <is>
          <t>Point</t>
        </is>
      </c>
      <c r="Z32" t="inlineStr">
        <is>
          <t>Stated</t>
        </is>
      </c>
      <c r="AA32" t="inlineStr">
        <is>
          <t>USD</t>
        </is>
      </c>
      <c r="AB32" t="inlineStr">
        <is>
          <t>Not stated</t>
        </is>
      </c>
      <c r="AC32" s="11" t="n"/>
      <c r="AD32" t="inlineStr">
        <is>
          <t>Fin: not stated; DD required: substantive (4 wks); DD open: yes; Excl: not stated</t>
        </is>
      </c>
      <c r="AE32" s="10" t="n"/>
      <c r="AF32" t="inlineStr"/>
      <c r="AG32" t="inlineStr"/>
      <c r="AH32" t="inlineStr"/>
      <c r="AI32" t="inlineStr"/>
      <c r="AJ32" t="inlineStr"/>
      <c r="AK32" t="n">
        <v>30</v>
      </c>
      <c r="AL32" t="inlineStr"/>
      <c r="AM32" t="inlineStr">
        <is>
          <t>PWRR–G&amp;W</t>
        </is>
      </c>
    </row>
    <row r="33">
      <c r="A33" t="n">
        <v>32</v>
      </c>
      <c r="B33" t="inlineStr">
        <is>
          <t>Late July 2016 (day not disclosed; before the 07/27/2016 selection)</t>
        </is>
      </c>
      <c r="C33" t="inlineStr">
        <is>
          <t>Party C</t>
        </is>
      </c>
      <c r="D33" t="inlineStr">
        <is>
          <t>Bid</t>
        </is>
      </c>
      <c r="E33" t="n">
        <v>1</v>
      </c>
      <c r="F33" t="n">
        <v>2</v>
      </c>
      <c r="G33" t="inlineStr">
        <is>
          <t>Strategic</t>
        </is>
      </c>
      <c r="H33" t="inlineStr">
        <is>
          <t>LOI at $19.30 per share, subject to a 30-day diligence period. Follows Party C's 07/12/2016 IOI (R027).</t>
        </is>
      </c>
      <c r="I33" t="inlineStr">
        <is>
          <t>Informal</t>
        </is>
      </c>
      <c r="J33" t="inlineStr">
        <is>
          <t>Heavy</t>
        </is>
      </c>
      <c r="K33" t="inlineStr">
        <is>
          <t>Stated: “Party C submitted an LOI to acquire the Company for a price of $19.30 per share (subject to a 30-day diligence period).” (p.30). Formality: Informal — no returned agreement markup or final-solicitation response; the issues summary was Party E's. Conditions: Heavy — stated 30-day substantive diligence period.</t>
        </is>
      </c>
      <c r="L33" t="inlineStr">
        <is>
          <t>P-020</t>
        </is>
      </c>
      <c r="M33" t="inlineStr">
        <is>
          <t>Q5; Q7</t>
        </is>
      </c>
      <c r="N33" t="inlineStr"/>
      <c r="O33" t="inlineStr">
        <is>
          <t>R032</t>
        </is>
      </c>
      <c r="P33" t="inlineStr">
        <is>
          <t>Yes</t>
        </is>
      </c>
      <c r="Q33" t="n">
        <v>0</v>
      </c>
      <c r="R33" s="10" t="n">
        <v>42571</v>
      </c>
      <c r="S33" s="10" t="n">
        <v>42578</v>
      </c>
      <c r="T33" s="10" t="n">
        <v>42571</v>
      </c>
      <c r="U33" t="inlineStr">
        <is>
          <t>Approximate window</t>
        </is>
      </c>
      <c r="V33" t="inlineStr">
        <is>
          <t>Assigned: deadline</t>
        </is>
      </c>
      <c r="W33" s="11" t="n">
        <v>19.3</v>
      </c>
      <c r="X33" s="11" t="n">
        <v>19.3</v>
      </c>
      <c r="Y33" t="inlineStr">
        <is>
          <t>Point</t>
        </is>
      </c>
      <c r="Z33" t="inlineStr">
        <is>
          <t>Stated</t>
        </is>
      </c>
      <c r="AA33" t="inlineStr">
        <is>
          <t>USD</t>
        </is>
      </c>
      <c r="AB33" t="inlineStr">
        <is>
          <t>Not stated</t>
        </is>
      </c>
      <c r="AC33" s="11" t="n"/>
      <c r="AD33" t="inlineStr">
        <is>
          <t>Fin: not stated; DD required: substantive (30 days); DD open: yes; Excl: not stated</t>
        </is>
      </c>
      <c r="AE33" s="10" t="n"/>
      <c r="AF33" t="inlineStr"/>
      <c r="AG33" t="inlineStr"/>
      <c r="AH33" t="inlineStr"/>
      <c r="AI33" t="inlineStr"/>
      <c r="AJ33" t="inlineStr"/>
      <c r="AK33" t="n">
        <v>30</v>
      </c>
      <c r="AL33" t="inlineStr">
        <is>
          <t>same bidder as R027 in the same round; Count 0</t>
        </is>
      </c>
      <c r="AM33" t="inlineStr">
        <is>
          <t>PWRR–G&amp;W</t>
        </is>
      </c>
    </row>
    <row r="34">
      <c r="A34" t="n">
        <v>33</v>
      </c>
      <c r="B34" t="inlineStr">
        <is>
          <t>Late July 2016 (day not disclosed; before the 07/27/2016 selection)</t>
        </is>
      </c>
      <c r="C34" t="inlineStr">
        <is>
          <t>Party F</t>
        </is>
      </c>
      <c r="D34" t="inlineStr">
        <is>
          <t>Bid</t>
        </is>
      </c>
      <c r="E34" t="n">
        <v>1</v>
      </c>
      <c r="F34" t="n">
        <v>2</v>
      </c>
      <c r="G34" t="inlineStr">
        <is>
          <t>Strategic</t>
        </is>
      </c>
      <c r="H34" t="inlineStr">
        <is>
          <t>LOI at $19.20 per share, subject to a 30-day due diligence period.</t>
        </is>
      </c>
      <c r="I34" t="inlineStr">
        <is>
          <t>Informal</t>
        </is>
      </c>
      <c r="J34" t="inlineStr">
        <is>
          <t>Heavy</t>
        </is>
      </c>
      <c r="K34" t="inlineStr">
        <is>
          <t>Stated: “Party F (a strategic buyer) submitted an LOI to acquire the Company for a price of $19.20 per share (subject to a 30-day due diligence period).” (p.30). Formality: Informal — no formal signal reported. Conditions: Heavy — stated 30-day substantive diligence period. Party F later supplies financing support to Party E's revised LOI (R046).</t>
        </is>
      </c>
      <c r="L34" t="inlineStr">
        <is>
          <t>P-021</t>
        </is>
      </c>
      <c r="M34" t="inlineStr">
        <is>
          <t>Q5; Q7</t>
        </is>
      </c>
      <c r="N34" t="inlineStr"/>
      <c r="O34" t="inlineStr">
        <is>
          <t>R033</t>
        </is>
      </c>
      <c r="P34" t="inlineStr">
        <is>
          <t>Yes</t>
        </is>
      </c>
      <c r="Q34" t="n">
        <v>1</v>
      </c>
      <c r="R34" s="10" t="n">
        <v>42571</v>
      </c>
      <c r="S34" s="10" t="n">
        <v>42578</v>
      </c>
      <c r="T34" s="10" t="n">
        <v>42571</v>
      </c>
      <c r="U34" t="inlineStr">
        <is>
          <t>Approximate window</t>
        </is>
      </c>
      <c r="V34" t="inlineStr">
        <is>
          <t>Assigned: deadline</t>
        </is>
      </c>
      <c r="W34" s="11" t="n">
        <v>19.2</v>
      </c>
      <c r="X34" s="11" t="n">
        <v>19.2</v>
      </c>
      <c r="Y34" t="inlineStr">
        <is>
          <t>Point</t>
        </is>
      </c>
      <c r="Z34" t="inlineStr">
        <is>
          <t>Stated</t>
        </is>
      </c>
      <c r="AA34" t="inlineStr">
        <is>
          <t>USD</t>
        </is>
      </c>
      <c r="AB34" t="inlineStr">
        <is>
          <t>Not stated</t>
        </is>
      </c>
      <c r="AC34" s="11" t="n"/>
      <c r="AD34" t="inlineStr">
        <is>
          <t>Fin: not stated; DD required: substantive (30 days); DD open: yes; Excl: not stated</t>
        </is>
      </c>
      <c r="AE34" s="10" t="n"/>
      <c r="AF34" t="inlineStr"/>
      <c r="AG34" t="inlineStr"/>
      <c r="AH34" t="inlineStr"/>
      <c r="AI34" t="inlineStr"/>
      <c r="AJ34" t="inlineStr"/>
      <c r="AK34" t="n">
        <v>30</v>
      </c>
      <c r="AL34" t="inlineStr">
        <is>
          <t>financing supporter of R046</t>
        </is>
      </c>
      <c r="AM34" t="inlineStr">
        <is>
          <t>PWRR–G&amp;W</t>
        </is>
      </c>
    </row>
    <row r="35">
      <c r="A35" t="n">
        <v>34</v>
      </c>
      <c r="B35" t="inlineStr">
        <is>
          <t>by 07/20/2016 (election day not disclosed)</t>
        </is>
      </c>
      <c r="C35" t="inlineStr">
        <is>
          <t>One strategic buyer (anonymous)</t>
        </is>
      </c>
      <c r="D35" t="inlineStr">
        <is>
          <t>Did not submit</t>
        </is>
      </c>
      <c r="E35" t="n">
        <v>1</v>
      </c>
      <c r="F35" t="n">
        <v>2</v>
      </c>
      <c r="G35" t="inlineStr">
        <is>
          <t>Strategic</t>
        </is>
      </c>
      <c r="H35" t="inlineStr">
        <is>
          <t>Elected not to submit an LOI in the R2 solicitation; one of the two electors (one strategic, one financial) reported by the filing. No reason stated. Outcome stated, not inferred.</t>
        </is>
      </c>
      <c r="I35" t="inlineStr"/>
      <c r="J35" t="inlineStr"/>
      <c r="K35" t="inlineStr">
        <is>
          <t>Stated: “One strategic buyer and one financial buyer elected not to submit an LOI.” (p.30). Assigned to the advancing group (the seven selected in R020) — the reading most consistent with the process narrative; unresolved base question in Q3. Working date = the LOI due date (Assigned: deadline).</t>
        </is>
      </c>
      <c r="L35" t="inlineStr">
        <is>
          <t>P-022</t>
        </is>
      </c>
      <c r="M35" t="inlineStr">
        <is>
          <t>Q3; Q4</t>
        </is>
      </c>
      <c r="N35" t="inlineStr"/>
      <c r="O35" t="inlineStr">
        <is>
          <t>R034</t>
        </is>
      </c>
      <c r="P35" t="inlineStr">
        <is>
          <t>Yes</t>
        </is>
      </c>
      <c r="Q35" t="n">
        <v>1</v>
      </c>
      <c r="R35" s="10" t="n"/>
      <c r="S35" s="10" t="n">
        <v>42571</v>
      </c>
      <c r="T35" s="10" t="n">
        <v>42571</v>
      </c>
      <c r="U35" t="inlineStr">
        <is>
          <t>Relative only</t>
        </is>
      </c>
      <c r="V35" t="inlineStr">
        <is>
          <t>Assigned: deadline</t>
        </is>
      </c>
      <c r="W35" s="11" t="n"/>
      <c r="X35" s="11" t="n"/>
      <c r="Y35" t="inlineStr"/>
      <c r="Z35" t="inlineStr"/>
      <c r="AA35" t="inlineStr"/>
      <c r="AB35" t="inlineStr"/>
      <c r="AC35" s="11" t="n"/>
      <c r="AD35" t="inlineStr"/>
      <c r="AE35" s="10" t="n"/>
      <c r="AF35" t="inlineStr"/>
      <c r="AG35" t="inlineStr"/>
      <c r="AH35" t="inlineStr">
        <is>
          <t>Bidder</t>
        </is>
      </c>
      <c r="AI35" t="inlineStr">
        <is>
          <t>Not stated</t>
        </is>
      </c>
      <c r="AJ35" t="inlineStr">
        <is>
          <t>Stated</t>
        </is>
      </c>
      <c r="AK35" t="n">
        <v>30</v>
      </c>
      <c r="AL35" t="inlineStr"/>
      <c r="AM35" t="inlineStr">
        <is>
          <t>PWRR–G&amp;W</t>
        </is>
      </c>
    </row>
    <row r="36">
      <c r="A36" t="n">
        <v>35</v>
      </c>
      <c r="B36" t="inlineStr">
        <is>
          <t>by 07/20/2016 (election day not disclosed)</t>
        </is>
      </c>
      <c r="C36" t="inlineStr">
        <is>
          <t>One financial buyer (anonymous)</t>
        </is>
      </c>
      <c r="D36" t="inlineStr">
        <is>
          <t>Did not submit</t>
        </is>
      </c>
      <c r="E36" t="n">
        <v>1</v>
      </c>
      <c r="F36" t="n">
        <v>2</v>
      </c>
      <c r="G36" t="inlineStr">
        <is>
          <t>Financial</t>
        </is>
      </c>
      <c r="H36" t="inlineStr">
        <is>
          <t>Elected not to submit an LOI in the R2 solicitation; the second elector. No reason stated. Outcome stated, not inferred.</t>
        </is>
      </c>
      <c r="I36" t="inlineStr"/>
      <c r="J36" t="inlineStr"/>
      <c r="K36" t="inlineStr">
        <is>
          <t>Stated: “One strategic buyer and one financial buyer elected not to submit an LOI.” (p.30). Same base assumption as R034 (Q3). Working date = the LOI due date (Assigned: deadline).</t>
        </is>
      </c>
      <c r="L36" t="inlineStr">
        <is>
          <t>P-022</t>
        </is>
      </c>
      <c r="M36" t="inlineStr">
        <is>
          <t>Q3; Q4</t>
        </is>
      </c>
      <c r="N36" t="inlineStr"/>
      <c r="O36" t="inlineStr">
        <is>
          <t>R035</t>
        </is>
      </c>
      <c r="P36" t="inlineStr">
        <is>
          <t>Yes</t>
        </is>
      </c>
      <c r="Q36" t="n">
        <v>1</v>
      </c>
      <c r="R36" s="10" t="n"/>
      <c r="S36" s="10" t="n">
        <v>42571</v>
      </c>
      <c r="T36" s="10" t="n">
        <v>42571</v>
      </c>
      <c r="U36" t="inlineStr">
        <is>
          <t>Relative only</t>
        </is>
      </c>
      <c r="V36" t="inlineStr">
        <is>
          <t>Assigned: deadline</t>
        </is>
      </c>
      <c r="W36" s="11" t="n"/>
      <c r="X36" s="11" t="n"/>
      <c r="Y36" t="inlineStr"/>
      <c r="Z36" t="inlineStr"/>
      <c r="AA36" t="inlineStr"/>
      <c r="AB36" t="inlineStr"/>
      <c r="AC36" s="11" t="n"/>
      <c r="AD36" t="inlineStr"/>
      <c r="AE36" s="10" t="n"/>
      <c r="AF36" t="inlineStr"/>
      <c r="AG36" t="inlineStr"/>
      <c r="AH36" t="inlineStr">
        <is>
          <t>Bidder</t>
        </is>
      </c>
      <c r="AI36" t="inlineStr">
        <is>
          <t>Not stated</t>
        </is>
      </c>
      <c r="AJ36" t="inlineStr">
        <is>
          <t>Stated</t>
        </is>
      </c>
      <c r="AK36" t="n">
        <v>30</v>
      </c>
      <c r="AL36" t="inlineStr"/>
      <c r="AM36" t="inlineStr">
        <is>
          <t>PWRR–G&amp;W</t>
        </is>
      </c>
    </row>
    <row r="37">
      <c r="A37" t="n">
        <v>36</v>
      </c>
      <c r="B37" t="inlineStr">
        <is>
          <t>07/21/2016</t>
        </is>
      </c>
      <c r="C37" t="inlineStr">
        <is>
          <t>G&amp;W</t>
        </is>
      </c>
      <c r="D37" t="inlineStr">
        <is>
          <t>Bid</t>
        </is>
      </c>
      <c r="E37" t="n">
        <v>1</v>
      </c>
      <c r="F37" t="n">
        <v>2</v>
      </c>
      <c r="G37" t="inlineStr">
        <is>
          <t>Strategic</t>
        </is>
      </c>
      <c r="H37" t="inlineStr">
        <is>
          <t>LOI at $21.15 per share: $20.02 cash at closing plus $1.13 in the form of a contingent value right (CVR) based on the subsequent sale of the South Quay property; subject to a three-week exclusive diligence period. Submitted mark-ups of the merger agreement and voting agreement and a disclosure-letter mark-up. Arrived after the 07/20/2016 due date and was considered (R028).</t>
        </is>
      </c>
      <c r="I37" t="inlineStr">
        <is>
          <t>Formal</t>
        </is>
      </c>
      <c r="J37" t="inlineStr">
        <is>
          <t>Heavy</t>
        </is>
      </c>
      <c r="K37" t="inlineStr">
        <is>
          <t>Stated: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(p.29) and “In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 (p.29). Formality: Formal — bidder-returned markups (signal 1). Conditions: Heavy — stated three-week exclusive diligence period. All cash Yes (the CVR is a contingent cash payment based on a property sale), fixed cash at closing $20.02 (Q6).</t>
        </is>
      </c>
      <c r="L37" t="inlineStr">
        <is>
          <t>P-015; P-017</t>
        </is>
      </c>
      <c r="M37" t="inlineStr">
        <is>
          <t>Q5; Q6</t>
        </is>
      </c>
      <c r="N37" t="inlineStr"/>
      <c r="O37" t="inlineStr">
        <is>
          <t>R036</t>
        </is>
      </c>
      <c r="P37" t="inlineStr">
        <is>
          <t>Yes</t>
        </is>
      </c>
      <c r="Q37" t="n">
        <v>1</v>
      </c>
      <c r="R37" s="10" t="n">
        <v>42572</v>
      </c>
      <c r="S37" s="10" t="n">
        <v>42572</v>
      </c>
      <c r="T37" s="10" t="n">
        <v>42572</v>
      </c>
      <c r="U37" t="inlineStr">
        <is>
          <t>Reported day</t>
        </is>
      </c>
      <c r="V37" t="inlineStr">
        <is>
          <t>Reported</t>
        </is>
      </c>
      <c r="W37" s="11" t="n">
        <v>21.15</v>
      </c>
      <c r="X37" s="11" t="n">
        <v>21.15</v>
      </c>
      <c r="Y37" t="inlineStr">
        <is>
          <t>Point</t>
        </is>
      </c>
      <c r="Z37" t="inlineStr">
        <is>
          <t>Stated</t>
        </is>
      </c>
      <c r="AA37" t="inlineStr">
        <is>
          <t>USD</t>
        </is>
      </c>
      <c r="AB37" t="inlineStr">
        <is>
          <t>Yes</t>
        </is>
      </c>
      <c r="AC37" s="11" t="n">
        <v>20.02</v>
      </c>
      <c r="AD37" t="inlineStr">
        <is>
          <t>Fin: not stated; DD required: substantive (3 wks); DD open: yes; Excl: requested (3 wks)</t>
        </is>
      </c>
      <c r="AE37" s="10" t="n"/>
      <c r="AF37" t="inlineStr"/>
      <c r="AG37" t="inlineStr"/>
      <c r="AH37" t="inlineStr"/>
      <c r="AI37" t="inlineStr"/>
      <c r="AJ37" t="inlineStr"/>
      <c r="AK37" t="n">
        <v>29</v>
      </c>
      <c r="AL37" t="inlineStr">
        <is>
          <t>revised by R037</t>
        </is>
      </c>
      <c r="AM37" t="inlineStr">
        <is>
          <t>PWRR–G&amp;W</t>
        </is>
      </c>
    </row>
    <row r="38">
      <c r="A38" t="n">
        <v>37</v>
      </c>
      <c r="B38" t="inlineStr">
        <is>
          <t>07/26/2016</t>
        </is>
      </c>
      <c r="C38" t="inlineStr">
        <is>
          <t>G&amp;W</t>
        </is>
      </c>
      <c r="D38" t="inlineStr">
        <is>
          <t>Bid</t>
        </is>
      </c>
      <c r="E38" t="n">
        <v>1</v>
      </c>
      <c r="F38" t="n">
        <v>2</v>
      </c>
      <c r="G38" t="inlineStr">
        <is>
          <t>Strategic</t>
        </is>
      </c>
      <c r="H38" t="inlineStr">
        <is>
          <t>Revised LOI at $22.15 per share: $21.02 cash at closing plus $1.13 CVR, after GHF feedback that the price and CVR structure were not competitive.</t>
        </is>
      </c>
      <c r="I38" t="inlineStr">
        <is>
          <t>Formal</t>
        </is>
      </c>
      <c r="J38" t="inlineStr">
        <is>
          <t>Heavy</t>
        </is>
      </c>
      <c r="K38" t="inlineStr">
        <is>
          <t>Stated: “On July 26, 2016, in response to feedback from representatives of GHF indicating its price and CVR structure were not competitive, G&amp;W submitted a revised LOI, which increased its offer to $22.15 per share (including $21.02 in cash and $1.13 CVR).” (p.29). Formality: Formal — carried forward from R036 (continuing proposal; no return to a preliminary basis). Conditions: Heavy — three-week exclusive diligence period persists; reconsidered at this revision. Count 0: same bidder, same round as R036.</t>
        </is>
      </c>
      <c r="L38" t="inlineStr">
        <is>
          <t>P-017</t>
        </is>
      </c>
      <c r="M38" t="inlineStr">
        <is>
          <t>Q5; Q6</t>
        </is>
      </c>
      <c r="N38" t="inlineStr"/>
      <c r="O38" t="inlineStr">
        <is>
          <t>R037</t>
        </is>
      </c>
      <c r="P38" t="inlineStr">
        <is>
          <t>Yes</t>
        </is>
      </c>
      <c r="Q38" t="n">
        <v>0</v>
      </c>
      <c r="R38" s="10" t="n">
        <v>42577</v>
      </c>
      <c r="S38" s="10" t="n">
        <v>42577</v>
      </c>
      <c r="T38" s="10" t="n">
        <v>42577</v>
      </c>
      <c r="U38" t="inlineStr">
        <is>
          <t>Reported day</t>
        </is>
      </c>
      <c r="V38" t="inlineStr">
        <is>
          <t>Reported</t>
        </is>
      </c>
      <c r="W38" s="11" t="n">
        <v>22.15</v>
      </c>
      <c r="X38" s="11" t="n">
        <v>22.15</v>
      </c>
      <c r="Y38" t="inlineStr">
        <is>
          <t>Point</t>
        </is>
      </c>
      <c r="Z38" t="inlineStr">
        <is>
          <t>Stated</t>
        </is>
      </c>
      <c r="AA38" t="inlineStr">
        <is>
          <t>USD</t>
        </is>
      </c>
      <c r="AB38" t="inlineStr">
        <is>
          <t>Yes</t>
        </is>
      </c>
      <c r="AC38" s="11" t="n">
        <v>21.02</v>
      </c>
      <c r="AD38" t="inlineStr">
        <is>
          <t>Fin: not stated; DD required: substantive (3 wks); DD open: yes; Excl: requested (3 wks)</t>
        </is>
      </c>
      <c r="AE38" s="10" t="n"/>
      <c r="AF38" t="inlineStr"/>
      <c r="AG38" t="inlineStr"/>
      <c r="AH38" t="inlineStr"/>
      <c r="AI38" t="inlineStr"/>
      <c r="AJ38" t="inlineStr"/>
      <c r="AK38" t="n">
        <v>29</v>
      </c>
      <c r="AL38" t="inlineStr">
        <is>
          <t>revises R036; Count 0 (same bidder and round as R036)</t>
        </is>
      </c>
      <c r="AM38" t="inlineStr">
        <is>
          <t>PWRR–G&amp;W</t>
        </is>
      </c>
    </row>
    <row r="39">
      <c r="A39" t="n">
        <v>38</v>
      </c>
      <c r="B39" t="inlineStr">
        <is>
          <t>07/27/2016</t>
        </is>
      </c>
      <c r="C39" t="inlineStr">
        <is>
          <t>Transaction Committee</t>
        </is>
      </c>
      <c r="D39" t="inlineStr">
        <is>
          <t>Round opened</t>
        </is>
      </c>
      <c r="E39" t="n">
        <v>1</v>
      </c>
      <c r="F39" t="n">
        <v>3</v>
      </c>
      <c r="G39" t="inlineStr"/>
      <c r="H39" t="inlineStr">
        <is>
          <t>R3 opens: after reviewing the LOIs (07/22/2016 telephone conference and 07/27/2016 in-person meeting), the committee chose G&amp;W and Party B for confirmatory due diligence and negotiations because of their higher offers; remaining bidders were told they were no longer involved. Objective: on-site confirmatory diligence (07/27-08/11/2016) and negotiation of a definitive merger agreement with the two finalists. Finality: Inferred final — no announcement, but the target moved to definitive negotiation with selected bidders and to completing an agreement with one of them.</t>
        </is>
      </c>
      <c r="I39" t="inlineStr"/>
      <c r="J39" t="inlineStr"/>
      <c r="K39"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and “From July 27, 2016 through August 11, 2016, Party B and G&amp;W conducted on-site financial, legal and environmental due diligence, including hi-rail trips to inspect the Company’s track infrastructure.” (p.31). Convention: definitive negotiation with selected bidders opens R3 (section 6.3). Director Smith (GATX, 4.92% holder) recused himself from the process. Finality inferred from the move to definitive negotiation (Q1).</t>
        </is>
      </c>
      <c r="L39" t="inlineStr">
        <is>
          <t>P-023; P-026</t>
        </is>
      </c>
      <c r="M39" t="inlineStr">
        <is>
          <t>Q1</t>
        </is>
      </c>
      <c r="N39" t="inlineStr"/>
      <c r="O39" t="inlineStr">
        <is>
          <t>R038</t>
        </is>
      </c>
      <c r="P39" t="inlineStr">
        <is>
          <t>Yes</t>
        </is>
      </c>
      <c r="R39" s="10" t="n">
        <v>42578</v>
      </c>
      <c r="S39" s="10" t="n">
        <v>42578</v>
      </c>
      <c r="T39" s="10" t="n">
        <v>42578</v>
      </c>
      <c r="U39" t="inlineStr">
        <is>
          <t>Reported day</t>
        </is>
      </c>
      <c r="V39" t="inlineStr">
        <is>
          <t>Reported</t>
        </is>
      </c>
      <c r="W39" s="11" t="n"/>
      <c r="X39" s="11" t="n"/>
      <c r="Y39" t="inlineStr"/>
      <c r="Z39" t="inlineStr"/>
      <c r="AA39" t="inlineStr"/>
      <c r="AB39" t="inlineStr"/>
      <c r="AC39" s="11" t="n"/>
      <c r="AD39" t="inlineStr"/>
      <c r="AE39" s="10" t="n"/>
      <c r="AF39" t="inlineStr"/>
      <c r="AG39" t="inlineStr">
        <is>
          <t>Inferred final</t>
        </is>
      </c>
      <c r="AH39" t="inlineStr"/>
      <c r="AI39" t="inlineStr"/>
      <c r="AJ39" t="inlineStr"/>
      <c r="AK39" t="n">
        <v>30</v>
      </c>
      <c r="AL39" t="inlineStr">
        <is>
          <t>admits R043-R046; ends R2</t>
        </is>
      </c>
      <c r="AM39" t="inlineStr">
        <is>
          <t>PWRR–G&amp;W</t>
        </is>
      </c>
    </row>
    <row r="40">
      <c r="A40" t="n">
        <v>39</v>
      </c>
      <c r="B40" t="inlineStr">
        <is>
          <t>07/27/2016</t>
        </is>
      </c>
      <c r="C40" t="inlineStr">
        <is>
          <t>Party E</t>
        </is>
      </c>
      <c r="D40" t="inlineStr">
        <is>
          <t>Dropped by target</t>
        </is>
      </c>
      <c r="E40" t="n">
        <v>1</v>
      </c>
      <c r="F40" t="n">
        <v>2</v>
      </c>
      <c r="G40" t="inlineStr">
        <is>
          <t>Strategic</t>
        </is>
      </c>
      <c r="H40" t="inlineStr">
        <is>
          <t>Told it was no longer involved after G&amp;W and Party B were selected on higher offers. Stage left: Round 2 (finalist selection). Stated reason: lower offer than rivals (target choice).</t>
        </is>
      </c>
      <c r="I40" t="inlineStr"/>
      <c r="J40" t="inlineStr"/>
      <c r="K40"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Notification undated; Working date = the decision day (Assigned: decision day). Re-entry follows at R045.</t>
        </is>
      </c>
      <c r="L40" t="inlineStr">
        <is>
          <t>P-023</t>
        </is>
      </c>
      <c r="M40" t="inlineStr"/>
      <c r="N40" t="inlineStr"/>
      <c r="O40" t="inlineStr">
        <is>
          <t>R039</t>
        </is>
      </c>
      <c r="P40" t="inlineStr">
        <is>
          <t>Yes</t>
        </is>
      </c>
      <c r="Q40" t="n">
        <v>1</v>
      </c>
      <c r="R40" s="10" t="n">
        <v>42578</v>
      </c>
      <c r="S40" s="10" t="n">
        <v>42578</v>
      </c>
      <c r="T40" s="10" t="n">
        <v>42578</v>
      </c>
      <c r="U40" t="inlineStr">
        <is>
          <t>Relative only</t>
        </is>
      </c>
      <c r="V40" t="inlineStr">
        <is>
          <t>Assigned: decision day</t>
        </is>
      </c>
      <c r="W40" s="11" t="n"/>
      <c r="X40" s="11" t="n"/>
      <c r="Y40" t="inlineStr"/>
      <c r="Z40" t="inlineStr"/>
      <c r="AA40" t="inlineStr"/>
      <c r="AB40" t="inlineStr"/>
      <c r="AC40" s="11" t="n"/>
      <c r="AD40" t="inlineStr"/>
      <c r="AE40" s="10" t="n"/>
      <c r="AF40" t="inlineStr"/>
      <c r="AG40" t="inlineStr"/>
      <c r="AH40" t="inlineStr">
        <is>
          <t>Target</t>
        </is>
      </c>
      <c r="AI40" t="inlineStr">
        <is>
          <t>Lower offer than rivals</t>
        </is>
      </c>
      <c r="AJ40" t="inlineStr">
        <is>
          <t>Stated</t>
        </is>
      </c>
      <c r="AK40" t="n">
        <v>30</v>
      </c>
      <c r="AL40" t="inlineStr">
        <is>
          <t>re-enters at R045</t>
        </is>
      </c>
      <c r="AM40" t="inlineStr">
        <is>
          <t>PWRR–G&amp;W</t>
        </is>
      </c>
    </row>
    <row r="41">
      <c r="A41" t="n">
        <v>40</v>
      </c>
      <c r="B41" t="inlineStr">
        <is>
          <t>07/27/2016</t>
        </is>
      </c>
      <c r="C41" t="inlineStr">
        <is>
          <t>Party D</t>
        </is>
      </c>
      <c r="D41" t="inlineStr">
        <is>
          <t>Dropped by target</t>
        </is>
      </c>
      <c r="E41" t="n">
        <v>1</v>
      </c>
      <c r="F41" t="n">
        <v>2</v>
      </c>
      <c r="G41" t="inlineStr">
        <is>
          <t>Financial</t>
        </is>
      </c>
      <c r="H41" t="inlineStr">
        <is>
          <t>Told it was no longer involved after G&amp;W and Party B were selected on higher offers. Stage left: Round 2 (finalist selection). Stated reason: lower offer than rivals (target choice).</t>
        </is>
      </c>
      <c r="I41" t="inlineStr"/>
      <c r="J41" t="inlineStr"/>
      <c r="K41"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Notification undated; Working date = the decision day (Assigned: decision day). Re-entry follows at R043.</t>
        </is>
      </c>
      <c r="L41" t="inlineStr">
        <is>
          <t>P-023</t>
        </is>
      </c>
      <c r="M41" t="inlineStr"/>
      <c r="N41" t="inlineStr"/>
      <c r="O41" t="inlineStr">
        <is>
          <t>R040</t>
        </is>
      </c>
      <c r="P41" t="inlineStr">
        <is>
          <t>Yes</t>
        </is>
      </c>
      <c r="Q41" t="n">
        <v>1</v>
      </c>
      <c r="R41" s="10" t="n">
        <v>42578</v>
      </c>
      <c r="S41" s="10" t="n">
        <v>42578</v>
      </c>
      <c r="T41" s="10" t="n">
        <v>42578</v>
      </c>
      <c r="U41" t="inlineStr">
        <is>
          <t>Relative only</t>
        </is>
      </c>
      <c r="V41" t="inlineStr">
        <is>
          <t>Assigned: decision day</t>
        </is>
      </c>
      <c r="W41" s="11" t="n"/>
      <c r="X41" s="11" t="n"/>
      <c r="Y41" t="inlineStr"/>
      <c r="Z41" t="inlineStr"/>
      <c r="AA41" t="inlineStr"/>
      <c r="AB41" t="inlineStr"/>
      <c r="AC41" s="11" t="n"/>
      <c r="AD41" t="inlineStr"/>
      <c r="AE41" s="10" t="n"/>
      <c r="AF41" t="inlineStr"/>
      <c r="AG41" t="inlineStr"/>
      <c r="AH41" t="inlineStr">
        <is>
          <t>Target</t>
        </is>
      </c>
      <c r="AI41" t="inlineStr">
        <is>
          <t>Lower offer than rivals</t>
        </is>
      </c>
      <c r="AJ41" t="inlineStr">
        <is>
          <t>Stated</t>
        </is>
      </c>
      <c r="AK41" t="n">
        <v>30</v>
      </c>
      <c r="AL41" t="inlineStr">
        <is>
          <t>re-enters at R043</t>
        </is>
      </c>
      <c r="AM41" t="inlineStr">
        <is>
          <t>PWRR–G&amp;W</t>
        </is>
      </c>
    </row>
    <row r="42">
      <c r="A42" t="n">
        <v>41</v>
      </c>
      <c r="B42" t="inlineStr">
        <is>
          <t>07/27/2016</t>
        </is>
      </c>
      <c r="C42" t="inlineStr">
        <is>
          <t>Party C</t>
        </is>
      </c>
      <c r="D42" t="inlineStr">
        <is>
          <t>Dropped by target</t>
        </is>
      </c>
      <c r="E42" t="n">
        <v>1</v>
      </c>
      <c r="F42" t="n">
        <v>2</v>
      </c>
      <c r="G42" t="inlineStr">
        <is>
          <t>Strategic</t>
        </is>
      </c>
      <c r="H42" t="inlineStr">
        <is>
          <t>Told it was no longer involved after G&amp;W and Party B were selected on higher offers. Stage left: Round 2 (finalist selection); last participation was its $19.30 LOI (R032).</t>
        </is>
      </c>
      <c r="I42" t="inlineStr"/>
      <c r="J42" t="inlineStr"/>
      <c r="K42"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Notification undated; Working date = the decision day (Assigned: decision day).</t>
        </is>
      </c>
      <c r="L42" t="inlineStr">
        <is>
          <t>P-023</t>
        </is>
      </c>
      <c r="M42" t="inlineStr"/>
      <c r="N42" t="inlineStr"/>
      <c r="O42" t="inlineStr">
        <is>
          <t>R041</t>
        </is>
      </c>
      <c r="P42" t="inlineStr">
        <is>
          <t>Yes</t>
        </is>
      </c>
      <c r="Q42" t="n">
        <v>1</v>
      </c>
      <c r="R42" s="10" t="n">
        <v>42578</v>
      </c>
      <c r="S42" s="10" t="n">
        <v>42578</v>
      </c>
      <c r="T42" s="10" t="n">
        <v>42578</v>
      </c>
      <c r="U42" t="inlineStr">
        <is>
          <t>Relative only</t>
        </is>
      </c>
      <c r="V42" t="inlineStr">
        <is>
          <t>Assigned: decision day</t>
        </is>
      </c>
      <c r="W42" s="11" t="n"/>
      <c r="X42" s="11" t="n"/>
      <c r="Y42" t="inlineStr"/>
      <c r="Z42" t="inlineStr"/>
      <c r="AA42" t="inlineStr"/>
      <c r="AB42" t="inlineStr"/>
      <c r="AC42" s="11" t="n"/>
      <c r="AD42" t="inlineStr"/>
      <c r="AE42" s="10" t="n"/>
      <c r="AF42" t="inlineStr"/>
      <c r="AG42" t="inlineStr"/>
      <c r="AH42" t="inlineStr">
        <is>
          <t>Target</t>
        </is>
      </c>
      <c r="AI42" t="inlineStr">
        <is>
          <t>Lower offer than rivals</t>
        </is>
      </c>
      <c r="AJ42" t="inlineStr">
        <is>
          <t>Stated</t>
        </is>
      </c>
      <c r="AK42" t="n">
        <v>30</v>
      </c>
      <c r="AL42" t="inlineStr"/>
      <c r="AM42" t="inlineStr">
        <is>
          <t>PWRR–G&amp;W</t>
        </is>
      </c>
    </row>
    <row r="43">
      <c r="A43" t="n">
        <v>42</v>
      </c>
      <c r="B43" t="inlineStr">
        <is>
          <t>07/27/2016</t>
        </is>
      </c>
      <c r="C43" t="inlineStr">
        <is>
          <t>Party F</t>
        </is>
      </c>
      <c r="D43" t="inlineStr">
        <is>
          <t>Dropped by target</t>
        </is>
      </c>
      <c r="E43" t="n">
        <v>1</v>
      </c>
      <c r="F43" t="n">
        <v>2</v>
      </c>
      <c r="G43" t="inlineStr">
        <is>
          <t>Strategic</t>
        </is>
      </c>
      <c r="H43" t="inlineStr">
        <is>
          <t>Told it was no longer involved after G&amp;W and Party B were selected on higher offers. Stage left: Round 2 (finalist selection); its $19.20 LOI (R033) ends here. It later provides financing support to Party E's revised LOI (R046) without re-entering as an independent bidder.</t>
        </is>
      </c>
      <c r="I43" t="inlineStr"/>
      <c r="J43" t="inlineStr"/>
      <c r="K43"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(p.30). Notification undated; Working date = the decision day (Assigned: decision day). Support recorded on R046; no new row for an exited supporter.</t>
        </is>
      </c>
      <c r="L43" t="inlineStr">
        <is>
          <t>P-023</t>
        </is>
      </c>
      <c r="M43" t="inlineStr"/>
      <c r="N43" t="inlineStr"/>
      <c r="O43" t="inlineStr">
        <is>
          <t>R042</t>
        </is>
      </c>
      <c r="P43" t="inlineStr">
        <is>
          <t>Yes</t>
        </is>
      </c>
      <c r="Q43" t="n">
        <v>1</v>
      </c>
      <c r="R43" s="10" t="n">
        <v>42578</v>
      </c>
      <c r="S43" s="10" t="n">
        <v>42578</v>
      </c>
      <c r="T43" s="10" t="n">
        <v>42578</v>
      </c>
      <c r="U43" t="inlineStr">
        <is>
          <t>Relative only</t>
        </is>
      </c>
      <c r="V43" t="inlineStr">
        <is>
          <t>Assigned: decision day</t>
        </is>
      </c>
      <c r="W43" s="11" t="n"/>
      <c r="X43" s="11" t="n"/>
      <c r="Y43" t="inlineStr"/>
      <c r="Z43" t="inlineStr"/>
      <c r="AA43" t="inlineStr"/>
      <c r="AB43" t="inlineStr"/>
      <c r="AC43" s="11" t="n"/>
      <c r="AD43" t="inlineStr"/>
      <c r="AE43" s="10" t="n"/>
      <c r="AF43" t="inlineStr"/>
      <c r="AG43" t="inlineStr"/>
      <c r="AH43" t="inlineStr">
        <is>
          <t>Target</t>
        </is>
      </c>
      <c r="AI43" t="inlineStr">
        <is>
          <t>Lower offer than rivals</t>
        </is>
      </c>
      <c r="AJ43" t="inlineStr">
        <is>
          <t>Stated</t>
        </is>
      </c>
      <c r="AK43" t="n">
        <v>30</v>
      </c>
      <c r="AL43" t="inlineStr"/>
      <c r="AM43" t="inlineStr">
        <is>
          <t>PWRR–G&amp;W</t>
        </is>
      </c>
    </row>
    <row r="44">
      <c r="A44" t="n">
        <v>43</v>
      </c>
      <c r="B44" t="inlineStr">
        <is>
          <t>08/01/2016</t>
        </is>
      </c>
      <c r="C44" t="inlineStr">
        <is>
          <t>Party D</t>
        </is>
      </c>
      <c r="D44" t="inlineStr">
        <is>
          <t>Re-entered</t>
        </is>
      </c>
      <c r="E44" t="n">
        <v>1</v>
      </c>
      <c r="F44" t="n">
        <v>3</v>
      </c>
      <c r="G44" t="inlineStr">
        <is>
          <t>Financial</t>
        </is>
      </c>
      <c r="H44" t="inlineStr">
        <is>
          <t>Renewed participation after being told it was out on 07/27/2016: in the 07/29/2016 calls Party D expressed interest in reengaging and enhancing its offer and it submitted a revised LOI on 08/01/2016.</t>
        </is>
      </c>
      <c r="I44" t="inlineStr"/>
      <c r="J44" t="inlineStr"/>
      <c r="K44" t="inlineStr">
        <is>
          <t>Stated: “On July 29, 2016, representatives of GHF had calls with Party D and Party E. During those calls, Party D and Party E both expressed interest in reengaging and enhancing their offers.” (p.30) and “On August 1, 2016, Party D submitted a revised LOI at a price of $24.00 per share and Party E submitted a revised LOI, along with financing support, from Party F, at a price of $23.81 per share. Both revised proposals contained a 30-day due diligence period.” (p.30). Re-entered requires renewed activity, not formal admission; the revised LOI considered by the committee on 08/01/2016 supplies it.</t>
        </is>
      </c>
      <c r="L44" t="inlineStr">
        <is>
          <t>P-024</t>
        </is>
      </c>
      <c r="M44" t="inlineStr">
        <is>
          <t>Q4</t>
        </is>
      </c>
      <c r="N44" t="inlineStr"/>
      <c r="O44" t="inlineStr">
        <is>
          <t>R043</t>
        </is>
      </c>
      <c r="P44" t="inlineStr">
        <is>
          <t>Yes</t>
        </is>
      </c>
      <c r="Q44" t="n">
        <v>1</v>
      </c>
      <c r="R44" s="10" t="n">
        <v>42583</v>
      </c>
      <c r="S44" s="10" t="n">
        <v>42583</v>
      </c>
      <c r="T44" s="10" t="n">
        <v>42583</v>
      </c>
      <c r="U44" t="inlineStr">
        <is>
          <t>Reported day</t>
        </is>
      </c>
      <c r="V44" t="inlineStr">
        <is>
          <t>Reported</t>
        </is>
      </c>
      <c r="W44" s="11" t="n"/>
      <c r="X44" s="11" t="n"/>
      <c r="Y44" t="inlineStr"/>
      <c r="Z44" t="inlineStr"/>
      <c r="AA44" t="inlineStr"/>
      <c r="AB44" t="inlineStr"/>
      <c r="AC44" s="11" t="n"/>
      <c r="AD44" t="inlineStr"/>
      <c r="AE44" s="10" t="n"/>
      <c r="AF44" t="inlineStr"/>
      <c r="AG44" t="inlineStr"/>
      <c r="AH44" t="inlineStr"/>
      <c r="AI44" t="inlineStr"/>
      <c r="AJ44" t="inlineStr"/>
      <c r="AK44" t="n">
        <v>30</v>
      </c>
      <c r="AL44" t="inlineStr">
        <is>
          <t>after R040; before R044</t>
        </is>
      </c>
      <c r="AM44" t="inlineStr">
        <is>
          <t>PWRR–G&amp;W</t>
        </is>
      </c>
    </row>
    <row r="45">
      <c r="A45" t="n">
        <v>44</v>
      </c>
      <c r="B45" t="inlineStr">
        <is>
          <t>08/01/2016</t>
        </is>
      </c>
      <c r="C45" t="inlineStr">
        <is>
          <t>Party D</t>
        </is>
      </c>
      <c r="D45" t="inlineStr">
        <is>
          <t>Bid</t>
        </is>
      </c>
      <c r="E45" t="n">
        <v>1</v>
      </c>
      <c r="F45" t="n">
        <v>3</v>
      </c>
      <c r="G45" t="inlineStr">
        <is>
          <t>Financial</t>
        </is>
      </c>
      <c r="H45" t="inlineStr">
        <is>
          <t>Revised LOI at $24.00 per share, subject to a 30-day due diligence period. On 08/02/2016 Party D also requested a Company commitment not to sign with another bidder during that period.</t>
        </is>
      </c>
      <c r="I45" t="inlineStr">
        <is>
          <t>Formal</t>
        </is>
      </c>
      <c r="J45" t="inlineStr">
        <is>
          <t>Heavy</t>
        </is>
      </c>
      <c r="K45" t="inlineStr">
        <is>
          <t>Stated: “On August 1, 2016, Party D submitted a revised LOI at a price of $24.00 per share and Party E submitted a revised LOI, along with financing support, from Party F, at a price of $23.81 per share. Both revised proposals contained a 30-day due diligence period.”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 (p.30). Formality: Formal — carried forward from R031 (continuing proposal). Conditions: Heavy — stated 30-day substantive diligence; Excl records the requested no-sign commitment (30 days), which was not granted (R048).</t>
        </is>
      </c>
      <c r="L45" t="inlineStr">
        <is>
          <t>P-024</t>
        </is>
      </c>
      <c r="M45" t="inlineStr">
        <is>
          <t>Q5; Q6</t>
        </is>
      </c>
      <c r="N45" t="inlineStr"/>
      <c r="O45" t="inlineStr">
        <is>
          <t>R044</t>
        </is>
      </c>
      <c r="P45" t="inlineStr">
        <is>
          <t>Yes</t>
        </is>
      </c>
      <c r="Q45" t="n">
        <v>1</v>
      </c>
      <c r="R45" s="10" t="n">
        <v>42583</v>
      </c>
      <c r="S45" s="10" t="n">
        <v>42583</v>
      </c>
      <c r="T45" s="10" t="n">
        <v>42583</v>
      </c>
      <c r="U45" t="inlineStr">
        <is>
          <t>Reported day</t>
        </is>
      </c>
      <c r="V45" t="inlineStr">
        <is>
          <t>Reported</t>
        </is>
      </c>
      <c r="W45" s="11" t="n">
        <v>24</v>
      </c>
      <c r="X45" s="11" t="n">
        <v>24</v>
      </c>
      <c r="Y45" t="inlineStr">
        <is>
          <t>Point</t>
        </is>
      </c>
      <c r="Z45" t="inlineStr">
        <is>
          <t>Stated</t>
        </is>
      </c>
      <c r="AA45" t="inlineStr">
        <is>
          <t>USD</t>
        </is>
      </c>
      <c r="AB45" t="inlineStr">
        <is>
          <t>Not stated</t>
        </is>
      </c>
      <c r="AC45" s="11" t="n"/>
      <c r="AD45" t="inlineStr">
        <is>
          <t>Fin: not stated; DD required: substantive (30 days); DD open: no; Excl: requested (30 days)</t>
        </is>
      </c>
      <c r="AE45" s="10" t="n"/>
      <c r="AF45" t="inlineStr"/>
      <c r="AG45" t="inlineStr"/>
      <c r="AH45" t="inlineStr"/>
      <c r="AI45" t="inlineStr"/>
      <c r="AJ45" t="inlineStr"/>
      <c r="AK45" t="n">
        <v>30</v>
      </c>
      <c r="AL45" t="inlineStr">
        <is>
          <t>revises R031; closed at R048</t>
        </is>
      </c>
      <c r="AM45" t="inlineStr">
        <is>
          <t>PWRR–G&amp;W</t>
        </is>
      </c>
    </row>
    <row r="46">
      <c r="A46" t="n">
        <v>45</v>
      </c>
      <c r="B46" t="inlineStr">
        <is>
          <t>08/01/2016</t>
        </is>
      </c>
      <c r="C46" t="inlineStr">
        <is>
          <t>Party E</t>
        </is>
      </c>
      <c r="D46" t="inlineStr">
        <is>
          <t>Re-entered</t>
        </is>
      </c>
      <c r="E46" t="n">
        <v>1</v>
      </c>
      <c r="F46" t="n">
        <v>3</v>
      </c>
      <c r="G46" t="inlineStr">
        <is>
          <t>Strategic</t>
        </is>
      </c>
      <c r="H46" t="inlineStr">
        <is>
          <t>Renewed participation after being told it was out on 07/27/2016: in the 07/29/2016 calls Party E expressed interest in reengaging and enhancing its offer and it submitted a revised LOI on 08/01/2016.</t>
        </is>
      </c>
      <c r="I46" t="inlineStr"/>
      <c r="J46" t="inlineStr"/>
      <c r="K46" t="inlineStr">
        <is>
          <t>Stated: “On July 29, 2016, representatives of GHF had calls with Party D and Party E. During those calls, Party D and Party E both expressed interest in reengaging and enhancing their offers.” (p.30) and “On August 1, 2016, Party D submitted a revised LOI at a price of $24.00 per share and Party E submitted a revised LOI, along with financing support, from Party F, at a price of $23.81 per share. Both revised proposals contained a 30-day due diligence period.” (p.30). The revised LOI considered by the committee on 08/01/2016 establishes renewed activity.</t>
        </is>
      </c>
      <c r="L46" t="inlineStr">
        <is>
          <t>P-024</t>
        </is>
      </c>
      <c r="M46" t="inlineStr">
        <is>
          <t>Q4</t>
        </is>
      </c>
      <c r="N46" t="inlineStr"/>
      <c r="O46" t="inlineStr">
        <is>
          <t>R045</t>
        </is>
      </c>
      <c r="P46" t="inlineStr">
        <is>
          <t>Yes</t>
        </is>
      </c>
      <c r="Q46" t="n">
        <v>1</v>
      </c>
      <c r="R46" s="10" t="n">
        <v>42583</v>
      </c>
      <c r="S46" s="10" t="n">
        <v>42583</v>
      </c>
      <c r="T46" s="10" t="n">
        <v>42583</v>
      </c>
      <c r="U46" t="inlineStr">
        <is>
          <t>Reported day</t>
        </is>
      </c>
      <c r="V46" t="inlineStr">
        <is>
          <t>Reported</t>
        </is>
      </c>
      <c r="W46" s="11" t="n"/>
      <c r="X46" s="11" t="n"/>
      <c r="Y46" t="inlineStr"/>
      <c r="Z46" t="inlineStr"/>
      <c r="AA46" t="inlineStr"/>
      <c r="AB46" t="inlineStr"/>
      <c r="AC46" s="11" t="n"/>
      <c r="AD46" t="inlineStr"/>
      <c r="AE46" s="10" t="n"/>
      <c r="AF46" t="inlineStr"/>
      <c r="AG46" t="inlineStr"/>
      <c r="AH46" t="inlineStr"/>
      <c r="AI46" t="inlineStr"/>
      <c r="AJ46" t="inlineStr"/>
      <c r="AK46" t="n">
        <v>30</v>
      </c>
      <c r="AL46" t="inlineStr">
        <is>
          <t>after R039; before R046</t>
        </is>
      </c>
      <c r="AM46" t="inlineStr">
        <is>
          <t>PWRR–G&amp;W</t>
        </is>
      </c>
    </row>
    <row r="47">
      <c r="A47" t="n">
        <v>46</v>
      </c>
      <c r="B47" t="inlineStr">
        <is>
          <t>08/01/2016</t>
        </is>
      </c>
      <c r="C47" t="inlineStr">
        <is>
          <t>Party E</t>
        </is>
      </c>
      <c r="D47" t="inlineStr">
        <is>
          <t>Bid</t>
        </is>
      </c>
      <c r="E47" t="n">
        <v>1</v>
      </c>
      <c r="F47" t="n">
        <v>3</v>
      </c>
      <c r="G47" t="inlineStr">
        <is>
          <t>Strategic</t>
        </is>
      </c>
      <c r="H47" t="inlineStr">
        <is>
          <t>Support: Party F (financing) — revised LOI at $23.81 per share, submitted with financing support from Party F (which submitted its own $19.20 LOI in R2 and exited on 07/27/2016); subject to a 30-day due diligence period. Party F is a financing supporter, not a member of a bidding group.</t>
        </is>
      </c>
      <c r="I47" t="inlineStr">
        <is>
          <t>Informal</t>
        </is>
      </c>
      <c r="J47" t="inlineStr">
        <is>
          <t>Heavy</t>
        </is>
      </c>
      <c r="K47" t="inlineStr">
        <is>
          <t>Stated: “On August 1, 2016, Party D submitted a revised LOI at a price of $24.00 per share and Party E submitted a revised LOI, along with financing support, from Party F, at a price of $23.81 per share. Both revised proposals contained a 30-day due diligence period.” (p.30). Formality: Informal — the original LOI was an issues summary and no new formal signal (markup) is reported (Q5). Conditions: Heavy — stated 30-day substantive diligence. Financing support recorded here; exited supporter gets no new row (section 5.3).</t>
        </is>
      </c>
      <c r="L47" t="inlineStr">
        <is>
          <t>P-024</t>
        </is>
      </c>
      <c r="M47" t="inlineStr">
        <is>
          <t>Q5; Q6</t>
        </is>
      </c>
      <c r="N47" t="inlineStr"/>
      <c r="O47" t="inlineStr">
        <is>
          <t>R046</t>
        </is>
      </c>
      <c r="P47" t="inlineStr">
        <is>
          <t>Yes</t>
        </is>
      </c>
      <c r="Q47" t="n">
        <v>1</v>
      </c>
      <c r="R47" s="10" t="n">
        <v>42583</v>
      </c>
      <c r="S47" s="10" t="n">
        <v>42583</v>
      </c>
      <c r="T47" s="10" t="n">
        <v>42583</v>
      </c>
      <c r="U47" t="inlineStr">
        <is>
          <t>Reported day</t>
        </is>
      </c>
      <c r="V47" t="inlineStr">
        <is>
          <t>Reported</t>
        </is>
      </c>
      <c r="W47" s="11" t="n">
        <v>23.81</v>
      </c>
      <c r="X47" s="11" t="n">
        <v>23.81</v>
      </c>
      <c r="Y47" t="inlineStr">
        <is>
          <t>Point</t>
        </is>
      </c>
      <c r="Z47" t="inlineStr">
        <is>
          <t>Stated</t>
        </is>
      </c>
      <c r="AA47" t="inlineStr">
        <is>
          <t>USD</t>
        </is>
      </c>
      <c r="AB47" t="inlineStr">
        <is>
          <t>Not stated</t>
        </is>
      </c>
      <c r="AC47" s="11" t="n"/>
      <c r="AD47" t="inlineStr">
        <is>
          <t>Fin: represented; DD required: substantive (30 days); DD open: yes; Excl: not stated</t>
        </is>
      </c>
      <c r="AE47" s="10" t="n"/>
      <c r="AF47" t="inlineStr"/>
      <c r="AG47" t="inlineStr"/>
      <c r="AH47" t="inlineStr"/>
      <c r="AI47" t="inlineStr"/>
      <c r="AJ47" t="inlineStr"/>
      <c r="AK47" t="n">
        <v>30</v>
      </c>
      <c r="AL47" t="inlineStr">
        <is>
          <t>revises R030; Support: R033 (Party F, financing)</t>
        </is>
      </c>
      <c r="AM47" t="inlineStr">
        <is>
          <t>PWRR–G&amp;W</t>
        </is>
      </c>
    </row>
    <row r="48">
      <c r="A48" t="n">
        <v>47</v>
      </c>
      <c r="B48" t="inlineStr">
        <is>
          <t>08/02/2016</t>
        </is>
      </c>
      <c r="C48" t="inlineStr">
        <is>
          <t>Party E</t>
        </is>
      </c>
      <c r="D48" t="inlineStr">
        <is>
          <t>Bid reaffirmed</t>
        </is>
      </c>
      <c r="E48" t="n">
        <v>1</v>
      </c>
      <c r="F48" t="n">
        <v>3</v>
      </c>
      <c r="G48" t="inlineStr">
        <is>
          <t>Strategic</t>
        </is>
      </c>
      <c r="H48" t="inlineStr">
        <is>
          <t>Bid reversion: withdrew its 08/01/2016 revised $23.81 proposal but confirmed its original $21.26 proposal, whose conditions (60-day exclusivity for diligence and definitive documentation) stand. Not a process withdrawal.</t>
        </is>
      </c>
      <c r="I48" t="inlineStr">
        <is>
          <t>Informal</t>
        </is>
      </c>
      <c r="J48" t="inlineStr">
        <is>
          <t>Heavy</t>
        </is>
      </c>
      <c r="K48" t="inlineStr">
        <is>
          <t>Stated: “Party E withdrew its revised proposal on August 2, 2016 (but confirmed its original proposal of $21.26 per share)” (p.30). Price carried forward from R030 (identified earlier row; not a new price observation). Formality: Informal — never established as Formal. Conditions: Heavy — the original LOI's stated 60-day exclusive diligence period carries with the confirmed proposal; DD open not disclosed for this date.</t>
        </is>
      </c>
      <c r="L48" t="inlineStr">
        <is>
          <t>P-024</t>
        </is>
      </c>
      <c r="M48" t="inlineStr">
        <is>
          <t>Q4; Q5</t>
        </is>
      </c>
      <c r="N48" t="inlineStr"/>
      <c r="O48" t="inlineStr">
        <is>
          <t>R047</t>
        </is>
      </c>
      <c r="P48" t="inlineStr">
        <is>
          <t>Yes</t>
        </is>
      </c>
      <c r="Q48" t="n">
        <v>0</v>
      </c>
      <c r="R48" s="10" t="n">
        <v>42584</v>
      </c>
      <c r="S48" s="10" t="n">
        <v>42584</v>
      </c>
      <c r="T48" s="10" t="n">
        <v>42584</v>
      </c>
      <c r="U48" t="inlineStr">
        <is>
          <t>Reported day</t>
        </is>
      </c>
      <c r="V48" t="inlineStr">
        <is>
          <t>Reported</t>
        </is>
      </c>
      <c r="W48" s="11" t="n">
        <v>21.26</v>
      </c>
      <c r="X48" s="11" t="n">
        <v>21.26</v>
      </c>
      <c r="Y48" t="inlineStr">
        <is>
          <t>Point</t>
        </is>
      </c>
      <c r="Z48" t="inlineStr">
        <is>
          <t>Carried forward</t>
        </is>
      </c>
      <c r="AA48" t="inlineStr">
        <is>
          <t>USD</t>
        </is>
      </c>
      <c r="AB48" t="inlineStr">
        <is>
          <t>Not stated</t>
        </is>
      </c>
      <c r="AC48" s="11" t="n"/>
      <c r="AD48" t="inlineStr">
        <is>
          <t>Fin: not stated; DD required: substantive (60 days); DD open: not disclosed; Excl: requested (60 days)</t>
        </is>
      </c>
      <c r="AE48" s="10" t="n"/>
      <c r="AF48" t="inlineStr"/>
      <c r="AG48" t="inlineStr"/>
      <c r="AH48" t="inlineStr"/>
      <c r="AI48" t="inlineStr"/>
      <c r="AJ48" t="inlineStr"/>
      <c r="AK48" t="n">
        <v>30</v>
      </c>
      <c r="AL48" t="inlineStr">
        <is>
          <t>reverts to R030; withdraws R046; Count 0 (same bidder and round as R046)</t>
        </is>
      </c>
      <c r="AM48" t="inlineStr">
        <is>
          <t>PWRR–G&amp;W</t>
        </is>
      </c>
    </row>
    <row r="49">
      <c r="A49" t="n">
        <v>48</v>
      </c>
      <c r="B49" t="inlineStr">
        <is>
          <t>08/02/2016</t>
        </is>
      </c>
      <c r="C49" t="inlineStr">
        <is>
          <t>Party D</t>
        </is>
      </c>
      <c r="D49" t="inlineStr">
        <is>
          <t>Withdrew</t>
        </is>
      </c>
      <c r="E49" t="n">
        <v>1</v>
      </c>
      <c r="F49" t="n">
        <v>3</v>
      </c>
      <c r="G49" t="inlineStr">
        <is>
          <t>Financial</t>
        </is>
      </c>
      <c r="H49" t="inlineStr">
        <is>
          <t>Declined to shorten its 30-day diligence and requested a commitment that the Company not sign with another bidder during that period; the Company declined (active interest of Party B and G&amp;W); Party D then indicated it would not proceed with further diligence at that time. Stage left: Round 3.</t>
        </is>
      </c>
      <c r="I49" t="inlineStr"/>
      <c r="J49" t="inlineStr"/>
      <c r="K49" t="inlineStr">
        <is>
          <t>Stated: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 (p.30). Bidder-side decision not to continue; read as a withdrawal (Bidder), not a temporary pause, though the filing says 'at that time' (alternative flagged, Q4). Exit reason Terms or process: the unavailable no-sign commitment, not price.</t>
        </is>
      </c>
      <c r="L49" t="inlineStr">
        <is>
          <t>P-024</t>
        </is>
      </c>
      <c r="M49" t="inlineStr">
        <is>
          <t>Q4</t>
        </is>
      </c>
      <c r="N49" t="inlineStr"/>
      <c r="O49" t="inlineStr">
        <is>
          <t>R048</t>
        </is>
      </c>
      <c r="P49" t="inlineStr">
        <is>
          <t>Yes</t>
        </is>
      </c>
      <c r="Q49" t="n">
        <v>1</v>
      </c>
      <c r="R49" s="10" t="n">
        <v>42584</v>
      </c>
      <c r="S49" s="10" t="n">
        <v>42584</v>
      </c>
      <c r="T49" s="10" t="n">
        <v>42584</v>
      </c>
      <c r="U49" t="inlineStr">
        <is>
          <t>Reported day</t>
        </is>
      </c>
      <c r="V49" t="inlineStr">
        <is>
          <t>Reported</t>
        </is>
      </c>
      <c r="W49" s="11" t="n"/>
      <c r="X49" s="11" t="n"/>
      <c r="Y49" t="inlineStr"/>
      <c r="Z49" t="inlineStr"/>
      <c r="AA49" t="inlineStr"/>
      <c r="AB49" t="inlineStr"/>
      <c r="AC49" s="11" t="n"/>
      <c r="AD49" t="inlineStr"/>
      <c r="AE49" s="10" t="n"/>
      <c r="AF49" t="inlineStr"/>
      <c r="AG49" t="inlineStr"/>
      <c r="AH49" t="inlineStr">
        <is>
          <t>Bidder</t>
        </is>
      </c>
      <c r="AI49" t="inlineStr">
        <is>
          <t>Terms or process</t>
        </is>
      </c>
      <c r="AJ49" t="inlineStr">
        <is>
          <t>Stated</t>
        </is>
      </c>
      <c r="AK49" t="n">
        <v>30</v>
      </c>
      <c r="AL49" t="inlineStr">
        <is>
          <t>closes R044</t>
        </is>
      </c>
      <c r="AM49" t="inlineStr">
        <is>
          <t>PWRR–G&amp;W</t>
        </is>
      </c>
    </row>
    <row r="50">
      <c r="A50" t="n">
        <v>49</v>
      </c>
      <c r="B50" t="inlineStr">
        <is>
          <t>08/04/2016</t>
        </is>
      </c>
      <c r="C50" t="inlineStr">
        <is>
          <t>Party B</t>
        </is>
      </c>
      <c r="D50" t="inlineStr">
        <is>
          <t>Bid reaffirmed</t>
        </is>
      </c>
      <c r="E50" t="n">
        <v>1</v>
      </c>
      <c r="F50" t="n">
        <v>3</v>
      </c>
      <c r="G50" t="inlineStr">
        <is>
          <t>Strategic</t>
        </is>
      </c>
      <c r="H50" t="inlineStr">
        <is>
          <t>Reaffirmed by: returned draft — Party B's legal counsel returned a revised merger-agreement draft while the Company was finalizing an agreement with Party B (committee direction 08/04/2016 to prioritize and complete negotiation with Party B); $24.00 carried forward from R029. On-site diligence continued to 08/11/2016. Flagged for review (late reconfirmation).</t>
        </is>
      </c>
      <c r="I50" t="inlineStr">
        <is>
          <t>Formal</t>
        </is>
      </c>
      <c r="J50" t="inlineStr">
        <is>
          <t>Light</t>
        </is>
      </c>
      <c r="K50" t="inlineStr">
        <is>
          <t>Stated: “On August 4, 2016, legal counsel for Party B provided a revised draft of the merger agreement and, following negotiations between their respective legal counsels, the Company provided Party B with a revised draft of the merger agreement and disclosure letter on August 5, 2016.” (p.31),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(p.31) and “From July 27, 2016 through August 11, 2016, Party B and G&amp;W conducted on-site financial, legal and environmental due diligence, including hi-rail trips to inspect the Company’s track infrastructure.” (p.31). Conditions: Light — the only condition Party B attached was an expedited diligence review; DD open: yes (on-site through 08/11/2016). A returned draft does not itself show diligence or financing conditions have fallen away; the price is not restated as a new observation (Q5).</t>
        </is>
      </c>
      <c r="L50" t="inlineStr">
        <is>
          <t>P-026; P-027</t>
        </is>
      </c>
      <c r="M50" t="inlineStr">
        <is>
          <t>Q5</t>
        </is>
      </c>
      <c r="N50" t="inlineStr"/>
      <c r="O50" t="inlineStr">
        <is>
          <t>R049</t>
        </is>
      </c>
      <c r="P50" t="inlineStr">
        <is>
          <t>Yes</t>
        </is>
      </c>
      <c r="Q50" t="n">
        <v>1</v>
      </c>
      <c r="R50" s="10" t="n">
        <v>42586</v>
      </c>
      <c r="S50" s="10" t="n">
        <v>42586</v>
      </c>
      <c r="T50" s="10" t="n">
        <v>42586</v>
      </c>
      <c r="U50" t="inlineStr">
        <is>
          <t>Reported day</t>
        </is>
      </c>
      <c r="V50" t="inlineStr">
        <is>
          <t>Reported</t>
        </is>
      </c>
      <c r="W50" s="11" t="n">
        <v>24</v>
      </c>
      <c r="X50" s="11" t="n">
        <v>24</v>
      </c>
      <c r="Y50" t="inlineStr">
        <is>
          <t>Point</t>
        </is>
      </c>
      <c r="Z50" t="inlineStr">
        <is>
          <t>Carried forward</t>
        </is>
      </c>
      <c r="AA50" t="inlineStr">
        <is>
          <t>USD</t>
        </is>
      </c>
      <c r="AB50" t="inlineStr">
        <is>
          <t>Not stated</t>
        </is>
      </c>
      <c r="AC50" s="11" t="n"/>
      <c r="AD50" t="inlineStr">
        <is>
          <t>Fin: not stated; DD required: confirmatory; DD open: yes; Excl: not stated</t>
        </is>
      </c>
      <c r="AE50" s="10" t="n"/>
      <c r="AF50" t="inlineStr"/>
      <c r="AG50" t="inlineStr"/>
      <c r="AH50" t="inlineStr"/>
      <c r="AI50" t="inlineStr"/>
      <c r="AJ50" t="inlineStr"/>
      <c r="AK50" t="n">
        <v>31</v>
      </c>
      <c r="AL50" t="inlineStr">
        <is>
          <t>reaffirms R029</t>
        </is>
      </c>
      <c r="AM50" t="inlineStr">
        <is>
          <t>PWRR–G&amp;W</t>
        </is>
      </c>
    </row>
    <row r="51">
      <c r="A51" t="n">
        <v>50</v>
      </c>
      <c r="B51" t="inlineStr">
        <is>
          <t>08/09/2016</t>
        </is>
      </c>
      <c r="C51" t="inlineStr">
        <is>
          <t>Transaction Committee</t>
        </is>
      </c>
      <c r="D51" t="inlineStr">
        <is>
          <t>Target decision</t>
        </is>
      </c>
      <c r="E51" t="n">
        <v>1</v>
      </c>
      <c r="F51" t="n">
        <v>3</v>
      </c>
      <c r="G51" t="inlineStr"/>
      <c r="H51" t="inlineStr">
        <is>
          <t>Committee directed BMO to tell G&amp;W the Company intended to enter into a merger agreement with another bidder (Party B); G&amp;W asked to continue diligence on 08/10-08/11/2016 to potentially facilitate an improved offer, which was granted.</t>
        </is>
      </c>
      <c r="I51" t="inlineStr"/>
      <c r="J51" t="inlineStr"/>
      <c r="K51" t="inlineStr">
        <is>
          <t>Stated: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(p.31). Preferred-bidder decision; continuing diligence for G&amp;W was allowed and produced the 08/12/2016 revised LOI (R053).</t>
        </is>
      </c>
      <c r="L51" t="inlineStr">
        <is>
          <t>P-027</t>
        </is>
      </c>
      <c r="M51" t="inlineStr"/>
      <c r="N51" t="inlineStr"/>
      <c r="O51" t="inlineStr">
        <is>
          <t>R050</t>
        </is>
      </c>
      <c r="P51" t="inlineStr">
        <is>
          <t>Yes</t>
        </is>
      </c>
      <c r="R51" s="10" t="n">
        <v>42591</v>
      </c>
      <c r="S51" s="10" t="n">
        <v>42591</v>
      </c>
      <c r="T51" s="10" t="n">
        <v>42591</v>
      </c>
      <c r="U51" t="inlineStr">
        <is>
          <t>Reported day</t>
        </is>
      </c>
      <c r="V51" t="inlineStr">
        <is>
          <t>Reported</t>
        </is>
      </c>
      <c r="W51" s="11" t="n"/>
      <c r="X51" s="11" t="n"/>
      <c r="Y51" t="inlineStr"/>
      <c r="Z51" t="inlineStr"/>
      <c r="AA51" t="inlineStr"/>
      <c r="AB51" t="inlineStr"/>
      <c r="AC51" s="11" t="n"/>
      <c r="AD51" t="inlineStr"/>
      <c r="AE51" s="10" t="n"/>
      <c r="AF51" t="inlineStr"/>
      <c r="AG51" t="inlineStr"/>
      <c r="AH51" t="inlineStr"/>
      <c r="AI51" t="inlineStr"/>
      <c r="AJ51" t="inlineStr"/>
      <c r="AK51" t="n">
        <v>31</v>
      </c>
      <c r="AL51" t="inlineStr">
        <is>
          <t>leads to R053</t>
        </is>
      </c>
      <c r="AM51" t="inlineStr">
        <is>
          <t>PWRR–G&amp;W</t>
        </is>
      </c>
    </row>
    <row r="52">
      <c r="A52" t="n">
        <v>51</v>
      </c>
      <c r="B52" t="inlineStr">
        <is>
          <t>Service first observed 08/10/2016 (retention date not disclosed)</t>
        </is>
      </c>
      <c r="C52" t="inlineStr">
        <is>
          <t>Simpson Thacher &amp; Bartlett LLP (G&amp;W legal counsel)</t>
        </is>
      </c>
      <c r="D52" t="inlineStr">
        <is>
          <t>Adviser service observed</t>
        </is>
      </c>
      <c r="E52" t="n">
        <v>1</v>
      </c>
      <c r="F52" t="n">
        <v>3</v>
      </c>
      <c r="G52" t="inlineStr"/>
      <c r="H52" t="inlineStr">
        <is>
          <t>G&amp;W's legal counsel; negotiated merger-agreement and disclosure-letter provisions with Hinckley Allen and participated in finalizing documents through signing on 08/12/2016.</t>
        </is>
      </c>
      <c r="I52" t="inlineStr"/>
      <c r="J52" t="inlineStr"/>
      <c r="K52" t="inlineStr">
        <is>
          <t>Stated: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(p.31). Adviser service observed at the earliest supported service date; the filing does not disclose G&amp;W's financial adviser (Summary).</t>
        </is>
      </c>
      <c r="L52" t="inlineStr">
        <is>
          <t>P-027</t>
        </is>
      </c>
      <c r="M52" t="inlineStr"/>
      <c r="N52" t="inlineStr"/>
      <c r="O52" t="inlineStr">
        <is>
          <t>R051</t>
        </is>
      </c>
      <c r="P52" t="inlineStr">
        <is>
          <t>Yes</t>
        </is>
      </c>
      <c r="R52" s="10" t="n">
        <v>42592</v>
      </c>
      <c r="S52" s="10" t="n">
        <v>42592</v>
      </c>
      <c r="T52" s="10" t="n">
        <v>42592</v>
      </c>
      <c r="U52" t="inlineStr">
        <is>
          <t>Reported day</t>
        </is>
      </c>
      <c r="V52" t="inlineStr">
        <is>
          <t>Reported</t>
        </is>
      </c>
      <c r="W52" s="11" t="n"/>
      <c r="X52" s="11" t="n"/>
      <c r="Y52" t="inlineStr"/>
      <c r="Z52" t="inlineStr"/>
      <c r="AA52" t="inlineStr"/>
      <c r="AB52" t="inlineStr"/>
      <c r="AC52" s="11" t="n"/>
      <c r="AD52" t="inlineStr"/>
      <c r="AE52" s="10" t="n"/>
      <c r="AF52" t="inlineStr"/>
      <c r="AG52" t="inlineStr"/>
      <c r="AH52" t="inlineStr"/>
      <c r="AI52" t="inlineStr"/>
      <c r="AJ52" t="inlineStr"/>
      <c r="AK52" t="n">
        <v>31</v>
      </c>
      <c r="AL52" t="inlineStr"/>
      <c r="AM52" t="inlineStr">
        <is>
          <t>PWRR–G&amp;W</t>
        </is>
      </c>
    </row>
    <row r="53">
      <c r="A53" t="n">
        <v>52</v>
      </c>
      <c r="B53" t="inlineStr">
        <is>
          <t>08/12/2016 (call date; counsel unnamed)</t>
        </is>
      </c>
      <c r="C53" t="inlineStr">
        <is>
          <t>Unnamed STB counsel (Company)</t>
        </is>
      </c>
      <c r="D53" t="inlineStr">
        <is>
          <t>Adviser service observed</t>
        </is>
      </c>
      <c r="E53" t="n">
        <v>1</v>
      </c>
      <c r="F53" t="n">
        <v>3</v>
      </c>
      <c r="G53" t="inlineStr"/>
      <c r="H53" t="inlineStr">
        <is>
          <t>Regulatory counsel; advised the Board during the 08/12/2016 meeting on STB approval paths, voting-trust use and timing for a transaction with either finalist.</t>
        </is>
      </c>
      <c r="I53" t="inlineStr"/>
      <c r="J53" t="inlineStr"/>
      <c r="K53" t="inlineStr">
        <is>
          <t>Stated: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(p.32). The filing does not name the firm; recorded generically as the Company's STB counsel (an unnamed firm is not inferred to be a later-named adviser).</t>
        </is>
      </c>
      <c r="L53" t="inlineStr">
        <is>
          <t>P-031</t>
        </is>
      </c>
      <c r="M53" t="inlineStr"/>
      <c r="N53" t="inlineStr"/>
      <c r="O53" t="inlineStr">
        <is>
          <t>R052</t>
        </is>
      </c>
      <c r="P53" t="inlineStr">
        <is>
          <t>Yes</t>
        </is>
      </c>
      <c r="R53" s="10" t="n">
        <v>42594</v>
      </c>
      <c r="S53" s="10" t="n">
        <v>42594</v>
      </c>
      <c r="T53" s="10" t="n">
        <v>42594</v>
      </c>
      <c r="U53" t="inlineStr">
        <is>
          <t>Reported day</t>
        </is>
      </c>
      <c r="V53" t="inlineStr">
        <is>
          <t>Reported</t>
        </is>
      </c>
      <c r="W53" s="11" t="n"/>
      <c r="X53" s="11" t="n"/>
      <c r="Y53" t="inlineStr"/>
      <c r="Z53" t="inlineStr"/>
      <c r="AA53" t="inlineStr"/>
      <c r="AB53" t="inlineStr"/>
      <c r="AC53" s="11" t="n"/>
      <c r="AD53" t="inlineStr"/>
      <c r="AE53" s="10" t="n"/>
      <c r="AF53" t="inlineStr"/>
      <c r="AG53" t="inlineStr"/>
      <c r="AH53" t="inlineStr"/>
      <c r="AI53" t="inlineStr"/>
      <c r="AJ53" t="inlineStr"/>
      <c r="AK53" t="n">
        <v>32</v>
      </c>
      <c r="AL53" t="inlineStr"/>
      <c r="AM53" t="inlineStr">
        <is>
          <t>PWRR–G&amp;W</t>
        </is>
      </c>
    </row>
    <row r="54">
      <c r="A54" t="n">
        <v>53</v>
      </c>
      <c r="B54" t="inlineStr">
        <is>
          <t>08/12/2016</t>
        </is>
      </c>
      <c r="C54" t="inlineStr">
        <is>
          <t>G&amp;W</t>
        </is>
      </c>
      <c r="D54" t="inlineStr">
        <is>
          <t>Bid</t>
        </is>
      </c>
      <c r="E54" t="n">
        <v>1</v>
      </c>
      <c r="F54" t="n">
        <v>3</v>
      </c>
      <c r="G54" t="inlineStr">
        <is>
          <t>Strategic</t>
        </is>
      </c>
      <c r="H54" t="inlineStr">
        <is>
          <t>Revised LOI at $25.00 per share in cash, excluding the earlier CVR, with mark-ups of the merger agreement and voting agreement (disclosure-letter mark-up followed the same day); offer to expire at 6:00 p.m. on 08/13/2016. Signalled on 08/11/2016 after completing physical diligence.</t>
        </is>
      </c>
      <c r="I54" t="inlineStr">
        <is>
          <t>Formal</t>
        </is>
      </c>
      <c r="J54" t="inlineStr">
        <is>
          <t>Light</t>
        </is>
      </c>
      <c r="K54" t="inlineStr">
        <is>
          <t>Stated: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(p.31) and “On August 11, 2016, G&amp;W indicated its possible intention to submit a revised LOI on August 12, 2016, having just completed its physical diligence of the Company’s track infrastructure.” (p.31). Formality: Formal — returned agreement markups (signal 1). Conditions: Light — diligence completed (DD open: no), documents still being negotiated to signing; no financing condition in the executed agreement and G&amp;W represented its financial wherewithal (X-015). All cash Yes; $25.00 fixed at closing; CVR removed. Alternative None reading flagged (Q5, Q6).</t>
        </is>
      </c>
      <c r="L54" t="inlineStr">
        <is>
          <t>P-027; P-028; X-015</t>
        </is>
      </c>
      <c r="M54" t="inlineStr">
        <is>
          <t>Q5; Q6</t>
        </is>
      </c>
      <c r="N54" t="inlineStr"/>
      <c r="O54" t="inlineStr">
        <is>
          <t>R053</t>
        </is>
      </c>
      <c r="P54" t="inlineStr">
        <is>
          <t>Yes</t>
        </is>
      </c>
      <c r="Q54" t="n">
        <v>1</v>
      </c>
      <c r="R54" s="10" t="n">
        <v>42594</v>
      </c>
      <c r="S54" s="10" t="n">
        <v>42594</v>
      </c>
      <c r="T54" s="10" t="n">
        <v>42594</v>
      </c>
      <c r="U54" t="inlineStr">
        <is>
          <t>Reported day</t>
        </is>
      </c>
      <c r="V54" t="inlineStr">
        <is>
          <t>Reported</t>
        </is>
      </c>
      <c r="W54" s="11" t="n">
        <v>25</v>
      </c>
      <c r="X54" s="11" t="n">
        <v>25</v>
      </c>
      <c r="Y54" t="inlineStr">
        <is>
          <t>Point</t>
        </is>
      </c>
      <c r="Z54" t="inlineStr">
        <is>
          <t>Stated</t>
        </is>
      </c>
      <c r="AA54" t="inlineStr">
        <is>
          <t>USD</t>
        </is>
      </c>
      <c r="AB54" t="inlineStr">
        <is>
          <t>Yes</t>
        </is>
      </c>
      <c r="AC54" s="11" t="n">
        <v>25</v>
      </c>
      <c r="AD54" t="inlineStr">
        <is>
          <t>Fin: no contingency; DD required: none; DD open: no; Excl: not stated</t>
        </is>
      </c>
      <c r="AE54" s="10" t="n"/>
      <c r="AF54" t="inlineStr"/>
      <c r="AG54" t="inlineStr"/>
      <c r="AH54" t="inlineStr"/>
      <c r="AI54" t="inlineStr"/>
      <c r="AJ54" t="inlineStr"/>
      <c r="AK54" t="n">
        <v>31</v>
      </c>
      <c r="AL54" t="inlineStr">
        <is>
          <t>revises R037; accepted at R056</t>
        </is>
      </c>
      <c r="AM54" t="inlineStr">
        <is>
          <t>PWRR–G&amp;W</t>
        </is>
      </c>
    </row>
    <row r="55">
      <c r="A55" t="n">
        <v>54</v>
      </c>
      <c r="B55" t="inlineStr">
        <is>
          <t>08/12/2016</t>
        </is>
      </c>
      <c r="C55" t="inlineStr">
        <is>
          <t>Party B</t>
        </is>
      </c>
      <c r="D55" t="inlineStr">
        <is>
          <t>Not selected at signing</t>
        </is>
      </c>
      <c r="E55" t="n">
        <v>1</v>
      </c>
      <c r="F55" t="n">
        <v>3</v>
      </c>
      <c r="G55" t="inlineStr">
        <is>
          <t>Strategic</t>
        </is>
      </c>
      <c r="H55" t="inlineStr">
        <is>
          <t>Still-live finalist: asked by BMO (at the Board's request) whether it would increase its price and it declined; the Board then determined the G&amp;W offer was the superior proposal and signed with G&amp;W. Diligence had ended 08/11/2016. Stage left: Round 3.</t>
        </is>
      </c>
      <c r="I55" t="inlineStr"/>
      <c r="J55" t="inlineStr"/>
      <c r="K55" t="inlineStr">
        <is>
          <t>Stated: “At the request of the Board, representatives of BMO then contacted Party B to determine if it would increase its offer price. Party B indicated that it would not increase its price.” (p.32) and “The Board determined that the G&amp;W offer represented the superior proposal.” (p.32). Outcome basis Stated (the bidder was still bidding when the target chose another). Exit reason Would not improve earlier offer, while actual selection agency is the target's.</t>
        </is>
      </c>
      <c r="L55" t="inlineStr">
        <is>
          <t>P-031; P-032</t>
        </is>
      </c>
      <c r="M55" t="inlineStr">
        <is>
          <t>Q4</t>
        </is>
      </c>
      <c r="N55" t="inlineStr"/>
      <c r="O55" t="inlineStr">
        <is>
          <t>R054</t>
        </is>
      </c>
      <c r="P55" t="inlineStr">
        <is>
          <t>Yes</t>
        </is>
      </c>
      <c r="Q55" t="n">
        <v>1</v>
      </c>
      <c r="R55" s="10" t="n">
        <v>42594</v>
      </c>
      <c r="S55" s="10" t="n">
        <v>42594</v>
      </c>
      <c r="T55" s="10" t="n">
        <v>42594</v>
      </c>
      <c r="U55" t="inlineStr">
        <is>
          <t>Reported day</t>
        </is>
      </c>
      <c r="V55" t="inlineStr">
        <is>
          <t>Reported</t>
        </is>
      </c>
      <c r="W55" s="11" t="n"/>
      <c r="X55" s="11" t="n"/>
      <c r="Y55" t="inlineStr"/>
      <c r="Z55" t="inlineStr"/>
      <c r="AA55" t="inlineStr"/>
      <c r="AB55" t="inlineStr"/>
      <c r="AC55" s="11" t="n"/>
      <c r="AD55" t="inlineStr"/>
      <c r="AE55" s="10" t="n"/>
      <c r="AF55" t="inlineStr"/>
      <c r="AG55" t="inlineStr"/>
      <c r="AH55" t="inlineStr">
        <is>
          <t>Target</t>
        </is>
      </c>
      <c r="AI55" t="inlineStr">
        <is>
          <t>Would not improve earlier offer</t>
        </is>
      </c>
      <c r="AJ55" t="inlineStr">
        <is>
          <t>Stated</t>
        </is>
      </c>
      <c r="AK55" t="n">
        <v>32</v>
      </c>
      <c r="AL55" t="inlineStr">
        <is>
          <t>after R049</t>
        </is>
      </c>
      <c r="AM55" t="inlineStr">
        <is>
          <t>PWRR–G&amp;W</t>
        </is>
      </c>
    </row>
    <row r="56">
      <c r="A56" t="n">
        <v>55</v>
      </c>
      <c r="B56" t="inlineStr">
        <is>
          <t>by 08/12/2016</t>
        </is>
      </c>
      <c r="C56" t="inlineStr">
        <is>
          <t>Party E</t>
        </is>
      </c>
      <c r="D56" t="inlineStr">
        <is>
          <t>Not selected at signing</t>
        </is>
      </c>
      <c r="E56" t="n">
        <v>1</v>
      </c>
      <c r="F56" t="n">
        <v>3</v>
      </c>
      <c r="G56" t="inlineStr">
        <is>
          <t>Strategic</t>
        </is>
      </c>
      <c r="H56" t="inlineStr">
        <is>
          <t>Inferred: silent — last reported act was confirming its original $21.26 proposal on 08/02/2016 (R047) after withdrawing its revised proposal; never mentioned again before signing. Stage left: Round 3.</t>
        </is>
      </c>
      <c r="I56" t="inlineStr"/>
      <c r="J56" t="inlineStr"/>
      <c r="K56" t="inlineStr">
        <is>
          <t>Inferred: “Party E withdrew its revised proposal on August 2, 2016 (but confirmed its original proposal of $21.26 per share)” (p.30) is its last appearance; no notice of exclusion or withdrawal after it is reported. The row records only that Party E was out by signing, not how or why (Q4).</t>
        </is>
      </c>
      <c r="L56" t="inlineStr">
        <is>
          <t>P-024; P-033</t>
        </is>
      </c>
      <c r="M56" t="inlineStr">
        <is>
          <t>Q4</t>
        </is>
      </c>
      <c r="N56" t="inlineStr"/>
      <c r="O56" t="inlineStr">
        <is>
          <t>R055</t>
        </is>
      </c>
      <c r="P56" t="inlineStr">
        <is>
          <t>Yes</t>
        </is>
      </c>
      <c r="Q56" t="n">
        <v>1</v>
      </c>
      <c r="R56" s="10" t="n"/>
      <c r="S56" s="10" t="n">
        <v>42594</v>
      </c>
      <c r="T56" s="10" t="n">
        <v>42594</v>
      </c>
      <c r="U56" t="inlineStr">
        <is>
          <t>Relative only</t>
        </is>
      </c>
      <c r="V56" t="inlineStr">
        <is>
          <t>Assigned: bound</t>
        </is>
      </c>
      <c r="W56" s="11" t="n"/>
      <c r="X56" s="11" t="n"/>
      <c r="Y56" t="inlineStr"/>
      <c r="Z56" t="inlineStr"/>
      <c r="AA56" t="inlineStr"/>
      <c r="AB56" t="inlineStr"/>
      <c r="AC56" s="11" t="n"/>
      <c r="AD56" t="inlineStr"/>
      <c r="AE56" s="10" t="n"/>
      <c r="AF56" t="inlineStr"/>
      <c r="AG56" t="inlineStr"/>
      <c r="AH56" t="inlineStr">
        <is>
          <t>Unknown</t>
        </is>
      </c>
      <c r="AI56" t="inlineStr">
        <is>
          <t>Not stated</t>
        </is>
      </c>
      <c r="AJ56" t="inlineStr">
        <is>
          <t>Inferred: silent</t>
        </is>
      </c>
      <c r="AK56" t="n">
        <v>30</v>
      </c>
      <c r="AL56" t="inlineStr"/>
      <c r="AM56" t="inlineStr">
        <is>
          <t>PWRR–G&amp;W</t>
        </is>
      </c>
    </row>
    <row r="57">
      <c r="A57" t="n">
        <v>56</v>
      </c>
      <c r="B57" t="inlineStr">
        <is>
          <t>08/12/2016</t>
        </is>
      </c>
      <c r="C57" t="inlineStr">
        <is>
          <t>PWRR and G&amp;W (with Merger Sub)</t>
        </is>
      </c>
      <c r="D57" t="inlineStr">
        <is>
          <t>Merger agreement signed</t>
        </is>
      </c>
      <c r="E57" t="n">
        <v>1</v>
      </c>
      <c r="F57" t="n">
        <v>3</v>
      </c>
      <c r="G57" t="inlineStr"/>
      <c r="H57" t="inlineStr">
        <is>
          <t>Agreed consideration $25.00 per share in cash (preferred converts 100-for-1 plus accrued/unpaid dividends); Board approval (Director Smith recused) after BMO's oral fairness opinion of the same date; Eder Trusts (842,742 common; 500 preferred) executed a voting agreement with G&amp;W and the Company; termination fee $3,785,000; no go-shop; outside date 12/31/2016 (02/28/2017 if only STB approval remains). Signing is not process termination and is not a new bid.</t>
        </is>
      </c>
      <c r="I57" t="inlineStr"/>
      <c r="J57" t="inlineStr"/>
      <c r="K57" t="inlineStr">
        <is>
          <t>Stated: “Shortly thereafter, Hinckley Allen and Simpson Thacher finalized the transaction documents and the Company and G&amp;W executed the merger agreement, and the Company, G&amp;W and the Eder Trusts executed the voting agreement.” (p.32),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(p.32), “The Board determined that the G&amp;W offer represented the superior proposal.” (p.32) and “payment of a termination fee of $3.785 million to G&amp;W” (p.34); G&amp;W draft terms favored the winner: “the termination fee payable by the Company in the event the Board exercised its “fiduciary out” in order to accept a superior proposal was less under the G&amp;W draft agreement than the Party B draft agreement” (p.32). Routine approval/opinion details incorporated here. No go-shop or post-signing competing proposal is reported in the supplied filing.</t>
        </is>
      </c>
      <c r="L57" t="inlineStr">
        <is>
          <t>P-032; P-033; X-014; X-016; X-026</t>
        </is>
      </c>
      <c r="M57" t="inlineStr"/>
      <c r="N57" t="inlineStr"/>
      <c r="O57" t="inlineStr">
        <is>
          <t>R056</t>
        </is>
      </c>
      <c r="P57" t="inlineStr">
        <is>
          <t>Yes</t>
        </is>
      </c>
      <c r="R57" s="10" t="n">
        <v>42594</v>
      </c>
      <c r="S57" s="10" t="n">
        <v>42594</v>
      </c>
      <c r="T57" s="10" t="n">
        <v>42594</v>
      </c>
      <c r="U57" t="inlineStr">
        <is>
          <t>Reported day</t>
        </is>
      </c>
      <c r="V57" t="inlineStr">
        <is>
          <t>Reported</t>
        </is>
      </c>
      <c r="W57" s="11" t="n"/>
      <c r="X57" s="11" t="n"/>
      <c r="Y57" t="inlineStr"/>
      <c r="Z57" t="inlineStr"/>
      <c r="AA57" t="inlineStr"/>
      <c r="AB57" t="inlineStr"/>
      <c r="AC57" s="11" t="n"/>
      <c r="AD57" t="inlineStr"/>
      <c r="AE57" s="10" t="n"/>
      <c r="AF57" t="inlineStr"/>
      <c r="AG57" t="inlineStr"/>
      <c r="AH57" t="inlineStr"/>
      <c r="AI57" t="inlineStr"/>
      <c r="AJ57" t="inlineStr"/>
      <c r="AK57" t="n">
        <v>32</v>
      </c>
      <c r="AL57" t="inlineStr">
        <is>
          <t>R053 (accepted); R054; R049; voting agreement noted</t>
        </is>
      </c>
      <c r="AM57" t="inlineStr">
        <is>
          <t>PWRR–G&amp;W</t>
        </is>
      </c>
    </row>
    <row r="58">
      <c r="A58" t="n">
        <v>57</v>
      </c>
      <c r="B58" t="inlineStr">
        <is>
          <t>08/15/2016</t>
        </is>
      </c>
      <c r="C58" t="inlineStr">
        <is>
          <t>PWRR</t>
        </is>
      </c>
      <c r="D58" t="inlineStr">
        <is>
          <t>Merger announced</t>
        </is>
      </c>
      <c r="E58" t="n">
        <v>1</v>
      </c>
      <c r="F58" t="n">
        <v>3</v>
      </c>
      <c r="G58" t="inlineStr"/>
      <c r="H58" t="inlineStr">
        <is>
          <t>Press release publicly announced the transaction on Monday 08/15/2016 before the opening of trading of the common stock on NASDAQ. Separate from signing (08/12/2016).</t>
        </is>
      </c>
      <c r="I58" t="inlineStr"/>
      <c r="J58" t="inlineStr"/>
      <c r="K58" t="inlineStr">
        <is>
          <t>Stated: “The Company issued a press release publicly announcing the transaction on Monday, August 15, 2016 prior to the opening of trading of the Company’s common stock on the NASDAQ.” (p.32). Publicity occurred after signing; no earlier sale-process announcement is reported.</t>
        </is>
      </c>
      <c r="L58" t="inlineStr">
        <is>
          <t>P-033</t>
        </is>
      </c>
      <c r="M58" t="inlineStr"/>
      <c r="N58" t="inlineStr"/>
      <c r="O58" t="inlineStr">
        <is>
          <t>R057</t>
        </is>
      </c>
      <c r="P58" t="inlineStr">
        <is>
          <t>Yes</t>
        </is>
      </c>
      <c r="R58" s="10" t="n">
        <v>42597</v>
      </c>
      <c r="S58" s="10" t="n">
        <v>42597</v>
      </c>
      <c r="T58" s="10" t="n">
        <v>42597</v>
      </c>
      <c r="U58" t="inlineStr">
        <is>
          <t>Reported day</t>
        </is>
      </c>
      <c r="V58" t="inlineStr">
        <is>
          <t>Reported</t>
        </is>
      </c>
      <c r="W58" s="11" t="n"/>
      <c r="X58" s="11" t="n"/>
      <c r="Y58" t="inlineStr"/>
      <c r="Z58" t="inlineStr"/>
      <c r="AA58" t="inlineStr"/>
      <c r="AB58" t="inlineStr"/>
      <c r="AC58" s="11" t="n"/>
      <c r="AD58" t="inlineStr"/>
      <c r="AE58" s="10" t="n"/>
      <c r="AF58" t="inlineStr"/>
      <c r="AG58" t="inlineStr"/>
      <c r="AH58" t="inlineStr"/>
      <c r="AI58" t="inlineStr"/>
      <c r="AJ58" t="inlineStr"/>
      <c r="AK58" t="n">
        <v>32</v>
      </c>
      <c r="AL58" t="inlineStr"/>
      <c r="AM58" t="inlineStr">
        <is>
          <t>PWRR–G&amp;W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2" t="inlineStr">
        <is>
          <t>EventLabels</t>
        </is>
      </c>
      <c r="B1" s="12" t="inlineStr">
        <is>
          <t>TypeList</t>
        </is>
      </c>
      <c r="C1" s="12" t="inlineStr">
        <is>
          <t>FormalityList</t>
        </is>
      </c>
      <c r="D1" s="12" t="inlineStr">
        <is>
          <t>ConditionsList</t>
        </is>
      </c>
      <c r="E1" s="12" t="inlineStr">
        <is>
          <t>IncludeList</t>
        </is>
      </c>
      <c r="F1" s="12" t="inlineStr">
        <is>
          <t>DateBasisList</t>
        </is>
      </c>
      <c r="G1" s="12" t="inlineStr">
        <is>
          <t>DateMethodList</t>
        </is>
      </c>
      <c r="H1" s="12" t="inlineStr">
        <is>
          <t>PriceKindList</t>
        </is>
      </c>
      <c r="I1" s="12" t="inlineStr">
        <is>
          <t>PriceOriginList</t>
        </is>
      </c>
      <c r="J1" s="12" t="inlineStr">
        <is>
          <t>AllCashList</t>
        </is>
      </c>
      <c r="K1" s="12" t="inlineStr">
        <is>
          <t>DeadlineTreatList</t>
        </is>
      </c>
      <c r="L1" s="12" t="inlineStr">
        <is>
          <t>RoundFinalityList</t>
        </is>
      </c>
      <c r="M1" s="12" t="inlineStr">
        <is>
          <t>DecidedByList</t>
        </is>
      </c>
      <c r="N1" s="12" t="inlineStr">
        <is>
          <t>ExitReasonList</t>
        </is>
      </c>
      <c r="O1" s="12" t="inlineStr">
        <is>
          <t>OutcomeBasisList</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Passed without action</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Unclear</t>
        </is>
      </c>
      <c r="N6" t="inlineStr">
        <is>
          <t>Would not improve earlier offer</t>
        </is>
      </c>
      <c r="O6" t="inlineStr">
        <is>
          <t>Inferred: identity</t>
        </is>
      </c>
    </row>
    <row r="7">
      <c r="A7" t="inlineStr">
        <is>
          <t>Adviser engaged</t>
        </is>
      </c>
      <c r="F7" t="inlineStr">
        <is>
          <t>Undated</t>
        </is>
      </c>
      <c r="G7" t="inlineStr">
        <is>
          <t>Assigned: bound</t>
        </is>
      </c>
      <c r="K7" t="inlineStr">
        <is>
          <t>No deadline stated</t>
        </is>
      </c>
      <c r="N7" t="inlineStr">
        <is>
          <t>Lower offer than rivals</t>
        </is>
      </c>
    </row>
    <row r="8">
      <c r="A8" t="inlineStr">
        <is>
          <t>Adviser service observed</t>
        </is>
      </c>
      <c r="G8" t="inlineStr">
        <is>
          <t>Assigned: sequence</t>
        </is>
      </c>
      <c r="K8" t="inlineStr">
        <is>
          <t>Extended; Late bids accepted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2026-09-19T13:40:47Z</dcterms:created>
  <dcterms:modified xmlns:dcterms="http://purl.org/dc/terms/" xmlns:xsi="http://www.w3.org/2001/XMLSchema-instance" xsi:type="dcterms:W3CDTF">2026-09-19T13:40:47Z</dcterms:modified>
</cp:coreProperties>
</file>