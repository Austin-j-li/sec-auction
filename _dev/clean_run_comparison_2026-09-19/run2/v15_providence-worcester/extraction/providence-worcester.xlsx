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Summary" sheetId="2" state="visible" r:id="rId2"/>
    <sheet xmlns:r="http://schemas.openxmlformats.org/officeDocument/2006/relationships" name="Questions" sheetId="3" state="visible" r:id="rId3"/>
    <sheet xmlns:r="http://schemas.openxmlformats.org/officeDocument/2006/relationships" name="Source text" sheetId="4" state="visible" r:id="rId4"/>
    <sheet xmlns:r="http://schemas.openxmlformats.org/officeDocument/2006/relationships" name="Lists" sheetId="5" state="hidden" r:id="rId5"/>
  </sheets>
  <definedNames>
    <definedName name="_xlnm._FilterDatabase" localSheetId="0" hidden="1">'Deal ledger'!$A$2:$AM$59</definedName>
    <definedName name="_xlnm._FilterDatabase" localSheetId="2" hidden="1">'Questions'!$A$1:$H$9</definedName>
    <definedName name="_xlnm._FilterDatabase" localSheetId="3" hidden="1">'Source text'!$A$1:$D$54</definedName>
  </definedNames>
  <calcPr calcId="124519" fullCalcOnLoad="1"/>
</workbook>
</file>

<file path=xl/styles.xml><?xml version="1.0" encoding="utf-8"?>
<styleSheet xmlns="http://schemas.openxmlformats.org/spreadsheetml/2006/main">
  <numFmts count="1">
    <numFmt numFmtId="164" formatCode="mm/dd/yyyy"/>
  </numFmts>
  <fonts count="8">
    <font>
      <name val="Calibri"/>
      <family val="2"/>
      <color theme="1"/>
      <sz val="11"/>
      <scheme val="minor"/>
    </font>
    <font>
      <b val="1"/>
      <color rgb="00FFFFFF"/>
      <sz val="10"/>
    </font>
    <font>
      <b val="1"/>
      <color rgb="001F3864"/>
      <sz val="9"/>
    </font>
    <font>
      <color rgb="000563C1"/>
      <sz val="9"/>
      <u val="single"/>
    </font>
    <font>
      <b val="1"/>
    </font>
    <font>
      <b val="1"/>
      <sz val="13"/>
    </font>
    <font>
      <b val="1"/>
      <color rgb="001F3864"/>
      <sz val="12"/>
    </font>
    <font>
      <b val="1"/>
      <sz val="10"/>
    </font>
  </fonts>
  <fills count="4">
    <fill>
      <patternFill/>
    </fill>
    <fill>
      <patternFill patternType="gray125"/>
    </fill>
    <fill>
      <patternFill patternType="solid">
        <fgColor rgb="001F3864"/>
      </patternFill>
    </fill>
    <fill>
      <patternFill patternType="solid">
        <fgColor rgb="00D9E1F2"/>
      </patternFill>
    </fill>
  </fills>
  <borders count="1">
    <border>
      <left/>
      <right/>
      <top/>
      <bottom/>
      <diagonal/>
    </border>
  </borders>
  <cellStyleXfs count="1">
    <xf numFmtId="0" fontId="0" fillId="0" borderId="0"/>
  </cellStyleXfs>
  <cellXfs count="13">
    <xf numFmtId="0" fontId="0" fillId="0" borderId="0" pivotButton="0" quotePrefix="0" xfId="0"/>
    <xf numFmtId="0" fontId="2" fillId="3" borderId="0" applyAlignment="1" pivotButton="0" quotePrefix="0" xfId="0">
      <alignment vertical="center"/>
    </xf>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3" fillId="0" borderId="0" applyAlignment="1" pivotButton="0" quotePrefix="0" xfId="0">
      <alignment vertical="top" wrapText="1"/>
    </xf>
    <xf numFmtId="164" fontId="0" fillId="0" borderId="0" applyAlignment="1" pivotButton="0" quotePrefix="0" xfId="0">
      <alignment vertical="top" wrapText="1"/>
    </xf>
    <xf numFmtId="2" fontId="0"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9"/>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20" customWidth="1" min="2" max="2"/>
    <col width="32" customWidth="1" min="3" max="3"/>
    <col width="19" customWidth="1" min="4" max="4"/>
    <col width="8" customWidth="1" min="5" max="5"/>
    <col width="7" customWidth="1" min="6" max="6"/>
    <col width="11" customWidth="1" min="7" max="7"/>
    <col width="72" customWidth="1" min="8" max="8"/>
    <col width="11" customWidth="1" min="9" max="9"/>
    <col width="12" customWidth="1" min="10" max="10"/>
    <col width="95" customWidth="1" min="11" max="11"/>
    <col width="34" customWidth="1" min="12" max="12"/>
    <col width="9" customWidth="1" min="13" max="13"/>
    <col width="14" customWidth="1" min="14" max="14"/>
    <col hidden="1" outlineLevel="1" width="14" customWidth="1" min="15" max="15"/>
    <col hidden="1" outlineLevel="1" width="14" customWidth="1" min="16" max="16"/>
    <col hidden="1" outlineLevel="1" width="14" customWidth="1" min="17" max="17"/>
    <col hidden="1" outlineLevel="1" width="14" customWidth="1" min="18" max="18"/>
    <col hidden="1" outlineLevel="1" width="14" customWidth="1" min="19" max="19"/>
    <col hidden="1" outlineLevel="1" width="14" customWidth="1" min="20" max="20"/>
    <col hidden="1" outlineLevel="1" width="14" customWidth="1" min="21" max="21"/>
    <col hidden="1" outlineLevel="1" width="14" customWidth="1" min="22" max="22"/>
    <col hidden="1" outlineLevel="1" width="14" customWidth="1" min="23" max="23"/>
    <col hidden="1" outlineLevel="1" width="14" customWidth="1" min="24" max="24"/>
    <col hidden="1" outlineLevel="1" width="14" customWidth="1" min="25" max="25"/>
    <col hidden="1" outlineLevel="1" width="14" customWidth="1" min="26" max="26"/>
    <col hidden="1" outlineLevel="1" width="14" customWidth="1" min="27" max="27"/>
    <col hidden="1" outlineLevel="1" width="14" customWidth="1" min="28" max="28"/>
    <col hidden="1" outlineLevel="1" width="14" customWidth="1" min="29" max="29"/>
    <col hidden="1" outlineLevel="1" width="14" customWidth="1" min="30" max="30"/>
    <col hidden="1" outlineLevel="1" width="14" customWidth="1" min="31" max="31"/>
    <col hidden="1" outlineLevel="1" width="14" customWidth="1" min="32" max="32"/>
    <col hidden="1" outlineLevel="1" width="14" customWidth="1" min="33" max="33"/>
    <col hidden="1" outlineLevel="1" width="14" customWidth="1" min="34" max="34"/>
    <col hidden="1" outlineLevel="1" width="14" customWidth="1" min="35" max="35"/>
    <col hidden="1" outlineLevel="1" width="14" customWidth="1" min="36" max="36"/>
    <col hidden="1" outlineLevel="1" width="14" customWidth="1" min="37" max="37"/>
    <col hidden="1" outlineLevel="1" width="14" customWidth="1" min="38" max="38"/>
    <col hidden="1" outlineLevel="1" width="14" customWidth="1" min="39" max="39"/>
  </cols>
  <sheetData>
    <row r="1">
      <c r="O1" s="1" t="inlineStr">
        <is>
          <t>Row identity</t>
        </is>
      </c>
      <c r="Q1" s="1" t="inlineStr">
        <is>
          <t>Count</t>
        </is>
      </c>
      <c r="R1" s="1" t="inlineStr">
        <is>
          <t>Dates</t>
        </is>
      </c>
      <c r="W1" s="1" t="inlineStr">
        <is>
          <t>Price</t>
        </is>
      </c>
      <c r="AB1" s="1" t="inlineStr">
        <is>
          <t>Settlement</t>
        </is>
      </c>
      <c r="AD1" s="1" t="inlineStr">
        <is>
          <t>Conditions detail</t>
        </is>
      </c>
      <c r="AE1" s="1" t="inlineStr">
        <is>
          <t>Deadline &amp; finality</t>
        </is>
      </c>
      <c r="AH1" s="1" t="inlineStr">
        <is>
          <t>Outcome</t>
        </is>
      </c>
      <c r="AK1" s="1" t="inlineStr">
        <is>
          <t>Source page</t>
        </is>
      </c>
      <c r="AL1" s="1" t="inlineStr">
        <is>
          <t>Related rows</t>
        </is>
      </c>
      <c r="AM1" s="1" t="inlineStr">
        <is>
          <t>Deal</t>
        </is>
      </c>
    </row>
    <row r="2">
      <c r="A2" s="2" t="inlineStr">
        <is>
          <t>#</t>
        </is>
      </c>
      <c r="B2" s="2" t="inlineStr">
        <is>
          <t>When</t>
        </is>
      </c>
      <c r="C2" s="2" t="inlineStr">
        <is>
          <t>Who</t>
        </is>
      </c>
      <c r="D2" s="2" t="inlineStr">
        <is>
          <t>What happened</t>
        </is>
      </c>
      <c r="E2" s="2" t="inlineStr">
        <is>
          <t>Process</t>
        </is>
      </c>
      <c r="F2" s="2" t="inlineStr">
        <is>
          <t>Round</t>
        </is>
      </c>
      <c r="G2" s="2" t="inlineStr">
        <is>
          <t>Type</t>
        </is>
      </c>
      <c r="H2" s="2" t="inlineStr">
        <is>
          <t>Terms or outcome</t>
        </is>
      </c>
      <c r="I2" s="2" t="inlineStr">
        <is>
          <t>Formality</t>
        </is>
      </c>
      <c r="J2" s="2" t="inlineStr">
        <is>
          <t>Conditions level</t>
        </is>
      </c>
      <c r="K2" s="2" t="inlineStr">
        <is>
          <t>Why and evidence</t>
        </is>
      </c>
      <c r="L2" s="2" t="inlineStr">
        <is>
          <t>Source</t>
        </is>
      </c>
      <c r="M2" s="2" t="inlineStr">
        <is>
          <t>Review</t>
        </is>
      </c>
      <c r="N2" s="2" t="inlineStr">
        <is>
          <t>Reviewer note</t>
        </is>
      </c>
      <c r="O2" s="2" t="inlineStr">
        <is>
          <t>Row id</t>
        </is>
      </c>
      <c r="P2" s="2" t="inlineStr">
        <is>
          <t>Include</t>
        </is>
      </c>
      <c r="Q2" s="2" t="inlineStr">
        <is>
          <t>Count</t>
        </is>
      </c>
      <c r="R2" s="2" t="inlineStr">
        <is>
          <t>Date from</t>
        </is>
      </c>
      <c r="S2" s="2" t="inlineStr">
        <is>
          <t>Date to</t>
        </is>
      </c>
      <c r="T2" s="2" t="inlineStr">
        <is>
          <t>Working date</t>
        </is>
      </c>
      <c r="U2" s="2" t="inlineStr">
        <is>
          <t>Date basis</t>
        </is>
      </c>
      <c r="V2" s="2" t="inlineStr">
        <is>
          <t>Date method</t>
        </is>
      </c>
      <c r="W2" s="2" t="inlineStr">
        <is>
          <t>Price low</t>
        </is>
      </c>
      <c r="X2" s="2" t="inlineStr">
        <is>
          <t>Price high</t>
        </is>
      </c>
      <c r="Y2" s="2" t="inlineStr">
        <is>
          <t>Price kind</t>
        </is>
      </c>
      <c r="Z2" s="2" t="inlineStr">
        <is>
          <t>Price origin</t>
        </is>
      </c>
      <c r="AA2" s="2" t="inlineStr">
        <is>
          <t>Currency</t>
        </is>
      </c>
      <c r="AB2" s="2" t="inlineStr">
        <is>
          <t>All cash</t>
        </is>
      </c>
      <c r="AC2" s="2" t="inlineStr">
        <is>
          <t>Cash at closing</t>
        </is>
      </c>
      <c r="AD2" s="2" t="inlineStr">
        <is>
          <t>Conditions detail</t>
        </is>
      </c>
      <c r="AE2" s="2" t="inlineStr">
        <is>
          <t>Due date</t>
        </is>
      </c>
      <c r="AF2" s="2" t="inlineStr">
        <is>
          <t>Deadline treatment</t>
        </is>
      </c>
      <c r="AG2" s="2" t="inlineStr">
        <is>
          <t>Round finality</t>
        </is>
      </c>
      <c r="AH2" s="2" t="inlineStr">
        <is>
          <t>Decided by</t>
        </is>
      </c>
      <c r="AI2" s="2" t="inlineStr">
        <is>
          <t>Exit reason</t>
        </is>
      </c>
      <c r="AJ2" s="2" t="inlineStr">
        <is>
          <t>Outcome basis</t>
        </is>
      </c>
      <c r="AK2" s="2" t="inlineStr">
        <is>
          <t>Page</t>
        </is>
      </c>
      <c r="AL2" s="2" t="inlineStr">
        <is>
          <t>Related rows</t>
        </is>
      </c>
      <c r="AM2" s="2" t="inlineStr">
        <is>
          <t>Deal</t>
        </is>
      </c>
    </row>
    <row r="3">
      <c r="A3" s="3" t="n">
        <v>1</v>
      </c>
      <c r="B3" s="4" t="inlineStr">
        <is>
          <t>Q4 2015 (calendar quarter)</t>
        </is>
      </c>
      <c r="C3" s="4" t="inlineStr">
        <is>
          <t>Party A (one of the Company’s Class I rail partners)</t>
        </is>
      </c>
      <c r="D3" s="4" t="inlineStr">
        <is>
          <t>Bidder interest</t>
        </is>
      </c>
      <c r="E3" s="3" t="n">
        <v>1</v>
      </c>
      <c r="F3" s="3" t="inlineStr">
        <is>
          <t>0</t>
        </is>
      </c>
      <c r="G3" s="3" t="inlineStr">
        <is>
          <t>Strategic</t>
        </is>
      </c>
      <c r="H3" s="4" t="inlineStr">
        <is>
          <t>Unpriced approach: Party A suggested possible joint venture arrangements and expressed interest in acquiring equity in the Company to develop strategic opportunities and enhance regional connectivity; scope as to control not specified (not treated as a whole-company bid); first sale-related contact, bidder-initiated, with the Chairman/CEO and the VP &amp; Chief Commercial Officer; prompted the Board to form an investment-banker subcommittee. Count 1 = newly represented first-contact party (the contact fact is carried here; see Summary contact tally).</t>
        </is>
      </c>
      <c r="I3" s="3" t="n"/>
      <c r="J3" s="3" t="n"/>
      <c r="K3" s="4" t="inlineStr">
        <is>
          <t>Bidder interest (stated): the filing reports an unpriced expression of interest in acquiring equity, not a priced proposal, and no per-share or aggregate value exists for it. Direction: bidder-to-target. Quote: “In the fourth quarter of 2015, Robert H. Eder (the Company’s Chairman and Chief Executive Officer) and Frank K. Rogers (the Company’s Vice President and Chief Commercial Officer) met with one of the Company’s Class I rail partners (“Party A”) to discuss joint commercial opportunities. During the meeting, Party A suggested possible joint venture arrangements and expressed some interest in acquiring equity in the Company to further develop strategic opportunities and enhance regional connectivity”</t>
        </is>
      </c>
      <c r="L3" s="5">
        <f>HYPERLINK("#Source text!$D$2","P-001 (main: P-001)")</f>
        <v/>
      </c>
      <c r="M3" s="3" t="inlineStr">
        <is>
          <t>Q5</t>
        </is>
      </c>
      <c r="N3" s="4" t="n"/>
      <c r="O3" s="4" t="inlineStr">
        <is>
          <t>R001</t>
        </is>
      </c>
      <c r="P3" s="4" t="inlineStr">
        <is>
          <t>Yes</t>
        </is>
      </c>
      <c r="Q3" s="4" t="n">
        <v>1</v>
      </c>
      <c r="R3" s="6" t="inlineStr">
        <is>
          <t>2015-10-01</t>
        </is>
      </c>
      <c r="S3" s="6" t="inlineStr">
        <is>
          <t>2015-12-31</t>
        </is>
      </c>
      <c r="T3" s="6" t="inlineStr">
        <is>
          <t>2015-11-15</t>
        </is>
      </c>
      <c r="U3" s="4" t="inlineStr">
        <is>
          <t>Reported interval</t>
        </is>
      </c>
      <c r="V3" s="4" t="inlineStr">
        <is>
          <t>Assigned: midpoint</t>
        </is>
      </c>
      <c r="W3" s="7" t="n"/>
      <c r="X3" s="7" t="n"/>
      <c r="Y3" s="4" t="n"/>
      <c r="Z3" s="4" t="n"/>
      <c r="AA3" s="4" t="n"/>
      <c r="AB3" s="4" t="n"/>
      <c r="AC3" s="7" t="n"/>
      <c r="AD3" s="4" t="n"/>
      <c r="AE3" s="6" t="n"/>
      <c r="AF3" s="4" t="n"/>
      <c r="AG3" s="4" t="n"/>
      <c r="AH3" s="4" t="n"/>
      <c r="AI3" s="4" t="n"/>
      <c r="AJ3" s="4" t="n"/>
      <c r="AK3" s="4" t="inlineStr">
        <is>
          <t>27</t>
        </is>
      </c>
      <c r="AL3" s="4" t="n"/>
      <c r="AM3" s="4" t="inlineStr">
        <is>
          <t>PWRR-G&amp;W 2016</t>
        </is>
      </c>
    </row>
    <row r="4">
      <c r="A4" s="3" t="n">
        <v>2</v>
      </c>
      <c r="B4" s="4" t="inlineStr">
        <is>
          <t>01/27/2016</t>
        </is>
      </c>
      <c r="C4" s="4" t="inlineStr">
        <is>
          <t>GHF (Greene Holcomb &amp; Fisher LLC) — Company financial adviser; later BMO</t>
        </is>
      </c>
      <c r="D4" s="4" t="inlineStr">
        <is>
          <t>Adviser engaged</t>
        </is>
      </c>
      <c r="E4" s="3" t="n">
        <v>1</v>
      </c>
      <c r="F4" s="3" t="inlineStr">
        <is>
          <t>0</t>
        </is>
      </c>
      <c r="G4" s="3" t="n"/>
      <c r="H4" s="4" t="inlineStr">
        <is>
          <t>Engaged as the Company’s investment banking firm: subcommittee recommendation approved at the 01/27/2016 executive session (Director Smith absent); GHF presented its qualifications and a proposed change-in-control process; represented it would not represent any potential buyer of the Company or any person proposing financing for such an offer; engagement followed the late-2015 banker interviews. GHF’s business was acquired by BMO Capital Markets Corp. on 08/01/2016 — the same adviser relationship continued as BMO (no second adviser row); aggregate fee ~$2.52 million.</t>
        </is>
      </c>
      <c r="I4" s="3" t="n"/>
      <c r="J4" s="3" t="n"/>
      <c r="K4" s="4" t="inlineStr">
        <is>
          <t>Adviser engaged (stated): engagement approval on the stated day; the engagement-letter date is not disclosed. The GHF-to-BMO acquisition is a firm change, not a new mandate (section 5.4). Quotes: “the subcommittee recommended to the Board that the Company retain GHF as its investment banking firm. At that meeting, representatives of GHF discussed with the Board its qualifications and a proposed process should the directors ultimately decide to proceed with a change in control transaction. As part of the interview process, GHF represented to the Company that it would not represent any potential buyer of the Company in connection with an offer to purchase the Company or any person proposing to provide financing in connection with such an offer. Following this presentation, the Board approved the subcommittee’s recommendation and the Company engaged GHF” / “GHF represented to the Company that it would not represent any potential buyer of the Company in connection with an offer to purchase the Company or any person proposing to provide financing in connection with such an offer” Fee: “the Company will pay BMO an aggregate fee of approximately $2.52 million”, the remainder and majority payable upon consummation (X-015).</t>
        </is>
      </c>
      <c r="L4" s="5">
        <f>HYPERLINK("#Source text!$D$2","P-001; X-015 (main: P-001)")</f>
        <v/>
      </c>
      <c r="M4" s="3" t="n"/>
      <c r="N4" s="4" t="n"/>
      <c r="O4" s="4" t="inlineStr">
        <is>
          <t>R002</t>
        </is>
      </c>
      <c r="P4" s="4" t="inlineStr">
        <is>
          <t>Yes</t>
        </is>
      </c>
      <c r="Q4" s="4" t="n"/>
      <c r="R4" s="6" t="inlineStr">
        <is>
          <t>2016-01-27</t>
        </is>
      </c>
      <c r="S4" s="6" t="inlineStr">
        <is>
          <t>2016-01-27</t>
        </is>
      </c>
      <c r="T4" s="6" t="inlineStr">
        <is>
          <t>2016-01-27</t>
        </is>
      </c>
      <c r="U4" s="4" t="inlineStr">
        <is>
          <t>Reported day</t>
        </is>
      </c>
      <c r="V4" s="4" t="inlineStr">
        <is>
          <t>Reported</t>
        </is>
      </c>
      <c r="W4" s="7" t="n"/>
      <c r="X4" s="7" t="n"/>
      <c r="Y4" s="4" t="n"/>
      <c r="Z4" s="4" t="n"/>
      <c r="AA4" s="4" t="n"/>
      <c r="AB4" s="4" t="n"/>
      <c r="AC4" s="7" t="n"/>
      <c r="AD4" s="4" t="n"/>
      <c r="AE4" s="6" t="n"/>
      <c r="AF4" s="4" t="n"/>
      <c r="AG4" s="4" t="n"/>
      <c r="AH4" s="4" t="n"/>
      <c r="AI4" s="4" t="n"/>
      <c r="AJ4" s="4" t="n"/>
      <c r="AK4" s="4" t="inlineStr">
        <is>
          <t>27</t>
        </is>
      </c>
      <c r="AL4" s="4" t="inlineStr">
        <is>
          <t>mandate continued as BMO from 08/01/2016 (Summary advisers)</t>
        </is>
      </c>
      <c r="AM4" s="4" t="inlineStr">
        <is>
          <t>PWRR-G&amp;W 2016</t>
        </is>
      </c>
    </row>
    <row r="5">
      <c r="A5" s="3" t="n">
        <v>3</v>
      </c>
      <c r="B5" s="4" t="inlineStr">
        <is>
          <t>03/14/2016</t>
        </is>
      </c>
      <c r="C5" s="4" t="inlineStr">
        <is>
          <t>Board of Directors (special meeting)</t>
        </is>
      </c>
      <c r="D5" s="4" t="inlineStr">
        <is>
          <t>Target sale decision</t>
        </is>
      </c>
      <c r="E5" s="3" t="n">
        <v>1</v>
      </c>
      <c r="F5" s="3" t="inlineStr">
        <is>
          <t>0</t>
        </is>
      </c>
      <c r="G5" s="3" t="n"/>
      <c r="H5" s="4" t="inlineStr">
        <is>
          <t>Decided to proceed with GHF’s proposed process: discussions with Party A plus solicitation of other third parties regarding a change in control transaction; qualified as an exploratory strategy, not a commitment to sell; appointed the Transaction Committee (Barrett (Chair), Anderson, Garvey) to supervise the process and recommend to the full Board; the Committee could not itself approve a change of control.</t>
        </is>
      </c>
      <c r="I5" s="3" t="n"/>
      <c r="J5" s="3" t="n"/>
      <c r="K5" s="4" t="inlineStr">
        <is>
          <t>Target sale decision (stated): “Representatives of GHF then proposed a process pursuant to which the Company would proceed with discussions with Party A and also solicit interest from other potential third parties regarding a change in control transaction” The qualification (exploratory strategy) is preserved. Committee appointment: “the Board appointed a special committee of independent directors of the Board (which we refer to as the “Transaction Committee”), composed of Frank W. Barrett (Chair), Richard W. Anderson and James C. Garvey, for the purpose of assisting in the supervision and oversight of the process on the full Board’s behalf and making a recommendation to the full Board”</t>
        </is>
      </c>
      <c r="L5" s="5">
        <f>HYPERLINK("#Source text!$D$3","P-002 (main: P-002)")</f>
        <v/>
      </c>
      <c r="M5" s="3" t="inlineStr">
        <is>
          <t>Q1</t>
        </is>
      </c>
      <c r="N5" s="4" t="n"/>
      <c r="O5" s="4" t="inlineStr">
        <is>
          <t>R003</t>
        </is>
      </c>
      <c r="P5" s="4" t="inlineStr">
        <is>
          <t>Yes</t>
        </is>
      </c>
      <c r="Q5" s="4" t="n"/>
      <c r="R5" s="6" t="inlineStr">
        <is>
          <t>2016-03-14</t>
        </is>
      </c>
      <c r="S5" s="6" t="inlineStr">
        <is>
          <t>2016-03-14</t>
        </is>
      </c>
      <c r="T5" s="6" t="inlineStr">
        <is>
          <t>2016-03-14</t>
        </is>
      </c>
      <c r="U5" s="4" t="inlineStr">
        <is>
          <t>Reported day</t>
        </is>
      </c>
      <c r="V5" s="4" t="inlineStr">
        <is>
          <t>Reported</t>
        </is>
      </c>
      <c r="W5" s="7" t="n"/>
      <c r="X5" s="7" t="n"/>
      <c r="Y5" s="4" t="n"/>
      <c r="Z5" s="4" t="n"/>
      <c r="AA5" s="4" t="n"/>
      <c r="AB5" s="4" t="n"/>
      <c r="AC5" s="7" t="n"/>
      <c r="AD5" s="4" t="n"/>
      <c r="AE5" s="6" t="n"/>
      <c r="AF5" s="4" t="n"/>
      <c r="AG5" s="4" t="n"/>
      <c r="AH5" s="4" t="n"/>
      <c r="AI5" s="4" t="n"/>
      <c r="AJ5" s="4" t="n"/>
      <c r="AK5" s="4" t="inlineStr">
        <is>
          <t>27</t>
        </is>
      </c>
      <c r="AL5" s="4" t="inlineStr">
        <is>
          <t>candidate R1 anchor (rejected); R005</t>
        </is>
      </c>
      <c r="AM5" s="4" t="inlineStr">
        <is>
          <t>PWRR-G&amp;W 2016</t>
        </is>
      </c>
    </row>
    <row r="6">
      <c r="A6" s="3" t="n">
        <v>4</v>
      </c>
      <c r="B6" s="4" t="inlineStr">
        <is>
          <t>03/22/2016–03/23/2016</t>
        </is>
      </c>
      <c r="C6" s="4" t="inlineStr">
        <is>
          <t>Party A</t>
        </is>
      </c>
      <c r="D6" s="4" t="inlineStr">
        <is>
          <t>Contact</t>
        </is>
      </c>
      <c r="E6" s="3" t="n">
        <v>1</v>
      </c>
      <c r="F6" s="3" t="inlineStr">
        <is>
          <t>0</t>
        </is>
      </c>
      <c r="G6" s="3" t="inlineStr">
        <is>
          <t>Strategic</t>
        </is>
      </c>
      <c r="H6" s="4" t="inlineStr">
        <is>
          <t>Management (CFO/Treasurer Noreck and other senior managers) met Party A representatives and informed Party A of GHF’s engagement. Repeat contact: Party A was already in contact from Q4 2015, so Count 0 (no double counting).</t>
        </is>
      </c>
      <c r="I6" s="3" t="n"/>
      <c r="J6" s="3" t="n"/>
      <c r="K6" s="4" t="inlineStr">
        <is>
          <t>Contact (stated), repeat within the process. Quotes: “On March 22, 2016 and March 23, 2016, Daniel T. Noreck (the Company’s Chief Financial Officer and Treasurer) and other members of the senior management team of the Company met with various representatives of Party A” / “met with various representatives of Party A on March 22 and 23, 2016 and had informed Party A of GHF’s engagement” A two-day series of meetings takes its first day as the Working date.</t>
        </is>
      </c>
      <c r="L6" s="5">
        <f>HYPERLINK("#Source text!$D$4","P-003; P-004 (main: P-003)")</f>
        <v/>
      </c>
      <c r="M6" s="3" t="n"/>
      <c r="N6" s="4" t="n"/>
      <c r="O6" s="4" t="inlineStr">
        <is>
          <t>R004</t>
        </is>
      </c>
      <c r="P6" s="4" t="inlineStr">
        <is>
          <t>Yes</t>
        </is>
      </c>
      <c r="Q6" s="4" t="n">
        <v>0</v>
      </c>
      <c r="R6" s="6" t="inlineStr">
        <is>
          <t>2016-03-22</t>
        </is>
      </c>
      <c r="S6" s="6" t="inlineStr">
        <is>
          <t>2016-03-23</t>
        </is>
      </c>
      <c r="T6" s="6" t="inlineStr">
        <is>
          <t>2016-03-22</t>
        </is>
      </c>
      <c r="U6" s="4" t="inlineStr">
        <is>
          <t>Reported interval</t>
        </is>
      </c>
      <c r="V6" s="4" t="inlineStr">
        <is>
          <t>Assigned: bound</t>
        </is>
      </c>
      <c r="W6" s="7" t="n"/>
      <c r="X6" s="7" t="n"/>
      <c r="Y6" s="4" t="n"/>
      <c r="Z6" s="4" t="n"/>
      <c r="AA6" s="4" t="n"/>
      <c r="AB6" s="4" t="n"/>
      <c r="AC6" s="7" t="n"/>
      <c r="AD6" s="4" t="n"/>
      <c r="AE6" s="6" t="n"/>
      <c r="AF6" s="4" t="n"/>
      <c r="AG6" s="4" t="n"/>
      <c r="AH6" s="4" t="n"/>
      <c r="AI6" s="4" t="n"/>
      <c r="AJ6" s="4" t="n"/>
      <c r="AK6" s="4" t="inlineStr">
        <is>
          <t>28</t>
        </is>
      </c>
      <c r="AL6" s="4" t="inlineStr">
        <is>
          <t>first contact R001</t>
        </is>
      </c>
      <c r="AM6" s="4" t="inlineStr">
        <is>
          <t>PWRR-G&amp;W 2016</t>
        </is>
      </c>
    </row>
    <row r="7">
      <c r="A7" s="3" t="n">
        <v>5</v>
      </c>
      <c r="B7" s="4" t="inlineStr">
        <is>
          <t>03/24/2016</t>
        </is>
      </c>
      <c r="C7" s="4" t="inlineStr">
        <is>
          <t>Transaction Committee</t>
        </is>
      </c>
      <c r="D7" s="4" t="inlineStr">
        <is>
          <t>Target decision</t>
        </is>
      </c>
      <c r="E7" s="3" t="n">
        <v>1</v>
      </c>
      <c r="F7" s="3" t="inlineStr">
        <is>
          <t>0</t>
        </is>
      </c>
      <c r="G7" s="3" t="n"/>
      <c r="H7" s="4" t="inlineStr">
        <is>
          <t>Authorized GHF to contact Party A and other potential buyers to determine their interest in a change in control transaction. Candidate anchor for Round 1, rejected: an authorization to approach firms is not the completed outreach (the actual first wave is R007).</t>
        </is>
      </c>
      <c r="I7" s="3" t="n"/>
      <c r="J7" s="3" t="n"/>
      <c r="K7" s="4" t="inlineStr">
        <is>
          <t>Target decision (stated): “The Transaction Committee authorized GHF to contact Party A as well as other potential buyers to determine their level of interest in a change in control transaction” Kept as a rejected R1 anchor row so the boundary can be moved.</t>
        </is>
      </c>
      <c r="L7" s="5">
        <f>HYPERLINK("#Source text!$D$5","P-004 (main: P-004)")</f>
        <v/>
      </c>
      <c r="M7" s="3" t="inlineStr">
        <is>
          <t>Q1</t>
        </is>
      </c>
      <c r="N7" s="4" t="n"/>
      <c r="O7" s="4" t="inlineStr">
        <is>
          <t>R005</t>
        </is>
      </c>
      <c r="P7" s="4" t="inlineStr">
        <is>
          <t>Yes</t>
        </is>
      </c>
      <c r="Q7" s="4" t="n"/>
      <c r="R7" s="6" t="inlineStr">
        <is>
          <t>2016-03-24</t>
        </is>
      </c>
      <c r="S7" s="6" t="inlineStr">
        <is>
          <t>2016-03-24</t>
        </is>
      </c>
      <c r="T7" s="6" t="inlineStr">
        <is>
          <t>2016-03-24</t>
        </is>
      </c>
      <c r="U7" s="4" t="inlineStr">
        <is>
          <t>Reported day</t>
        </is>
      </c>
      <c r="V7" s="4" t="inlineStr">
        <is>
          <t>Reported</t>
        </is>
      </c>
      <c r="W7" s="7" t="n"/>
      <c r="X7" s="7" t="n"/>
      <c r="Y7" s="4" t="n"/>
      <c r="Z7" s="4" t="n"/>
      <c r="AA7" s="4" t="n"/>
      <c r="AB7" s="4" t="n"/>
      <c r="AC7" s="7" t="n"/>
      <c r="AD7" s="4" t="n"/>
      <c r="AE7" s="6" t="n"/>
      <c r="AF7" s="4" t="n"/>
      <c r="AG7" s="4" t="n"/>
      <c r="AH7" s="4" t="n"/>
      <c r="AI7" s="4" t="n"/>
      <c r="AJ7" s="4" t="n"/>
      <c r="AK7" s="4" t="inlineStr">
        <is>
          <t>28</t>
        </is>
      </c>
      <c r="AL7" s="4" t="inlineStr">
        <is>
          <t>candidate R1 anchor (rejected); R007; R008</t>
        </is>
      </c>
      <c r="AM7" s="4" t="inlineStr">
        <is>
          <t>PWRR-G&amp;W 2016</t>
        </is>
      </c>
    </row>
    <row r="8">
      <c r="A8" s="3" t="n">
        <v>6</v>
      </c>
      <c r="B8" s="4" t="inlineStr">
        <is>
          <t>03/24/2016</t>
        </is>
      </c>
      <c r="C8" s="4" t="inlineStr">
        <is>
          <t>Hinckley, Allen &amp; Snyder LLP (Hinckley Allen) — Company legal counsel</t>
        </is>
      </c>
      <c r="D8" s="4" t="inlineStr">
        <is>
          <t>Adviser service observed</t>
        </is>
      </c>
      <c r="E8" s="3" t="n">
        <v>1</v>
      </c>
      <c r="F8" s="3" t="inlineStr">
        <is>
          <t>0</t>
        </is>
      </c>
      <c r="G8" s="3" t="n"/>
      <c r="H8" s="4" t="inlineStr">
        <is>
          <t>Company legal counsel; participated in all Transaction Committee meetings; engagement date not disclosed; first shown acting 03/24/2016.</t>
        </is>
      </c>
      <c r="I8" s="3" t="n"/>
      <c r="J8" s="3" t="n"/>
      <c r="K8" s="4" t="inlineStr">
        <is>
          <t>Adviser service observed (stated): the filing shows Hinckley Allen already providing services on 03/24/2016; no selection or engagement date is disclosed, so the Working date is the earliest date shown acting. Quote: “representatives of each of GHF and the Company’s legal counsel, Hinckley, Allen &amp; Snyder LLP (which we refer to as “Hinckley Allen”), participated in all meetings of the Transaction Committee”</t>
        </is>
      </c>
      <c r="L8" s="5">
        <f>HYPERLINK("#Source text!$D$5","P-004 (main: P-004)")</f>
        <v/>
      </c>
      <c r="M8" s="3" t="n"/>
      <c r="N8" s="4" t="n"/>
      <c r="O8" s="4" t="inlineStr">
        <is>
          <t>R006</t>
        </is>
      </c>
      <c r="P8" s="4" t="inlineStr">
        <is>
          <t>Yes</t>
        </is>
      </c>
      <c r="Q8" s="4" t="n"/>
      <c r="R8" s="6" t="inlineStr">
        <is>
          <t>2016-03-24</t>
        </is>
      </c>
      <c r="S8" s="6" t="inlineStr">
        <is>
          <t>2016-03-24</t>
        </is>
      </c>
      <c r="T8" s="6" t="inlineStr">
        <is>
          <t>2016-03-24</t>
        </is>
      </c>
      <c r="U8" s="4" t="inlineStr">
        <is>
          <t>Reported day</t>
        </is>
      </c>
      <c r="V8" s="4" t="inlineStr">
        <is>
          <t>Reported</t>
        </is>
      </c>
      <c r="W8" s="7" t="n"/>
      <c r="X8" s="7" t="n"/>
      <c r="Y8" s="4" t="n"/>
      <c r="Z8" s="4" t="n"/>
      <c r="AA8" s="4" t="n"/>
      <c r="AB8" s="4" t="n"/>
      <c r="AC8" s="7" t="n"/>
      <c r="AD8" s="4" t="n"/>
      <c r="AE8" s="6" t="n"/>
      <c r="AF8" s="4" t="n"/>
      <c r="AG8" s="4" t="n"/>
      <c r="AH8" s="4" t="n"/>
      <c r="AI8" s="4" t="n"/>
      <c r="AJ8" s="4" t="n"/>
      <c r="AK8" s="4" t="inlineStr">
        <is>
          <t>28</t>
        </is>
      </c>
      <c r="AL8" s="4" t="n"/>
      <c r="AM8" s="4" t="inlineStr">
        <is>
          <t>PWRR-G&amp;W 2016</t>
        </is>
      </c>
    </row>
    <row r="9">
      <c r="A9" s="3" t="n">
        <v>7</v>
      </c>
      <c r="B9" s="4" t="inlineStr">
        <is>
          <t>week of 03/28/2016</t>
        </is>
      </c>
      <c r="C9" s="4" t="inlineStr">
        <is>
          <t>29 potential buyers (11 strategic incl. Party A; 18 financial)</t>
        </is>
      </c>
      <c r="D9" s="4" t="inlineStr">
        <is>
          <t>Contact</t>
        </is>
      </c>
      <c r="E9" s="3" t="n">
        <v>1</v>
      </c>
      <c r="F9" s="3" t="inlineStr">
        <is>
          <t>1</t>
        </is>
      </c>
      <c r="G9" s="3" t="inlineStr">
        <is>
          <t>Unknown</t>
        </is>
      </c>
      <c r="H9" s="4" t="inlineStr">
        <is>
          <t>First outreach wave: GHF contacted 11 potential strategic buyers (including Party A) and 18 potential financial buyers in accordance with the Transaction Committee’s directives; Count 29 = disclosed cohort size (includes Party A, already in contact since Q4 2015). Type: Unknown — the cohort mixes strategic and financial buyers (split supplied only for the signing wave, R009–R011).</t>
        </is>
      </c>
      <c r="I9" s="3" t="n"/>
      <c r="J9" s="3" t="n"/>
      <c r="K9" s="4" t="inlineStr">
        <is>
          <t>Contact (stated cohort, executed outreach). Quote: “During the week of March 28, 2016, in accordance with the Transaction Committee’s directives, representatives of GHF contacted 11 potential strategic buyers (including Party A) and 18 potential financial buyers” This is the R1 anchor event (see R008).</t>
        </is>
      </c>
      <c r="L9" s="5">
        <f>HYPERLINK("#Source text!$D$5","P-004 (main: P-004)")</f>
        <v/>
      </c>
      <c r="M9" s="3" t="inlineStr">
        <is>
          <t>Q1</t>
        </is>
      </c>
      <c r="N9" s="4" t="n"/>
      <c r="O9" s="4" t="inlineStr">
        <is>
          <t>R007</t>
        </is>
      </c>
      <c r="P9" s="4" t="inlineStr">
        <is>
          <t>Yes</t>
        </is>
      </c>
      <c r="Q9" s="4" t="n">
        <v>29</v>
      </c>
      <c r="R9" s="6" t="inlineStr">
        <is>
          <t>2016-03-28</t>
        </is>
      </c>
      <c r="S9" s="6" t="inlineStr">
        <is>
          <t>2016-04-03</t>
        </is>
      </c>
      <c r="T9" s="6" t="inlineStr">
        <is>
          <t>2016-03-28</t>
        </is>
      </c>
      <c r="U9" s="4" t="inlineStr">
        <is>
          <t>Reported interval</t>
        </is>
      </c>
      <c r="V9" s="4" t="inlineStr">
        <is>
          <t>Assigned: bound</t>
        </is>
      </c>
      <c r="W9" s="7" t="n"/>
      <c r="X9" s="7" t="n"/>
      <c r="Y9" s="4" t="n"/>
      <c r="Z9" s="4" t="n"/>
      <c r="AA9" s="4" t="n"/>
      <c r="AB9" s="4" t="n"/>
      <c r="AC9" s="7" t="n"/>
      <c r="AD9" s="4" t="n"/>
      <c r="AE9" s="6" t="n"/>
      <c r="AF9" s="4" t="n"/>
      <c r="AG9" s="4" t="n"/>
      <c r="AH9" s="4" t="n"/>
      <c r="AI9" s="4" t="n"/>
      <c r="AJ9" s="4" t="n"/>
      <c r="AK9" s="4" t="inlineStr">
        <is>
          <t>28</t>
        </is>
      </c>
      <c r="AL9" s="4" t="inlineStr">
        <is>
          <t>R008 (anchor event)</t>
        </is>
      </c>
      <c r="AM9" s="4" t="inlineStr">
        <is>
          <t>PWRR-G&amp;W 2016</t>
        </is>
      </c>
    </row>
    <row r="10">
      <c r="A10" s="3" t="n">
        <v>8</v>
      </c>
      <c r="B10" s="4" t="inlineStr">
        <is>
          <t>week of 03/28/2016</t>
        </is>
      </c>
      <c r="C10" s="4" t="inlineStr">
        <is>
          <t>Process (Round 1)</t>
        </is>
      </c>
      <c r="D10" s="4" t="inlineStr">
        <is>
          <t>Round opened</t>
        </is>
      </c>
      <c r="E10" s="3" t="n">
        <v>1</v>
      </c>
      <c r="F10" s="3" t="inlineStr">
        <is>
          <t>1</t>
        </is>
      </c>
      <c r="G10" s="3" t="n"/>
      <c r="H10" s="4" t="inlineStr">
        <is>
          <t>R1 anchor: first outreach wave — GHF contacted 11 potential strategic buyers (including Party A) and 18 potential financial buyers (R007); candidate anchors: R003 (03/14/2016 sale-strategy decision), R005 (03/24/2016 authorization to contact). Objective: solicit change-in-control interest and confirm the continuing interest of NDA signers; the round runs through the IOI stage to the 06/01/2016 advancement decision. Round finality: Not final — no final/binding/best-and-final announcement and no move to definitive negotiation; the stage closed by selection to management presentations (R021).</t>
        </is>
      </c>
      <c r="I10" s="3" t="n"/>
      <c r="J10" s="3" t="n"/>
      <c r="K10" s="4" t="inlineStr">
        <is>
          <t>Round opened (convention/analytical). First outreach wave chosen under section 6.3(1); R003 and R005 are the retained rejected candidate anchors. Quote: “During the week of March 28, 2016, in accordance with the Transaction Committee’s directives, representatives of GHF contacted 11 potential strategic buyers (including Party A) and 18 potential financial buyers”</t>
        </is>
      </c>
      <c r="L10" s="5">
        <f>HYPERLINK("#Source text!$D$5","P-004 (main: P-004)")</f>
        <v/>
      </c>
      <c r="M10" s="3" t="inlineStr">
        <is>
          <t>Q1</t>
        </is>
      </c>
      <c r="N10" s="4" t="n"/>
      <c r="O10" s="4" t="inlineStr">
        <is>
          <t>R008</t>
        </is>
      </c>
      <c r="P10" s="4" t="inlineStr">
        <is>
          <t>Yes</t>
        </is>
      </c>
      <c r="Q10" s="4" t="n"/>
      <c r="R10" s="6" t="inlineStr">
        <is>
          <t>2016-03-28</t>
        </is>
      </c>
      <c r="S10" s="6" t="inlineStr">
        <is>
          <t>2016-04-03</t>
        </is>
      </c>
      <c r="T10" s="6" t="inlineStr">
        <is>
          <t>2016-03-28</t>
        </is>
      </c>
      <c r="U10" s="4" t="inlineStr">
        <is>
          <t>Reported interval</t>
        </is>
      </c>
      <c r="V10" s="4" t="inlineStr">
        <is>
          <t>Assigned: bound</t>
        </is>
      </c>
      <c r="W10" s="7" t="n"/>
      <c r="X10" s="7" t="n"/>
      <c r="Y10" s="4" t="n"/>
      <c r="Z10" s="4" t="n"/>
      <c r="AA10" s="4" t="n"/>
      <c r="AB10" s="4" t="n"/>
      <c r="AC10" s="7" t="n"/>
      <c r="AD10" s="4" t="n"/>
      <c r="AE10" s="6" t="n"/>
      <c r="AF10" s="4" t="n"/>
      <c r="AG10" s="4" t="inlineStr">
        <is>
          <t>Not final</t>
        </is>
      </c>
      <c r="AH10" s="4" t="n"/>
      <c r="AI10" s="4" t="n"/>
      <c r="AJ10" s="4" t="n"/>
      <c r="AK10" s="4" t="inlineStr">
        <is>
          <t>28</t>
        </is>
      </c>
      <c r="AL10" s="4" t="inlineStr">
        <is>
          <t>anchor R007; candidates R003, R005</t>
        </is>
      </c>
      <c r="AM10" s="4" t="inlineStr">
        <is>
          <t>PWRR-G&amp;W 2016</t>
        </is>
      </c>
    </row>
    <row r="11">
      <c r="A11" s="3" t="n">
        <v>9</v>
      </c>
      <c r="B11" s="4" t="inlineStr">
        <is>
          <t>from the week of 03/28/2016; by 04/22/2016</t>
        </is>
      </c>
      <c r="C11" s="4" t="inlineStr">
        <is>
          <t>10 remaining potential strategic buyers (11 contacted less G&amp;W)</t>
        </is>
      </c>
      <c r="D11" s="4" t="inlineStr">
        <is>
          <t>NDA signed</t>
        </is>
      </c>
      <c r="E11" s="3" t="n">
        <v>1</v>
      </c>
      <c r="F11" s="3" t="inlineStr">
        <is>
          <t>1</t>
        </is>
      </c>
      <c r="G11" s="3" t="inlineStr">
        <is>
          <t>Strategic</t>
        </is>
      </c>
      <c r="H11" s="4" t="inlineStr">
        <is>
          <t>Confidentiality agreements signed by the potential strategic buyers of the outreach wave less G&amp;W (recorded individually at R011); the agreements contained no “standstill” or similar provision prohibiting a proposal or offer; the wave’s memorandum was later distributed to signers including Party A, Party B and G&amp;W.</t>
        </is>
      </c>
      <c r="I11" s="3" t="n"/>
      <c r="J11" s="3" t="n"/>
      <c r="K11" s="4" t="inlineStr">
        <is>
          <t>NDA signed (stated cohort; residual after G&amp;W’s individual row, section 5.2). Base: “Each of the potential strategic buyers and 14 potential financial buyers subsequently executed confidentiality agreements” / “did not contain any “standstill” or similar provision that would prohibit a potential buyer from submitting a proposal or making an offer to acquire the Company” The signing wave spans the reported period, so the Working date takes its first day; the memorandum distribution bounds the signings: “the Company prepared a memorandum concerning the Company and its prospects, which was distributed to the potential buyers, including Party A, Party B and G&amp;W, that had executed confidentiality agreements” (P-007).</t>
        </is>
      </c>
      <c r="L11" s="5">
        <f>HYPERLINK("#Source text!$D$5","P-004; P-007 (main: P-004)")</f>
        <v/>
      </c>
      <c r="M11" s="3" t="inlineStr">
        <is>
          <t>Q3; Q7</t>
        </is>
      </c>
      <c r="N11" s="4" t="n"/>
      <c r="O11" s="4" t="inlineStr">
        <is>
          <t>R009</t>
        </is>
      </c>
      <c r="P11" s="4" t="inlineStr">
        <is>
          <t>Yes</t>
        </is>
      </c>
      <c r="Q11" s="4" t="n">
        <v>10</v>
      </c>
      <c r="R11" s="6" t="inlineStr">
        <is>
          <t>2016-03-28</t>
        </is>
      </c>
      <c r="S11" s="6" t="inlineStr">
        <is>
          <t>2016-04-22</t>
        </is>
      </c>
      <c r="T11" s="6" t="inlineStr">
        <is>
          <t>2016-03-28</t>
        </is>
      </c>
      <c r="U11" s="4" t="inlineStr">
        <is>
          <t>Relative only</t>
        </is>
      </c>
      <c r="V11" s="4" t="inlineStr">
        <is>
          <t>Assigned: bound</t>
        </is>
      </c>
      <c r="W11" s="7" t="n"/>
      <c r="X11" s="7" t="n"/>
      <c r="Y11" s="4" t="n"/>
      <c r="Z11" s="4" t="n"/>
      <c r="AA11" s="4" t="n"/>
      <c r="AB11" s="4" t="n"/>
      <c r="AC11" s="7" t="n"/>
      <c r="AD11" s="4" t="n"/>
      <c r="AE11" s="6" t="n"/>
      <c r="AF11" s="4" t="n"/>
      <c r="AG11" s="4" t="n"/>
      <c r="AH11" s="4" t="n"/>
      <c r="AI11" s="4" t="n"/>
      <c r="AJ11" s="4" t="n"/>
      <c r="AK11" s="4" t="inlineStr">
        <is>
          <t>28</t>
        </is>
      </c>
      <c r="AL11" s="4" t="inlineStr">
        <is>
          <t>R011 (G&amp;W); R010 (financial residual)</t>
        </is>
      </c>
      <c r="AM11" s="4" t="inlineStr">
        <is>
          <t>PWRR-G&amp;W 2016</t>
        </is>
      </c>
    </row>
    <row r="12">
      <c r="A12" s="3" t="n">
        <v>10</v>
      </c>
      <c r="B12" s="4" t="inlineStr">
        <is>
          <t>from the week of 03/28/2016; by 04/22/2016</t>
        </is>
      </c>
      <c r="C12" s="4" t="inlineStr">
        <is>
          <t>14 potential financial buyers (of 18 contacted)</t>
        </is>
      </c>
      <c r="D12" s="4" t="inlineStr">
        <is>
          <t>NDA signed</t>
        </is>
      </c>
      <c r="E12" s="3" t="n">
        <v>1</v>
      </c>
      <c r="F12" s="3" t="inlineStr">
        <is>
          <t>1</t>
        </is>
      </c>
      <c r="G12" s="3" t="inlineStr">
        <is>
          <t>Financial</t>
        </is>
      </c>
      <c r="H12" s="4" t="inlineStr">
        <is>
          <t>Confidentiality agreements signed by 14 of the 18 potential financial buyers contacted in the outreach wave; same no-standstill terms and memorandum distribution.</t>
        </is>
      </c>
      <c r="I12" s="3" t="n"/>
      <c r="J12" s="3" t="n"/>
      <c r="K12" s="4" t="inlineStr">
        <is>
          <t>NDA signed (stated cohort). Quotes: “Each of the potential strategic buyers and 14 potential financial buyers subsequently executed confidentiality agreements” / “did not contain any “standstill” or similar provision that would prohibit a potential buyer from submitting a proposal or making an offer to acquire the Company” Memorandum distribution: “the Company prepared a memorandum concerning the Company and its prospects, which was distributed to the potential buyers, including Party A, Party B and G&amp;W, that had executed confidentiality agreements” (P-007) bounds the signings.</t>
        </is>
      </c>
      <c r="L12" s="5">
        <f>HYPERLINK("#Source text!$D$5","P-004; P-007 (main: P-004)")</f>
        <v/>
      </c>
      <c r="M12" s="3" t="inlineStr">
        <is>
          <t>Q3; Q7</t>
        </is>
      </c>
      <c r="N12" s="4" t="n"/>
      <c r="O12" s="4" t="inlineStr">
        <is>
          <t>R010</t>
        </is>
      </c>
      <c r="P12" s="4" t="inlineStr">
        <is>
          <t>Yes</t>
        </is>
      </c>
      <c r="Q12" s="4" t="n">
        <v>14</v>
      </c>
      <c r="R12" s="6" t="inlineStr">
        <is>
          <t>2016-03-28</t>
        </is>
      </c>
      <c r="S12" s="6" t="inlineStr">
        <is>
          <t>2016-04-22</t>
        </is>
      </c>
      <c r="T12" s="6" t="inlineStr">
        <is>
          <t>2016-03-28</t>
        </is>
      </c>
      <c r="U12" s="4" t="inlineStr">
        <is>
          <t>Relative only</t>
        </is>
      </c>
      <c r="V12" s="4" t="inlineStr">
        <is>
          <t>Assigned: bound</t>
        </is>
      </c>
      <c r="W12" s="7" t="n"/>
      <c r="X12" s="7" t="n"/>
      <c r="Y12" s="4" t="n"/>
      <c r="Z12" s="4" t="n"/>
      <c r="AA12" s="4" t="n"/>
      <c r="AB12" s="4" t="n"/>
      <c r="AC12" s="7" t="n"/>
      <c r="AD12" s="4" t="n"/>
      <c r="AE12" s="6" t="n"/>
      <c r="AF12" s="4" t="n"/>
      <c r="AG12" s="4" t="n"/>
      <c r="AH12" s="4" t="n"/>
      <c r="AI12" s="4" t="n"/>
      <c r="AJ12" s="4" t="n"/>
      <c r="AK12" s="4" t="inlineStr">
        <is>
          <t>28</t>
        </is>
      </c>
      <c r="AL12" s="4" t="inlineStr">
        <is>
          <t>R009 (strategic residual)</t>
        </is>
      </c>
      <c r="AM12" s="4" t="inlineStr">
        <is>
          <t>PWRR-G&amp;W 2016</t>
        </is>
      </c>
    </row>
    <row r="13">
      <c r="A13" s="3" t="n">
        <v>11</v>
      </c>
      <c r="B13" s="4" t="inlineStr">
        <is>
          <t>04/03/2016</t>
        </is>
      </c>
      <c r="C13" s="4" t="inlineStr">
        <is>
          <t>G&amp;W (Genesee &amp; Wyoming Inc.)</t>
        </is>
      </c>
      <c r="D13" s="4" t="inlineStr">
        <is>
          <t>NDA signed</t>
        </is>
      </c>
      <c r="E13" s="3" t="n">
        <v>1</v>
      </c>
      <c r="F13" s="3" t="inlineStr">
        <is>
          <t>1</t>
        </is>
      </c>
      <c r="G13" s="3" t="inlineStr">
        <is>
          <t>Strategic</t>
        </is>
      </c>
      <c r="H13" s="4" t="inlineStr">
        <is>
          <t>Acquisition-related confidentiality agreement between the Company and G&amp;W dated 04/03/2016 (the merger agreement’s defined “Confidentiality Agreement”); G&amp;W also met management at the 2016 Connections Convention (04/03–04/06) and received the memorandum.</t>
        </is>
      </c>
      <c r="I13" s="3" t="n"/>
      <c r="J13" s="3" t="n"/>
      <c r="K13" s="4" t="inlineStr">
        <is>
          <t>NDA signed (stated): the merger agreement definition fixes G&amp;W’s individual date and the wave cohort rows (R009–R010) exclude it. Quotes: “shall mean the Confidentiality Agreement between the Company and Parent dated April 3, 2016” / “including Party A, Party B and G&amp;W, that had executed confidentiality agreements”</t>
        </is>
      </c>
      <c r="L13" s="5">
        <f>HYPERLINK("#Source text!$D$31","X-001; P-007 (main: X-001)")</f>
        <v/>
      </c>
      <c r="M13" s="3" t="inlineStr">
        <is>
          <t>Q3</t>
        </is>
      </c>
      <c r="N13" s="4" t="n"/>
      <c r="O13" s="4" t="inlineStr">
        <is>
          <t>R011</t>
        </is>
      </c>
      <c r="P13" s="4" t="inlineStr">
        <is>
          <t>Yes</t>
        </is>
      </c>
      <c r="Q13" s="4" t="n">
        <v>1</v>
      </c>
      <c r="R13" s="6" t="inlineStr">
        <is>
          <t>2016-04-03</t>
        </is>
      </c>
      <c r="S13" s="6" t="inlineStr">
        <is>
          <t>2016-04-03</t>
        </is>
      </c>
      <c r="T13" s="6" t="inlineStr">
        <is>
          <t>2016-04-03</t>
        </is>
      </c>
      <c r="U13" s="4" t="inlineStr">
        <is>
          <t>Reported day</t>
        </is>
      </c>
      <c r="V13" s="4" t="inlineStr">
        <is>
          <t>Reported</t>
        </is>
      </c>
      <c r="W13" s="7" t="n"/>
      <c r="X13" s="7" t="n"/>
      <c r="Y13" s="4" t="n"/>
      <c r="Z13" s="4" t="n"/>
      <c r="AA13" s="4" t="n"/>
      <c r="AB13" s="4" t="n"/>
      <c r="AC13" s="7" t="n"/>
      <c r="AD13" s="4" t="n"/>
      <c r="AE13" s="6" t="n"/>
      <c r="AF13" s="4" t="n"/>
      <c r="AG13" s="4" t="n"/>
      <c r="AH13" s="4" t="n"/>
      <c r="AI13" s="4" t="n"/>
      <c r="AJ13" s="4" t="n"/>
      <c r="AK13" s="4" t="inlineStr">
        <is>
          <t>A-48</t>
        </is>
      </c>
      <c r="AL13" s="4" t="inlineStr">
        <is>
          <t>R009/R010 (wave cohorts)</t>
        </is>
      </c>
      <c r="AM13" s="4" t="inlineStr">
        <is>
          <t>PWRR-G&amp;W 2016</t>
        </is>
      </c>
    </row>
    <row r="14">
      <c r="A14" s="3" t="n">
        <v>12</v>
      </c>
      <c r="B14" s="4" t="inlineStr">
        <is>
          <t>04/03/2016–04/06/2016</t>
        </is>
      </c>
      <c r="C14" s="4" t="inlineStr">
        <is>
          <t>Five unnamed potential strategic buyers (incl. G&amp;W)</t>
        </is>
      </c>
      <c r="D14" s="4" t="inlineStr">
        <is>
          <t>Information access changed</t>
        </is>
      </c>
      <c r="E14" s="3" t="n">
        <v>1</v>
      </c>
      <c r="F14" s="3" t="inlineStr">
        <is>
          <t>1</t>
        </is>
      </c>
      <c r="G14" s="3" t="inlineStr">
        <is>
          <t>Strategic</t>
        </is>
      </c>
      <c r="H14" s="4" t="inlineStr">
        <is>
          <t>GHF and Company management held a series of introductory management meetings with five potential strategic buyers (incl. G&amp;W) at the American Short Line and Regional Railroad Association’s 2016 Connections Convention; the 14 financial-signer bidders and other NDA signers received no comparable management meetings at that time; the meetings were venue-based (no selection reason stated for the five). Count blank (access row).</t>
        </is>
      </c>
      <c r="I14" s="3" t="n"/>
      <c r="J14" s="3" t="n"/>
      <c r="K14" s="4" t="inlineStr">
        <is>
          <t>Information access changed (classification): management meetings given to some live bidders and not others, recorded once for the access decision (not per meeting). Quote: “held a series of introductory meetings with five potential strategic buyers (including G&amp;W) at the American Short Line and Regional Railroad Association’s 2016 Connections Convention”</t>
        </is>
      </c>
      <c r="L14" s="5">
        <f>HYPERLINK("#Source text!$D$6","P-005 (main: P-005)")</f>
        <v/>
      </c>
      <c r="M14" s="3" t="inlineStr">
        <is>
          <t>Q1</t>
        </is>
      </c>
      <c r="N14" s="4" t="n"/>
      <c r="O14" s="4" t="inlineStr">
        <is>
          <t>R012</t>
        </is>
      </c>
      <c r="P14" s="4" t="inlineStr">
        <is>
          <t>Yes</t>
        </is>
      </c>
      <c r="Q14" s="4" t="n"/>
      <c r="R14" s="6" t="inlineStr">
        <is>
          <t>2016-04-03</t>
        </is>
      </c>
      <c r="S14" s="6" t="inlineStr">
        <is>
          <t>2016-04-06</t>
        </is>
      </c>
      <c r="T14" s="6" t="inlineStr">
        <is>
          <t>2016-04-03</t>
        </is>
      </c>
      <c r="U14" s="4" t="inlineStr">
        <is>
          <t>Reported interval</t>
        </is>
      </c>
      <c r="V14" s="4" t="inlineStr">
        <is>
          <t>Assigned: bound</t>
        </is>
      </c>
      <c r="W14" s="7" t="n"/>
      <c r="X14" s="7" t="n"/>
      <c r="Y14" s="4" t="n"/>
      <c r="Z14" s="4" t="n"/>
      <c r="AA14" s="4" t="n"/>
      <c r="AB14" s="4" t="n"/>
      <c r="AC14" s="7" t="n"/>
      <c r="AD14" s="4" t="n"/>
      <c r="AE14" s="6" t="n"/>
      <c r="AF14" s="4" t="n"/>
      <c r="AG14" s="4" t="n"/>
      <c r="AH14" s="4" t="n"/>
      <c r="AI14" s="4" t="n"/>
      <c r="AJ14" s="4" t="n"/>
      <c r="AK14" s="4" t="inlineStr">
        <is>
          <t>28</t>
        </is>
      </c>
      <c r="AL14" s="4" t="n"/>
      <c r="AM14" s="4" t="inlineStr">
        <is>
          <t>PWRR-G&amp;W 2016</t>
        </is>
      </c>
    </row>
    <row r="15">
      <c r="A15" s="3" t="n">
        <v>13</v>
      </c>
      <c r="B15" s="4" t="inlineStr">
        <is>
          <t>04/07/2016</t>
        </is>
      </c>
      <c r="C15" s="4" t="inlineStr">
        <is>
          <t>Transaction Committee</t>
        </is>
      </c>
      <c r="D15" s="4" t="inlineStr">
        <is>
          <t>Target decision</t>
        </is>
      </c>
      <c r="E15" s="3" t="n">
        <v>1</v>
      </c>
      <c r="F15" s="3" t="inlineStr">
        <is>
          <t>1</t>
        </is>
      </c>
      <c r="G15" s="3" t="n"/>
      <c r="H15" s="4" t="inlineStr">
        <is>
          <t>Authorized GHF to contact the five convention parties, other potential strategic buyers (including certain Class I railroads) and private equity firms under NDA to confirm their continuing interest.</t>
        </is>
      </c>
      <c r="I15" s="3" t="n"/>
      <c r="J15" s="3" t="n"/>
      <c r="K15" s="4" t="inlineStr">
        <is>
          <t>Target decision (stated). Quote: “the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t>
        </is>
      </c>
      <c r="L15" s="5">
        <f>HYPERLINK("#Source text!$D$7","P-006 (main: P-006)")</f>
        <v/>
      </c>
      <c r="M15" s="3" t="n"/>
      <c r="N15" s="4" t="n"/>
      <c r="O15" s="4" t="inlineStr">
        <is>
          <t>R013</t>
        </is>
      </c>
      <c r="P15" s="4" t="inlineStr">
        <is>
          <t>Yes</t>
        </is>
      </c>
      <c r="Q15" s="4" t="n"/>
      <c r="R15" s="6" t="inlineStr">
        <is>
          <t>2016-04-07</t>
        </is>
      </c>
      <c r="S15" s="6" t="inlineStr">
        <is>
          <t>2016-04-07</t>
        </is>
      </c>
      <c r="T15" s="6" t="inlineStr">
        <is>
          <t>2016-04-07</t>
        </is>
      </c>
      <c r="U15" s="4" t="inlineStr">
        <is>
          <t>Reported day</t>
        </is>
      </c>
      <c r="V15" s="4" t="inlineStr">
        <is>
          <t>Reported</t>
        </is>
      </c>
      <c r="W15" s="7" t="n"/>
      <c r="X15" s="7" t="n"/>
      <c r="Y15" s="4" t="n"/>
      <c r="Z15" s="4" t="n"/>
      <c r="AA15" s="4" t="n"/>
      <c r="AB15" s="4" t="n"/>
      <c r="AC15" s="7" t="n"/>
      <c r="AD15" s="4" t="n"/>
      <c r="AE15" s="6" t="n"/>
      <c r="AF15" s="4" t="n"/>
      <c r="AG15" s="4" t="n"/>
      <c r="AH15" s="4" t="n"/>
      <c r="AI15" s="4" t="n"/>
      <c r="AJ15" s="4" t="n"/>
      <c r="AK15" s="4" t="inlineStr">
        <is>
          <t>28</t>
        </is>
      </c>
      <c r="AL15" s="4" t="n"/>
      <c r="AM15" s="4" t="inlineStr">
        <is>
          <t>PWRR-G&amp;W 2016</t>
        </is>
      </c>
    </row>
    <row r="16">
      <c r="A16" s="3" t="n">
        <v>14</v>
      </c>
      <c r="B16" s="4" t="inlineStr">
        <is>
          <t>by 04/07/2016; day not disclosed</t>
        </is>
      </c>
      <c r="C16" s="4" t="inlineStr">
        <is>
          <t>Two unnamed additional Class I railroads</t>
        </is>
      </c>
      <c r="D16" s="4" t="inlineStr">
        <is>
          <t>Contact</t>
        </is>
      </c>
      <c r="E16" s="3" t="n">
        <v>1</v>
      </c>
      <c r="F16" s="3" t="inlineStr">
        <is>
          <t>1</t>
        </is>
      </c>
      <c r="G16" s="3" t="inlineStr">
        <is>
          <t>Strategic</t>
        </is>
      </c>
      <c r="H16" s="4" t="inlineStr">
        <is>
          <t>Approached by the Company (management) before the 04/07/2016 committee report to gauge interest in a possible transaction; no NDA, bid or further participation reported; they never entered the process (no outcome row). Count 2 = cohort size.</t>
        </is>
      </c>
      <c r="I16" s="3" t="n"/>
      <c r="J16" s="3" t="n"/>
      <c r="K16" s="4" t="inlineStr">
        <is>
          <t>Contact (stated): “Mr. Noreck reported that the Company had also approached two additional Class I railroads to determine their interest in a possible transaction” Direction: target-to-bidder; the approach precedes the 04/07/2016 meeting (day not disclosed), so the bound is the report date.</t>
        </is>
      </c>
      <c r="L16" s="5">
        <f>HYPERLINK("#Source text!$D$7","P-006 (main: P-006)")</f>
        <v/>
      </c>
      <c r="M16" s="3" t="n"/>
      <c r="N16" s="4" t="n"/>
      <c r="O16" s="4" t="inlineStr">
        <is>
          <t>R014</t>
        </is>
      </c>
      <c r="P16" s="4" t="inlineStr">
        <is>
          <t>Yes</t>
        </is>
      </c>
      <c r="Q16" s="4" t="n">
        <v>2</v>
      </c>
      <c r="R16" s="6" t="n"/>
      <c r="S16" s="6" t="inlineStr">
        <is>
          <t>2016-04-07</t>
        </is>
      </c>
      <c r="T16" s="6" t="inlineStr">
        <is>
          <t>2016-04-07</t>
        </is>
      </c>
      <c r="U16" s="4" t="inlineStr">
        <is>
          <t>Relative only</t>
        </is>
      </c>
      <c r="V16" s="4" t="inlineStr">
        <is>
          <t>Assigned: bound</t>
        </is>
      </c>
      <c r="W16" s="7" t="n"/>
      <c r="X16" s="7" t="n"/>
      <c r="Y16" s="4" t="n"/>
      <c r="Z16" s="4" t="n"/>
      <c r="AA16" s="4" t="n"/>
      <c r="AB16" s="4" t="n"/>
      <c r="AC16" s="7" t="n"/>
      <c r="AD16" s="4" t="n"/>
      <c r="AE16" s="6" t="n"/>
      <c r="AF16" s="4" t="n"/>
      <c r="AG16" s="4" t="n"/>
      <c r="AH16" s="4" t="n"/>
      <c r="AI16" s="4" t="n"/>
      <c r="AJ16" s="4" t="n"/>
      <c r="AK16" s="4" t="inlineStr">
        <is>
          <t>28</t>
        </is>
      </c>
      <c r="AL16" s="4" t="n"/>
      <c r="AM16" s="4" t="inlineStr">
        <is>
          <t>PWRR-G&amp;W 2016</t>
        </is>
      </c>
    </row>
    <row r="17">
      <c r="A17" s="3" t="n">
        <v>15</v>
      </c>
      <c r="B17" s="4" t="inlineStr">
        <is>
          <t>04/21/2016</t>
        </is>
      </c>
      <c r="C17" s="4" t="inlineStr">
        <is>
          <t>Party B</t>
        </is>
      </c>
      <c r="D17" s="4" t="inlineStr">
        <is>
          <t>Contact</t>
        </is>
      </c>
      <c r="E17" s="3" t="n">
        <v>1</v>
      </c>
      <c r="F17" s="3" t="inlineStr">
        <is>
          <t>1</t>
        </is>
      </c>
      <c r="G17" s="3" t="inlineStr">
        <is>
          <t>Strategic</t>
        </is>
      </c>
      <c r="H17" s="4" t="inlineStr">
        <is>
          <t>Introductory meeting held by the Company and GHF with Party B; first individually recorded meeting for Party B. Repeat contact: Party B is treated as one of the contacted NDA signers of the March wave (R007/R009), so Count 0; the alternative reading is flagged in Q5.</t>
        </is>
      </c>
      <c r="I17" s="3" t="n"/>
      <c r="J17" s="3" t="n"/>
      <c r="K17" s="4" t="inlineStr">
        <is>
          <t>Contact (stated), repeat within the wave. Quote: “Subsequently, on April 21, 2016, the Company and representatives of GHF held an introductory meeting with another potential strategic buyer”</t>
        </is>
      </c>
      <c r="L17" s="5">
        <f>HYPERLINK("#Source text!$D$7","P-006 (main: P-006)")</f>
        <v/>
      </c>
      <c r="M17" s="3" t="inlineStr">
        <is>
          <t>Q5</t>
        </is>
      </c>
      <c r="N17" s="4" t="n"/>
      <c r="O17" s="4" t="inlineStr">
        <is>
          <t>R015</t>
        </is>
      </c>
      <c r="P17" s="4" t="inlineStr">
        <is>
          <t>Yes</t>
        </is>
      </c>
      <c r="Q17" s="4" t="n">
        <v>0</v>
      </c>
      <c r="R17" s="6" t="inlineStr">
        <is>
          <t>2016-04-21</t>
        </is>
      </c>
      <c r="S17" s="6" t="inlineStr">
        <is>
          <t>2016-04-21</t>
        </is>
      </c>
      <c r="T17" s="6" t="inlineStr">
        <is>
          <t>2016-04-21</t>
        </is>
      </c>
      <c r="U17" s="4" t="inlineStr">
        <is>
          <t>Reported day</t>
        </is>
      </c>
      <c r="V17" s="4" t="inlineStr">
        <is>
          <t>Reported</t>
        </is>
      </c>
      <c r="W17" s="7" t="n"/>
      <c r="X17" s="7" t="n"/>
      <c r="Y17" s="4" t="n"/>
      <c r="Z17" s="4" t="n"/>
      <c r="AA17" s="4" t="n"/>
      <c r="AB17" s="4" t="n"/>
      <c r="AC17" s="7" t="n"/>
      <c r="AD17" s="4" t="n"/>
      <c r="AE17" s="6" t="n"/>
      <c r="AF17" s="4" t="n"/>
      <c r="AG17" s="4" t="n"/>
      <c r="AH17" s="4" t="n"/>
      <c r="AI17" s="4" t="n"/>
      <c r="AJ17" s="4" t="n"/>
      <c r="AK17" s="4" t="inlineStr">
        <is>
          <t>28</t>
        </is>
      </c>
      <c r="AL17" s="4" t="n"/>
      <c r="AM17" s="4" t="inlineStr">
        <is>
          <t>PWRR-G&amp;W 2016</t>
        </is>
      </c>
    </row>
    <row r="18">
      <c r="A18" s="3" t="n">
        <v>16</v>
      </c>
      <c r="B18" s="4" t="inlineStr">
        <is>
          <t>by 04/27/2016; IOI deadline 05/10/2016</t>
        </is>
      </c>
      <c r="C18" s="4" t="inlineStr">
        <is>
          <t>Process (all potential buyers)</t>
        </is>
      </c>
      <c r="D18" s="4" t="inlineStr">
        <is>
          <t>Deadline set</t>
        </is>
      </c>
      <c r="E18" s="3" t="n">
        <v>1</v>
      </c>
      <c r="F18" s="3" t="inlineStr">
        <is>
          <t>1</t>
        </is>
      </c>
      <c r="G18" s="3" t="n"/>
      <c r="H18" s="4" t="inlineStr">
        <is>
          <t>Each potential buyer advised to submit a non-binding indication of interest by 05/10/2016; the advice is reported at the 04/27/2016 executive session of the Board; deadline version 1 (later revised, R017). Communication day not disclosed.</t>
        </is>
      </c>
      <c r="I18" s="3" t="n"/>
      <c r="J18" s="3" t="n"/>
      <c r="K18" s="4" t="inlineStr">
        <is>
          <t>Deadline set (stated); known only by the 04/27/2016 report. Quote: “each potential buyer had been advised to submit a non-binding indication of interest by May 10, 2016” This date was superseded before arrival, so it stays in the set/revised history with no milestone row.</t>
        </is>
      </c>
      <c r="L18" s="5">
        <f>HYPERLINK("#Source text!$D$8","P-007 (main: P-007)")</f>
        <v/>
      </c>
      <c r="M18" s="3" t="inlineStr">
        <is>
          <t>Q2</t>
        </is>
      </c>
      <c r="N18" s="4" t="n"/>
      <c r="O18" s="4" t="inlineStr">
        <is>
          <t>R016</t>
        </is>
      </c>
      <c r="P18" s="4" t="inlineStr">
        <is>
          <t>Yes</t>
        </is>
      </c>
      <c r="Q18" s="4" t="n"/>
      <c r="R18" s="6" t="n"/>
      <c r="S18" s="6" t="inlineStr">
        <is>
          <t>2016-04-27</t>
        </is>
      </c>
      <c r="T18" s="6" t="inlineStr">
        <is>
          <t>2016-04-27</t>
        </is>
      </c>
      <c r="U18" s="4" t="inlineStr">
        <is>
          <t>Relative only</t>
        </is>
      </c>
      <c r="V18" s="4" t="inlineStr">
        <is>
          <t>Assigned: bound</t>
        </is>
      </c>
      <c r="W18" s="7" t="n"/>
      <c r="X18" s="7" t="n"/>
      <c r="Y18" s="4" t="n"/>
      <c r="Z18" s="4" t="n"/>
      <c r="AA18" s="4" t="n"/>
      <c r="AB18" s="4" t="n"/>
      <c r="AC18" s="7" t="n"/>
      <c r="AD18" s="4" t="n"/>
      <c r="AE18" s="6" t="inlineStr">
        <is>
          <t>2016-05-10</t>
        </is>
      </c>
      <c r="AF18" s="4" t="n"/>
      <c r="AG18" s="4" t="n"/>
      <c r="AH18" s="4" t="n"/>
      <c r="AI18" s="4" t="n"/>
      <c r="AJ18" s="4" t="n"/>
      <c r="AK18" s="4" t="inlineStr">
        <is>
          <t>29</t>
        </is>
      </c>
      <c r="AL18" s="4" t="n"/>
      <c r="AM18" s="4" t="inlineStr">
        <is>
          <t>PWRR-G&amp;W 2016</t>
        </is>
      </c>
    </row>
    <row r="19">
      <c r="A19" s="3" t="n">
        <v>17</v>
      </c>
      <c r="B19" s="4" t="inlineStr">
        <is>
          <t>after 04/27/2016; day not disclosed (new deadline 05/19/2016)</t>
        </is>
      </c>
      <c r="C19" s="4" t="inlineStr">
        <is>
          <t>Process (all potential buyers)</t>
        </is>
      </c>
      <c r="D19" s="4" t="inlineStr">
        <is>
          <t>Deadline revised</t>
        </is>
      </c>
      <c r="E19" s="3" t="n">
        <v>1</v>
      </c>
      <c r="F19" s="3" t="inlineStr">
        <is>
          <t>1</t>
        </is>
      </c>
      <c r="G19" s="3" t="n"/>
      <c r="H19" s="4" t="inlineStr">
        <is>
          <t>IOI deadline postponed from 05/10/2016 to 05/19/2016 to ensure potential buyers had sufficient time to formulate their most compelling offers; requester not disclosed; all potential buyers affected. Treatment: Extended — this row moved the 05/10/2016 due date (recorded here and in the Summary map).</t>
        </is>
      </c>
      <c r="I19" s="3" t="n"/>
      <c r="J19" s="3" t="n"/>
      <c r="K19" s="4" t="inlineStr">
        <is>
          <t>Deadline revised (stated). Quote: “which deadline was subsequently postponed to May 19, 2016 to ensure the potential buyers had sufficient time to formulate their most compelling offers” Revision day not disclosed; window 04/27–05/19 bounded by the 04/27 report and the new due date; midpoint assigned.</t>
        </is>
      </c>
      <c r="L19" s="5">
        <f>HYPERLINK("#Source text!$D$8","P-007 (main: P-007)")</f>
        <v/>
      </c>
      <c r="M19" s="3" t="inlineStr">
        <is>
          <t>Q2; Q7</t>
        </is>
      </c>
      <c r="N19" s="4" t="n"/>
      <c r="O19" s="4" t="inlineStr">
        <is>
          <t>R017</t>
        </is>
      </c>
      <c r="P19" s="4" t="inlineStr">
        <is>
          <t>Yes</t>
        </is>
      </c>
      <c r="Q19" s="4" t="n"/>
      <c r="R19" s="6" t="inlineStr">
        <is>
          <t>2016-04-27</t>
        </is>
      </c>
      <c r="S19" s="6" t="inlineStr">
        <is>
          <t>2016-05-19</t>
        </is>
      </c>
      <c r="T19" s="6" t="inlineStr">
        <is>
          <t>2016-05-08</t>
        </is>
      </c>
      <c r="U19" s="4" t="inlineStr">
        <is>
          <t>Relative only</t>
        </is>
      </c>
      <c r="V19" s="4" t="inlineStr">
        <is>
          <t>Assigned: midpoint</t>
        </is>
      </c>
      <c r="W19" s="7" t="n"/>
      <c r="X19" s="7" t="n"/>
      <c r="Y19" s="4" t="n"/>
      <c r="Z19" s="4" t="n"/>
      <c r="AA19" s="4" t="n"/>
      <c r="AB19" s="4" t="n"/>
      <c r="AC19" s="7" t="n"/>
      <c r="AD19" s="4" t="n"/>
      <c r="AE19" s="6" t="inlineStr">
        <is>
          <t>2016-05-19</t>
        </is>
      </c>
      <c r="AF19" s="4" t="inlineStr">
        <is>
          <t>Extended</t>
        </is>
      </c>
      <c r="AG19" s="4" t="n"/>
      <c r="AH19" s="4" t="n"/>
      <c r="AI19" s="4" t="n"/>
      <c r="AJ19" s="4" t="n"/>
      <c r="AK19" s="4" t="inlineStr">
        <is>
          <t>29</t>
        </is>
      </c>
      <c r="AL19" s="4" t="inlineStr">
        <is>
          <t>moves R016 (05/10) to 05/19</t>
        </is>
      </c>
      <c r="AM19" s="4" t="inlineStr">
        <is>
          <t>PWRR-G&amp;W 2016</t>
        </is>
      </c>
    </row>
    <row r="20">
      <c r="A20" s="3" t="n">
        <v>18</v>
      </c>
      <c r="B20" s="4" t="inlineStr">
        <is>
          <t>05/19/2016</t>
        </is>
      </c>
      <c r="C20" s="4" t="inlineStr">
        <is>
          <t>Process (all potential buyers)</t>
        </is>
      </c>
      <c r="D20" s="4" t="inlineStr">
        <is>
          <t>Deadline</t>
        </is>
      </c>
      <c r="E20" s="3" t="n">
        <v>1</v>
      </c>
      <c r="F20" s="3" t="inlineStr">
        <is>
          <t>1</t>
        </is>
      </c>
      <c r="G20" s="3" t="n"/>
      <c r="H20" s="4" t="inlineStr">
        <is>
          <t>IOI deadline reached while operative; nine IOIs were received between 05/19 and 06/01 (a window that straddles the due date, so no submission is treated as late) and the committee took its next step on the bids in hand (05/23 and 06/01 reviews; exclusions and advancement). Treatment: Enforced.</t>
        </is>
      </c>
      <c r="I20" s="3" t="n"/>
      <c r="J20" s="3" t="n"/>
      <c r="K20" s="4" t="inlineStr">
        <is>
          <t>Deadline (stated milestone; treatment convention). Quotes: “Between May 19, 2016 and June 1, 2016, the Company received nine written indications of interest” / “the Transaction Committee concluded that the two low bidders should be excluded from that process. The Transaction Committee authorized representatives of GHF to schedule in-person management presentations with the remaining seven potential buyers”</t>
        </is>
      </c>
      <c r="L20" s="5">
        <f>HYPERLINK("#Source text!$D$9","P-008 (main: P-008)")</f>
        <v/>
      </c>
      <c r="M20" s="3" t="inlineStr">
        <is>
          <t>Q2</t>
        </is>
      </c>
      <c r="N20" s="4" t="n"/>
      <c r="O20" s="4" t="inlineStr">
        <is>
          <t>R018</t>
        </is>
      </c>
      <c r="P20" s="4" t="inlineStr">
        <is>
          <t>Yes</t>
        </is>
      </c>
      <c r="Q20" s="4" t="n"/>
      <c r="R20" s="6" t="inlineStr">
        <is>
          <t>2016-05-19</t>
        </is>
      </c>
      <c r="S20" s="6" t="inlineStr">
        <is>
          <t>2016-05-19</t>
        </is>
      </c>
      <c r="T20" s="6" t="inlineStr">
        <is>
          <t>2016-05-19</t>
        </is>
      </c>
      <c r="U20" s="4" t="inlineStr">
        <is>
          <t>Reported day</t>
        </is>
      </c>
      <c r="V20" s="4" t="inlineStr">
        <is>
          <t>Reported</t>
        </is>
      </c>
      <c r="W20" s="7" t="n"/>
      <c r="X20" s="7" t="n"/>
      <c r="Y20" s="4" t="n"/>
      <c r="Z20" s="4" t="n"/>
      <c r="AA20" s="4" t="n"/>
      <c r="AB20" s="4" t="n"/>
      <c r="AC20" s="7" t="n"/>
      <c r="AD20" s="4" t="n"/>
      <c r="AE20" s="6" t="inlineStr">
        <is>
          <t>2016-05-19</t>
        </is>
      </c>
      <c r="AF20" s="4" t="inlineStr">
        <is>
          <t>Enforced</t>
        </is>
      </c>
      <c r="AG20" s="4" t="n"/>
      <c r="AH20" s="4" t="n"/>
      <c r="AI20" s="4" t="n"/>
      <c r="AJ20" s="4" t="n"/>
      <c r="AK20" s="4" t="inlineStr">
        <is>
          <t>29</t>
        </is>
      </c>
      <c r="AL20" s="4" t="n"/>
      <c r="AM20" s="4" t="inlineStr">
        <is>
          <t>PWRR-G&amp;W 2016</t>
        </is>
      </c>
    </row>
    <row r="21">
      <c r="A21" s="3" t="n">
        <v>19</v>
      </c>
      <c r="B21" s="4" t="inlineStr">
        <is>
          <t>05/19/2016–06/01/2016</t>
        </is>
      </c>
      <c r="C21" s="4" t="inlineStr">
        <is>
          <t>Nine IOI submitters (anonymous cohort)</t>
        </is>
      </c>
      <c r="D21" s="4" t="inlineStr">
        <is>
          <t>Bid</t>
        </is>
      </c>
      <c r="E21" s="3" t="n">
        <v>1</v>
      </c>
      <c r="F21" s="3" t="inlineStr">
        <is>
          <t>1</t>
        </is>
      </c>
      <c r="G21" s="3" t="inlineStr">
        <is>
          <t>Unknown</t>
        </is>
      </c>
      <c r="H21" s="4" t="inlineStr">
        <is>
          <t>Nine written non-binding indications of interest at $17.93–$26.50 per share (as-converted; group envelope across the cohort, not any member’s price), implying equity values of $90–134 million; made before substantive diligence access (no data site before the 06/01/2016 advancement), so Heavy by context. Parties B, D, E, F and G&amp;W and the two excluded low bidders fall within this cohort’s stage; Party C’s IOI came separately in Round 2 (R025). Type: Unknown — the cohort mixes strategic and financial bidders (split not supplied at this stage).</t>
        </is>
      </c>
      <c r="I21" s="3" t="inlineStr">
        <is>
          <t>Informal</t>
        </is>
      </c>
      <c r="J21" s="3" t="inlineStr">
        <is>
          <t>Heavy</t>
        </is>
      </c>
      <c r="K21" s="4" t="inlineStr">
        <is>
          <t>Bid (stated cohort; group-envelope convention, section 9.4). Quote: “Between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Formality: written non-binding indications; no returned agreement document or other formal signal at this stage → Informal. Conditions: preliminary non-binding indications made before substantive diligence access → Heavy by context.</t>
        </is>
      </c>
      <c r="L21" s="5">
        <f>HYPERLINK("#Source text!$D$9","P-008 (main: P-008)")</f>
        <v/>
      </c>
      <c r="M21" s="3" t="inlineStr">
        <is>
          <t>Q6; Q7; Q8</t>
        </is>
      </c>
      <c r="N21" s="4" t="n"/>
      <c r="O21" s="4" t="inlineStr">
        <is>
          <t>R019</t>
        </is>
      </c>
      <c r="P21" s="4" t="inlineStr">
        <is>
          <t>Yes</t>
        </is>
      </c>
      <c r="Q21" s="4" t="n">
        <v>9</v>
      </c>
      <c r="R21" s="6" t="inlineStr">
        <is>
          <t>2016-05-19</t>
        </is>
      </c>
      <c r="S21" s="6" t="inlineStr">
        <is>
          <t>2016-06-01</t>
        </is>
      </c>
      <c r="T21" s="6" t="inlineStr">
        <is>
          <t>2016-05-19</t>
        </is>
      </c>
      <c r="U21" s="4" t="inlineStr">
        <is>
          <t>Reported interval</t>
        </is>
      </c>
      <c r="V21" s="4" t="inlineStr">
        <is>
          <t>Assigned: deadline</t>
        </is>
      </c>
      <c r="W21" s="7" t="n">
        <v>17.93</v>
      </c>
      <c r="X21" s="7" t="n">
        <v>26.5</v>
      </c>
      <c r="Y21" s="4" t="inlineStr">
        <is>
          <t>Group envelope</t>
        </is>
      </c>
      <c r="Z21" s="4" t="inlineStr">
        <is>
          <t>Stated</t>
        </is>
      </c>
      <c r="AA21" s="4" t="inlineStr">
        <is>
          <t>USD</t>
        </is>
      </c>
      <c r="AB21" s="4" t="inlineStr">
        <is>
          <t>Not stated</t>
        </is>
      </c>
      <c r="AC21" s="7" t="n"/>
      <c r="AD21" s="4" t="inlineStr">
        <is>
          <t>Fin: not stated; DD required: not stated; DD open: no; Excl: not stated</t>
        </is>
      </c>
      <c r="AE21" s="6" t="n"/>
      <c r="AF21" s="4" t="n"/>
      <c r="AG21" s="4" t="n"/>
      <c r="AH21" s="4" t="n"/>
      <c r="AI21" s="4" t="n"/>
      <c r="AJ21" s="4" t="n"/>
      <c r="AK21" s="4" t="inlineStr">
        <is>
          <t>29</t>
        </is>
      </c>
      <c r="AL21" s="4" t="n"/>
      <c r="AM21" s="4" t="inlineStr">
        <is>
          <t>PWRR-G&amp;W 2016</t>
        </is>
      </c>
    </row>
    <row r="22">
      <c r="A22" s="3" t="n">
        <v>20</v>
      </c>
      <c r="B22" s="4" t="inlineStr">
        <is>
          <t>by 05/19/2016</t>
        </is>
      </c>
      <c r="C22" s="4" t="inlineStr">
        <is>
          <t>16 remaining NDA signers (of the 25)</t>
        </is>
      </c>
      <c r="D22" s="4" t="inlineStr">
        <is>
          <t>Did not submit</t>
        </is>
      </c>
      <c r="E22" s="3" t="n">
        <v>1</v>
      </c>
      <c r="F22" s="3" t="inlineStr">
        <is>
          <t>1</t>
        </is>
      </c>
      <c r="G22" s="3" t="inlineStr">
        <is>
          <t>Unknown</t>
        </is>
      </c>
      <c r="H22" s="4" t="inlineStr">
        <is>
          <t>Inferred: residual — 25 NDA signers (11 strategic + 14 financial) − 9 IOI submitters = 16 non-submitters at the 05/19/2016 IOI deadline. Includes the wave’s silent signers never individually mentioned again; Party A may also sit here (see R035). Type: Unknown — type split of the residual is not supplied.</t>
        </is>
      </c>
      <c r="I22" s="3" t="n"/>
      <c r="J22" s="3" t="n"/>
      <c r="K22" s="4" t="inlineStr">
        <is>
          <t>Inferred: residual (section 10.2). Base: “Each of the potential strategic buyers and 14 potential financial buyers subsequently executed confidentiality agreements” (25); accounted submitters: nine IOIs (R019). No other stated exits, and the next transition names the continuing seven as all within the nine. Supporting quote: “Between May 19, 2016 and June 1, 2016, the Company received nine written indications of interest”.</t>
        </is>
      </c>
      <c r="L22" s="5">
        <f>HYPERLINK("#Source text!$D$5","P-004; P-008 (main: P-004)")</f>
        <v/>
      </c>
      <c r="M22" s="3" t="inlineStr">
        <is>
          <t>Q4</t>
        </is>
      </c>
      <c r="N22" s="4" t="n"/>
      <c r="O22" s="4" t="inlineStr">
        <is>
          <t>R020</t>
        </is>
      </c>
      <c r="P22" s="4" t="inlineStr">
        <is>
          <t>Yes</t>
        </is>
      </c>
      <c r="Q22" s="4" t="n">
        <v>16</v>
      </c>
      <c r="R22" s="6" t="n"/>
      <c r="S22" s="6" t="inlineStr">
        <is>
          <t>2016-05-19</t>
        </is>
      </c>
      <c r="T22" s="6" t="inlineStr">
        <is>
          <t>2016-05-19</t>
        </is>
      </c>
      <c r="U22" s="4" t="inlineStr">
        <is>
          <t>Relative only</t>
        </is>
      </c>
      <c r="V22" s="4" t="inlineStr">
        <is>
          <t>Assigned: deadline</t>
        </is>
      </c>
      <c r="W22" s="7" t="n"/>
      <c r="X22" s="7" t="n"/>
      <c r="Y22" s="4" t="n"/>
      <c r="Z22" s="4" t="n"/>
      <c r="AA22" s="4" t="n"/>
      <c r="AB22" s="4" t="n"/>
      <c r="AC22" s="7" t="n"/>
      <c r="AD22" s="4" t="n"/>
      <c r="AE22" s="6" t="n"/>
      <c r="AF22" s="4" t="n"/>
      <c r="AG22" s="4" t="n"/>
      <c r="AH22" s="4" t="inlineStr">
        <is>
          <t>Unknown</t>
        </is>
      </c>
      <c r="AI22" s="4" t="inlineStr">
        <is>
          <t>Not stated</t>
        </is>
      </c>
      <c r="AJ22" s="4" t="inlineStr">
        <is>
          <t>Inferred: residual</t>
        </is>
      </c>
      <c r="AK22" s="4" t="inlineStr">
        <is>
          <t>28</t>
        </is>
      </c>
      <c r="AL22" s="4" t="inlineStr">
        <is>
          <t>base R009–R011; covered submitters R019</t>
        </is>
      </c>
      <c r="AM22" s="4" t="inlineStr">
        <is>
          <t>PWRR-G&amp;W 2016</t>
        </is>
      </c>
    </row>
    <row r="23">
      <c r="A23" s="3" t="n">
        <v>21</v>
      </c>
      <c r="B23" s="4" t="inlineStr">
        <is>
          <t>06/01/2016 (decision concluded at the 06/01/2016 meeting; meetings also 05/23/2016)</t>
        </is>
      </c>
      <c r="C23" s="4" t="inlineStr">
        <is>
          <t>Transaction Committee</t>
        </is>
      </c>
      <c r="D23" s="4" t="inlineStr">
        <is>
          <t>Target decision</t>
        </is>
      </c>
      <c r="E23" s="3" t="n">
        <v>1</v>
      </c>
      <c r="F23" s="3" t="inlineStr">
        <is>
          <t>1</t>
        </is>
      </c>
      <c r="G23" s="3" t="n"/>
      <c r="H23" s="4" t="inlineStr">
        <is>
          <t>Concluded that the two low bidders should be excluded from the management-presentation process and authorized in-person management presentations with the remaining seven potential buyers plus additional due diligence and access to an internet data site for legal and financial due diligence.</t>
        </is>
      </c>
      <c r="I23" s="3" t="n"/>
      <c r="J23" s="3" t="n"/>
      <c r="K23" s="4" t="inlineStr">
        <is>
          <t>Target decision (stated). Considered at the 05/23 and 06/01/2016 meetings; Working date = last meeting day (Assigned: decision day). Quotes: “In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 “given access to an internet data site to conduct legal and financial due diligence”</t>
        </is>
      </c>
      <c r="L23" s="5">
        <f>HYPERLINK("#Source text!$D$9","P-008 (main: P-008)")</f>
        <v/>
      </c>
      <c r="M23" s="3" t="inlineStr">
        <is>
          <t>Q1</t>
        </is>
      </c>
      <c r="N23" s="4" t="n"/>
      <c r="O23" s="4" t="inlineStr">
        <is>
          <t>R021</t>
        </is>
      </c>
      <c r="P23" s="4" t="inlineStr">
        <is>
          <t>Yes</t>
        </is>
      </c>
      <c r="Q23" s="4" t="n"/>
      <c r="R23" s="6" t="inlineStr">
        <is>
          <t>2016-05-23</t>
        </is>
      </c>
      <c r="S23" s="6" t="inlineStr">
        <is>
          <t>2016-06-01</t>
        </is>
      </c>
      <c r="T23" s="6" t="inlineStr">
        <is>
          <t>2016-06-01</t>
        </is>
      </c>
      <c r="U23" s="4" t="inlineStr">
        <is>
          <t>Reported interval</t>
        </is>
      </c>
      <c r="V23" s="4" t="inlineStr">
        <is>
          <t>Assigned: decision day</t>
        </is>
      </c>
      <c r="W23" s="7" t="n"/>
      <c r="X23" s="7" t="n"/>
      <c r="Y23" s="4" t="n"/>
      <c r="Z23" s="4" t="n"/>
      <c r="AA23" s="4" t="n"/>
      <c r="AB23" s="4" t="n"/>
      <c r="AC23" s="7" t="n"/>
      <c r="AD23" s="4" t="n"/>
      <c r="AE23" s="6" t="n"/>
      <c r="AF23" s="4" t="n"/>
      <c r="AG23" s="4" t="n"/>
      <c r="AH23" s="4" t="n"/>
      <c r="AI23" s="4" t="n"/>
      <c r="AJ23" s="4" t="n"/>
      <c r="AK23" s="4" t="inlineStr">
        <is>
          <t>29</t>
        </is>
      </c>
      <c r="AL23" s="4" t="inlineStr">
        <is>
          <t>exclusions R022; advancement covered here</t>
        </is>
      </c>
      <c r="AM23" s="4" t="inlineStr">
        <is>
          <t>PWRR-G&amp;W 2016</t>
        </is>
      </c>
    </row>
    <row r="24">
      <c r="A24" s="3" t="n">
        <v>22</v>
      </c>
      <c r="B24" s="4" t="inlineStr">
        <is>
          <t>06/01/2016 (decision concluded; meetings 05/23 and 06/01/2016)</t>
        </is>
      </c>
      <c r="C24" s="4" t="inlineStr">
        <is>
          <t>Two unnamed low bidders (of the nine IOI submitters)</t>
        </is>
      </c>
      <c r="D24" s="4" t="inlineStr">
        <is>
          <t>Dropped by target</t>
        </is>
      </c>
      <c r="E24" s="3" t="n">
        <v>1</v>
      </c>
      <c r="F24" s="3" t="inlineStr">
        <is>
          <t>1</t>
        </is>
      </c>
      <c r="G24" s="3" t="inlineStr">
        <is>
          <t>Unknown</t>
        </is>
      </c>
      <c r="H24" s="4" t="inlineStr">
        <is>
          <t>Excluded from the management-presentation and data-site stage as the two lowest-priced IOIs; stage left: Round 1 advancement; their IOIs remain among the nine received. Decided by: Target; Exit reason: Lower offer than rivals. Type: Unknown — split not supplied.</t>
        </is>
      </c>
      <c r="I24" s="3" t="n"/>
      <c r="J24" s="3" t="n"/>
      <c r="K24" s="4" t="inlineStr">
        <is>
          <t>Dropped by target (stated): the target excludes participants that had entered the process. Quote: “the Transaction Committee concluded that the two low bidders should be excluded from that” Being the two lowest is the stated reason (Lower offer than rivals); no price comparison of individual bids is disclosed.</t>
        </is>
      </c>
      <c r="L24" s="5">
        <f>HYPERLINK("#Source text!$D$9","P-008 (main: P-008)")</f>
        <v/>
      </c>
      <c r="M24" s="3" t="inlineStr">
        <is>
          <t>Q4</t>
        </is>
      </c>
      <c r="N24" s="4" t="n"/>
      <c r="O24" s="4" t="inlineStr">
        <is>
          <t>R022</t>
        </is>
      </c>
      <c r="P24" s="4" t="inlineStr">
        <is>
          <t>Yes</t>
        </is>
      </c>
      <c r="Q24" s="4" t="n">
        <v>2</v>
      </c>
      <c r="R24" s="6" t="inlineStr">
        <is>
          <t>2016-05-23</t>
        </is>
      </c>
      <c r="S24" s="6" t="inlineStr">
        <is>
          <t>2016-06-01</t>
        </is>
      </c>
      <c r="T24" s="6" t="inlineStr">
        <is>
          <t>2016-06-01</t>
        </is>
      </c>
      <c r="U24" s="4" t="inlineStr">
        <is>
          <t>Reported interval</t>
        </is>
      </c>
      <c r="V24" s="4" t="inlineStr">
        <is>
          <t>Assigned: decision day</t>
        </is>
      </c>
      <c r="W24" s="7" t="n"/>
      <c r="X24" s="7" t="n"/>
      <c r="Y24" s="4" t="n"/>
      <c r="Z24" s="4" t="n"/>
      <c r="AA24" s="4" t="n"/>
      <c r="AB24" s="4" t="n"/>
      <c r="AC24" s="7" t="n"/>
      <c r="AD24" s="4" t="n"/>
      <c r="AE24" s="6" t="n"/>
      <c r="AF24" s="4" t="n"/>
      <c r="AG24" s="4" t="n"/>
      <c r="AH24" s="4" t="inlineStr">
        <is>
          <t>Target</t>
        </is>
      </c>
      <c r="AI24" s="4" t="inlineStr">
        <is>
          <t>Lower offer than rivals</t>
        </is>
      </c>
      <c r="AJ24" s="4" t="inlineStr">
        <is>
          <t>Stated</t>
        </is>
      </c>
      <c r="AK24" s="4" t="inlineStr">
        <is>
          <t>29</t>
        </is>
      </c>
      <c r="AL24" s="4" t="inlineStr">
        <is>
          <t>selection R021; stage R019</t>
        </is>
      </c>
      <c r="AM24" s="4" t="inlineStr">
        <is>
          <t>PWRR-G&amp;W 2016</t>
        </is>
      </c>
    </row>
    <row r="25">
      <c r="A25" s="3" t="n">
        <v>23</v>
      </c>
      <c r="B25" s="4" t="inlineStr">
        <is>
          <t>mid-June 2016</t>
        </is>
      </c>
      <c r="C25" s="4" t="inlineStr">
        <is>
          <t>Process (Round 2)</t>
        </is>
      </c>
      <c r="D25" s="4" t="inlineStr">
        <is>
          <t>Round opened</t>
        </is>
      </c>
      <c r="E25" s="3" t="n">
        <v>1</v>
      </c>
      <c r="F25" s="3" t="inlineStr">
        <is>
          <t>2</t>
        </is>
      </c>
      <c r="G25" s="3" t="n"/>
      <c r="H25" s="4" t="inlineStr">
        <is>
          <t>LOI stage: GHF instructed all potential buyers to submit non-binding LOIs by 07/20/2016, together with mark-ups of the forms of merger agreement, disclosure letter and voting agreement (posted to the data site 06/29, 06/30 and 07/11/2016); valuation requested on the basis of 100% of the outstanding common on a dollar-per-share basis as-converted, or the financial terms of any non-cash proposal; management presentations and data-site diligence ran through June–July (status update 06/30/2016); the Due date is carried on this row. Round finality: Inferred final — no final-stage announcement, but the round closed when the target moved to confirmatory due diligence and definitive negotiation with selected bidders (07/27/2016).</t>
        </is>
      </c>
      <c r="I25" s="3" t="n"/>
      <c r="J25" s="3" t="n"/>
      <c r="K25" s="4" t="inlineStr">
        <is>
          <t>Round opened (analytical/convention): a distinct drafting-and-information stage linked to new offers (section 6.3). Alternative boundary 06/01/2016 (advancement) rejected because no updated offers were sought then (Q1). Quotes: “In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 “Potential buyers were instructed to provide a valuation for the Company based on the purchase of 100% of the outstanding common stock on a dollar per share basis (assuming conversion of the preferred stock into common stock) or the financial terms of any non-cash proposal”</t>
        </is>
      </c>
      <c r="L25" s="5">
        <f>HYPERLINK("#Source text!$D$10","P-009 (main: P-009)")</f>
        <v/>
      </c>
      <c r="M25" s="3" t="inlineStr">
        <is>
          <t>Q1</t>
        </is>
      </c>
      <c r="N25" s="4" t="n"/>
      <c r="O25" s="4" t="inlineStr">
        <is>
          <t>R023</t>
        </is>
      </c>
      <c r="P25" s="4" t="inlineStr">
        <is>
          <t>Yes</t>
        </is>
      </c>
      <c r="Q25" s="4" t="n"/>
      <c r="R25" s="6" t="inlineStr">
        <is>
          <t>2016-06-11</t>
        </is>
      </c>
      <c r="S25" s="6" t="inlineStr">
        <is>
          <t>2016-06-19</t>
        </is>
      </c>
      <c r="T25" s="6" t="inlineStr">
        <is>
          <t>2016-06-15</t>
        </is>
      </c>
      <c r="U25" s="4" t="inlineStr">
        <is>
          <t>Approximate window</t>
        </is>
      </c>
      <c r="V25" s="4" t="inlineStr">
        <is>
          <t>Assigned: midpoint</t>
        </is>
      </c>
      <c r="W25" s="7" t="n"/>
      <c r="X25" s="7" t="n"/>
      <c r="Y25" s="4" t="n"/>
      <c r="Z25" s="4" t="n"/>
      <c r="AA25" s="4" t="n"/>
      <c r="AB25" s="4" t="n"/>
      <c r="AC25" s="7" t="n"/>
      <c r="AD25" s="4" t="n"/>
      <c r="AE25" s="6" t="inlineStr">
        <is>
          <t>2016-07-20</t>
        </is>
      </c>
      <c r="AF25" s="4" t="n"/>
      <c r="AG25" s="4" t="inlineStr">
        <is>
          <t>Inferred final</t>
        </is>
      </c>
      <c r="AH25" s="4" t="n"/>
      <c r="AI25" s="4" t="n"/>
      <c r="AJ25" s="4" t="n"/>
      <c r="AK25" s="4" t="inlineStr">
        <is>
          <t>29</t>
        </is>
      </c>
      <c r="AL25" s="4" t="inlineStr">
        <is>
          <t>candidate boundary R021 (06/01, rejected)</t>
        </is>
      </c>
      <c r="AM25" s="4" t="inlineStr">
        <is>
          <t>PWRR-G&amp;W 2016</t>
        </is>
      </c>
    </row>
    <row r="26">
      <c r="A26" s="3" t="n">
        <v>24</v>
      </c>
      <c r="B26" s="4" t="inlineStr">
        <is>
          <t>early July 2016</t>
        </is>
      </c>
      <c r="C26" s="4" t="inlineStr">
        <is>
          <t>Party C</t>
        </is>
      </c>
      <c r="D26" s="4" t="inlineStr">
        <is>
          <t>NDA signed</t>
        </is>
      </c>
      <c r="E26" s="3" t="n">
        <v>1</v>
      </c>
      <c r="F26" s="3" t="inlineStr">
        <is>
          <t>2</t>
        </is>
      </c>
      <c r="G26" s="3" t="inlineStr">
        <is>
          <t>Strategic</t>
        </is>
      </c>
      <c r="H26" s="4" t="inlineStr">
        <is>
          <t>Late-entrant strategic buyer that approached the Company’s management in early July 2016 and executed a confidentiality agreement before receiving the memorandum provided to the other potential buyers.</t>
        </is>
      </c>
      <c r="I26" s="3" t="n"/>
      <c r="J26" s="3" t="n"/>
      <c r="K26" s="4" t="inlineStr">
        <is>
          <t>NDA signed (stated): “In early July 2016, a potential strategic buyer that had not previously been part of the process” / “After executing a confidentiality agreement, Party C was provided the memorandum concerning the Company provided to the other potential buyers” Day not disclosed (early-July band); midpoint assigned. Note: the Board’s reasons state 25 confidentiality agreements in total (Q3 reconciliation).</t>
        </is>
      </c>
      <c r="L26" s="5">
        <f>HYPERLINK("#Source text!$D$12","P-011 (main: P-011)")</f>
        <v/>
      </c>
      <c r="M26" s="3" t="inlineStr">
        <is>
          <t>Q3</t>
        </is>
      </c>
      <c r="N26" s="4" t="n"/>
      <c r="O26" s="4" t="inlineStr">
        <is>
          <t>R024</t>
        </is>
      </c>
      <c r="P26" s="4" t="inlineStr">
        <is>
          <t>Yes</t>
        </is>
      </c>
      <c r="Q26" s="4" t="n">
        <v>1</v>
      </c>
      <c r="R26" s="6" t="inlineStr">
        <is>
          <t>2016-07-01</t>
        </is>
      </c>
      <c r="S26" s="6" t="inlineStr">
        <is>
          <t>2016-07-10</t>
        </is>
      </c>
      <c r="T26" s="6" t="inlineStr">
        <is>
          <t>2016-07-05</t>
        </is>
      </c>
      <c r="U26" s="4" t="inlineStr">
        <is>
          <t>Approximate window</t>
        </is>
      </c>
      <c r="V26" s="4" t="inlineStr">
        <is>
          <t>Assigned: midpoint</t>
        </is>
      </c>
      <c r="W26" s="7" t="n"/>
      <c r="X26" s="7" t="n"/>
      <c r="Y26" s="4" t="n"/>
      <c r="Z26" s="4" t="n"/>
      <c r="AA26" s="4" t="n"/>
      <c r="AB26" s="4" t="n"/>
      <c r="AC26" s="7" t="n"/>
      <c r="AD26" s="4" t="n"/>
      <c r="AE26" s="6" t="n"/>
      <c r="AF26" s="4" t="n"/>
      <c r="AG26" s="4" t="n"/>
      <c r="AH26" s="4" t="n"/>
      <c r="AI26" s="4" t="n"/>
      <c r="AJ26" s="4" t="n"/>
      <c r="AK26" s="4" t="inlineStr">
        <is>
          <t>29</t>
        </is>
      </c>
      <c r="AL26" s="4" t="inlineStr">
        <is>
          <t>R025 (IOI); R026 (catch-up access)</t>
        </is>
      </c>
      <c r="AM26" s="4" t="inlineStr">
        <is>
          <t>PWRR-G&amp;W 2016</t>
        </is>
      </c>
    </row>
    <row r="27">
      <c r="A27" s="3" t="n">
        <v>25</v>
      </c>
      <c r="B27" s="4" t="inlineStr">
        <is>
          <t>07/12/2016</t>
        </is>
      </c>
      <c r="C27" s="4" t="inlineStr">
        <is>
          <t>Party C</t>
        </is>
      </c>
      <c r="D27" s="4" t="inlineStr">
        <is>
          <t>Bid</t>
        </is>
      </c>
      <c r="E27" s="3" t="n">
        <v>1</v>
      </c>
      <c r="F27" s="3" t="inlineStr">
        <is>
          <t>2</t>
        </is>
      </c>
      <c r="G27" s="3" t="inlineStr">
        <is>
          <t>Strategic</t>
        </is>
      </c>
      <c r="H27" s="4" t="inlineStr">
        <is>
          <t>IOI at $21.00 per share (as-converted), implying an equity value of $108 million; non-binding and made on the memorandum only (data-site access followed), so Heavy by context; first Party C bid in Round 2.</t>
        </is>
      </c>
      <c r="I27" s="3" t="inlineStr">
        <is>
          <t>Informal</t>
        </is>
      </c>
      <c r="J27" s="3" t="inlineStr">
        <is>
          <t>Heavy</t>
        </is>
      </c>
      <c r="K27" s="4" t="inlineStr">
        <is>
          <t>Bid (stated). Quote: “On July 12, 2016, Party C submitted an IOI with an offer price per share of $21.00 (implying an equity value of $108 million)” Formality: non-binding indication with no returned agreement document → Informal. Conditions: pre-substantive-diligence indication (memorandum only) → Heavy by context.</t>
        </is>
      </c>
      <c r="L27" s="5">
        <f>HYPERLINK("#Source text!$D$12","P-011 (main: P-011)")</f>
        <v/>
      </c>
      <c r="M27" s="3" t="inlineStr">
        <is>
          <t>Q6</t>
        </is>
      </c>
      <c r="N27" s="4" t="n"/>
      <c r="O27" s="4" t="inlineStr">
        <is>
          <t>R025</t>
        </is>
      </c>
      <c r="P27" s="4" t="inlineStr">
        <is>
          <t>Yes</t>
        </is>
      </c>
      <c r="Q27" s="4" t="n">
        <v>1</v>
      </c>
      <c r="R27" s="6" t="inlineStr">
        <is>
          <t>2016-07-12</t>
        </is>
      </c>
      <c r="S27" s="6" t="inlineStr">
        <is>
          <t>2016-07-12</t>
        </is>
      </c>
      <c r="T27" s="6" t="inlineStr">
        <is>
          <t>2016-07-12</t>
        </is>
      </c>
      <c r="U27" s="4" t="inlineStr">
        <is>
          <t>Reported day</t>
        </is>
      </c>
      <c r="V27" s="4" t="inlineStr">
        <is>
          <t>Reported</t>
        </is>
      </c>
      <c r="W27" s="7" t="n">
        <v>21</v>
      </c>
      <c r="X27" s="7" t="n">
        <v>21</v>
      </c>
      <c r="Y27" s="4" t="inlineStr">
        <is>
          <t>Point</t>
        </is>
      </c>
      <c r="Z27" s="4" t="inlineStr">
        <is>
          <t>Stated</t>
        </is>
      </c>
      <c r="AA27" s="4" t="inlineStr">
        <is>
          <t>USD</t>
        </is>
      </c>
      <c r="AB27" s="4" t="inlineStr">
        <is>
          <t>Not stated</t>
        </is>
      </c>
      <c r="AC27" s="7" t="n"/>
      <c r="AD27" s="4" t="inlineStr">
        <is>
          <t>Fin: not stated; DD required: not stated; DD open: no; Excl: not stated</t>
        </is>
      </c>
      <c r="AE27" s="6" t="n"/>
      <c r="AF27" s="4" t="n"/>
      <c r="AG27" s="4" t="n"/>
      <c r="AH27" s="4" t="n"/>
      <c r="AI27" s="4" t="n"/>
      <c r="AJ27" s="4" t="n"/>
      <c r="AK27" s="4" t="inlineStr">
        <is>
          <t>29</t>
        </is>
      </c>
      <c r="AL27" s="4" t="n"/>
      <c r="AM27" s="4" t="inlineStr">
        <is>
          <t>PWRR-G&amp;W 2016</t>
        </is>
      </c>
    </row>
    <row r="28">
      <c r="A28" s="3" t="n">
        <v>26</v>
      </c>
      <c r="B28" s="4" t="inlineStr">
        <is>
          <t>07/12/2016–07/14/2016 (memorandum earlier, early July)</t>
        </is>
      </c>
      <c r="C28" s="4" t="inlineStr">
        <is>
          <t>Party C</t>
        </is>
      </c>
      <c r="D28" s="4" t="inlineStr">
        <is>
          <t>Information access changed</t>
        </is>
      </c>
      <c r="E28" s="3" t="n">
        <v>1</v>
      </c>
      <c r="F28" s="3" t="inlineStr">
        <is>
          <t>2</t>
        </is>
      </c>
      <c r="G28" s="3" t="inlineStr">
        <is>
          <t>Strategic</t>
        </is>
      </c>
      <c r="H28" s="4" t="inlineStr">
        <is>
          <t>Late-entrant catch-up access: after its NDA Party C received the memorandum; after its 07/12/2016 IOI it was given access to the internet data site and a telephone management presentation (07/14/2016) while other buyers’ diligence was under way; no comparable catch-up accommodation for other late parties is disclosed. Count blank (access row).</t>
        </is>
      </c>
      <c r="I28" s="3" t="n"/>
      <c r="J28" s="3" t="n"/>
      <c r="K28" s="4" t="inlineStr">
        <is>
          <t>Information access changed (late entrant’s catch-up access, section 4), recorded once. Quote: “Subsequently, Party C was provided access to the internet data site and the Company’s management held a management presentation with Party C by telephone on July 14, 2016”</t>
        </is>
      </c>
      <c r="L28" s="5">
        <f>HYPERLINK("#Source text!$D$12","P-011 (main: P-011)")</f>
        <v/>
      </c>
      <c r="M28" s="3" t="inlineStr">
        <is>
          <t>Q1</t>
        </is>
      </c>
      <c r="N28" s="4" t="n"/>
      <c r="O28" s="4" t="inlineStr">
        <is>
          <t>R026</t>
        </is>
      </c>
      <c r="P28" s="4" t="inlineStr">
        <is>
          <t>Yes</t>
        </is>
      </c>
      <c r="Q28" s="4" t="n"/>
      <c r="R28" s="6" t="inlineStr">
        <is>
          <t>2016-07-12</t>
        </is>
      </c>
      <c r="S28" s="6" t="inlineStr">
        <is>
          <t>2016-07-14</t>
        </is>
      </c>
      <c r="T28" s="6" t="inlineStr">
        <is>
          <t>2016-07-12</t>
        </is>
      </c>
      <c r="U28" s="4" t="inlineStr">
        <is>
          <t>Reported interval</t>
        </is>
      </c>
      <c r="V28" s="4" t="inlineStr">
        <is>
          <t>Assigned: bound</t>
        </is>
      </c>
      <c r="W28" s="7" t="n"/>
      <c r="X28" s="7" t="n"/>
      <c r="Y28" s="4" t="n"/>
      <c r="Z28" s="4" t="n"/>
      <c r="AA28" s="4" t="n"/>
      <c r="AB28" s="4" t="n"/>
      <c r="AC28" s="7" t="n"/>
      <c r="AD28" s="4" t="n"/>
      <c r="AE28" s="6" t="n"/>
      <c r="AF28" s="4" t="n"/>
      <c r="AG28" s="4" t="n"/>
      <c r="AH28" s="4" t="n"/>
      <c r="AI28" s="4" t="n"/>
      <c r="AJ28" s="4" t="n"/>
      <c r="AK28" s="4" t="inlineStr">
        <is>
          <t>29</t>
        </is>
      </c>
      <c r="AL28" s="4" t="inlineStr">
        <is>
          <t>R024 (NDA), R025 (IOI)</t>
        </is>
      </c>
      <c r="AM28" s="4" t="inlineStr">
        <is>
          <t>PWRR-G&amp;W 2016</t>
        </is>
      </c>
    </row>
    <row r="29">
      <c r="A29" s="3" t="n">
        <v>27</v>
      </c>
      <c r="B29" s="4" t="inlineStr">
        <is>
          <t>07/20/2016</t>
        </is>
      </c>
      <c r="C29" s="4" t="inlineStr">
        <is>
          <t>Process (all potential buyers)</t>
        </is>
      </c>
      <c r="D29" s="4" t="inlineStr">
        <is>
          <t>Deadline</t>
        </is>
      </c>
      <c r="E29" s="3" t="n">
        <v>1</v>
      </c>
      <c r="F29" s="3" t="inlineStr">
        <is>
          <t>2</t>
        </is>
      </c>
      <c r="G29" s="3" t="n"/>
      <c r="H29" s="4" t="inlineStr">
        <is>
          <t>LOI deadline reached; six LOIs were received in late July 2016 (G&amp;W’s dated 07/21/2016) and were considered without any revision of the due date. Treatment: Late bids accepted.</t>
        </is>
      </c>
      <c r="I29" s="3" t="n"/>
      <c r="J29" s="3" t="n"/>
      <c r="K29" s="4" t="inlineStr">
        <is>
          <t>Deadline (stated; treatment convention). Quotes: “In late July 2016, the Company received six LOIs with offer prices per share ranging from $19.20 to $24.00” / “G&amp;W submitted an LOI on July 21, 2016 to acquire the Company for a price of $21.15 per share (subject to a three-week exclusive diligence period)” A bid dated after the 07/20/2016 due date was considered without a revision → Late bids accepted (not Enforced).</t>
        </is>
      </c>
      <c r="L29" s="5">
        <f>HYPERLINK("#Source text!$D$13","P-012; P-014 (main: P-012)")</f>
        <v/>
      </c>
      <c r="M29" s="3" t="inlineStr">
        <is>
          <t>Q2</t>
        </is>
      </c>
      <c r="N29" s="4" t="n"/>
      <c r="O29" s="4" t="inlineStr">
        <is>
          <t>R027</t>
        </is>
      </c>
      <c r="P29" s="4" t="inlineStr">
        <is>
          <t>Yes</t>
        </is>
      </c>
      <c r="Q29" s="4" t="n"/>
      <c r="R29" s="6" t="inlineStr">
        <is>
          <t>2016-07-20</t>
        </is>
      </c>
      <c r="S29" s="6" t="inlineStr">
        <is>
          <t>2016-07-20</t>
        </is>
      </c>
      <c r="T29" s="6" t="inlineStr">
        <is>
          <t>2016-07-20</t>
        </is>
      </c>
      <c r="U29" s="4" t="inlineStr">
        <is>
          <t>Reported day</t>
        </is>
      </c>
      <c r="V29" s="4" t="inlineStr">
        <is>
          <t>Reported</t>
        </is>
      </c>
      <c r="W29" s="7" t="n"/>
      <c r="X29" s="7" t="n"/>
      <c r="Y29" s="4" t="n"/>
      <c r="Z29" s="4" t="n"/>
      <c r="AA29" s="4" t="n"/>
      <c r="AB29" s="4" t="n"/>
      <c r="AC29" s="7" t="n"/>
      <c r="AD29" s="4" t="n"/>
      <c r="AE29" s="6" t="inlineStr">
        <is>
          <t>2016-07-20</t>
        </is>
      </c>
      <c r="AF29" s="4" t="inlineStr">
        <is>
          <t>Late bids accepted</t>
        </is>
      </c>
      <c r="AG29" s="4" t="n"/>
      <c r="AH29" s="4" t="n"/>
      <c r="AI29" s="4" t="n"/>
      <c r="AJ29" s="4" t="n"/>
      <c r="AK29" s="4" t="inlineStr">
        <is>
          <t>29</t>
        </is>
      </c>
      <c r="AL29" s="4" t="n"/>
      <c r="AM29" s="4" t="inlineStr">
        <is>
          <t>PWRR-G&amp;W 2016</t>
        </is>
      </c>
    </row>
    <row r="30">
      <c r="A30" s="3" t="n">
        <v>28</v>
      </c>
      <c r="B30" s="4" t="inlineStr">
        <is>
          <t>late July 2016</t>
        </is>
      </c>
      <c r="C30" s="4" t="inlineStr">
        <is>
          <t>Party B</t>
        </is>
      </c>
      <c r="D30" s="4" t="inlineStr">
        <is>
          <t>Bid</t>
        </is>
      </c>
      <c r="E30" s="3" t="n">
        <v>1</v>
      </c>
      <c r="F30" s="3" t="inlineStr">
        <is>
          <t>2</t>
        </is>
      </c>
      <c r="G30" s="3" t="inlineStr">
        <is>
          <t>Strategic</t>
        </is>
      </c>
      <c r="H30" s="4" t="inlineStr">
        <is>
          <t>LOI at $24.00 per share (as-converted; point), subject to an expedited diligence review; returned mark-ups of the merger agreement and voting agreement with the LOI; highest of the six LOIs; consideration form not stated.</t>
        </is>
      </c>
      <c r="I30" s="3" t="inlineStr">
        <is>
          <t>Formal</t>
        </is>
      </c>
      <c r="J30" s="3" t="inlineStr">
        <is>
          <t>Light</t>
        </is>
      </c>
      <c r="K30" s="4" t="inlineStr">
        <is>
          <t>Bid (stated). Quotes: “Party B submitted an LOI to acquire the Company for a price of $24.00 per share (subject to an expedited diligence review)” / “Party B, G&amp;W and another bidder (“Party D”) also provided mark-ups of the draft merger agreement and voting agreement” Formality: bidder-returned agreement and voting-agreement markups (strong signal 1) → Formal. Conditions: expedited diligence and final documentation only, no Heavy trigger → Light.</t>
        </is>
      </c>
      <c r="L30" s="5">
        <f>HYPERLINK("#Source text!$D$13","P-012; P-013 (main: P-012)")</f>
        <v/>
      </c>
      <c r="M30" s="3" t="inlineStr">
        <is>
          <t>Q6</t>
        </is>
      </c>
      <c r="N30" s="4" t="n"/>
      <c r="O30" s="4" t="inlineStr">
        <is>
          <t>R028</t>
        </is>
      </c>
      <c r="P30" s="4" t="inlineStr">
        <is>
          <t>Yes</t>
        </is>
      </c>
      <c r="Q30" s="4" t="n">
        <v>1</v>
      </c>
      <c r="R30" s="6" t="inlineStr">
        <is>
          <t>2016-07-20</t>
        </is>
      </c>
      <c r="S30" s="6" t="inlineStr">
        <is>
          <t>2016-07-31</t>
        </is>
      </c>
      <c r="T30" s="6" t="inlineStr">
        <is>
          <t>2016-07-20</t>
        </is>
      </c>
      <c r="U30" s="4" t="inlineStr">
        <is>
          <t>Approximate window</t>
        </is>
      </c>
      <c r="V30" s="4" t="inlineStr">
        <is>
          <t>Assigned: deadline</t>
        </is>
      </c>
      <c r="W30" s="7" t="n">
        <v>24</v>
      </c>
      <c r="X30" s="7" t="n">
        <v>24</v>
      </c>
      <c r="Y30" s="4" t="inlineStr">
        <is>
          <t>Point</t>
        </is>
      </c>
      <c r="Z30" s="4" t="inlineStr">
        <is>
          <t>Stated</t>
        </is>
      </c>
      <c r="AA30" s="4" t="inlineStr">
        <is>
          <t>USD</t>
        </is>
      </c>
      <c r="AB30" s="4" t="inlineStr">
        <is>
          <t>Not stated</t>
        </is>
      </c>
      <c r="AC30" s="7" t="n"/>
      <c r="AD30" s="4" t="inlineStr">
        <is>
          <t>Fin: not stated; DD required: confirmatory; DD open: yes; Excl: not stated</t>
        </is>
      </c>
      <c r="AE30" s="6" t="n"/>
      <c r="AF30" s="4" t="n"/>
      <c r="AG30" s="4" t="n"/>
      <c r="AH30" s="4" t="n"/>
      <c r="AI30" s="4" t="n"/>
      <c r="AJ30" s="4" t="n"/>
      <c r="AK30" s="4" t="inlineStr">
        <is>
          <t>29</t>
        </is>
      </c>
      <c r="AL30" s="4" t="n"/>
      <c r="AM30" s="4" t="inlineStr">
        <is>
          <t>PWRR-G&amp;W 2016</t>
        </is>
      </c>
    </row>
    <row r="31">
      <c r="A31" s="3" t="n">
        <v>29</v>
      </c>
      <c r="B31" s="4" t="inlineStr">
        <is>
          <t>late July 2016</t>
        </is>
      </c>
      <c r="C31" s="4" t="inlineStr">
        <is>
          <t>Party E</t>
        </is>
      </c>
      <c r="D31" s="4" t="inlineStr">
        <is>
          <t>Bid</t>
        </is>
      </c>
      <c r="E31" s="3" t="n">
        <v>1</v>
      </c>
      <c r="F31" s="3" t="inlineStr">
        <is>
          <t>2</t>
        </is>
      </c>
      <c r="G31" s="3" t="inlineStr">
        <is>
          <t>Strategic</t>
        </is>
      </c>
      <c r="H31" s="4" t="inlineStr">
        <is>
          <t>LOI at $21.26 per share (as-converted; point), subject to a 60-day exclusivity period for due diligence and negotiation of definitive documentation; provided a summary of material issues and proposed changes to the merger agreement and voting agreement instead of mark-ups.</t>
        </is>
      </c>
      <c r="I31" s="3" t="inlineStr">
        <is>
          <t>Informal</t>
        </is>
      </c>
      <c r="J31" s="3" t="inlineStr">
        <is>
          <t>Heavy</t>
        </is>
      </c>
      <c r="K31" s="4" t="inlineStr">
        <is>
          <t>Bid (stated). Quotes: “Party E (a strategic buyer) submitted an LOI to acquire the Company for a price of $21.26 per share (subject to a 60-day exclusivity period for due diligence and negotiation of definitive documentation)” / “One bidder (“Party E”) provided a summary of material issues and proposed changes to the merger agreement and voting agreement with respect to those issues” Formality: an issues summary is not a returned agreement markup and no other formal signal is reported → Informal under the working default (borderline; Q6). Conditions: stated exclusive, multi-week diligence period → Heavy.</t>
        </is>
      </c>
      <c r="L31" s="5">
        <f>HYPERLINK("#Source text!$D$16","P-015; P-012 (main: P-015)")</f>
        <v/>
      </c>
      <c r="M31" s="3" t="inlineStr">
        <is>
          <t>Q6</t>
        </is>
      </c>
      <c r="N31" s="4" t="n"/>
      <c r="O31" s="4" t="inlineStr">
        <is>
          <t>R029</t>
        </is>
      </c>
      <c r="P31" s="4" t="inlineStr">
        <is>
          <t>Yes</t>
        </is>
      </c>
      <c r="Q31" s="4" t="n">
        <v>1</v>
      </c>
      <c r="R31" s="6" t="inlineStr">
        <is>
          <t>2016-07-20</t>
        </is>
      </c>
      <c r="S31" s="6" t="inlineStr">
        <is>
          <t>2016-07-31</t>
        </is>
      </c>
      <c r="T31" s="6" t="inlineStr">
        <is>
          <t>2016-07-20</t>
        </is>
      </c>
      <c r="U31" s="4" t="inlineStr">
        <is>
          <t>Approximate window</t>
        </is>
      </c>
      <c r="V31" s="4" t="inlineStr">
        <is>
          <t>Assigned: deadline</t>
        </is>
      </c>
      <c r="W31" s="7" t="n">
        <v>21.26</v>
      </c>
      <c r="X31" s="7" t="n">
        <v>21.26</v>
      </c>
      <c r="Y31" s="4" t="inlineStr">
        <is>
          <t>Point</t>
        </is>
      </c>
      <c r="Z31" s="4" t="inlineStr">
        <is>
          <t>Stated</t>
        </is>
      </c>
      <c r="AA31" s="4" t="inlineStr">
        <is>
          <t>USD</t>
        </is>
      </c>
      <c r="AB31" s="4" t="inlineStr">
        <is>
          <t>Not stated</t>
        </is>
      </c>
      <c r="AC31" s="7" t="n"/>
      <c r="AD31" s="4" t="inlineStr">
        <is>
          <t>Fin: not stated; DD required: substantive (60 days); DD open: yes; Excl: requested (60 days)</t>
        </is>
      </c>
      <c r="AE31" s="6" t="n"/>
      <c r="AF31" s="4" t="n"/>
      <c r="AG31" s="4" t="n"/>
      <c r="AH31" s="4" t="n"/>
      <c r="AI31" s="4" t="n"/>
      <c r="AJ31" s="4" t="n"/>
      <c r="AK31" s="4" t="inlineStr">
        <is>
          <t>30</t>
        </is>
      </c>
      <c r="AL31" s="4" t="n"/>
      <c r="AM31" s="4" t="inlineStr">
        <is>
          <t>PWRR-G&amp;W 2016</t>
        </is>
      </c>
    </row>
    <row r="32">
      <c r="A32" s="3" t="n">
        <v>30</v>
      </c>
      <c r="B32" s="4" t="inlineStr">
        <is>
          <t>late July 2016</t>
        </is>
      </c>
      <c r="C32" s="4" t="inlineStr">
        <is>
          <t>Party D</t>
        </is>
      </c>
      <c r="D32" s="4" t="inlineStr">
        <is>
          <t>Bid</t>
        </is>
      </c>
      <c r="E32" s="3" t="n">
        <v>1</v>
      </c>
      <c r="F32" s="3" t="inlineStr">
        <is>
          <t>2</t>
        </is>
      </c>
      <c r="G32" s="3" t="inlineStr">
        <is>
          <t>Financial</t>
        </is>
      </c>
      <c r="H32" s="4" t="inlineStr">
        <is>
          <t>LOI at $21.00 per share (as-converted; point), subject to a four-week diligence period; returned mark-ups of the merger agreement and voting agreement.</t>
        </is>
      </c>
      <c r="I32" s="3" t="inlineStr">
        <is>
          <t>Formal</t>
        </is>
      </c>
      <c r="J32" s="3" t="inlineStr">
        <is>
          <t>Heavy</t>
        </is>
      </c>
      <c r="K32" s="4" t="inlineStr">
        <is>
          <t>Bid (stated). Quotes: “Party D (a financial buyer) submitted an LOI to acquire the Company for a price of $21.00 per share (subject to a four-week diligence period)” / “Party B, G&amp;W and another bidder (“Party D”) also provided mark-ups of the draft merger agreement and voting agreement” Formality: bidder-returned markups → Formal. Conditions: stated multi-week diligence period → Heavy.</t>
        </is>
      </c>
      <c r="L32" s="5">
        <f>HYPERLINK("#Source text!$D$17","P-016; P-012 (main: P-016)")</f>
        <v/>
      </c>
      <c r="M32" s="3" t="inlineStr">
        <is>
          <t>Q6</t>
        </is>
      </c>
      <c r="N32" s="4" t="n"/>
      <c r="O32" s="4" t="inlineStr">
        <is>
          <t>R030</t>
        </is>
      </c>
      <c r="P32" s="4" t="inlineStr">
        <is>
          <t>Yes</t>
        </is>
      </c>
      <c r="Q32" s="4" t="n">
        <v>1</v>
      </c>
      <c r="R32" s="6" t="inlineStr">
        <is>
          <t>2016-07-20</t>
        </is>
      </c>
      <c r="S32" s="6" t="inlineStr">
        <is>
          <t>2016-07-31</t>
        </is>
      </c>
      <c r="T32" s="6" t="inlineStr">
        <is>
          <t>2016-07-20</t>
        </is>
      </c>
      <c r="U32" s="4" t="inlineStr">
        <is>
          <t>Approximate window</t>
        </is>
      </c>
      <c r="V32" s="4" t="inlineStr">
        <is>
          <t>Assigned: deadline</t>
        </is>
      </c>
      <c r="W32" s="7" t="n">
        <v>21</v>
      </c>
      <c r="X32" s="7" t="n">
        <v>21</v>
      </c>
      <c r="Y32" s="4" t="inlineStr">
        <is>
          <t>Point</t>
        </is>
      </c>
      <c r="Z32" s="4" t="inlineStr">
        <is>
          <t>Stated</t>
        </is>
      </c>
      <c r="AA32" s="4" t="inlineStr">
        <is>
          <t>USD</t>
        </is>
      </c>
      <c r="AB32" s="4" t="inlineStr">
        <is>
          <t>Not stated</t>
        </is>
      </c>
      <c r="AC32" s="7" t="n"/>
      <c r="AD32" s="4" t="inlineStr">
        <is>
          <t>Fin: not stated; DD required: substantive (4 wks); DD open: yes; Excl: not stated</t>
        </is>
      </c>
      <c r="AE32" s="6" t="n"/>
      <c r="AF32" s="4" t="n"/>
      <c r="AG32" s="4" t="n"/>
      <c r="AH32" s="4" t="n"/>
      <c r="AI32" s="4" t="n"/>
      <c r="AJ32" s="4" t="n"/>
      <c r="AK32" s="4" t="inlineStr">
        <is>
          <t>30</t>
        </is>
      </c>
      <c r="AL32" s="4" t="n"/>
      <c r="AM32" s="4" t="inlineStr">
        <is>
          <t>PWRR-G&amp;W 2016</t>
        </is>
      </c>
    </row>
    <row r="33">
      <c r="A33" s="3" t="n">
        <v>31</v>
      </c>
      <c r="B33" s="4" t="inlineStr">
        <is>
          <t>late July 2016</t>
        </is>
      </c>
      <c r="C33" s="4" t="inlineStr">
        <is>
          <t>Party C</t>
        </is>
      </c>
      <c r="D33" s="4" t="inlineStr">
        <is>
          <t>Bid</t>
        </is>
      </c>
      <c r="E33" s="3" t="n">
        <v>1</v>
      </c>
      <c r="F33" s="3" t="inlineStr">
        <is>
          <t>2</t>
        </is>
      </c>
      <c r="G33" s="3" t="inlineStr">
        <is>
          <t>Strategic</t>
        </is>
      </c>
      <c r="H33" s="4" t="inlineStr">
        <is>
          <t>LOI at $19.30 per share (as-converted; point), subject to a 30-day diligence period; revises Party C’s 07/12/2016 IOI of $21.00 (R025).</t>
        </is>
      </c>
      <c r="I33" s="3" t="inlineStr">
        <is>
          <t>Informal</t>
        </is>
      </c>
      <c r="J33" s="3" t="inlineStr">
        <is>
          <t>Heavy</t>
        </is>
      </c>
      <c r="K33" s="4" t="inlineStr">
        <is>
          <t>Bid (stated), second Party C bid in Round 2, so Count 0 (section 7.2). Quote: “Party C submitted an LOI to acquire the Company for a price of $19.30 per share (subject to a 30-day diligence period)” Formality: no returned agreement document → Informal. Conditions: stated 30-day diligence period → Heavy.</t>
        </is>
      </c>
      <c r="L33" s="5">
        <f>HYPERLINK("#Source text!$D$18","P-017 (main: P-017)")</f>
        <v/>
      </c>
      <c r="M33" s="3" t="inlineStr">
        <is>
          <t>Q6</t>
        </is>
      </c>
      <c r="N33" s="4" t="n"/>
      <c r="O33" s="4" t="inlineStr">
        <is>
          <t>R031</t>
        </is>
      </c>
      <c r="P33" s="4" t="inlineStr">
        <is>
          <t>Yes</t>
        </is>
      </c>
      <c r="Q33" s="4" t="n">
        <v>0</v>
      </c>
      <c r="R33" s="6" t="inlineStr">
        <is>
          <t>2016-07-20</t>
        </is>
      </c>
      <c r="S33" s="6" t="inlineStr">
        <is>
          <t>2016-07-31</t>
        </is>
      </c>
      <c r="T33" s="6" t="inlineStr">
        <is>
          <t>2016-07-20</t>
        </is>
      </c>
      <c r="U33" s="4" t="inlineStr">
        <is>
          <t>Approximate window</t>
        </is>
      </c>
      <c r="V33" s="4" t="inlineStr">
        <is>
          <t>Assigned: deadline</t>
        </is>
      </c>
      <c r="W33" s="7" t="n">
        <v>19.3</v>
      </c>
      <c r="X33" s="7" t="n">
        <v>19.3</v>
      </c>
      <c r="Y33" s="4" t="inlineStr">
        <is>
          <t>Point</t>
        </is>
      </c>
      <c r="Z33" s="4" t="inlineStr">
        <is>
          <t>Stated</t>
        </is>
      </c>
      <c r="AA33" s="4" t="inlineStr">
        <is>
          <t>USD</t>
        </is>
      </c>
      <c r="AB33" s="4" t="inlineStr">
        <is>
          <t>Not stated</t>
        </is>
      </c>
      <c r="AC33" s="7" t="n"/>
      <c r="AD33" s="4" t="inlineStr">
        <is>
          <t>Fin: not stated; DD required: substantive (30 days); DD open: yes; Excl: not stated</t>
        </is>
      </c>
      <c r="AE33" s="6" t="n"/>
      <c r="AF33" s="4" t="n"/>
      <c r="AG33" s="4" t="n"/>
      <c r="AH33" s="4" t="n"/>
      <c r="AI33" s="4" t="n"/>
      <c r="AJ33" s="4" t="n"/>
      <c r="AK33" s="4" t="inlineStr">
        <is>
          <t>30</t>
        </is>
      </c>
      <c r="AL33" s="4" t="inlineStr">
        <is>
          <t>revises R025</t>
        </is>
      </c>
      <c r="AM33" s="4" t="inlineStr">
        <is>
          <t>PWRR-G&amp;W 2016</t>
        </is>
      </c>
    </row>
    <row r="34">
      <c r="A34" s="3" t="n">
        <v>32</v>
      </c>
      <c r="B34" s="4" t="inlineStr">
        <is>
          <t>late July 2016</t>
        </is>
      </c>
      <c r="C34" s="4" t="inlineStr">
        <is>
          <t>Party F</t>
        </is>
      </c>
      <c r="D34" s="4" t="inlineStr">
        <is>
          <t>Bid</t>
        </is>
      </c>
      <c r="E34" s="3" t="n">
        <v>1</v>
      </c>
      <c r="F34" s="3" t="inlineStr">
        <is>
          <t>2</t>
        </is>
      </c>
      <c r="G34" s="3" t="inlineStr">
        <is>
          <t>Strategic</t>
        </is>
      </c>
      <c r="H34" s="4" t="inlineStr">
        <is>
          <t>LOI at $19.20 per share (as-converted; point), subject to a 30-day due diligence period; lowest of the six LOIs.</t>
        </is>
      </c>
      <c r="I34" s="3" t="inlineStr">
        <is>
          <t>Informal</t>
        </is>
      </c>
      <c r="J34" s="3" t="inlineStr">
        <is>
          <t>Heavy</t>
        </is>
      </c>
      <c r="K34" s="4" t="inlineStr">
        <is>
          <t>Bid (stated). Quote: “Party F (a strategic buyer) submitted an LOI to acquire the Company for a price of $19.20 per share (subject to a 30-day due diligence period)” Formality: no returned agreement document → Informal. Conditions: stated 30-day diligence period → Heavy.</t>
        </is>
      </c>
      <c r="L34" s="5">
        <f>HYPERLINK("#Source text!$D$19","P-018 (main: P-018)")</f>
        <v/>
      </c>
      <c r="M34" s="3" t="inlineStr">
        <is>
          <t>Q6</t>
        </is>
      </c>
      <c r="N34" s="4" t="n"/>
      <c r="O34" s="4" t="inlineStr">
        <is>
          <t>R032</t>
        </is>
      </c>
      <c r="P34" s="4" t="inlineStr">
        <is>
          <t>Yes</t>
        </is>
      </c>
      <c r="Q34" s="4" t="n">
        <v>1</v>
      </c>
      <c r="R34" s="6" t="inlineStr">
        <is>
          <t>2016-07-20</t>
        </is>
      </c>
      <c r="S34" s="6" t="inlineStr">
        <is>
          <t>2016-07-31</t>
        </is>
      </c>
      <c r="T34" s="6" t="inlineStr">
        <is>
          <t>2016-07-20</t>
        </is>
      </c>
      <c r="U34" s="4" t="inlineStr">
        <is>
          <t>Approximate window</t>
        </is>
      </c>
      <c r="V34" s="4" t="inlineStr">
        <is>
          <t>Assigned: deadline</t>
        </is>
      </c>
      <c r="W34" s="7" t="n">
        <v>19.2</v>
      </c>
      <c r="X34" s="7" t="n">
        <v>19.2</v>
      </c>
      <c r="Y34" s="4" t="inlineStr">
        <is>
          <t>Point</t>
        </is>
      </c>
      <c r="Z34" s="4" t="inlineStr">
        <is>
          <t>Stated</t>
        </is>
      </c>
      <c r="AA34" s="4" t="inlineStr">
        <is>
          <t>USD</t>
        </is>
      </c>
      <c r="AB34" s="4" t="inlineStr">
        <is>
          <t>Not stated</t>
        </is>
      </c>
      <c r="AC34" s="7" t="n"/>
      <c r="AD34" s="4" t="inlineStr">
        <is>
          <t>Fin: not stated; DD required: substantive (30 days); DD open: yes; Excl: not stated</t>
        </is>
      </c>
      <c r="AE34" s="6" t="n"/>
      <c r="AF34" s="4" t="n"/>
      <c r="AG34" s="4" t="n"/>
      <c r="AH34" s="4" t="n"/>
      <c r="AI34" s="4" t="n"/>
      <c r="AJ34" s="4" t="n"/>
      <c r="AK34" s="4" t="inlineStr">
        <is>
          <t>30</t>
        </is>
      </c>
      <c r="AL34" s="4" t="n"/>
      <c r="AM34" s="4" t="inlineStr">
        <is>
          <t>PWRR-G&amp;W 2016</t>
        </is>
      </c>
    </row>
    <row r="35">
      <c r="A35" s="3" t="n">
        <v>33</v>
      </c>
      <c r="B35" s="4" t="inlineStr">
        <is>
          <t>by 07/20/2016</t>
        </is>
      </c>
      <c r="C35" s="4" t="inlineStr">
        <is>
          <t>One unnamed strategic bidder (of the seven advancing)</t>
        </is>
      </c>
      <c r="D35" s="4" t="inlineStr">
        <is>
          <t>Did not submit</t>
        </is>
      </c>
      <c r="E35" s="3" t="n">
        <v>1</v>
      </c>
      <c r="F35" s="3" t="inlineStr">
        <is>
          <t>2</t>
        </is>
      </c>
      <c r="G35" s="3" t="inlineStr">
        <is>
          <t>Strategic</t>
        </is>
      </c>
      <c r="H35" s="4" t="inlineStr">
        <is>
          <t>Elected not to submit an LOI in the 07/20/2016 solicitation despite advancing to management presentations and data-site diligence; Decided by: Bidder; not necessarily a permanent withdrawal. Count 1 = the one unnamed strategic non-submitter.</t>
        </is>
      </c>
      <c r="I35" s="3" t="n"/>
      <c r="J35" s="3" t="n"/>
      <c r="K35" s="4" t="inlineStr">
        <is>
          <t>Did not submit (stated): “One strategic buyer and one financial buyer elected not to submit an LOI” The two non-submitters are the arithmetic remainder of the seven advancing bidders after the five of them that submitted LOIs; the six-LOI receipt is reported at “In late July 2016, the Company received six LOIs with offer prices per share ranging from $19.20 to $24.00” (P-012).</t>
        </is>
      </c>
      <c r="L35" s="5">
        <f>HYPERLINK("#Source text!$D$13","P-012; P-019 (main: P-012)")</f>
        <v/>
      </c>
      <c r="M35" s="3" t="inlineStr">
        <is>
          <t>Q4</t>
        </is>
      </c>
      <c r="N35" s="4" t="n"/>
      <c r="O35" s="4" t="inlineStr">
        <is>
          <t>R033</t>
        </is>
      </c>
      <c r="P35" s="4" t="inlineStr">
        <is>
          <t>Yes</t>
        </is>
      </c>
      <c r="Q35" s="4" t="n">
        <v>1</v>
      </c>
      <c r="R35" s="6" t="n"/>
      <c r="S35" s="6" t="inlineStr">
        <is>
          <t>2016-07-20</t>
        </is>
      </c>
      <c r="T35" s="6" t="inlineStr">
        <is>
          <t>2016-07-20</t>
        </is>
      </c>
      <c r="U35" s="4" t="inlineStr">
        <is>
          <t>Relative only</t>
        </is>
      </c>
      <c r="V35" s="4" t="inlineStr">
        <is>
          <t>Assigned: deadline</t>
        </is>
      </c>
      <c r="W35" s="7" t="n"/>
      <c r="X35" s="7" t="n"/>
      <c r="Y35" s="4" t="n"/>
      <c r="Z35" s="4" t="n"/>
      <c r="AA35" s="4" t="n"/>
      <c r="AB35" s="4" t="n"/>
      <c r="AC35" s="7" t="n"/>
      <c r="AD35" s="4" t="n"/>
      <c r="AE35" s="6" t="n"/>
      <c r="AF35" s="4" t="n"/>
      <c r="AG35" s="4" t="n"/>
      <c r="AH35" s="4" t="inlineStr">
        <is>
          <t>Bidder</t>
        </is>
      </c>
      <c r="AI35" s="4" t="inlineStr">
        <is>
          <t>Not stated</t>
        </is>
      </c>
      <c r="AJ35" s="4" t="inlineStr">
        <is>
          <t>Stated</t>
        </is>
      </c>
      <c r="AK35" s="4" t="inlineStr">
        <is>
          <t>29</t>
        </is>
      </c>
      <c r="AL35" s="4" t="n"/>
      <c r="AM35" s="4" t="inlineStr">
        <is>
          <t>PWRR-G&amp;W 2016</t>
        </is>
      </c>
    </row>
    <row r="36">
      <c r="A36" s="3" t="n">
        <v>34</v>
      </c>
      <c r="B36" s="4" t="inlineStr">
        <is>
          <t>by 07/20/2016</t>
        </is>
      </c>
      <c r="C36" s="4" t="inlineStr">
        <is>
          <t>One unnamed financial bidder (of the seven advancing)</t>
        </is>
      </c>
      <c r="D36" s="4" t="inlineStr">
        <is>
          <t>Did not submit</t>
        </is>
      </c>
      <c r="E36" s="3" t="n">
        <v>1</v>
      </c>
      <c r="F36" s="3" t="inlineStr">
        <is>
          <t>2</t>
        </is>
      </c>
      <c r="G36" s="3" t="inlineStr">
        <is>
          <t>Financial</t>
        </is>
      </c>
      <c r="H36" s="4" t="inlineStr">
        <is>
          <t>Elected not to submit an LOI in the 07/20/2016 solicitation despite advancing to management presentations and data-site diligence; Decided by: Bidder; not necessarily a permanent withdrawal. Count 1 = the one unnamed financial non-submitter.</t>
        </is>
      </c>
      <c r="I36" s="3" t="n"/>
      <c r="J36" s="3" t="n"/>
      <c r="K36" s="4" t="inlineStr">
        <is>
          <t>Did not submit (stated): “One strategic buyer and one financial buyer elected not to submit an LOI” The six-LOI receipt is reported at “In late July 2016, the Company received six LOIs with offer prices per share ranging from $19.20 to $24.00” (P-012).</t>
        </is>
      </c>
      <c r="L36" s="5">
        <f>HYPERLINK("#Source text!$D$13","P-012; P-019 (main: P-012)")</f>
        <v/>
      </c>
      <c r="M36" s="3" t="inlineStr">
        <is>
          <t>Q4</t>
        </is>
      </c>
      <c r="N36" s="4" t="n"/>
      <c r="O36" s="4" t="inlineStr">
        <is>
          <t>R034</t>
        </is>
      </c>
      <c r="P36" s="4" t="inlineStr">
        <is>
          <t>Yes</t>
        </is>
      </c>
      <c r="Q36" s="4" t="n">
        <v>1</v>
      </c>
      <c r="R36" s="6" t="n"/>
      <c r="S36" s="6" t="inlineStr">
        <is>
          <t>2016-07-20</t>
        </is>
      </c>
      <c r="T36" s="6" t="inlineStr">
        <is>
          <t>2016-07-20</t>
        </is>
      </c>
      <c r="U36" s="4" t="inlineStr">
        <is>
          <t>Relative only</t>
        </is>
      </c>
      <c r="V36" s="4" t="inlineStr">
        <is>
          <t>Assigned: deadline</t>
        </is>
      </c>
      <c r="W36" s="7" t="n"/>
      <c r="X36" s="7" t="n"/>
      <c r="Y36" s="4" t="n"/>
      <c r="Z36" s="4" t="n"/>
      <c r="AA36" s="4" t="n"/>
      <c r="AB36" s="4" t="n"/>
      <c r="AC36" s="7" t="n"/>
      <c r="AD36" s="4" t="n"/>
      <c r="AE36" s="6" t="n"/>
      <c r="AF36" s="4" t="n"/>
      <c r="AG36" s="4" t="n"/>
      <c r="AH36" s="4" t="inlineStr">
        <is>
          <t>Bidder</t>
        </is>
      </c>
      <c r="AI36" s="4" t="inlineStr">
        <is>
          <t>Not stated</t>
        </is>
      </c>
      <c r="AJ36" s="4" t="inlineStr">
        <is>
          <t>Stated</t>
        </is>
      </c>
      <c r="AK36" s="4" t="inlineStr">
        <is>
          <t>29</t>
        </is>
      </c>
      <c r="AL36" s="4" t="n"/>
      <c r="AM36" s="4" t="inlineStr">
        <is>
          <t>PWRR-G&amp;W 2016</t>
        </is>
      </c>
    </row>
    <row r="37">
      <c r="A37" s="3" t="n">
        <v>35</v>
      </c>
      <c r="B37" s="4" t="inlineStr">
        <is>
          <t>by 07/20/2016</t>
        </is>
      </c>
      <c r="C37" s="4" t="inlineStr">
        <is>
          <t>Party A (identity row)</t>
        </is>
      </c>
      <c r="D37" s="4" t="inlineStr">
        <is>
          <t>Did not submit</t>
        </is>
      </c>
      <c r="E37" s="3" t="n">
        <v>1</v>
      </c>
      <c r="F37" s="3" t="inlineStr">
        <is>
          <t>2</t>
        </is>
      </c>
      <c r="G37" s="3" t="inlineStr">
        <is>
          <t>Strategic</t>
        </is>
      </c>
      <c r="H37" s="4" t="inlineStr">
        <is>
          <t>Inferred: identity — Party A is not among the six named LOI submitters, the first continuing set the filing identifies by name; the row records only that Party A was out by this transition, not which anonymous exit was its own. Count 0. Covering cohorts that could already count it: R033 (unnamed strategic LOI non-submitter — recommended reading), R020 (16 residual non-submitters, which would place it at 05/19/2016), R022 (two low bidders). See Q4/Q5. No counts moved from a cohort to this name.</t>
        </is>
      </c>
      <c r="I37" s="3" t="n"/>
      <c r="J37" s="3" t="n"/>
      <c r="K37" s="4" t="inlineStr">
        <is>
          <t>Inferred: identity (section 10.2): Party A is introduced in Q4 2015, named among the memorandum recipients, and never mentioned again; the first named continuing set without it is the six LOI submitters: “In late July 2016, the Company received six LOIs with offer prices per share ranging from $19.20 to $24.00” (P-012). Other quotes: “including Party A, Party B and G&amp;W, that had executed confidentiality agreements” / “proceed with confirmatory due diligence and negotiations with G&amp;W and Party B because of the higher offers made by each of G&amp;W and Party B relative to the other potential buyers”</t>
        </is>
      </c>
      <c r="L37" s="5">
        <f>HYPERLINK("#Source text!$D$8","P-007; P-012; P-020 (main: P-007)")</f>
        <v/>
      </c>
      <c r="M37" s="3" t="inlineStr">
        <is>
          <t>Q4; Q5</t>
        </is>
      </c>
      <c r="N37" s="4" t="n"/>
      <c r="O37" s="4" t="inlineStr">
        <is>
          <t>R035</t>
        </is>
      </c>
      <c r="P37" s="4" t="inlineStr">
        <is>
          <t>Yes</t>
        </is>
      </c>
      <c r="Q37" s="4" t="n">
        <v>0</v>
      </c>
      <c r="R37" s="6" t="n"/>
      <c r="S37" s="6" t="inlineStr">
        <is>
          <t>2016-07-20</t>
        </is>
      </c>
      <c r="T37" s="6" t="inlineStr">
        <is>
          <t>2016-07-20</t>
        </is>
      </c>
      <c r="U37" s="4" t="inlineStr">
        <is>
          <t>Relative only</t>
        </is>
      </c>
      <c r="V37" s="4" t="inlineStr">
        <is>
          <t>Assigned: deadline</t>
        </is>
      </c>
      <c r="W37" s="7" t="n"/>
      <c r="X37" s="7" t="n"/>
      <c r="Y37" s="4" t="n"/>
      <c r="Z37" s="4" t="n"/>
      <c r="AA37" s="4" t="n"/>
      <c r="AB37" s="4" t="n"/>
      <c r="AC37" s="7" t="n"/>
      <c r="AD37" s="4" t="n"/>
      <c r="AE37" s="6" t="n"/>
      <c r="AF37" s="4" t="n"/>
      <c r="AG37" s="4" t="n"/>
      <c r="AH37" s="4" t="inlineStr">
        <is>
          <t>Unknown</t>
        </is>
      </c>
      <c r="AI37" s="4" t="inlineStr">
        <is>
          <t>Not stated</t>
        </is>
      </c>
      <c r="AJ37" s="4" t="inlineStr">
        <is>
          <t>Inferred: identity</t>
        </is>
      </c>
      <c r="AK37" s="4" t="inlineStr">
        <is>
          <t>28</t>
        </is>
      </c>
      <c r="AL37" s="4" t="n"/>
      <c r="AM37" s="4" t="inlineStr">
        <is>
          <t>PWRR-G&amp;W 2016</t>
        </is>
      </c>
    </row>
    <row r="38">
      <c r="A38" s="3" t="n">
        <v>36</v>
      </c>
      <c r="B38" s="4" t="inlineStr">
        <is>
          <t>07/21/2016</t>
        </is>
      </c>
      <c r="C38" s="4" t="inlineStr">
        <is>
          <t>G&amp;W</t>
        </is>
      </c>
      <c r="D38" s="4" t="inlineStr">
        <is>
          <t>Bid</t>
        </is>
      </c>
      <c r="E38" s="3" t="n">
        <v>1</v>
      </c>
      <c r="F38" s="3" t="inlineStr">
        <is>
          <t>2</t>
        </is>
      </c>
      <c r="G38" s="3" t="inlineStr">
        <is>
          <t>Strategic</t>
        </is>
      </c>
      <c r="H38" s="4" t="inlineStr">
        <is>
          <t>LOI at $21.15 per share (as-converted; point) = $20.02 cash at closing plus a $1.13 contingent value right tied to the subsequent sale of the Company’s South Quay property (cash-settled CVR; payoff uncertain), subject to a three-week exclusive diligence period; also returned a mark-up of the disclosure letter; submitted one day after the 07/20/2016 due date.</t>
        </is>
      </c>
      <c r="I38" s="3" t="inlineStr">
        <is>
          <t>Formal</t>
        </is>
      </c>
      <c r="J38" s="3" t="inlineStr">
        <is>
          <t>Heavy</t>
        </is>
      </c>
      <c r="K38" s="4" t="inlineStr">
        <is>
          <t>Bid (stated; the payment split is preserved). Quotes: “G&amp;W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 “G&amp;W also provided a mark-up of the disclosure letter” Formality: returned transaction-document markup plus engagement with definitive terms → Formal. Conditions: stated three-week exclusive diligence period → Heavy. All cash: Yes (cash plus a contingent cash payment).</t>
        </is>
      </c>
      <c r="L38" s="5">
        <f>HYPERLINK("#Source text!$D$15","P-014 (main: P-014)")</f>
        <v/>
      </c>
      <c r="M38" s="3" t="inlineStr">
        <is>
          <t>Q6; Q8</t>
        </is>
      </c>
      <c r="N38" s="4" t="n"/>
      <c r="O38" s="4" t="inlineStr">
        <is>
          <t>R036</t>
        </is>
      </c>
      <c r="P38" s="4" t="inlineStr">
        <is>
          <t>Yes</t>
        </is>
      </c>
      <c r="Q38" s="4" t="n">
        <v>1</v>
      </c>
      <c r="R38" s="6" t="inlineStr">
        <is>
          <t>2016-07-21</t>
        </is>
      </c>
      <c r="S38" s="6" t="inlineStr">
        <is>
          <t>2016-07-21</t>
        </is>
      </c>
      <c r="T38" s="6" t="inlineStr">
        <is>
          <t>2016-07-21</t>
        </is>
      </c>
      <c r="U38" s="4" t="inlineStr">
        <is>
          <t>Reported day</t>
        </is>
      </c>
      <c r="V38" s="4" t="inlineStr">
        <is>
          <t>Reported</t>
        </is>
      </c>
      <c r="W38" s="7" t="n">
        <v>21.15</v>
      </c>
      <c r="X38" s="7" t="n">
        <v>21.15</v>
      </c>
      <c r="Y38" s="4" t="inlineStr">
        <is>
          <t>Point</t>
        </is>
      </c>
      <c r="Z38" s="4" t="inlineStr">
        <is>
          <t>Stated</t>
        </is>
      </c>
      <c r="AA38" s="4" t="inlineStr">
        <is>
          <t>USD</t>
        </is>
      </c>
      <c r="AB38" s="4" t="inlineStr">
        <is>
          <t>Yes</t>
        </is>
      </c>
      <c r="AC38" s="7" t="n">
        <v>20.02</v>
      </c>
      <c r="AD38" s="4" t="inlineStr">
        <is>
          <t>Fin: not stated; DD required: substantive (3 wks); DD open: yes; Excl: requested (3 wks)</t>
        </is>
      </c>
      <c r="AE38" s="6" t="n"/>
      <c r="AF38" s="4" t="n"/>
      <c r="AG38" s="4" t="n"/>
      <c r="AH38" s="4" t="n"/>
      <c r="AI38" s="4" t="n"/>
      <c r="AJ38" s="4" t="n"/>
      <c r="AK38" s="4" t="inlineStr">
        <is>
          <t>29</t>
        </is>
      </c>
      <c r="AL38" s="4" t="inlineStr">
        <is>
          <t>revised by R037</t>
        </is>
      </c>
      <c r="AM38" s="4" t="inlineStr">
        <is>
          <t>PWRR-G&amp;W 2016</t>
        </is>
      </c>
    </row>
    <row r="39">
      <c r="A39" s="3" t="n">
        <v>37</v>
      </c>
      <c r="B39" s="4" t="inlineStr">
        <is>
          <t>07/26/2016</t>
        </is>
      </c>
      <c r="C39" s="4" t="inlineStr">
        <is>
          <t>G&amp;W</t>
        </is>
      </c>
      <c r="D39" s="4" t="inlineStr">
        <is>
          <t>Bid</t>
        </is>
      </c>
      <c r="E39" s="3" t="n">
        <v>1</v>
      </c>
      <c r="F39" s="3" t="inlineStr">
        <is>
          <t>2</t>
        </is>
      </c>
      <c r="G39" s="3" t="inlineStr">
        <is>
          <t>Strategic</t>
        </is>
      </c>
      <c r="H39" s="4" t="inlineStr">
        <is>
          <t>Revised LOI at $22.15 per share (as-converted; point) = $21.02 cash plus the unchanged $1.13 South Quay CVR, submitted after GHF feedback that its price and CVR structure were not competitive; second G&amp;W bid in Round 2, so Count 0.</t>
        </is>
      </c>
      <c r="I39" s="3" t="inlineStr">
        <is>
          <t>Formal</t>
        </is>
      </c>
      <c r="J39" s="3" t="inlineStr">
        <is>
          <t>Heavy</t>
        </is>
      </c>
      <c r="K39" s="4" t="inlineStr">
        <is>
          <t>Bid (stated price revision; section 9.1 keeps revisions as Bid rows). Quote: “On July 26, 2016, in response to feedback from representatives of GHF indicating its price and CVR structure were not competitive, G&amp;W submitted a revised LOI, which increased its offer to $22.15 per share” Conditions unchanged: three-week exclusive diligence period → Heavy.</t>
        </is>
      </c>
      <c r="L39" s="5">
        <f>HYPERLINK("#Source text!$D$15","P-014 (main: P-014)")</f>
        <v/>
      </c>
      <c r="M39" s="3" t="inlineStr">
        <is>
          <t>Q6; Q8</t>
        </is>
      </c>
      <c r="N39" s="4" t="n"/>
      <c r="O39" s="4" t="inlineStr">
        <is>
          <t>R037</t>
        </is>
      </c>
      <c r="P39" s="4" t="inlineStr">
        <is>
          <t>Yes</t>
        </is>
      </c>
      <c r="Q39" s="4" t="n">
        <v>0</v>
      </c>
      <c r="R39" s="6" t="inlineStr">
        <is>
          <t>2016-07-26</t>
        </is>
      </c>
      <c r="S39" s="6" t="inlineStr">
        <is>
          <t>2016-07-26</t>
        </is>
      </c>
      <c r="T39" s="6" t="inlineStr">
        <is>
          <t>2016-07-26</t>
        </is>
      </c>
      <c r="U39" s="4" t="inlineStr">
        <is>
          <t>Reported day</t>
        </is>
      </c>
      <c r="V39" s="4" t="inlineStr">
        <is>
          <t>Reported</t>
        </is>
      </c>
      <c r="W39" s="7" t="n">
        <v>22.15</v>
      </c>
      <c r="X39" s="7" t="n">
        <v>22.15</v>
      </c>
      <c r="Y39" s="4" t="inlineStr">
        <is>
          <t>Point</t>
        </is>
      </c>
      <c r="Z39" s="4" t="inlineStr">
        <is>
          <t>Stated</t>
        </is>
      </c>
      <c r="AA39" s="4" t="inlineStr">
        <is>
          <t>USD</t>
        </is>
      </c>
      <c r="AB39" s="4" t="inlineStr">
        <is>
          <t>Yes</t>
        </is>
      </c>
      <c r="AC39" s="7" t="n">
        <v>21.02</v>
      </c>
      <c r="AD39" s="4" t="inlineStr">
        <is>
          <t>Fin: not stated; DD required: substantive (3 wks); DD open: yes; Excl: requested (3 wks)</t>
        </is>
      </c>
      <c r="AE39" s="6" t="n"/>
      <c r="AF39" s="4" t="n"/>
      <c r="AG39" s="4" t="n"/>
      <c r="AH39" s="4" t="n"/>
      <c r="AI39" s="4" t="n"/>
      <c r="AJ39" s="4" t="n"/>
      <c r="AK39" s="4" t="inlineStr">
        <is>
          <t>29</t>
        </is>
      </c>
      <c r="AL39" s="4" t="inlineStr">
        <is>
          <t>revises R036</t>
        </is>
      </c>
      <c r="AM39" s="4" t="inlineStr">
        <is>
          <t>PWRR-G&amp;W 2016</t>
        </is>
      </c>
    </row>
    <row r="40">
      <c r="A40" s="3" t="n">
        <v>38</v>
      </c>
      <c r="B40" s="4" t="inlineStr">
        <is>
          <t>07/27/2016</t>
        </is>
      </c>
      <c r="C40" s="4" t="inlineStr">
        <is>
          <t>Transaction Committee (in person after the regular quarterly Board meeting)</t>
        </is>
      </c>
      <c r="D40" s="4" t="inlineStr">
        <is>
          <t>Target decision</t>
        </is>
      </c>
      <c r="E40" s="3" t="n">
        <v>1</v>
      </c>
      <c r="F40" s="3" t="inlineStr">
        <is>
          <t>2</t>
        </is>
      </c>
      <c r="G40" s="3" t="n"/>
      <c r="H40" s="4" t="inlineStr">
        <is>
          <t>Concluded that the Company should proceed with confirmatory due diligence and negotiations with G&amp;W and Party B because of their higher offers, and directed that the remaining bidders be told they were no longer involved; independent directors updated (Director Smith recused because GATX Corporation, which he serves and which holds 4.92% of the common stock, might be a potential buyer).</t>
        </is>
      </c>
      <c r="I40" s="3" t="n"/>
      <c r="J40" s="3" t="n"/>
      <c r="K40" s="4" t="inlineStr">
        <is>
          <t>Target decision (stated): selection of two finalists and exclusion of the rest in one shared decision. Quotes: “The Transaction Committee concluded that the Company should proceed with confirmatory due diligence and negotiations with G&amp;W and Party B because of the higher offers made by each of G&amp;W and Party B relative to the other potential buyers” / “representatives of GHF subsequently contacted the remaining bidders to inform them that they were no longer involved in the process” / “Director Smith is Vice President and Group Executive, Locomotive Group of GATX Corporation (“GATX”), which owns 4.92% of the Company’s common stock. In order to avoid any potential conflict, Mr. Smith elected to recuse himself from participating in this and other Board meetings at which the bidding process and any potential transaction were to be discussed because of the possibility that GATX might be a potential buyer of the Company”</t>
        </is>
      </c>
      <c r="L40" s="5">
        <f>HYPERLINK("#Source text!$D$21","P-020 (main: P-020)")</f>
        <v/>
      </c>
      <c r="M40" s="3" t="inlineStr">
        <is>
          <t>Q1</t>
        </is>
      </c>
      <c r="N40" s="4" t="n"/>
      <c r="O40" s="4" t="inlineStr">
        <is>
          <t>R038</t>
        </is>
      </c>
      <c r="P40" s="4" t="inlineStr">
        <is>
          <t>Yes</t>
        </is>
      </c>
      <c r="Q40" s="4" t="n"/>
      <c r="R40" s="6" t="inlineStr">
        <is>
          <t>2016-07-27</t>
        </is>
      </c>
      <c r="S40" s="6" t="inlineStr">
        <is>
          <t>2016-07-27</t>
        </is>
      </c>
      <c r="T40" s="6" t="inlineStr">
        <is>
          <t>2016-07-27</t>
        </is>
      </c>
      <c r="U40" s="4" t="inlineStr">
        <is>
          <t>Reported day</t>
        </is>
      </c>
      <c r="V40" s="4" t="inlineStr">
        <is>
          <t>Reported</t>
        </is>
      </c>
      <c r="W40" s="7" t="n"/>
      <c r="X40" s="7" t="n"/>
      <c r="Y40" s="4" t="n"/>
      <c r="Z40" s="4" t="n"/>
      <c r="AA40" s="4" t="n"/>
      <c r="AB40" s="4" t="n"/>
      <c r="AC40" s="7" t="n"/>
      <c r="AD40" s="4" t="n"/>
      <c r="AE40" s="6" t="n"/>
      <c r="AF40" s="4" t="n"/>
      <c r="AG40" s="4" t="n"/>
      <c r="AH40" s="4" t="n"/>
      <c r="AI40" s="4" t="n"/>
      <c r="AJ40" s="4" t="n"/>
      <c r="AK40" s="4" t="inlineStr">
        <is>
          <t>30</t>
        </is>
      </c>
      <c r="AL40" s="4" t="inlineStr">
        <is>
          <t>closes R023; drops R039–R042; R043</t>
        </is>
      </c>
      <c r="AM40" s="4" t="inlineStr">
        <is>
          <t>PWRR-G&amp;W 2016</t>
        </is>
      </c>
    </row>
    <row r="41">
      <c r="A41" s="3" t="n">
        <v>39</v>
      </c>
      <c r="B41" s="4" t="inlineStr">
        <is>
          <t>after 07/27/2016; day not disclosed</t>
        </is>
      </c>
      <c r="C41" s="4" t="inlineStr">
        <is>
          <t>Party C</t>
        </is>
      </c>
      <c r="D41" s="4" t="inlineStr">
        <is>
          <t>Dropped by target</t>
        </is>
      </c>
      <c r="E41" s="3" t="n">
        <v>1</v>
      </c>
      <c r="F41" s="3" t="inlineStr">
        <is>
          <t>2</t>
        </is>
      </c>
      <c r="G41" s="3" t="inlineStr">
        <is>
          <t>Strategic</t>
        </is>
      </c>
      <c r="H41" s="4" t="inlineStr">
        <is>
          <t>Told after the 07/27/2016 selection that it was no longer involved in the process; stage left: Round 2 (the selection stage); Decided by: Target; Exit reason: Lower offer than rivals (the higher offers of G&amp;W and Party B).</t>
        </is>
      </c>
      <c r="I41" s="3" t="n"/>
      <c r="J41" s="3" t="n"/>
      <c r="K41" s="4" t="inlineStr">
        <is>
          <t>Dropped by target (stated as to the group; individual identification of the remaining bidders follows their LOI participation — all six LOI submitters except G&amp;W and Party B). Quote: “representatives of GHF subsequently contacted the remaining bidders to inform them that they were no longer involved in the process” The notification is undated and follows the decision; assigned to the decision day.</t>
        </is>
      </c>
      <c r="L41" s="5">
        <f>HYPERLINK("#Source text!$D$21","P-020 (main: P-020)")</f>
        <v/>
      </c>
      <c r="M41" s="3" t="n"/>
      <c r="N41" s="4" t="n"/>
      <c r="O41" s="4" t="inlineStr">
        <is>
          <t>R039</t>
        </is>
      </c>
      <c r="P41" s="4" t="inlineStr">
        <is>
          <t>Yes</t>
        </is>
      </c>
      <c r="Q41" s="4" t="n">
        <v>1</v>
      </c>
      <c r="R41" s="6" t="n"/>
      <c r="S41" s="6" t="inlineStr">
        <is>
          <t>2016-07-27</t>
        </is>
      </c>
      <c r="T41" s="6" t="inlineStr">
        <is>
          <t>2016-07-27</t>
        </is>
      </c>
      <c r="U41" s="4" t="inlineStr">
        <is>
          <t>Relative only</t>
        </is>
      </c>
      <c r="V41" s="4" t="inlineStr">
        <is>
          <t>Assigned: decision day</t>
        </is>
      </c>
      <c r="W41" s="7" t="n"/>
      <c r="X41" s="7" t="n"/>
      <c r="Y41" s="4" t="n"/>
      <c r="Z41" s="4" t="n"/>
      <c r="AA41" s="4" t="n"/>
      <c r="AB41" s="4" t="n"/>
      <c r="AC41" s="7" t="n"/>
      <c r="AD41" s="4" t="n"/>
      <c r="AE41" s="6" t="n"/>
      <c r="AF41" s="4" t="n"/>
      <c r="AG41" s="4" t="n"/>
      <c r="AH41" s="4" t="inlineStr">
        <is>
          <t>Target</t>
        </is>
      </c>
      <c r="AI41" s="4" t="inlineStr">
        <is>
          <t>Lower offer than rivals</t>
        </is>
      </c>
      <c r="AJ41" s="4" t="inlineStr">
        <is>
          <t>Stated</t>
        </is>
      </c>
      <c r="AK41" s="4" t="inlineStr">
        <is>
          <t>30</t>
        </is>
      </c>
      <c r="AL41" s="4" t="inlineStr">
        <is>
          <t>selection R038; earlier bid R031</t>
        </is>
      </c>
      <c r="AM41" s="4" t="inlineStr">
        <is>
          <t>PWRR-G&amp;W 2016</t>
        </is>
      </c>
    </row>
    <row r="42">
      <c r="A42" s="3" t="n">
        <v>40</v>
      </c>
      <c r="B42" s="4" t="inlineStr">
        <is>
          <t>after 07/27/2016; day not disclosed</t>
        </is>
      </c>
      <c r="C42" s="4" t="inlineStr">
        <is>
          <t>Party D</t>
        </is>
      </c>
      <c r="D42" s="4" t="inlineStr">
        <is>
          <t>Dropped by target</t>
        </is>
      </c>
      <c r="E42" s="3" t="n">
        <v>1</v>
      </c>
      <c r="F42" s="3" t="inlineStr">
        <is>
          <t>2</t>
        </is>
      </c>
      <c r="G42" s="3" t="inlineStr">
        <is>
          <t>Financial</t>
        </is>
      </c>
      <c r="H42" s="4" t="inlineStr">
        <is>
          <t>Told after the 07/27/2016 selection that it was no longer involved in the process; stage left: Round 2 (the selection stage); Decided by: Target; Exit reason: Lower offer than rivals (the higher offers of G&amp;W and Party B).</t>
        </is>
      </c>
      <c r="I42" s="3" t="n"/>
      <c r="J42" s="3" t="n"/>
      <c r="K42" s="4" t="inlineStr">
        <is>
          <t>Dropped by target (stated as to the group; individual identification of the remaining bidders follows their LOI participation — all six LOI submitters except G&amp;W and Party B). Quote: “representatives of GHF subsequently contacted the remaining bidders to inform them that they were no longer involved in the process” The notification is undated and follows the decision; assigned to the decision day.</t>
        </is>
      </c>
      <c r="L42" s="5">
        <f>HYPERLINK("#Source text!$D$21","P-020 (main: P-020)")</f>
        <v/>
      </c>
      <c r="M42" s="3" t="n"/>
      <c r="N42" s="4" t="n"/>
      <c r="O42" s="4" t="inlineStr">
        <is>
          <t>R040</t>
        </is>
      </c>
      <c r="P42" s="4" t="inlineStr">
        <is>
          <t>Yes</t>
        </is>
      </c>
      <c r="Q42" s="4" t="n">
        <v>1</v>
      </c>
      <c r="R42" s="6" t="n"/>
      <c r="S42" s="6" t="inlineStr">
        <is>
          <t>2016-07-27</t>
        </is>
      </c>
      <c r="T42" s="6" t="inlineStr">
        <is>
          <t>2016-07-27</t>
        </is>
      </c>
      <c r="U42" s="4" t="inlineStr">
        <is>
          <t>Relative only</t>
        </is>
      </c>
      <c r="V42" s="4" t="inlineStr">
        <is>
          <t>Assigned: decision day</t>
        </is>
      </c>
      <c r="W42" s="7" t="n"/>
      <c r="X42" s="7" t="n"/>
      <c r="Y42" s="4" t="n"/>
      <c r="Z42" s="4" t="n"/>
      <c r="AA42" s="4" t="n"/>
      <c r="AB42" s="4" t="n"/>
      <c r="AC42" s="7" t="n"/>
      <c r="AD42" s="4" t="n"/>
      <c r="AE42" s="6" t="n"/>
      <c r="AF42" s="4" t="n"/>
      <c r="AG42" s="4" t="n"/>
      <c r="AH42" s="4" t="inlineStr">
        <is>
          <t>Target</t>
        </is>
      </c>
      <c r="AI42" s="4" t="inlineStr">
        <is>
          <t>Lower offer than rivals</t>
        </is>
      </c>
      <c r="AJ42" s="4" t="inlineStr">
        <is>
          <t>Stated</t>
        </is>
      </c>
      <c r="AK42" s="4" t="inlineStr">
        <is>
          <t>30</t>
        </is>
      </c>
      <c r="AL42" s="4" t="inlineStr">
        <is>
          <t>selection R038; earlier bid R030</t>
        </is>
      </c>
      <c r="AM42" s="4" t="inlineStr">
        <is>
          <t>PWRR-G&amp;W 2016</t>
        </is>
      </c>
    </row>
    <row r="43">
      <c r="A43" s="3" t="n">
        <v>41</v>
      </c>
      <c r="B43" s="4" t="inlineStr">
        <is>
          <t>after 07/27/2016; day not disclosed</t>
        </is>
      </c>
      <c r="C43" s="4" t="inlineStr">
        <is>
          <t>Party E</t>
        </is>
      </c>
      <c r="D43" s="4" t="inlineStr">
        <is>
          <t>Dropped by target</t>
        </is>
      </c>
      <c r="E43" s="3" t="n">
        <v>1</v>
      </c>
      <c r="F43" s="3" t="inlineStr">
        <is>
          <t>2</t>
        </is>
      </c>
      <c r="G43" s="3" t="inlineStr">
        <is>
          <t>Strategic</t>
        </is>
      </c>
      <c r="H43" s="4" t="inlineStr">
        <is>
          <t>Told after the 07/27/2016 selection that it was no longer involved in the process; stage left: Round 2 (the selection stage); Decided by: Target; Exit reason: Lower offer than rivals (the higher offers of G&amp;W and Party B).</t>
        </is>
      </c>
      <c r="I43" s="3" t="n"/>
      <c r="J43" s="3" t="n"/>
      <c r="K43" s="4" t="inlineStr">
        <is>
          <t>Dropped by target (stated as to the group; individual identification of the remaining bidders follows their LOI participation — all six LOI submitters except G&amp;W and Party B). Quote: “representatives of GHF subsequently contacted the remaining bidders to inform them that they were no longer involved in the process” The notification is undated and follows the decision; assigned to the decision day.</t>
        </is>
      </c>
      <c r="L43" s="5">
        <f>HYPERLINK("#Source text!$D$21","P-020 (main: P-020)")</f>
        <v/>
      </c>
      <c r="M43" s="3" t="n"/>
      <c r="N43" s="4" t="n"/>
      <c r="O43" s="4" t="inlineStr">
        <is>
          <t>R041</t>
        </is>
      </c>
      <c r="P43" s="4" t="inlineStr">
        <is>
          <t>Yes</t>
        </is>
      </c>
      <c r="Q43" s="4" t="n">
        <v>1</v>
      </c>
      <c r="R43" s="6" t="n"/>
      <c r="S43" s="6" t="inlineStr">
        <is>
          <t>2016-07-27</t>
        </is>
      </c>
      <c r="T43" s="6" t="inlineStr">
        <is>
          <t>2016-07-27</t>
        </is>
      </c>
      <c r="U43" s="4" t="inlineStr">
        <is>
          <t>Relative only</t>
        </is>
      </c>
      <c r="V43" s="4" t="inlineStr">
        <is>
          <t>Assigned: decision day</t>
        </is>
      </c>
      <c r="W43" s="7" t="n"/>
      <c r="X43" s="7" t="n"/>
      <c r="Y43" s="4" t="n"/>
      <c r="Z43" s="4" t="n"/>
      <c r="AA43" s="4" t="n"/>
      <c r="AB43" s="4" t="n"/>
      <c r="AC43" s="7" t="n"/>
      <c r="AD43" s="4" t="n"/>
      <c r="AE43" s="6" t="n"/>
      <c r="AF43" s="4" t="n"/>
      <c r="AG43" s="4" t="n"/>
      <c r="AH43" s="4" t="inlineStr">
        <is>
          <t>Target</t>
        </is>
      </c>
      <c r="AI43" s="4" t="inlineStr">
        <is>
          <t>Lower offer than rivals</t>
        </is>
      </c>
      <c r="AJ43" s="4" t="inlineStr">
        <is>
          <t>Stated</t>
        </is>
      </c>
      <c r="AK43" s="4" t="inlineStr">
        <is>
          <t>30</t>
        </is>
      </c>
      <c r="AL43" s="4" t="inlineStr">
        <is>
          <t>selection R038; earlier bid R029</t>
        </is>
      </c>
      <c r="AM43" s="4" t="inlineStr">
        <is>
          <t>PWRR-G&amp;W 2016</t>
        </is>
      </c>
    </row>
    <row r="44">
      <c r="A44" s="3" t="n">
        <v>42</v>
      </c>
      <c r="B44" s="4" t="inlineStr">
        <is>
          <t>after 07/27/2016; day not disclosed</t>
        </is>
      </c>
      <c r="C44" s="4" t="inlineStr">
        <is>
          <t>Party F</t>
        </is>
      </c>
      <c r="D44" s="4" t="inlineStr">
        <is>
          <t>Dropped by target</t>
        </is>
      </c>
      <c r="E44" s="3" t="n">
        <v>1</v>
      </c>
      <c r="F44" s="3" t="inlineStr">
        <is>
          <t>2</t>
        </is>
      </c>
      <c r="G44" s="3" t="inlineStr">
        <is>
          <t>Strategic</t>
        </is>
      </c>
      <c r="H44" s="4" t="inlineStr">
        <is>
          <t>Told after the 07/27/2016 selection that it was no longer involved in the process; stage left: Round 2 (the selection stage); Decided by: Target; Exit reason: Lower offer than rivals (the higher offers of G&amp;W and Party B).</t>
        </is>
      </c>
      <c r="I44" s="3" t="n"/>
      <c r="J44" s="3" t="n"/>
      <c r="K44" s="4" t="inlineStr">
        <is>
          <t>Dropped by target (stated as to the group; individual identification of the remaining bidders follows their LOI participation — all six LOI submitters except G&amp;W and Party B). Quote: “representatives of GHF subsequently contacted the remaining bidders to inform them that they were no longer involved in the process” The notification is undated and follows the decision; assigned to the decision day.</t>
        </is>
      </c>
      <c r="L44" s="5">
        <f>HYPERLINK("#Source text!$D$21","P-020 (main: P-020)")</f>
        <v/>
      </c>
      <c r="M44" s="3" t="n"/>
      <c r="N44" s="4" t="n"/>
      <c r="O44" s="4" t="inlineStr">
        <is>
          <t>R042</t>
        </is>
      </c>
      <c r="P44" s="4" t="inlineStr">
        <is>
          <t>Yes</t>
        </is>
      </c>
      <c r="Q44" s="4" t="n">
        <v>1</v>
      </c>
      <c r="R44" s="6" t="n"/>
      <c r="S44" s="6" t="inlineStr">
        <is>
          <t>2016-07-27</t>
        </is>
      </c>
      <c r="T44" s="6" t="inlineStr">
        <is>
          <t>2016-07-27</t>
        </is>
      </c>
      <c r="U44" s="4" t="inlineStr">
        <is>
          <t>Relative only</t>
        </is>
      </c>
      <c r="V44" s="4" t="inlineStr">
        <is>
          <t>Assigned: decision day</t>
        </is>
      </c>
      <c r="W44" s="7" t="n"/>
      <c r="X44" s="7" t="n"/>
      <c r="Y44" s="4" t="n"/>
      <c r="Z44" s="4" t="n"/>
      <c r="AA44" s="4" t="n"/>
      <c r="AB44" s="4" t="n"/>
      <c r="AC44" s="7" t="n"/>
      <c r="AD44" s="4" t="n"/>
      <c r="AE44" s="6" t="n"/>
      <c r="AF44" s="4" t="n"/>
      <c r="AG44" s="4" t="n"/>
      <c r="AH44" s="4" t="inlineStr">
        <is>
          <t>Target</t>
        </is>
      </c>
      <c r="AI44" s="4" t="inlineStr">
        <is>
          <t>Lower offer than rivals</t>
        </is>
      </c>
      <c r="AJ44" s="4" t="inlineStr">
        <is>
          <t>Stated</t>
        </is>
      </c>
      <c r="AK44" s="4" t="inlineStr">
        <is>
          <t>30</t>
        </is>
      </c>
      <c r="AL44" s="4" t="inlineStr">
        <is>
          <t>selection R038; earlier bid R032</t>
        </is>
      </c>
      <c r="AM44" s="4" t="inlineStr">
        <is>
          <t>PWRR-G&amp;W 2016</t>
        </is>
      </c>
    </row>
    <row r="45">
      <c r="A45" s="3" t="n">
        <v>43</v>
      </c>
      <c r="B45" s="4" t="inlineStr">
        <is>
          <t>07/27/2016</t>
        </is>
      </c>
      <c r="C45" s="4" t="inlineStr">
        <is>
          <t>Process (Round 3)</t>
        </is>
      </c>
      <c r="D45" s="4" t="inlineStr">
        <is>
          <t>Round opened</t>
        </is>
      </c>
      <c r="E45" s="3" t="n">
        <v>1</v>
      </c>
      <c r="F45" s="3" t="inlineStr">
        <is>
          <t>3</t>
        </is>
      </c>
      <c r="G45" s="3" t="n"/>
      <c r="H45" s="4" t="inlineStr">
        <is>
          <t>Confirmatory due diligence and definitive negotiation with selected bidders (G&amp;W and Party B): on-site financial, legal and environmental diligence including hi-rail track inspections (07/27–08/11/2016); revised merger agreement and voting agreement to Party B (08/01/2016) and G&amp;W (08/03/2016); Party B prioritized from 08/04/2016. Round finality: Inferred final — the target moved to definitive negotiation with the selected bidders at this round’s opening and concluded with the executed 08/12/2016 agreement; no further solicitation. Alternative boundaries 08/04 and 08/12 rejected (Q1).</t>
        </is>
      </c>
      <c r="I45" s="3" t="n"/>
      <c r="J45" s="3" t="n"/>
      <c r="K45" s="4" t="inlineStr">
        <is>
          <t>Round opened (section 6.3: the target moves to definitive negotiation with selected bidders). Quotes: “proceed with confirmatory due diligence and negotiations with G&amp;W and Party B because of the higher offers made by each of G&amp;W and Party B” / “From July 27, 2016 through August 11, 2016, Party B and G&amp;W conducted on-site financial, legal and environmental due diligence, including hi-rail trips to inspect the Company’s track infrastructure”</t>
        </is>
      </c>
      <c r="L45" s="5">
        <f>HYPERLINK("#Source text!$D$21","P-020; P-022 (main: P-020)")</f>
        <v/>
      </c>
      <c r="M45" s="3" t="inlineStr">
        <is>
          <t>Q1</t>
        </is>
      </c>
      <c r="N45" s="4" t="n"/>
      <c r="O45" s="4" t="inlineStr">
        <is>
          <t>R043</t>
        </is>
      </c>
      <c r="P45" s="4" t="inlineStr">
        <is>
          <t>Yes</t>
        </is>
      </c>
      <c r="Q45" s="4" t="n"/>
      <c r="R45" s="6" t="inlineStr">
        <is>
          <t>2016-07-27</t>
        </is>
      </c>
      <c r="S45" s="6" t="inlineStr">
        <is>
          <t>2016-07-27</t>
        </is>
      </c>
      <c r="T45" s="6" t="inlineStr">
        <is>
          <t>2016-07-27</t>
        </is>
      </c>
      <c r="U45" s="4" t="inlineStr">
        <is>
          <t>Reported day</t>
        </is>
      </c>
      <c r="V45" s="4" t="inlineStr">
        <is>
          <t>Reported</t>
        </is>
      </c>
      <c r="W45" s="7" t="n"/>
      <c r="X45" s="7" t="n"/>
      <c r="Y45" s="4" t="n"/>
      <c r="Z45" s="4" t="n"/>
      <c r="AA45" s="4" t="n"/>
      <c r="AB45" s="4" t="n"/>
      <c r="AC45" s="7" t="n"/>
      <c r="AD45" s="4" t="n"/>
      <c r="AE45" s="6" t="n"/>
      <c r="AF45" s="4" t="n"/>
      <c r="AG45" s="4" t="inlineStr">
        <is>
          <t>Inferred final</t>
        </is>
      </c>
      <c r="AH45" s="4" t="n"/>
      <c r="AI45" s="4" t="n"/>
      <c r="AJ45" s="4" t="n"/>
      <c r="AK45" s="4" t="inlineStr">
        <is>
          <t>30</t>
        </is>
      </c>
      <c r="AL45" s="4" t="inlineStr">
        <is>
          <t>candidates 08/04/2016 and 08/12/2016 (rejected)</t>
        </is>
      </c>
      <c r="AM45" s="4" t="inlineStr">
        <is>
          <t>PWRR-G&amp;W 2016</t>
        </is>
      </c>
    </row>
    <row r="46">
      <c r="A46" s="3" t="n">
        <v>44</v>
      </c>
      <c r="B46" s="4" t="inlineStr">
        <is>
          <t>07/29/2016</t>
        </is>
      </c>
      <c r="C46" s="4" t="inlineStr">
        <is>
          <t>Party D</t>
        </is>
      </c>
      <c r="D46" s="4" t="inlineStr">
        <is>
          <t>Re-entered</t>
        </is>
      </c>
      <c r="E46" s="3" t="n">
        <v>1</v>
      </c>
      <c r="F46" s="3" t="inlineStr">
        <is>
          <t>3</t>
        </is>
      </c>
      <c r="G46" s="3" t="inlineStr">
        <is>
          <t>Financial</t>
        </is>
      </c>
      <c r="H46" s="4" t="inlineStr">
        <is>
          <t>Renewed participation after the 07/27/2016 exclusion: on a GHF call, Party D expressed interest in reengaging and enhancing its offer; a revised LOI followed on 08/01/2016 (R046). Decided by: Bidder; renewed activity, not a new NDA. Count 1.</t>
        </is>
      </c>
      <c r="I46" s="3" t="n"/>
      <c r="J46" s="3" t="n"/>
      <c r="K46" s="4" t="inlineStr">
        <is>
          <t>Re-entered (stated): renewed activity after a recorded departure (section 10.1). Quote: “On July 29, 2016, representatives of GHF had calls with Party D and Party E. During those calls, Party D and Party E both expressed interest in reengaging and enhancing their offers”</t>
        </is>
      </c>
      <c r="L46" s="5">
        <f>HYPERLINK("#Source text!$D$22","P-021 (main: P-021)")</f>
        <v/>
      </c>
      <c r="M46" s="3" t="inlineStr">
        <is>
          <t>Q4</t>
        </is>
      </c>
      <c r="N46" s="4" t="n"/>
      <c r="O46" s="4" t="inlineStr">
        <is>
          <t>R044</t>
        </is>
      </c>
      <c r="P46" s="4" t="inlineStr">
        <is>
          <t>Yes</t>
        </is>
      </c>
      <c r="Q46" s="4" t="n">
        <v>1</v>
      </c>
      <c r="R46" s="6" t="inlineStr">
        <is>
          <t>2016-07-29</t>
        </is>
      </c>
      <c r="S46" s="6" t="inlineStr">
        <is>
          <t>2016-07-29</t>
        </is>
      </c>
      <c r="T46" s="6" t="inlineStr">
        <is>
          <t>2016-07-29</t>
        </is>
      </c>
      <c r="U46" s="4" t="inlineStr">
        <is>
          <t>Reported day</t>
        </is>
      </c>
      <c r="V46" s="4" t="inlineStr">
        <is>
          <t>Reported</t>
        </is>
      </c>
      <c r="W46" s="7" t="n"/>
      <c r="X46" s="7" t="n"/>
      <c r="Y46" s="4" t="n"/>
      <c r="Z46" s="4" t="n"/>
      <c r="AA46" s="4" t="n"/>
      <c r="AB46" s="4" t="n"/>
      <c r="AC46" s="7" t="n"/>
      <c r="AD46" s="4" t="n"/>
      <c r="AE46" s="6" t="n"/>
      <c r="AF46" s="4" t="n"/>
      <c r="AG46" s="4" t="n"/>
      <c r="AH46" s="4" t="inlineStr">
        <is>
          <t>Bidder</t>
        </is>
      </c>
      <c r="AI46" s="4" t="n"/>
      <c r="AJ46" s="4" t="inlineStr">
        <is>
          <t>Stated</t>
        </is>
      </c>
      <c r="AK46" s="4" t="inlineStr">
        <is>
          <t>30</t>
        </is>
      </c>
      <c r="AL46" s="4" t="inlineStr">
        <is>
          <t>reopens after R040</t>
        </is>
      </c>
      <c r="AM46" s="4" t="inlineStr">
        <is>
          <t>PWRR-G&amp;W 2016</t>
        </is>
      </c>
    </row>
    <row r="47">
      <c r="A47" s="3" t="n">
        <v>45</v>
      </c>
      <c r="B47" s="4" t="inlineStr">
        <is>
          <t>07/29/2016</t>
        </is>
      </c>
      <c r="C47" s="4" t="inlineStr">
        <is>
          <t>Party E</t>
        </is>
      </c>
      <c r="D47" s="4" t="inlineStr">
        <is>
          <t>Re-entered</t>
        </is>
      </c>
      <c r="E47" s="3" t="n">
        <v>1</v>
      </c>
      <c r="F47" s="3" t="inlineStr">
        <is>
          <t>3</t>
        </is>
      </c>
      <c r="G47" s="3" t="inlineStr">
        <is>
          <t>Strategic</t>
        </is>
      </c>
      <c r="H47" s="4" t="inlineStr">
        <is>
          <t>Renewed participation after the 07/27/2016 exclusion: on a GHF call, Party E expressed interest in reengaging and enhancing its offer; a revised LOI followed on 08/01/2016 (R047). Decided by: Bidder; renewed activity, not a new NDA. Count 1.</t>
        </is>
      </c>
      <c r="I47" s="3" t="n"/>
      <c r="J47" s="3" t="n"/>
      <c r="K47" s="4" t="inlineStr">
        <is>
          <t>Re-entered (stated): renewed activity after a recorded departure (section 10.1). Quote: “On July 29, 2016, representatives of GHF had calls with Party D and Party E. During those calls, Party D and Party E both expressed interest in reengaging and enhancing their offers”</t>
        </is>
      </c>
      <c r="L47" s="5">
        <f>HYPERLINK("#Source text!$D$22","P-021 (main: P-021)")</f>
        <v/>
      </c>
      <c r="M47" s="3" t="inlineStr">
        <is>
          <t>Q4</t>
        </is>
      </c>
      <c r="N47" s="4" t="n"/>
      <c r="O47" s="4" t="inlineStr">
        <is>
          <t>R045</t>
        </is>
      </c>
      <c r="P47" s="4" t="inlineStr">
        <is>
          <t>Yes</t>
        </is>
      </c>
      <c r="Q47" s="4" t="n">
        <v>1</v>
      </c>
      <c r="R47" s="6" t="inlineStr">
        <is>
          <t>2016-07-29</t>
        </is>
      </c>
      <c r="S47" s="6" t="inlineStr">
        <is>
          <t>2016-07-29</t>
        </is>
      </c>
      <c r="T47" s="6" t="inlineStr">
        <is>
          <t>2016-07-29</t>
        </is>
      </c>
      <c r="U47" s="4" t="inlineStr">
        <is>
          <t>Reported day</t>
        </is>
      </c>
      <c r="V47" s="4" t="inlineStr">
        <is>
          <t>Reported</t>
        </is>
      </c>
      <c r="W47" s="7" t="n"/>
      <c r="X47" s="7" t="n"/>
      <c r="Y47" s="4" t="n"/>
      <c r="Z47" s="4" t="n"/>
      <c r="AA47" s="4" t="n"/>
      <c r="AB47" s="4" t="n"/>
      <c r="AC47" s="7" t="n"/>
      <c r="AD47" s="4" t="n"/>
      <c r="AE47" s="6" t="n"/>
      <c r="AF47" s="4" t="n"/>
      <c r="AG47" s="4" t="n"/>
      <c r="AH47" s="4" t="inlineStr">
        <is>
          <t>Bidder</t>
        </is>
      </c>
      <c r="AI47" s="4" t="n"/>
      <c r="AJ47" s="4" t="inlineStr">
        <is>
          <t>Stated</t>
        </is>
      </c>
      <c r="AK47" s="4" t="inlineStr">
        <is>
          <t>30</t>
        </is>
      </c>
      <c r="AL47" s="4" t="inlineStr">
        <is>
          <t>reopens after R041</t>
        </is>
      </c>
      <c r="AM47" s="4" t="inlineStr">
        <is>
          <t>PWRR-G&amp;W 2016</t>
        </is>
      </c>
    </row>
    <row r="48">
      <c r="A48" s="3" t="n">
        <v>46</v>
      </c>
      <c r="B48" s="4" t="inlineStr">
        <is>
          <t>08/01/2016</t>
        </is>
      </c>
      <c r="C48" s="4" t="inlineStr">
        <is>
          <t>Party D</t>
        </is>
      </c>
      <c r="D48" s="4" t="inlineStr">
        <is>
          <t>Bid</t>
        </is>
      </c>
      <c r="E48" s="3" t="n">
        <v>1</v>
      </c>
      <c r="F48" s="3" t="inlineStr">
        <is>
          <t>3</t>
        </is>
      </c>
      <c r="G48" s="3" t="inlineStr">
        <is>
          <t>Financial</t>
        </is>
      </c>
      <c r="H48" s="4" t="inlineStr">
        <is>
          <t>Revised LOI at $24.00 per share (as-converted; point) with a 30-day due diligence period (up from four weeks); on 08/02/2016 also requested that the Company commit not to enter an agreement with another bidder during that period (request declined). First Party D bid in Round 3 (Count 1).</t>
        </is>
      </c>
      <c r="I48" s="3" t="inlineStr">
        <is>
          <t>Formal</t>
        </is>
      </c>
      <c r="J48" s="3" t="inlineStr">
        <is>
          <t>Heavy</t>
        </is>
      </c>
      <c r="K48" s="4" t="inlineStr">
        <is>
          <t>Bid (stated price revision). Quotes: “On August 1, 2016, Party D submitted a revised LOI at a price of $24.00 per share” / “Both revised proposals contained a 30-day due diligence period” Exclusivity request: “Party D declined to shorten its due diligence period and requested that the Company commit that it would not enter into an agreement with another bidder during its 30-day due diligence period” Formality: carried forward from Party D’s returned mark-ups (one continuing proposal, section 9.2) → Formal. Conditions: stated 30-day diligence period and the later no-sign demand → Heavy.</t>
        </is>
      </c>
      <c r="L48" s="5">
        <f>HYPERLINK("#Source text!$D$22","P-021 (main: P-021)")</f>
        <v/>
      </c>
      <c r="M48" s="3" t="inlineStr">
        <is>
          <t>Q6</t>
        </is>
      </c>
      <c r="N48" s="4" t="n"/>
      <c r="O48" s="4" t="inlineStr">
        <is>
          <t>R046</t>
        </is>
      </c>
      <c r="P48" s="4" t="inlineStr">
        <is>
          <t>Yes</t>
        </is>
      </c>
      <c r="Q48" s="4" t="n">
        <v>1</v>
      </c>
      <c r="R48" s="6" t="inlineStr">
        <is>
          <t>2016-08-01</t>
        </is>
      </c>
      <c r="S48" s="6" t="inlineStr">
        <is>
          <t>2016-08-01</t>
        </is>
      </c>
      <c r="T48" s="6" t="inlineStr">
        <is>
          <t>2016-08-01</t>
        </is>
      </c>
      <c r="U48" s="4" t="inlineStr">
        <is>
          <t>Reported day</t>
        </is>
      </c>
      <c r="V48" s="4" t="inlineStr">
        <is>
          <t>Reported</t>
        </is>
      </c>
      <c r="W48" s="7" t="n">
        <v>24</v>
      </c>
      <c r="X48" s="7" t="n">
        <v>24</v>
      </c>
      <c r="Y48" s="4" t="inlineStr">
        <is>
          <t>Point</t>
        </is>
      </c>
      <c r="Z48" s="4" t="inlineStr">
        <is>
          <t>Stated</t>
        </is>
      </c>
      <c r="AA48" s="4" t="inlineStr">
        <is>
          <t>USD</t>
        </is>
      </c>
      <c r="AB48" s="4" t="inlineStr">
        <is>
          <t>Not stated</t>
        </is>
      </c>
      <c r="AC48" s="7" t="n"/>
      <c r="AD48" s="4" t="inlineStr">
        <is>
          <t>Fin: not stated; DD required: substantive (30 days); DD open: yes; Excl: requested (30 days)</t>
        </is>
      </c>
      <c r="AE48" s="6" t="n"/>
      <c r="AF48" s="4" t="n"/>
      <c r="AG48" s="4" t="n"/>
      <c r="AH48" s="4" t="n"/>
      <c r="AI48" s="4" t="n"/>
      <c r="AJ48" s="4" t="n"/>
      <c r="AK48" s="4" t="inlineStr">
        <is>
          <t>30</t>
        </is>
      </c>
      <c r="AL48" s="4" t="inlineStr">
        <is>
          <t>revises R030; dropped R040, re-entered R044</t>
        </is>
      </c>
      <c r="AM48" s="4" t="inlineStr">
        <is>
          <t>PWRR-G&amp;W 2016</t>
        </is>
      </c>
    </row>
    <row r="49">
      <c r="A49" s="3" t="n">
        <v>47</v>
      </c>
      <c r="B49" s="4" t="inlineStr">
        <is>
          <t>08/01/2016</t>
        </is>
      </c>
      <c r="C49" s="4" t="inlineStr">
        <is>
          <t>Party E</t>
        </is>
      </c>
      <c r="D49" s="4" t="inlineStr">
        <is>
          <t>Bid</t>
        </is>
      </c>
      <c r="E49" s="3" t="n">
        <v>1</v>
      </c>
      <c r="F49" s="3" t="inlineStr">
        <is>
          <t>3</t>
        </is>
      </c>
      <c r="G49" s="3" t="inlineStr">
        <is>
          <t>Strategic</t>
        </is>
      </c>
      <c r="H49" s="4" t="inlineStr">
        <is>
          <t>Support: Party F (financing) — revised LOI at $23.81 per share (as-converted; point) with a 30-day due diligence period, submitted along with financing support from Party F (which had exited on 07/27/2016; no re-entry row and no independent bid by Party F after its exit). First Party E bid in Round 3 (Count 1).</t>
        </is>
      </c>
      <c r="I49" s="3" t="inlineStr">
        <is>
          <t>Informal</t>
        </is>
      </c>
      <c r="J49" s="3" t="inlineStr">
        <is>
          <t>Heavy</t>
        </is>
      </c>
      <c r="K49" s="4" t="inlineStr">
        <is>
          <t>Bid (stated price revision with a disclosed financing-support relationship; section 5.3 records support on the supported bidder’s offer row). Quotes: “Party E submitted a revised LOI, along with financing support, from Party F, at a price of $23.81 per share” / “Both revised proposals contained a 30-day due diligence period” Formality: carries forward Party E’s Informal status (issues summary; no markup returned) — flagged Q6. Conditions: 30-day diligence period → Heavy.</t>
        </is>
      </c>
      <c r="L49" s="5">
        <f>HYPERLINK("#Source text!$D$22","P-021 (main: P-021)")</f>
        <v/>
      </c>
      <c r="M49" s="3" t="inlineStr">
        <is>
          <t>Q6</t>
        </is>
      </c>
      <c r="N49" s="4" t="n"/>
      <c r="O49" s="4" t="inlineStr">
        <is>
          <t>R047</t>
        </is>
      </c>
      <c r="P49" s="4" t="inlineStr">
        <is>
          <t>Yes</t>
        </is>
      </c>
      <c r="Q49" s="4" t="n">
        <v>1</v>
      </c>
      <c r="R49" s="6" t="inlineStr">
        <is>
          <t>2016-08-01</t>
        </is>
      </c>
      <c r="S49" s="6" t="inlineStr">
        <is>
          <t>2016-08-01</t>
        </is>
      </c>
      <c r="T49" s="6" t="inlineStr">
        <is>
          <t>2016-08-01</t>
        </is>
      </c>
      <c r="U49" s="4" t="inlineStr">
        <is>
          <t>Reported day</t>
        </is>
      </c>
      <c r="V49" s="4" t="inlineStr">
        <is>
          <t>Reported</t>
        </is>
      </c>
      <c r="W49" s="7" t="n">
        <v>23.81</v>
      </c>
      <c r="X49" s="7" t="n">
        <v>23.81</v>
      </c>
      <c r="Y49" s="4" t="inlineStr">
        <is>
          <t>Point</t>
        </is>
      </c>
      <c r="Z49" s="4" t="inlineStr">
        <is>
          <t>Stated</t>
        </is>
      </c>
      <c r="AA49" s="4" t="inlineStr">
        <is>
          <t>USD</t>
        </is>
      </c>
      <c r="AB49" s="4" t="inlineStr">
        <is>
          <t>Not stated</t>
        </is>
      </c>
      <c r="AC49" s="7" t="n"/>
      <c r="AD49" s="4" t="inlineStr">
        <is>
          <t>Fin: not stated; DD required: substantive (30 days); DD open: yes; Excl: not stated</t>
        </is>
      </c>
      <c r="AE49" s="6" t="n"/>
      <c r="AF49" s="4" t="n"/>
      <c r="AG49" s="4" t="n"/>
      <c r="AH49" s="4" t="n"/>
      <c r="AI49" s="4" t="n"/>
      <c r="AJ49" s="4" t="n"/>
      <c r="AK49" s="4" t="inlineStr">
        <is>
          <t>30</t>
        </is>
      </c>
      <c r="AL49" s="4" t="inlineStr">
        <is>
          <t>revises R029; supporter exited at R042 (no re-entry); support ended with R048</t>
        </is>
      </c>
      <c r="AM49" s="4" t="inlineStr">
        <is>
          <t>PWRR-G&amp;W 2016</t>
        </is>
      </c>
    </row>
    <row r="50">
      <c r="A50" s="3" t="n">
        <v>48</v>
      </c>
      <c r="B50" s="4" t="inlineStr">
        <is>
          <t>08/02/2016</t>
        </is>
      </c>
      <c r="C50" s="4" t="inlineStr">
        <is>
          <t>Party E</t>
        </is>
      </c>
      <c r="D50" s="4" t="inlineStr">
        <is>
          <t>Bid</t>
        </is>
      </c>
      <c r="E50" s="3" t="n">
        <v>1</v>
      </c>
      <c r="F50" s="3" t="inlineStr">
        <is>
          <t>3</t>
        </is>
      </c>
      <c r="G50" s="3" t="inlineStr">
        <is>
          <t>Strategic</t>
        </is>
      </c>
      <c r="H50" s="4" t="inlineStr">
        <is>
          <t>Reverted to its original proposal: withdrew the revised $23.81 LOI and confirmed the original proposal of $21.26 per share (the financing support for the withdrawn revised proposal ended); a bid reversion, not a process withdrawal; second Party E bid in Round 3, so Count 0.</t>
        </is>
      </c>
      <c r="I50" s="3" t="inlineStr">
        <is>
          <t>Informal</t>
        </is>
      </c>
      <c r="J50" s="3" t="inlineStr">
        <is>
          <t>Heavy</t>
        </is>
      </c>
      <c r="K50" s="4" t="inlineStr">
        <is>
          <t>Bid reversion (stated; section 9.1 keeps reversions as Bid rows). Quote: “confirmed its original proposal of $21.26 per share” Formality: Informal (as R029). Conditions: the original proposal’s 60-day exclusivity/diligence terms stand → Heavy.</t>
        </is>
      </c>
      <c r="L50" s="5">
        <f>HYPERLINK("#Source text!$D$22","P-021 (main: P-021)")</f>
        <v/>
      </c>
      <c r="M50" s="3" t="inlineStr">
        <is>
          <t>Q6</t>
        </is>
      </c>
      <c r="N50" s="4" t="n"/>
      <c r="O50" s="4" t="inlineStr">
        <is>
          <t>R048</t>
        </is>
      </c>
      <c r="P50" s="4" t="inlineStr">
        <is>
          <t>Yes</t>
        </is>
      </c>
      <c r="Q50" s="4" t="n">
        <v>0</v>
      </c>
      <c r="R50" s="6" t="inlineStr">
        <is>
          <t>2016-08-02</t>
        </is>
      </c>
      <c r="S50" s="6" t="inlineStr">
        <is>
          <t>2016-08-02</t>
        </is>
      </c>
      <c r="T50" s="6" t="inlineStr">
        <is>
          <t>2016-08-02</t>
        </is>
      </c>
      <c r="U50" s="4" t="inlineStr">
        <is>
          <t>Reported day</t>
        </is>
      </c>
      <c r="V50" s="4" t="inlineStr">
        <is>
          <t>Reported</t>
        </is>
      </c>
      <c r="W50" s="7" t="n">
        <v>21.26</v>
      </c>
      <c r="X50" s="7" t="n">
        <v>21.26</v>
      </c>
      <c r="Y50" s="4" t="inlineStr">
        <is>
          <t>Point</t>
        </is>
      </c>
      <c r="Z50" s="4" t="inlineStr">
        <is>
          <t>Stated</t>
        </is>
      </c>
      <c r="AA50" s="4" t="inlineStr">
        <is>
          <t>USD</t>
        </is>
      </c>
      <c r="AB50" s="4" t="inlineStr">
        <is>
          <t>Not stated</t>
        </is>
      </c>
      <c r="AC50" s="7" t="n"/>
      <c r="AD50" s="4" t="inlineStr">
        <is>
          <t>Fin: not stated; DD required: substantive (60 days); DD open: yes; Excl: requested (60 days)</t>
        </is>
      </c>
      <c r="AE50" s="6" t="n"/>
      <c r="AF50" s="4" t="n"/>
      <c r="AG50" s="4" t="n"/>
      <c r="AH50" s="4" t="n"/>
      <c r="AI50" s="4" t="n"/>
      <c r="AJ50" s="4" t="n"/>
      <c r="AK50" s="4" t="inlineStr">
        <is>
          <t>30</t>
        </is>
      </c>
      <c r="AL50" s="4" t="inlineStr">
        <is>
          <t>reverts to R029; supersedes R047</t>
        </is>
      </c>
      <c r="AM50" s="4" t="inlineStr">
        <is>
          <t>PWRR-G&amp;W 2016</t>
        </is>
      </c>
    </row>
    <row r="51">
      <c r="A51" s="3" t="n">
        <v>49</v>
      </c>
      <c r="B51" s="4" t="inlineStr">
        <is>
          <t>08/02/2016</t>
        </is>
      </c>
      <c r="C51" s="4" t="inlineStr">
        <is>
          <t>Party D</t>
        </is>
      </c>
      <c r="D51" s="4" t="inlineStr">
        <is>
          <t>Withdrew</t>
        </is>
      </c>
      <c r="E51" s="3" t="n">
        <v>1</v>
      </c>
      <c r="F51" s="3" t="inlineStr">
        <is>
          <t>3</t>
        </is>
      </c>
      <c r="G51" s="3" t="inlineStr">
        <is>
          <t>Financial</t>
        </is>
      </c>
      <c r="H51" s="4" t="inlineStr">
        <is>
          <t>Declined to shorten its 30-day due diligence period and requested a commitment that the Company not enter an agreement with another bidder during that period; in light of the active interest of Party B and G&amp;W the Company declined to commit, at which point Party D indicated it would not proceed with further due diligence at that time. Decided by: Bidder; Exit reason: Terms or process.</t>
        </is>
      </c>
      <c r="I51" s="3" t="n"/>
      <c r="J51" s="3" t="n"/>
      <c r="K51" s="4" t="inlineStr">
        <is>
          <t>Withdrew (stated): the bidder communicates that it will not continue participating. Quote: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 The reason is terms/process (refused a shorter diligence period; the no-sign commitment was declined).</t>
        </is>
      </c>
      <c r="L51" s="5">
        <f>HYPERLINK("#Source text!$D$22","P-021 (main: P-021)")</f>
        <v/>
      </c>
      <c r="M51" s="3" t="inlineStr">
        <is>
          <t>Q4</t>
        </is>
      </c>
      <c r="N51" s="4" t="n"/>
      <c r="O51" s="4" t="inlineStr">
        <is>
          <t>R049</t>
        </is>
      </c>
      <c r="P51" s="4" t="inlineStr">
        <is>
          <t>Yes</t>
        </is>
      </c>
      <c r="Q51" s="4" t="n">
        <v>1</v>
      </c>
      <c r="R51" s="6" t="inlineStr">
        <is>
          <t>2016-08-02</t>
        </is>
      </c>
      <c r="S51" s="6" t="inlineStr">
        <is>
          <t>2016-08-02</t>
        </is>
      </c>
      <c r="T51" s="6" t="inlineStr">
        <is>
          <t>2016-08-02</t>
        </is>
      </c>
      <c r="U51" s="4" t="inlineStr">
        <is>
          <t>Reported day</t>
        </is>
      </c>
      <c r="V51" s="4" t="inlineStr">
        <is>
          <t>Reported</t>
        </is>
      </c>
      <c r="W51" s="7" t="n"/>
      <c r="X51" s="7" t="n"/>
      <c r="Y51" s="4" t="n"/>
      <c r="Z51" s="4" t="n"/>
      <c r="AA51" s="4" t="n"/>
      <c r="AB51" s="4" t="n"/>
      <c r="AC51" s="7" t="n"/>
      <c r="AD51" s="4" t="n"/>
      <c r="AE51" s="6" t="n"/>
      <c r="AF51" s="4" t="n"/>
      <c r="AG51" s="4" t="n"/>
      <c r="AH51" s="4" t="inlineStr">
        <is>
          <t>Bidder</t>
        </is>
      </c>
      <c r="AI51" s="4" t="inlineStr">
        <is>
          <t>Terms or process</t>
        </is>
      </c>
      <c r="AJ51" s="4" t="inlineStr">
        <is>
          <t>Stated</t>
        </is>
      </c>
      <c r="AK51" s="4" t="inlineStr">
        <is>
          <t>30</t>
        </is>
      </c>
      <c r="AL51" s="4" t="inlineStr">
        <is>
          <t>after revised LOI R046; dropped R040; re-entered R044</t>
        </is>
      </c>
      <c r="AM51" s="4" t="inlineStr">
        <is>
          <t>PWRR-G&amp;W 2016</t>
        </is>
      </c>
    </row>
    <row r="52">
      <c r="A52" s="3" t="n">
        <v>50</v>
      </c>
      <c r="B52" s="4" t="inlineStr">
        <is>
          <t>08/09/2016–08/11/2016</t>
        </is>
      </c>
      <c r="C52" s="4" t="inlineStr">
        <is>
          <t>G&amp;W</t>
        </is>
      </c>
      <c r="D52" s="4" t="inlineStr">
        <is>
          <t>Material process update</t>
        </is>
      </c>
      <c r="E52" s="3" t="n">
        <v>1</v>
      </c>
      <c r="F52" s="3" t="inlineStr">
        <is>
          <t>3</t>
        </is>
      </c>
      <c r="G52" s="3" t="inlineStr">
        <is>
          <t>Strategic</t>
        </is>
      </c>
      <c r="H52" s="4" t="inlineStr">
        <is>
          <t>Continued due diligence granted to G&amp;W: after the 08/09/2016 decision directing BMO to tell G&amp;W that the Company intended to enter a merger agreement with another bidder, G&amp;W requested continued due diligence to potentially facilitate an improved offer; the request was granted and G&amp;W completed physical diligence on 08/10–08/11/2016, then indicated a possible revised LOI for 08/12/2016. Precise action: access/continued diligence granted to a rival after the target’s selection of Party B.</t>
        </is>
      </c>
      <c r="I52" s="3" t="n"/>
      <c r="J52" s="3" t="n"/>
      <c r="K52" s="4" t="inlineStr">
        <is>
          <t>Material process update (stated): consequential development with no more specific label; it preceded G&amp;W’s 08/12/2016 bid. Quotes: “G&amp;W requested that it be allowed to continue its due diligence, including physical due diligence on August 10 and August 11, 2016, to potentially facilitate an improved offer, which request was granted” / “On August 11, 2016, G&amp;W indicated its possible intention to submit a revised LOI on August 12, 2016, having just completed its physical diligence of the Company”</t>
        </is>
      </c>
      <c r="L52" s="5">
        <f>HYPERLINK("#Source text!$D$24","P-023 (main: P-023)")</f>
        <v/>
      </c>
      <c r="M52" s="3" t="inlineStr">
        <is>
          <t>Q1</t>
        </is>
      </c>
      <c r="N52" s="4" t="n"/>
      <c r="O52" s="4" t="inlineStr">
        <is>
          <t>R050</t>
        </is>
      </c>
      <c r="P52" s="4" t="inlineStr">
        <is>
          <t>Yes</t>
        </is>
      </c>
      <c r="Q52" s="4" t="n"/>
      <c r="R52" s="6" t="inlineStr">
        <is>
          <t>2016-08-09</t>
        </is>
      </c>
      <c r="S52" s="6" t="inlineStr">
        <is>
          <t>2016-08-11</t>
        </is>
      </c>
      <c r="T52" s="6" t="inlineStr">
        <is>
          <t>2016-08-09</t>
        </is>
      </c>
      <c r="U52" s="4" t="inlineStr">
        <is>
          <t>Reported interval</t>
        </is>
      </c>
      <c r="V52" s="4" t="inlineStr">
        <is>
          <t>Assigned: bound</t>
        </is>
      </c>
      <c r="W52" s="7" t="n"/>
      <c r="X52" s="7" t="n"/>
      <c r="Y52" s="4" t="n"/>
      <c r="Z52" s="4" t="n"/>
      <c r="AA52" s="4" t="n"/>
      <c r="AB52" s="4" t="n"/>
      <c r="AC52" s="7" t="n"/>
      <c r="AD52" s="4" t="n"/>
      <c r="AE52" s="6" t="n"/>
      <c r="AF52" s="4" t="n"/>
      <c r="AG52" s="4" t="n"/>
      <c r="AH52" s="4" t="n"/>
      <c r="AI52" s="4" t="n"/>
      <c r="AJ52" s="4" t="n"/>
      <c r="AK52" s="4" t="inlineStr">
        <is>
          <t>31</t>
        </is>
      </c>
      <c r="AL52" s="4" t="n"/>
      <c r="AM52" s="4" t="inlineStr">
        <is>
          <t>PWRR-G&amp;W 2016</t>
        </is>
      </c>
    </row>
    <row r="53">
      <c r="A53" s="3" t="n">
        <v>51</v>
      </c>
      <c r="B53" s="4" t="inlineStr">
        <is>
          <t>08/10/2016</t>
        </is>
      </c>
      <c r="C53" s="4" t="inlineStr">
        <is>
          <t>Simpson Thacher &amp; Bartlett LLP (Simpson Thacher) — G&amp;W legal counsel</t>
        </is>
      </c>
      <c r="D53" s="4" t="inlineStr">
        <is>
          <t>Adviser service observed</t>
        </is>
      </c>
      <c r="E53" s="3" t="n">
        <v>1</v>
      </c>
      <c r="F53" s="3" t="inlineStr">
        <is>
          <t>3</t>
        </is>
      </c>
      <c r="G53" s="3" t="n"/>
      <c r="H53" s="4" t="inlineStr">
        <is>
          <t>G&amp;W’s legal counsel; first shown acting 08/10/2016 (discussed merger agreement and voting agreement provisions with Hinckley Allen and received a revised disclosure letter); engagement date not disclosed.</t>
        </is>
      </c>
      <c r="I53" s="3" t="n"/>
      <c r="J53" s="3" t="n"/>
      <c r="K53" s="4" t="inlineStr">
        <is>
          <t>Adviser service observed (stated): the filing shows Simpson Thacher acting; no engagement date. Quote: “representatives of Hinckley Allen and Simpson Thacher &amp; Bartlett LLP (which we refer to as “Simpson Thacher”), G&amp;W’s legal counsel”</t>
        </is>
      </c>
      <c r="L53" s="5">
        <f>HYPERLINK("#Source text!$D$24","P-023 (main: P-023)")</f>
        <v/>
      </c>
      <c r="M53" s="3" t="n"/>
      <c r="N53" s="4" t="n"/>
      <c r="O53" s="4" t="inlineStr">
        <is>
          <t>R051</t>
        </is>
      </c>
      <c r="P53" s="4" t="inlineStr">
        <is>
          <t>Yes</t>
        </is>
      </c>
      <c r="Q53" s="4" t="n"/>
      <c r="R53" s="6" t="inlineStr">
        <is>
          <t>2016-08-10</t>
        </is>
      </c>
      <c r="S53" s="6" t="inlineStr">
        <is>
          <t>2016-08-10</t>
        </is>
      </c>
      <c r="T53" s="6" t="inlineStr">
        <is>
          <t>2016-08-10</t>
        </is>
      </c>
      <c r="U53" s="4" t="inlineStr">
        <is>
          <t>Reported day</t>
        </is>
      </c>
      <c r="V53" s="4" t="inlineStr">
        <is>
          <t>Reported</t>
        </is>
      </c>
      <c r="W53" s="7" t="n"/>
      <c r="X53" s="7" t="n"/>
      <c r="Y53" s="4" t="n"/>
      <c r="Z53" s="4" t="n"/>
      <c r="AA53" s="4" t="n"/>
      <c r="AB53" s="4" t="n"/>
      <c r="AC53" s="7" t="n"/>
      <c r="AD53" s="4" t="n"/>
      <c r="AE53" s="6" t="n"/>
      <c r="AF53" s="4" t="n"/>
      <c r="AG53" s="4" t="n"/>
      <c r="AH53" s="4" t="n"/>
      <c r="AI53" s="4" t="n"/>
      <c r="AJ53" s="4" t="n"/>
      <c r="AK53" s="4" t="inlineStr">
        <is>
          <t>31</t>
        </is>
      </c>
      <c r="AL53" s="4" t="n"/>
      <c r="AM53" s="4" t="inlineStr">
        <is>
          <t>PWRR-G&amp;W 2016</t>
        </is>
      </c>
    </row>
    <row r="54">
      <c r="A54" s="3" t="n">
        <v>52</v>
      </c>
      <c r="B54" s="4" t="inlineStr">
        <is>
          <t>08/12/2016 (morning)</t>
        </is>
      </c>
      <c r="C54" s="4" t="inlineStr">
        <is>
          <t>G&amp;W</t>
        </is>
      </c>
      <c r="D54" s="4" t="inlineStr">
        <is>
          <t>Bid</t>
        </is>
      </c>
      <c r="E54" s="3" t="n">
        <v>1</v>
      </c>
      <c r="F54" s="3" t="inlineStr">
        <is>
          <t>3</t>
        </is>
      </c>
      <c r="G54" s="3" t="inlineStr">
        <is>
          <t>Strategic</t>
        </is>
      </c>
      <c r="H54" s="4" t="inlineStr">
        <is>
          <t>Revised LOI at $25.00 per share in cash (as-converted; point), dropping the previously proposed CVR, together with mark-ups of the merger agreement and voting agreement; offer stated to expire 6:00 p.m. on 08/13/2016; submitted after G&amp;W completed physical diligence and after the Company told G&amp;W it intended to sign with another bidder; first G&amp;W bid in Round 3 (Count 1).</t>
        </is>
      </c>
      <c r="I54" s="3" t="inlineStr">
        <is>
          <t>Formal</t>
        </is>
      </c>
      <c r="J54" s="3" t="inlineStr">
        <is>
          <t>Light</t>
        </is>
      </c>
      <c r="K54" s="4" t="inlineStr">
        <is>
          <t>Bid (stated final price revision). Quote: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Formality: returned agreement and voting-agreement markups plus a price confirmation in definitive negotiation → Formal. Conditions: diligence completed 08/11/2016, no diligence or exclusivity condition attached, no Heavy trigger reported → Light (financing silent; silence does not raise or lower the level, and None is not claimed because financing is not stated). All cash: Yes; cash at closing $25.00.</t>
        </is>
      </c>
      <c r="L54" s="5">
        <f>HYPERLINK("#Source text!$D$25","P-024 (main: P-024)")</f>
        <v/>
      </c>
      <c r="M54" s="3" t="inlineStr">
        <is>
          <t>Q6; Q8</t>
        </is>
      </c>
      <c r="N54" s="4" t="n"/>
      <c r="O54" s="4" t="inlineStr">
        <is>
          <t>R052</t>
        </is>
      </c>
      <c r="P54" s="4" t="inlineStr">
        <is>
          <t>Yes</t>
        </is>
      </c>
      <c r="Q54" s="4" t="n">
        <v>1</v>
      </c>
      <c r="R54" s="6" t="inlineStr">
        <is>
          <t>2016-08-12</t>
        </is>
      </c>
      <c r="S54" s="6" t="inlineStr">
        <is>
          <t>2016-08-12</t>
        </is>
      </c>
      <c r="T54" s="6" t="inlineStr">
        <is>
          <t>2016-08-12</t>
        </is>
      </c>
      <c r="U54" s="4" t="inlineStr">
        <is>
          <t>Reported day</t>
        </is>
      </c>
      <c r="V54" s="4" t="inlineStr">
        <is>
          <t>Reported</t>
        </is>
      </c>
      <c r="W54" s="7" t="n">
        <v>25</v>
      </c>
      <c r="X54" s="7" t="n">
        <v>25</v>
      </c>
      <c r="Y54" s="4" t="inlineStr">
        <is>
          <t>Point</t>
        </is>
      </c>
      <c r="Z54" s="4" t="inlineStr">
        <is>
          <t>Stated</t>
        </is>
      </c>
      <c r="AA54" s="4" t="inlineStr">
        <is>
          <t>USD</t>
        </is>
      </c>
      <c r="AB54" s="4" t="inlineStr">
        <is>
          <t>Yes</t>
        </is>
      </c>
      <c r="AC54" s="7" t="n">
        <v>25</v>
      </c>
      <c r="AD54" s="4" t="inlineStr">
        <is>
          <t>Fin: not stated; DD required: none; DD open: no; Excl: none</t>
        </is>
      </c>
      <c r="AE54" s="6" t="n"/>
      <c r="AF54" s="4" t="n"/>
      <c r="AG54" s="4" t="n"/>
      <c r="AH54" s="4" t="n"/>
      <c r="AI54" s="4" t="n"/>
      <c r="AJ54" s="4" t="n"/>
      <c r="AK54" s="4" t="inlineStr">
        <is>
          <t>31</t>
        </is>
      </c>
      <c r="AL54" s="4" t="inlineStr">
        <is>
          <t>revises R037</t>
        </is>
      </c>
      <c r="AM54" s="4" t="inlineStr">
        <is>
          <t>PWRR-G&amp;W 2016</t>
        </is>
      </c>
    </row>
    <row r="55">
      <c r="A55" s="3" t="n">
        <v>53</v>
      </c>
      <c r="B55" s="4" t="inlineStr">
        <is>
          <t>08/12/2016 (afternoon; Transaction Committee met 10:30 a.m.)</t>
        </is>
      </c>
      <c r="C55" s="4" t="inlineStr">
        <is>
          <t>Board of Directors (special meeting; Director Smith recused)</t>
        </is>
      </c>
      <c r="D55" s="4" t="inlineStr">
        <is>
          <t>Target decision</t>
        </is>
      </c>
      <c r="E55" s="3" t="n">
        <v>1</v>
      </c>
      <c r="F55" s="3" t="inlineStr">
        <is>
          <t>3</t>
        </is>
      </c>
      <c r="G55" s="3" t="n"/>
      <c r="H55" s="4" t="inlineStr">
        <is>
          <t>After the Committee’s 10:30 a.m. meeting (BMO directed to inform Party B that a higher revised LOI had been received) and the Board’s comparison of the two drafts (G&amp;W $1.00 per share higher; lower termination fee; STB approval timing not materially different; no financing condition), the Board asked BMO to seek a higher price from Party B — Party B declined; the Board determined G&amp;W’s offer a superior proposal, received BMO’s oral fairness opinion (written opinion dated 08/12/2016, to holders other than the Eder Trusts) and approved the merger agreement and recommended shareholder approval.</t>
        </is>
      </c>
      <c r="I55" s="3" t="n"/>
      <c r="J55" s="3" t="n"/>
      <c r="K55" s="4" t="inlineStr">
        <is>
          <t>Target decision (stated). Quotes: “representatives of BMO then contacted Party B to determine if it would increase its offer price. Party B indicated that it would not increase its price” / “The Board determined that the G&amp;W offer represented the superior proposal” / “Following a discussion of the terms of the merger agreement and related matters, the Board (other than Director Smith, who recused himself from the August 12, 2016 meeting) (i) determined that the merger agreement, the plan of merger” No-conflict confirmation: “BMO confirmed that it did not have any existing or contemplated material relationships with G&amp;W in connection with the provision of any financial advisory or financing services to G&amp;W” (P-027).</t>
        </is>
      </c>
      <c r="L55" s="5">
        <f>HYPERLINK("#Source text!$D$27","P-026; P-027 (main: P-026)")</f>
        <v/>
      </c>
      <c r="M55" s="3" t="inlineStr">
        <is>
          <t>Q6</t>
        </is>
      </c>
      <c r="N55" s="4" t="n"/>
      <c r="O55" s="4" t="inlineStr">
        <is>
          <t>R053</t>
        </is>
      </c>
      <c r="P55" s="4" t="inlineStr">
        <is>
          <t>Yes</t>
        </is>
      </c>
      <c r="Q55" s="4" t="n"/>
      <c r="R55" s="6" t="inlineStr">
        <is>
          <t>2016-08-12</t>
        </is>
      </c>
      <c r="S55" s="6" t="inlineStr">
        <is>
          <t>2016-08-12</t>
        </is>
      </c>
      <c r="T55" s="6" t="inlineStr">
        <is>
          <t>2016-08-12</t>
        </is>
      </c>
      <c r="U55" s="4" t="inlineStr">
        <is>
          <t>Reported day</t>
        </is>
      </c>
      <c r="V55" s="4" t="inlineStr">
        <is>
          <t>Reported</t>
        </is>
      </c>
      <c r="W55" s="7" t="n"/>
      <c r="X55" s="7" t="n"/>
      <c r="Y55" s="4" t="n"/>
      <c r="Z55" s="4" t="n"/>
      <c r="AA55" s="4" t="n"/>
      <c r="AB55" s="4" t="n"/>
      <c r="AC55" s="7" t="n"/>
      <c r="AD55" s="4" t="n"/>
      <c r="AE55" s="6" t="n"/>
      <c r="AF55" s="4" t="n"/>
      <c r="AG55" s="4" t="n"/>
      <c r="AH55" s="4" t="n"/>
      <c r="AI55" s="4" t="n"/>
      <c r="AJ55" s="4" t="n"/>
      <c r="AK55" s="4" t="inlineStr">
        <is>
          <t>32</t>
        </is>
      </c>
      <c r="AL55" s="4" t="inlineStr">
        <is>
          <t>bid R052; signing R054; outcomes R055–R056</t>
        </is>
      </c>
      <c r="AM55" s="4" t="inlineStr">
        <is>
          <t>PWRR-G&amp;W 2016</t>
        </is>
      </c>
    </row>
    <row r="56">
      <c r="A56" s="3" t="n">
        <v>54</v>
      </c>
      <c r="B56" s="4" t="inlineStr">
        <is>
          <t>08/12/2016</t>
        </is>
      </c>
      <c r="C56" s="4" t="inlineStr">
        <is>
          <t>PWRR, G&amp;W and Pullman Acquisition Sub Inc.</t>
        </is>
      </c>
      <c r="D56" s="4" t="inlineStr">
        <is>
          <t>Merger agreement signed</t>
        </is>
      </c>
      <c r="E56" s="3" t="n">
        <v>1</v>
      </c>
      <c r="F56" s="3" t="inlineStr">
        <is>
          <t>3</t>
        </is>
      </c>
      <c r="G56" s="3" t="n"/>
      <c r="H56" s="4" t="inlineStr">
        <is>
          <t>Executed the merger agreement (Merger Sub merges into PWRR, which survives as a wholly owned G&amp;W subsidiary; $25.00 cash per common share; preferred converted 100-for-1 plus accrued dividends; equity awards cashed out) and, with the Eder Trusts, the voting agreement (842,742 common / 500 preferred; ~17.3% / 78.1% of record-date class shares). Company termination fee $3,785,000 (~3% of transaction value; G&amp;W draft negotiated down from 3.85%; Party B’s draft was 3% plus expenses capped at 1%); no financing condition; outside dates 12/31/2016, or 02/28/2017 if only STB approval remains. Signing is not a bid row: agreed consideration stated here, price/formality/conditionality cells left blank.</t>
        </is>
      </c>
      <c r="I56" s="3" t="n"/>
      <c r="J56" s="3" t="n"/>
      <c r="K56" s="4" t="inlineStr">
        <is>
          <t>Merger agreement signed (stated). Quotes: “the Company and G&amp;W executed the merger agreement, and the Company, G&amp;W and the Eder Trusts executed the voting agreement” / “shall mean $3,785,000” Fee history: “termination fee equal to 3% of the transaction value in the case of G&amp;W (which the Company had negotiated down from 3.85%)” Outside date: “if the merger is not completed by December 31, 2016 (or, if the only unsatisfied condition is STB approval of the merger, by February 28, 2017)” Financing condition: “the absence of a financing condition in the merger agreement and the representation of G&amp;W in the merger agreement as to its financial wherewithal” Termination-fee and fiduciary-out terms were consequential for selection and are folded into this row (section 4).</t>
        </is>
      </c>
      <c r="L56" s="5">
        <f>HYPERLINK("#Source text!$D$29","P-028; X-023; X-010; P-025; X-022 (main: P-028)")</f>
        <v/>
      </c>
      <c r="M56" s="3" t="inlineStr">
        <is>
          <t>Q8</t>
        </is>
      </c>
      <c r="N56" s="4" t="n"/>
      <c r="O56" s="4" t="inlineStr">
        <is>
          <t>R054</t>
        </is>
      </c>
      <c r="P56" s="4" t="inlineStr">
        <is>
          <t>Yes</t>
        </is>
      </c>
      <c r="Q56" s="4" t="n"/>
      <c r="R56" s="6" t="inlineStr">
        <is>
          <t>2016-08-12</t>
        </is>
      </c>
      <c r="S56" s="6" t="inlineStr">
        <is>
          <t>2016-08-12</t>
        </is>
      </c>
      <c r="T56" s="6" t="inlineStr">
        <is>
          <t>2016-08-12</t>
        </is>
      </c>
      <c r="U56" s="4" t="inlineStr">
        <is>
          <t>Reported day</t>
        </is>
      </c>
      <c r="V56" s="4" t="inlineStr">
        <is>
          <t>Reported</t>
        </is>
      </c>
      <c r="W56" s="7" t="n"/>
      <c r="X56" s="7" t="n"/>
      <c r="Y56" s="4" t="n"/>
      <c r="Z56" s="4" t="n"/>
      <c r="AA56" s="4" t="n"/>
      <c r="AB56" s="4" t="n"/>
      <c r="AC56" s="7" t="n"/>
      <c r="AD56" s="4" t="n"/>
      <c r="AE56" s="6" t="n"/>
      <c r="AF56" s="4" t="n"/>
      <c r="AG56" s="4" t="n"/>
      <c r="AH56" s="4" t="n"/>
      <c r="AI56" s="4" t="n"/>
      <c r="AJ56" s="4" t="n"/>
      <c r="AK56" s="4" t="inlineStr">
        <is>
          <t>32</t>
        </is>
      </c>
      <c r="AL56" s="4" t="inlineStr">
        <is>
          <t>Board approval R053</t>
        </is>
      </c>
      <c r="AM56" s="4" t="inlineStr">
        <is>
          <t>PWRR-G&amp;W 2016</t>
        </is>
      </c>
    </row>
    <row r="57">
      <c r="A57" s="3" t="n">
        <v>55</v>
      </c>
      <c r="B57" s="4" t="inlineStr">
        <is>
          <t>by 08/12/2016</t>
        </is>
      </c>
      <c r="C57" s="4" t="inlineStr">
        <is>
          <t>Party B</t>
        </is>
      </c>
      <c r="D57" s="4" t="inlineStr">
        <is>
          <t>Not selected at signing</t>
        </is>
      </c>
      <c r="E57" s="3" t="n">
        <v>1</v>
      </c>
      <c r="F57" s="3" t="inlineStr">
        <is>
          <t>3</t>
        </is>
      </c>
      <c r="G57" s="3" t="inlineStr">
        <is>
          <t>Strategic</t>
        </is>
      </c>
      <c r="H57" s="4" t="inlineStr">
        <is>
          <t>Still bidding when the target chose another: standing $24.00 LOI; asked to improve and declined; the target signed with G&amp;W. Decided by: Target; Exit reason: Would not improve earlier offer. Outcome basis: Stated (the target chose another while Party B remained live).</t>
        </is>
      </c>
      <c r="I57" s="3" t="n"/>
      <c r="J57" s="3" t="n"/>
      <c r="K57" s="4" t="inlineStr">
        <is>
          <t>Not selected at signing (stated). Quote: “representatives of BMO then contacted Party B to determine if it would increase its offer price. Party B indicated that it would not increase its price” The target executed with G&amp;W: “the Company and G&amp;W executed the merger agreement” (P-028). A bidder asked to improve and declining takes Would not improve earlier offer even though the target then chose the rival and Decided by is Target (section 10.3). No late-reconfirmation row is recorded for Party B: its latest priced row (R028) is Formal and sits in a round whose finality is Inferred final, so the section 9.1 test is not met.</t>
        </is>
      </c>
      <c r="L57" s="5">
        <f>HYPERLINK("#Source text!$D$27","P-026; P-028 (main: P-026)")</f>
        <v/>
      </c>
      <c r="M57" s="3" t="inlineStr">
        <is>
          <t>Q6</t>
        </is>
      </c>
      <c r="N57" s="4" t="n"/>
      <c r="O57" s="4" t="inlineStr">
        <is>
          <t>R055</t>
        </is>
      </c>
      <c r="P57" s="4" t="inlineStr">
        <is>
          <t>Yes</t>
        </is>
      </c>
      <c r="Q57" s="4" t="n">
        <v>1</v>
      </c>
      <c r="R57" s="6" t="n"/>
      <c r="S57" s="6" t="inlineStr">
        <is>
          <t>2016-08-12</t>
        </is>
      </c>
      <c r="T57" s="6" t="inlineStr">
        <is>
          <t>2016-08-12</t>
        </is>
      </c>
      <c r="U57" s="4" t="inlineStr">
        <is>
          <t>Relative only</t>
        </is>
      </c>
      <c r="V57" s="4" t="inlineStr">
        <is>
          <t>Assigned: bound</t>
        </is>
      </c>
      <c r="W57" s="7" t="n"/>
      <c r="X57" s="7" t="n"/>
      <c r="Y57" s="4" t="n"/>
      <c r="Z57" s="4" t="n"/>
      <c r="AA57" s="4" t="n"/>
      <c r="AB57" s="4" t="n"/>
      <c r="AC57" s="7" t="n"/>
      <c r="AD57" s="4" t="n"/>
      <c r="AE57" s="6" t="n"/>
      <c r="AF57" s="4" t="n"/>
      <c r="AG57" s="4" t="n"/>
      <c r="AH57" s="4" t="inlineStr">
        <is>
          <t>Target</t>
        </is>
      </c>
      <c r="AI57" s="4" t="inlineStr">
        <is>
          <t>Would not improve earlier offer</t>
        </is>
      </c>
      <c r="AJ57" s="4" t="inlineStr">
        <is>
          <t>Stated</t>
        </is>
      </c>
      <c r="AK57" s="4" t="inlineStr">
        <is>
          <t>32</t>
        </is>
      </c>
      <c r="AL57" s="4" t="inlineStr">
        <is>
          <t>standing bid R028; signing R054</t>
        </is>
      </c>
      <c r="AM57" s="4" t="inlineStr">
        <is>
          <t>PWRR-G&amp;W 2016</t>
        </is>
      </c>
    </row>
    <row r="58">
      <c r="A58" s="3" t="n">
        <v>56</v>
      </c>
      <c r="B58" s="4" t="inlineStr">
        <is>
          <t>by 08/12/2016</t>
        </is>
      </c>
      <c r="C58" s="4" t="inlineStr">
        <is>
          <t>Party E</t>
        </is>
      </c>
      <c r="D58" s="4" t="inlineStr">
        <is>
          <t>Not selected at signing</t>
        </is>
      </c>
      <c r="E58" s="3" t="n">
        <v>1</v>
      </c>
      <c r="F58" s="3" t="inlineStr">
        <is>
          <t>3</t>
        </is>
      </c>
      <c r="G58" s="3" t="inlineStr">
        <is>
          <t>Strategic</t>
        </is>
      </c>
      <c r="H58" s="4" t="inlineStr">
        <is>
          <t>Still live when the target chose another: standing original proposal of $21.26 per share confirmed 08/02/2016; not chosen against G&amp;W’s $25.00. Decided by: Target; Exit reason: Lower offer than rivals.</t>
        </is>
      </c>
      <c r="I58" s="3" t="n"/>
      <c r="J58" s="3" t="n"/>
      <c r="K58" s="4" t="inlineStr">
        <is>
          <t>Not selected at signing (stated). Quotes: “confirmed its original proposal of $21.26 per share” / “The Board determined that the G&amp;W offer represented the superior proposal” / “the Company and G&amp;W executed the merger agreement” (P-028). Party E was not displaced by exclusivity (none was executed), so this is a signing outcome, not an earlier withdrawal.</t>
        </is>
      </c>
      <c r="L58" s="5">
        <f>HYPERLINK("#Source text!$D$22","P-021; P-027; P-028 (main: P-021)")</f>
        <v/>
      </c>
      <c r="M58" s="3" t="inlineStr">
        <is>
          <t>Q4</t>
        </is>
      </c>
      <c r="N58" s="4" t="n"/>
      <c r="O58" s="4" t="inlineStr">
        <is>
          <t>R056</t>
        </is>
      </c>
      <c r="P58" s="4" t="inlineStr">
        <is>
          <t>Yes</t>
        </is>
      </c>
      <c r="Q58" s="4" t="n">
        <v>1</v>
      </c>
      <c r="R58" s="6" t="n"/>
      <c r="S58" s="6" t="inlineStr">
        <is>
          <t>2016-08-12</t>
        </is>
      </c>
      <c r="T58" s="6" t="inlineStr">
        <is>
          <t>2016-08-12</t>
        </is>
      </c>
      <c r="U58" s="4" t="inlineStr">
        <is>
          <t>Relative only</t>
        </is>
      </c>
      <c r="V58" s="4" t="inlineStr">
        <is>
          <t>Assigned: bound</t>
        </is>
      </c>
      <c r="W58" s="7" t="n"/>
      <c r="X58" s="7" t="n"/>
      <c r="Y58" s="4" t="n"/>
      <c r="Z58" s="4" t="n"/>
      <c r="AA58" s="4" t="n"/>
      <c r="AB58" s="4" t="n"/>
      <c r="AC58" s="7" t="n"/>
      <c r="AD58" s="4" t="n"/>
      <c r="AE58" s="6" t="n"/>
      <c r="AF58" s="4" t="n"/>
      <c r="AG58" s="4" t="n"/>
      <c r="AH58" s="4" t="inlineStr">
        <is>
          <t>Target</t>
        </is>
      </c>
      <c r="AI58" s="4" t="inlineStr">
        <is>
          <t>Lower offer than rivals</t>
        </is>
      </c>
      <c r="AJ58" s="4" t="inlineStr">
        <is>
          <t>Stated</t>
        </is>
      </c>
      <c r="AK58" s="4" t="inlineStr">
        <is>
          <t>30</t>
        </is>
      </c>
      <c r="AL58" s="4" t="inlineStr">
        <is>
          <t>standing bid R048</t>
        </is>
      </c>
      <c r="AM58" s="4" t="inlineStr">
        <is>
          <t>PWRR-G&amp;W 2016</t>
        </is>
      </c>
    </row>
    <row r="59">
      <c r="A59" s="3" t="n">
        <v>57</v>
      </c>
      <c r="B59" s="4" t="inlineStr">
        <is>
          <t>08/15/2016</t>
        </is>
      </c>
      <c r="C59" s="4" t="inlineStr">
        <is>
          <t>PWRR (press release)</t>
        </is>
      </c>
      <c r="D59" s="4" t="inlineStr">
        <is>
          <t>Merger announced</t>
        </is>
      </c>
      <c r="E59" s="3" t="n">
        <v>1</v>
      </c>
      <c r="F59" s="3" t="inlineStr">
        <is>
          <t>post</t>
        </is>
      </c>
      <c r="G59" s="3" t="n"/>
      <c r="H59" s="4" t="inlineStr">
        <is>
          <t>Company press release publicly announcing the transaction on Monday, 08/15/2016 before the opening of NASDAQ trading; issuer: the Company; medium: press release. No go-shop, competing post-signing proposal, agreement termination or closing is disclosed in this filing.</t>
        </is>
      </c>
      <c r="I59" s="3" t="n"/>
      <c r="J59" s="3" t="n"/>
      <c r="K59" s="4" t="inlineStr">
        <is>
          <t>Merger announced (stated publicity). Quote: “The Company issued a press release publicly announcing the transaction on Monday, August 15, 2016 prior to the opening of trading of”</t>
        </is>
      </c>
      <c r="L59" s="5">
        <f>HYPERLINK("#Source text!$D$29","P-028 (main: P-028)")</f>
        <v/>
      </c>
      <c r="M59" s="3" t="inlineStr">
        <is>
          <t>Q1</t>
        </is>
      </c>
      <c r="N59" s="4" t="n"/>
      <c r="O59" s="4" t="inlineStr">
        <is>
          <t>R057</t>
        </is>
      </c>
      <c r="P59" s="4" t="inlineStr">
        <is>
          <t>Yes</t>
        </is>
      </c>
      <c r="Q59" s="4" t="n"/>
      <c r="R59" s="6" t="inlineStr">
        <is>
          <t>2016-08-15</t>
        </is>
      </c>
      <c r="S59" s="6" t="inlineStr">
        <is>
          <t>2016-08-15</t>
        </is>
      </c>
      <c r="T59" s="6" t="inlineStr">
        <is>
          <t>2016-08-15</t>
        </is>
      </c>
      <c r="U59" s="4" t="inlineStr">
        <is>
          <t>Reported day</t>
        </is>
      </c>
      <c r="V59" s="4" t="inlineStr">
        <is>
          <t>Reported</t>
        </is>
      </c>
      <c r="W59" s="7" t="n"/>
      <c r="X59" s="7" t="n"/>
      <c r="Y59" s="4" t="n"/>
      <c r="Z59" s="4" t="n"/>
      <c r="AA59" s="4" t="n"/>
      <c r="AB59" s="4" t="n"/>
      <c r="AC59" s="7" t="n"/>
      <c r="AD59" s="4" t="n"/>
      <c r="AE59" s="6" t="n"/>
      <c r="AF59" s="4" t="n"/>
      <c r="AG59" s="4" t="n"/>
      <c r="AH59" s="4" t="n"/>
      <c r="AI59" s="4" t="n"/>
      <c r="AJ59" s="4" t="n"/>
      <c r="AK59" s="4" t="inlineStr">
        <is>
          <t>32</t>
        </is>
      </c>
      <c r="AL59" s="4" t="n"/>
      <c r="AM59" s="4" t="inlineStr">
        <is>
          <t>PWRR-G&amp;W 2016</t>
        </is>
      </c>
    </row>
  </sheetData>
  <autoFilter ref="A2:AM59"/>
  <dataValidations count="15">
    <dataValidation sqref="D3:D59" showDropDown="0" showInputMessage="0" showErrorMessage="1" allowBlank="1" type="list" errorStyle="warning">
      <formula1>'Lists'!$A$2:$A$41</formula1>
    </dataValidation>
    <dataValidation sqref="G3:G59" showDropDown="0" showInputMessage="0" showErrorMessage="1" allowBlank="1" type="list" errorStyle="warning">
      <formula1>'Lists'!$B$2:$B$5</formula1>
    </dataValidation>
    <dataValidation sqref="I3:I59" showDropDown="0" showInputMessage="0" showErrorMessage="1" allowBlank="1" type="list" errorStyle="warning">
      <formula1>'Lists'!$C$2:$C$5</formula1>
    </dataValidation>
    <dataValidation sqref="J3:J59" showDropDown="0" showInputMessage="0" showErrorMessage="1" allowBlank="1" type="list" errorStyle="warning">
      <formula1>'Lists'!$D$2:$D$6</formula1>
    </dataValidation>
    <dataValidation sqref="P3:P59" showDropDown="0" showInputMessage="0" showErrorMessage="1" allowBlank="1" type="list" errorStyle="warning">
      <formula1>'Lists'!$E$2:$E$3</formula1>
    </dataValidation>
    <dataValidation sqref="U3:U59" showDropDown="0" showInputMessage="0" showErrorMessage="1" allowBlank="1" type="list" errorStyle="warning">
      <formula1>'Lists'!$F$2:$F$7</formula1>
    </dataValidation>
    <dataValidation sqref="V3:V59" showDropDown="0" showInputMessage="0" showErrorMessage="1" allowBlank="1" type="list" errorStyle="warning">
      <formula1>'Lists'!$G$2:$G$8</formula1>
    </dataValidation>
    <dataValidation sqref="Y3:Y59" showDropDown="0" showInputMessage="0" showErrorMessage="1" allowBlank="1" type="list" errorStyle="warning">
      <formula1>'Lists'!$H$2:$H$6</formula1>
    </dataValidation>
    <dataValidation sqref="Z3:Z59" showDropDown="0" showInputMessage="0" showErrorMessage="1" allowBlank="1" type="list" errorStyle="warning">
      <formula1>'Lists'!$I$2:$I$4</formula1>
    </dataValidation>
    <dataValidation sqref="AB3:AB59" showDropDown="0" showInputMessage="0" showErrorMessage="1" allowBlank="1" type="list" errorStyle="warning">
      <formula1>'Lists'!$J$2:$J$4</formula1>
    </dataValidation>
    <dataValidation sqref="AF3:AF59" showDropDown="0" showInputMessage="0" showErrorMessage="1" allowBlank="1" type="list" errorStyle="warning">
      <formula1>'Lists'!$K$2:$K$8</formula1>
    </dataValidation>
    <dataValidation sqref="AG3:AG59" showDropDown="0" showInputMessage="0" showErrorMessage="1" allowBlank="1" type="list" errorStyle="warning">
      <formula1>'Lists'!$L$2:$L$4</formula1>
    </dataValidation>
    <dataValidation sqref="AH3:AH59" showDropDown="0" showInputMessage="0" showErrorMessage="1" allowBlank="1" type="list" errorStyle="warning">
      <formula1>'Lists'!$M$2:$M$5</formula1>
    </dataValidation>
    <dataValidation sqref="AI3:AI59" showDropDown="0" showInputMessage="0" showErrorMessage="1" allowBlank="1" type="list" errorStyle="warning">
      <formula1>'Lists'!$N$2:$N$10</formula1>
    </dataValidation>
    <dataValidation sqref="AJ3:AJ59" showDropDown="0" showInputMessage="0" showErrorMessage="1" allowBlank="1" type="list" errorStyle="warning">
      <formula1>'Lists'!$O$2:$O$6</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6" customWidth="1" min="1" max="1"/>
    <col width="155" customWidth="1" min="2" max="2"/>
  </cols>
  <sheetData>
    <row r="1">
      <c r="A1" s="8" t="inlineStr">
        <is>
          <t>PWRR × G&amp;W — deal ledger summary (Providence and Worcester Railroad Company / Genesee &amp; Wyoming Inc., 2016)</t>
        </is>
      </c>
    </row>
    <row r="2">
      <c r="A2" s="9" t="inlineStr">
        <is>
          <t>1. Status and commercial account</t>
        </is>
      </c>
    </row>
    <row r="3">
      <c r="A3" s="10" t="inlineStr">
        <is>
          <t>Delivery status</t>
        </is>
      </c>
      <c r="B3" s="4" t="inlineStr">
        <is>
          <t>AI first pass; not human-approved. Instruction: SEC_Deal_Ledger_Extraction_Instruction.md, revision of 19 September 2026 (short form). Supplied source: providence-worcester_2016-09-20_DEFM14A.htm — PWRR definitive proxy statement (DEFM14A) filed 09/20/2016, proxy dated 09/19/2016. Source coverage: the complete “Background of the Merger” (pp. 27–32) is reproduced in order in the Source text sheet (P-001–P-029), with every other passage used as X-001 onward.</t>
        </is>
      </c>
    </row>
    <row r="4">
      <c r="A4" s="10" t="inlineStr">
        <is>
          <t>Commercial account</t>
        </is>
      </c>
      <c r="B4" s="4" t="inlineStr">
        <is>
          <t>Initiation was mixed: a Q4 2015 approach by a Class I rail partner (Party A) expressing interest in acquiring equity led, through the Board’s banker search and its 03/14/2016 decision to explore a change of control, to a broad bank-run solicitation of 29 potential buyers (11 strategic, 18 financial) in the week of 03/28/2016. Twenty-five buyers signed confidentiality agreements (no standstills); after introductory meetings and a memorandum, nine submitted non-binding IOIs received 05/19–06/01/2016 at $17.93–$26.50 per share as-converted (equity values $90–134 million), and the committee excluded the two lowest and advanced seven to management presentations and a data site. A mid-June solicitation for LOIs with agreement mark-ups (due 07/20/2016) produced six LOIs in late July at $19.20–$24.00: Party B ($24.00) and G&amp;W ($21.15, then $22.15 including a $1.13 South Quay CVR) led; Party E ($21.26), Party D ($21.00), Party C ($19.30) and Party F ($19.20) followed; one strategic and one financial buyer elected not to submit. On 07/27/2016 the committee chose G&amp;W and Party B for confirmatory due diligence and definitive negotiation and told the remaining bidders they were out; Party D and Party E briefly re-engaged (08/01 revised LOIs of $24.00 and $23.81, Party E supported by Party F financing), but Party D withdrew on 08/02 after the Company declined a no-sign commitment and Party E reverted to $21.26. On 08/12/2016 G&amp;W’s final $25.00 all-cash LOI (CVR dropped, mark-ups returned, expiry 6:00 p.m. 08/13) displaced Party B’s $24.00 after Party B declined to raise, and the Board approved the merger agreement and the Eder Trusts’ voting agreement that same day. Announcement followed on 08/15/2016; no go-shop, competing post-signing proposal, agreement termination or closing is disclosed, STB approval was pending (petition 09/01/2016; voting trust submission 09/14/2016), and closing was expected in Q4 2016.</t>
        </is>
      </c>
    </row>
    <row r="5">
      <c r="A5" s="9" t="inlineStr">
        <is>
          <t>2. Deal facts</t>
        </is>
      </c>
    </row>
    <row r="6">
      <c r="A6" s="10" t="inlineStr">
        <is>
          <t>Target</t>
        </is>
      </c>
      <c r="B6" s="4" t="inlineStr">
        <is>
          <t>Providence and Worcester Railroad Company (PWRR), a Rhode Island corporation; regional freight railroad in Massachusetts, Rhode Island, Connecticut and New York; NASDAQ: PWX; US public company. 4,866,593 common shares and 640 preferred shares outstanding on the 09/16/2016 record date (preferred convertible 100-for-1; non-cumulative $5.00 dividend).</t>
        </is>
      </c>
    </row>
    <row r="7">
      <c r="A7" s="10" t="inlineStr">
        <is>
          <t>Focal acquirer and type</t>
        </is>
      </c>
      <c r="B7" s="4" t="inlineStr">
        <is>
          <t>Genesee &amp; Wyoming Inc. (G&amp;W), a Delaware corporation; NYSE: GWR; US public company; Strategic — operating short-line/regional railroad acquirer, buying through its wholly owned shell Pullman Acquisition Sub Inc. (formed 08/12/2016).</t>
        </is>
      </c>
    </row>
    <row r="8">
      <c r="A8" s="10" t="inlineStr">
        <is>
          <t>Agreed consideration</t>
        </is>
      </c>
      <c r="B8" s="4" t="inlineStr">
        <is>
          <t>$25.00 per share in cash (as-converted basis: preferred deemed converted into 100 common shares plus accrued and unpaid dividends); equity awards cashed out at $25.00 (options net of exercise price; RSUs at $25.00); no financing condition; G&amp;W representation as to financial wherewithal. All cash: Yes. No CVR in the signed terms.</t>
        </is>
      </c>
    </row>
    <row r="9">
      <c r="A9" s="10" t="inlineStr">
        <is>
          <t>Signing</t>
        </is>
      </c>
      <c r="B9" s="4" t="inlineStr">
        <is>
          <t>08/12/2016 — merger agreement among PWRR, G&amp;W and Merger Sub; voting agreement among PWRR, G&amp;W and the Eder Trusts (842,742 common shares, 500 preferred shares).</t>
        </is>
      </c>
    </row>
    <row r="10">
      <c r="A10" s="10" t="inlineStr">
        <is>
          <t>Announcement</t>
        </is>
      </c>
      <c r="B10" s="4" t="inlineStr">
        <is>
          <t>08/15/2016 — Company press release before the opening of NASDAQ trading.</t>
        </is>
      </c>
    </row>
    <row r="11">
      <c r="A11" s="10" t="inlineStr">
        <is>
          <t>Completion</t>
        </is>
      </c>
      <c r="B11" s="4" t="inlineStr">
        <is>
          <t>Not observed in this filing (expected Q4 2016). Outside dates 12/31/2016, or 02/28/2017 if the only unsatisfied condition is STB approval. Expected closing kept separate from any observed closing.</t>
        </is>
      </c>
    </row>
    <row r="12">
      <c r="A12" s="10" t="inlineStr">
        <is>
          <t>Termination fee</t>
        </is>
      </c>
      <c r="B12" s="4" t="inlineStr">
        <is>
          <t>$3,785,000 payable by the Company to G&amp;W in specified cases (~3% of transaction value; the Company negotiated G&amp;W’s draft down from 3.85%; Party B’s draft was 3% plus its transaction expenses capped at 1%).</t>
        </is>
      </c>
    </row>
    <row r="13">
      <c r="A13" s="10" t="inlineStr">
        <is>
          <t>Filing identity and date</t>
        </is>
      </c>
      <c r="B13" s="4" t="inlineStr">
        <is>
          <t>DEFM14A definitive proxy statement for the special meeting of shareholders (10/26/2016), filed 09/20/2016; background pages 27–32. Source file: raw_filing/providence-worcester_2016-09-20_DEFM14A.htm.</t>
        </is>
      </c>
    </row>
    <row r="14">
      <c r="A14" s="9" t="inlineStr">
        <is>
          <t>3. Process and round map</t>
        </is>
      </c>
    </row>
    <row r="15">
      <c r="A15" s="10" t="inlineStr">
        <is>
          <t>Processes</t>
        </is>
      </c>
      <c r="B15" s="4" t="inlineStr">
        <is>
          <t>One sale process (Process 1). No earlier attempt is disclosed (the Q4 2015 Party A approach is round 0, not a separate process); no second process, go-shop or agreement termination is disclosed. Post-signing ledger content is publicity only (R057); the STB process and the 09/06/2016 BMO conflict confirmation sit in these Summary blocks.</t>
        </is>
      </c>
    </row>
    <row r="16">
      <c r="A16" s="10" t="inlineStr">
        <is>
          <t>Round 0 (pre-solicitation)</t>
        </is>
      </c>
      <c r="B16" s="4" t="inlineStr">
        <is>
          <t>R001 Party A interest (Q4 2015); R002 GHF adviser engaged (01/27/2016); R003 sale-strategy decision (03/14/2016); R004 Party A management meetings (03/22–03/23); R005 contact authorization (03/24); R006 Hinckley Allen shown acting (03/24). No Round opened row for round 0.</t>
        </is>
      </c>
    </row>
    <row r="17">
      <c r="A17" s="10" t="inlineStr">
        <is>
          <t>Round 1 (week of 03/28 – 06/01/2016)</t>
        </is>
      </c>
      <c r="B17" s="4" t="inlineStr">
        <is>
          <t>R008 anchor = first outreach wave — 29 potential buyers contacted (R007); rejected candidate anchors R003 and R005. NDA wave R009–R011 (25 signers: 10 remaining strategic + 14 financial + G&amp;W individually; no standstills). Access/differentiation: R012 (convention meetings), R013 (04/07 contact authorization), R014 (two additional Class I railroads contacted). Deadline history: R016 (05/10 set by 04/27), R017 (revised to 05/19), R018 (05/19; Enforced). Bids: R019 (nine IOIs, envelope $17.93–$26.50). Outcomes: R020 (16 residual non-submitters, inferred), R021 (06/01 decision), R022 (two low bidders dropped). Round-bidder tally: 9. Finality: Not final.</t>
        </is>
      </c>
    </row>
    <row r="18">
      <c r="A18" s="10" t="inlineStr">
        <is>
          <t>Round 2 (mid-June – 07/27/2016)</t>
        </is>
      </c>
      <c r="B18" s="4" t="inlineStr">
        <is>
          <t>R023 opened the LOI stage (due 07/20/2016; mark-ups and draft documents posted to the data site 06/29–07/11). Late entrant Party C: R024 NDA, R025 IOI ($21.00), R026 catch-up access. Bids: R028–R032 (B $24.00, E $21.26, D $21.00, C $19.30, F $19.20) and R036–R037 (G&amp;W $21.15, then $22.15). Deadline: R027 (07/20; Late bids accepted). Outcomes: R033–R034 (two non-submitters), R035 (Party A identity row), R038 (07/27 selection of G&amp;W and Party B), R039–R042 (C, D, E, F dropped). Round-bidder tally: 6. Finality: Inferred final.</t>
        </is>
      </c>
    </row>
    <row r="19">
      <c r="A19" s="10" t="inlineStr">
        <is>
          <t>Round 3 (07/27 – 08/12/2016)</t>
        </is>
      </c>
      <c r="B19" s="4" t="inlineStr">
        <is>
          <t>R043 opened confirmatory due diligence and definitive negotiation with G&amp;W and Party B. Re-entries R044–R045; bids R046–R048; withdrawal R049; access update R050; adviser R051; final bid R052 ($25.00); Board decision R053; signing R054; signing outcomes R055–R056. Round-bidder tally: 3. Finality: Inferred final.</t>
        </is>
      </c>
    </row>
    <row r="20">
      <c r="A20" s="10" t="inlineStr">
        <is>
          <t>Post-signing</t>
        </is>
      </c>
      <c r="B20" s="4" t="inlineStr">
        <is>
          <t>R057 announcement (08/15/2016); no competing proposal, go-shop activity, agreement termination or closing observed. Regulatory: STB petition for exemption filed 09/01/2016 and a voting-trust agreement submitted 09/14/2016 (X-009); outside dates X-010. Adviser conflict: on 09/06/2016 the Board considered BMO’s late disclosure of a ~5% BMO-affiliate lending participation in G&amp;W’s secured syndicated facility and determined it was not material to BMO’s independence (P-029; X-016).</t>
        </is>
      </c>
    </row>
    <row r="21">
      <c r="A21" s="9" t="inlineStr">
        <is>
          <t>4. Participants and advisers</t>
        </is>
      </c>
    </row>
    <row r="22">
      <c r="A22" s="10" t="inlineStr">
        <is>
          <t>G&amp;W</t>
        </is>
      </c>
      <c r="B22" s="4" t="inlineStr">
        <is>
          <t>Strategic (operating short-line/regional railroad; acquires through wholly owned shell Merger Sub). First observed 04/03/2016 (NDA R011; convention meeting R012); bids R036 ($21.15 with CVR), R037 ($22.15), R052 ($25.00 cash). Winner — no exit row.</t>
        </is>
      </c>
    </row>
    <row r="23">
      <c r="A23" s="10" t="inlineStr">
        <is>
          <t>Party A</t>
        </is>
      </c>
      <c r="B23" s="4" t="inlineStr">
        <is>
          <t>Strategic (Class I rail partner). First observed Q4 2015 (R001); NDA within R009; memorandum recipient; never mentioned again → Count-0 identity row R035 (Inferred: identity; possible covers R033 recommended, R020, R022). See Q4/Q5.</t>
        </is>
      </c>
    </row>
    <row r="24">
      <c r="A24" s="10" t="inlineStr">
        <is>
          <t>Party B</t>
        </is>
      </c>
      <c r="B24" s="4" t="inlineStr">
        <is>
          <t>Strategic. First individual meeting 04/21/2016 (R015); LOI R028 ($24.00); prioritized for definitive negotiation 08/04/2016; declined to raise on 08/12; Not selected at signing R055 (Would not improve earlier offer).</t>
        </is>
      </c>
    </row>
    <row r="25">
      <c r="A25" s="10" t="inlineStr">
        <is>
          <t>Party C</t>
        </is>
      </c>
      <c r="B25" s="4" t="inlineStr">
        <is>
          <t>Strategic late entrant. NDA R024 (early July); IOI R025 ($21.00); LOI R031 ($19.30); dropped R039 (07/27).</t>
        </is>
      </c>
    </row>
    <row r="26">
      <c r="A26" s="10" t="inlineStr">
        <is>
          <t>Party D</t>
        </is>
      </c>
      <c r="B26" s="4" t="inlineStr">
        <is>
          <t>Financial (as described in the filing). LOI R030 ($21.00); dropped R040; re-entered R044; revised LOI R046 ($24.00); Withdrew R049 (terms/process; no-sign commitment declined).</t>
        </is>
      </c>
    </row>
    <row r="27">
      <c r="A27" s="10" t="inlineStr">
        <is>
          <t>Party E</t>
        </is>
      </c>
      <c r="B27" s="4" t="inlineStr">
        <is>
          <t>Strategic. LOI R029 ($21.26); dropped R041; re-entered R045; revised LOI R047 ($23.81 with Party F financing); reversion R048 ($21.26); Not selected at signing R056.</t>
        </is>
      </c>
    </row>
    <row r="28">
      <c r="A28" s="10" t="inlineStr">
        <is>
          <t>Party F</t>
        </is>
      </c>
      <c r="B28" s="4" t="inlineStr">
        <is>
          <t>Strategic. LOI R032 ($19.20); dropped R042 (07/27 exit); provided financing support to Party E’s withdrawn 08/01 revised proposal (recorded on R047; no re-entry row after its exit).</t>
        </is>
      </c>
    </row>
    <row r="29">
      <c r="A29" s="10" t="inlineStr">
        <is>
          <t>Anonymous cohorts</t>
        </is>
      </c>
      <c r="B29" s="4" t="inlineStr">
        <is>
          <t>Two unnamed low bidders (Unknown type; dropped R022); one unnamed strategic and one unnamed financial non-submitter (R033, R034); 16 residual NDA signers closed by inference at 05/19/2016 (R020); two additional Class I railroads contacted before 04/07/2016 that never entered (R014). Cohorts are not extra parties to add to their members.</t>
        </is>
      </c>
    </row>
    <row r="30">
      <c r="A30" s="10" t="inlineStr">
        <is>
          <t>Non-bidder holders</t>
        </is>
      </c>
      <c r="B30" s="4" t="inlineStr">
        <is>
          <t>The Eder Trusts (shareholders; voting agreement 08/12/2016; X-012/X-024) and GATX Corporation (4.92% common holder; Director Smith recused from process meetings because GATX might be a potential buyer; no contact, NDA or bid disclosed) are not bidders and get no outcome rows.</t>
        </is>
      </c>
    </row>
    <row r="31">
      <c r="A31" s="10" t="inlineStr">
        <is>
          <t>Advisers</t>
        </is>
      </c>
      <c r="B31" s="4" t="inlineStr">
        <is>
          <t>GHF (Greene Holcomb &amp; Fisher LLC) → BMO Capital Markets Corp. — Company financial adviser; engaged 01/27/2016 (R002); GHF’s business acquired by BMO 08/01/2016 (same relationship); aggregate fee ~$2.52 million (X-015); BMO-affiliate lending participation in G&amp;W’s 2015 facility disclosed late and considered not material by the Board on 09/06/2016 (P-029; X-016). Hinckley, Allen &amp; Snyder LLP — Company legal counsel (R006; first shown acting 03/24/2016). Simpson Thacher &amp; Bartlett LLP — G&amp;W legal counsel (R051; first shown acting 08/10/2016). The Company’s STB counsel is unnamed (P-026) and gets no adviser row. Disclosed attributes: PWRR and G&amp;W are US public companies (NASDAQ: PWX; NYSE: GWR); ownership and country of the anonymous parties are not disclosed.</t>
        </is>
      </c>
    </row>
    <row r="32">
      <c r="A32" s="9" t="inlineStr">
        <is>
          <t>5. Counts and auction screen</t>
        </is>
      </c>
    </row>
    <row r="33">
      <c r="A33" s="10" t="inlineStr">
        <is>
          <t>Auction screen</t>
        </is>
      </c>
      <c r="B33" s="4" t="inlineStr">
        <is>
          <t>MET — more than one independent prospective acquiring bidder unit executed bidder-target confidentiality agreements for this process (25 in the week-of-03/28 wave plus Party C; G&amp;W among them). No lender-only, adviser or rollover-holder agreements are included; the Eder Trusts’ voting agreement is not a bidder NDA. Extraction proceeds regardless of the screen.</t>
        </is>
      </c>
    </row>
    <row r="34">
      <c r="A34" s="10" t="inlineStr">
        <is>
          <t>Contacts (ledger tally)</t>
        </is>
      </c>
      <c r="B34" s="4">
        <f>SUMIFS('Deal ledger'!$Q$3:$Q$100,'Deal ledger'!$D$3:$D$100,"Contact",'Deal ledger'!$P$3:$P$100,"Yes")+SUMIFS('Deal ledger'!$Q$3:$Q$100,'Deal ledger'!$D$3:$D$100,"Bidder interest",'Deal ledger'!$P$3:$P$100,"Yes")</f>
        <v/>
      </c>
    </row>
    <row r="35">
      <c r="A35" s="10" t="inlineStr">
        <is>
          <t xml:space="preserve">  → composition and filing assertions</t>
        </is>
      </c>
      <c r="B35" s="4" t="inlineStr">
        <is>
          <t>31 from Contact rows (29 in the GHF outreach wave + 2 additional Class I railroads approached by the Company) plus 1 from the Party A Bidder interest row, which carries the Q4 2015 first contact = 32 contact units. Party A’s 03/22–03/23 meeting and Party B’s 04/21 meeting are Count 0 repeats. Filing: GHF contacted 11 potential strategic buyers and 18 potential financial buyers (29) in the week of 03/28/2016; the Company also approached two additional Class I railroads (P-004; P-006).</t>
        </is>
      </c>
    </row>
    <row r="36">
      <c r="A36" s="10" t="inlineStr">
        <is>
          <t>NDA signers (ledger tally)</t>
        </is>
      </c>
      <c r="B36" s="4">
        <f>SUMIFS('Deal ledger'!$Q$3:$Q$100,'Deal ledger'!$D$3:$D$100,"NDA signed",'Deal ledger'!$P$3:$P$100,"Yes")</f>
        <v/>
      </c>
    </row>
    <row r="37">
      <c r="A37" s="10" t="inlineStr">
        <is>
          <t xml:space="preserve">  → filing assertions and reconciliation</t>
        </is>
      </c>
      <c r="B37" s="4" t="inlineStr">
        <is>
          <t>Background: each of the 11 potential strategic buyers and 14 potential financial buyers executed confidentiality agreements (25), plus Party C’s early-July agreement = 26 signatures on the ledger’s reading; the Board’s reasons state “25 of whom entered into confidentiality agreements” (X-002). Q3 reconciles: the reasons’ 25 may exclude Party C or one strategic signer.</t>
        </is>
      </c>
    </row>
    <row r="38">
      <c r="A38" s="10" t="inlineStr">
        <is>
          <t>IOI submitters</t>
        </is>
      </c>
      <c r="B38" s="4" t="inlineStr">
        <is>
          <t>9 (stated; R019 cohort, envelope $17.93–$26.50; filing: “nine written indications of interest”, P-008).</t>
        </is>
      </c>
    </row>
    <row r="39">
      <c r="A39" s="10" t="inlineStr">
        <is>
          <t>LOI submitters</t>
        </is>
      </c>
      <c r="B39" s="4" t="inlineStr">
        <is>
          <t>6 (stated; B, G&amp;W, E, D, C, F — R028–R032, R036; plus G&amp;W’s 07/26 revision R037. Filing: “six LOIs”, P-012; group envelope $19.20–$24.00 / $96–121 million).</t>
        </is>
      </c>
    </row>
    <row r="40">
      <c r="A40" s="10" t="inlineStr">
        <is>
          <t>Round-bidder tallies (R1 / R2 / R3)</t>
        </is>
      </c>
      <c r="B40" s="4">
        <f>SUMIFS('Deal ledger'!$Q$3:$Q$100,'Deal ledger'!$D$3:$D$100,"Bid",'Deal ledger'!$F$3:$F$100,"1",'Deal ledger'!$P$3:$P$100,"Yes")&amp;" / "&amp;SUMIFS('Deal ledger'!$Q$3:$Q$100,'Deal ledger'!$D$3:$D$100,"Bid",'Deal ledger'!$F$3:$F$100,"2",'Deal ledger'!$P$3:$P$100,"Yes")&amp;" / "&amp;SUMIFS('Deal ledger'!$Q$3:$Q$100,'Deal ledger'!$D$3:$D$100,"Bid",'Deal ledger'!$F$3:$F$100,"3",'Deal ledger'!$P$3:$P$100,"Yes")</f>
        <v/>
      </c>
    </row>
    <row r="41">
      <c r="A41" s="10" t="inlineStr">
        <is>
          <t xml:space="preserve">  → scope</t>
        </is>
      </c>
      <c r="B41" s="4" t="inlineStr">
        <is>
          <t>Bidder units newly represented as submitting in each round; not submissions and not unique bidders across the deal. R2 counts Party C’s IOI (R025) plus five LOIs; R3 counts D, E and G&amp;W; later bids by the same bidder in the same round add 0 (G&amp;W R037, C R031, E R048).</t>
        </is>
      </c>
    </row>
    <row r="42">
      <c r="A42" s="10" t="inlineStr">
        <is>
          <t>Exit units and inferred share</t>
        </is>
      </c>
      <c r="B42" s="4">
        <f>SUMIFS('Deal ledger'!$Q$3:$Q$100,'Deal ledger'!$AI$3:$AI$100,"&lt;&gt;",'Deal ledger'!$P$3:$P$100,"Yes")&amp;" exit units; "&amp;SUMIFS('Deal ledger'!$Q$3:$Q$100,'Deal ledger'!$AJ$3:$AJ$100,"Inferred: residual",'Deal ledger'!$P$3:$P$100,"Yes")&amp;"/"&amp;SUMIFS('Deal ledger'!$Q$3:$Q$100,'Deal ledger'!$AI$3:$AI$100,"&lt;&gt;",'Deal ledger'!$P$3:$P$100,"Yes")&amp;" inferred by residual"</f>
        <v/>
      </c>
    </row>
    <row r="43">
      <c r="A43" s="10" t="inlineStr">
        <is>
          <t xml:space="preserve">  → per-stage balance (Process 1)</t>
        </is>
      </c>
      <c r="B43" s="4" t="inlineStr">
        <is>
          <t>R0/R1: 25 entrants − 16 inferred non-submitters (R020) − 2 low bidders (R022) = 7 continuing. R2: +1 (Party C, R024) − 2 non-submitters (R033–R034) − 4 dropped (R039–R042) = 2 continuing. R3: +2 re-entries (R044–R045) − 1 withdrawal (R049) − 2 signing outcomes (R055–R056) = 1 (winner). Total: 26 entrants + 2 re-entries − 27 exit units = 1. Party A’s Count-0 identity row (R035) moves no counts.</t>
        </is>
      </c>
    </row>
    <row r="44">
      <c r="A44" s="10" t="inlineStr">
        <is>
          <t xml:space="preserve">  → balance formula</t>
        </is>
      </c>
      <c r="B44" s="4">
        <f>SUMIFS('Deal ledger'!$Q$3:$Q$100,'Deal ledger'!$D$3:$D$100,"NDA signed",'Deal ledger'!$P$3:$P$100,"Yes")+SUMIFS('Deal ledger'!$Q$3:$Q$100,'Deal ledger'!$D$3:$D$100,"Re-entered",'Deal ledger'!$P$3:$P$100,"Yes")-SUMIFS('Deal ledger'!$Q$3:$Q$100,'Deal ledger'!$AI$3:$AI$100,"&lt;&gt;",'Deal ledger'!$P$3:$P$100,"Yes")</f>
        <v/>
      </c>
    </row>
    <row r="45">
      <c r="A45" s="9" t="inlineStr">
        <is>
          <t>6. Comparability and inputs</t>
        </is>
      </c>
    </row>
    <row r="46">
      <c r="A46" s="10" t="inlineStr">
        <is>
          <t>Per-share basis</t>
        </is>
      </c>
      <c r="B46" s="4" t="inlineStr">
        <is>
          <t>All offer prices are as-converted (preferred 100-for-1); the filing gives no decomposed per-share values except G&amp;W’s cash/CVR split. All amounts are US dollars; no currency conversion attempted.</t>
        </is>
      </c>
    </row>
    <row r="47">
      <c r="A47" s="10" t="inlineStr">
        <is>
          <t>Market benchmarks</t>
        </is>
      </c>
      <c r="B47" s="4" t="inlineStr">
        <is>
          <t>Closing price 08/12/2016 (last trading day before announcement): $16.30 — the $25.00 consideration is stated as a 53% premium (X-003). Closing price 09/16/2016: $24.88 (X-004). 2016 Q3 trading range through 09/16/2016: $15.60–$25.00 (X-005).</t>
        </is>
      </c>
    </row>
    <row r="48">
      <c r="A48" s="10" t="inlineStr">
        <is>
          <t>Share counts and optional calculation</t>
        </is>
      </c>
      <c r="B48" s="4" t="inlineStr">
        <is>
          <t>4,866,593 common + 640 preferred (as-converted 64,000) = 4,930,593 as-converted shares on the 09/16/2016 record date; 53,368 options (18,368 vested) and 43,500 RSUs held by directors/officers (X-005; X-006). Optional labelled calculation (not filing-stated; excludes options/RSUs): $25.00 × 4,930,593 = $123.26 million implied equity value.</t>
        </is>
      </c>
    </row>
    <row r="49">
      <c r="A49" s="10" t="inlineStr">
        <is>
          <t>Contingent consideration</t>
        </is>
      </c>
      <c r="B49" s="4" t="inlineStr">
        <is>
          <t>G&amp;W’s July bids included a $1.13 per-share CVR tied to the subsequent sale of the South Quay property (book value $12.5 million used in BMO’s analyses); a contingent cash payment, so those bids remain All cash = Yes. The signed $25.00 terms exclude it.</t>
        </is>
      </c>
    </row>
    <row r="50">
      <c r="A50" s="10" t="inlineStr">
        <is>
          <t>Other-scope proposals</t>
        </is>
      </c>
      <c r="B50" s="4" t="inlineStr">
        <is>
          <t>None disclosed: every indication, LOI and final bid is for 100% of the outstanding common stock on an as-converted basis (P-009; P-016). No segment, asset or minority-stake proposals, so no Other-scope rows.</t>
        </is>
      </c>
    </row>
    <row r="51">
      <c r="A51" s="10" t="inlineStr">
        <is>
          <t>Valuation statements (not bids)</t>
        </is>
      </c>
      <c r="B51" s="4" t="inlineStr">
        <is>
          <t>BMO’s implied per-share reference ranges: selected companies $10.95–$14.56 and $11.42–$15.09; precedent transactions $10.54–$26.50; DCF $10.82–$12.34 — each compared with the $25.00 consideration (X-017–X-019). These are adviser analyses, not offers, and are not entered in bid-price cells.</t>
        </is>
      </c>
    </row>
    <row r="52">
      <c r="A52" s="10" t="inlineStr">
        <is>
          <t>Glossary</t>
        </is>
      </c>
      <c r="B52" s="4" t="inlineStr">
        <is>
          <t>NDA = confidentiality agreement; IOI = indication of interest (non-binding); LOI = letter of intent (non-binding); CVR = contingent value right (extra cash tied to the South Quay property sale); confirmatory diligence = final-stage diligence after selection; data site = internet data room; exclusivity = a target commitment to deal only with one bidder (requested by several bidders; never granted); go-shop = post-signing solicitation period (none); STB = Surface Transportation Board; as-converted = treating preferred as converted 100-for-1 into common. Layout-only HTML decoding and whitespace normalization were applied to the filing text in the Source text sheet.</t>
        </is>
      </c>
    </row>
    <row r="53">
      <c r="A53" s="10" t="inlineStr">
        <is>
          <t>Unverifiable items</t>
        </is>
      </c>
      <c r="B53" s="4" t="inlineStr">
        <is>
          <t>Closing is not observed in this filing; the confidentiality-agreement count (25 vs 26) is reconciled in Q3; Party A’s later path is unresolved (Q5); no post-signing competition is disclosed.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72" customWidth="1" min="3" max="3"/>
    <col width="72" customWidth="1" min="4" max="4"/>
    <col width="30" customWidth="1" min="5" max="5"/>
    <col width="42" customWidth="1" min="6" max="6"/>
    <col width="10" customWidth="1" min="7" max="7"/>
    <col width="18" customWidth="1" min="8" max="8"/>
  </cols>
  <sheetData>
    <row r="1">
      <c r="A1" s="2" t="inlineStr">
        <is>
          <t>Q</t>
        </is>
      </c>
      <c r="B1" s="2" t="inlineStr">
        <is>
          <t>Review topic</t>
        </is>
      </c>
      <c r="C1" s="2" t="inlineStr">
        <is>
          <t>Recommended answer</t>
        </is>
      </c>
      <c r="D1" s="2" t="inlineStr">
        <is>
          <t>Why and source</t>
        </is>
      </c>
      <c r="E1" s="2" t="inlineStr">
        <is>
          <t>Affected rows/fields</t>
        </is>
      </c>
      <c r="F1" s="2" t="inlineStr">
        <is>
          <t>Consequence of changing it</t>
        </is>
      </c>
      <c r="G1" s="2" t="inlineStr">
        <is>
          <t>Status</t>
        </is>
      </c>
      <c r="H1" s="2" t="inlineStr">
        <is>
          <t>Reviewer note</t>
        </is>
      </c>
    </row>
    <row r="2">
      <c r="A2" s="11" t="inlineStr">
        <is>
          <t>Q1</t>
        </is>
      </c>
      <c r="B2" s="4" t="inlineStr">
        <is>
          <t>Process and round map, boundaries and finality</t>
        </is>
      </c>
      <c r="C2" s="4" t="inlineStr">
        <is>
          <t>Keep one process and three rounds: R1 anchored on the week-of-03/28/2016 first outreach wave (R008), R2 opened mid-June 2016 by the LOI instruction (R023), R3 opened 07/27/2016 by selection and the move to definitive negotiation (R043). Round 0 keeps the pre-solicitation items with no Round opened row. Finality: R1 Not final; R2 and R3 Inferred final. Keep the 04/03–04/06 convention meetings as one Information access changed row (R012) and Party C’s catch-up access as one row (R026); keep the 08/09–08/11 G&amp;W continued-diligence grant as a Material process update (R050). Post-signing: publicity only (R057).</t>
        </is>
      </c>
      <c r="D2" s="4" t="inlineStr">
        <is>
          <t>The executed outreach is the preferred R1 anchor (P-004); rejected candidates R003 and R005 are retained as their own rows so the boundary can be moved. R2 alternative boundary 06/01/2016 (R021) rejected because no updated offers were sought then (P-008–P-009). R3 alternative boundaries 08/04 and 08/12 rejected because definitive negotiation with the selected bidders began on 07/27/2016 (P-020). R2 is Inferred final because the target moved to confirmatory due diligence and definitive negotiation at its close; R3 because it concluded with the executed agreement. Access rows follow section 4 (P-005; P-011); the 08/09 continued-diligence grant preceded G&amp;W’s final bid (P-023).</t>
        </is>
      </c>
      <c r="E2" s="4" t="inlineStr">
        <is>
          <t>R003, R005, R007, R008, R012, R021, R023, R026, R038, R043, R050, R057; Round, Round finality, What happened</t>
        </is>
      </c>
      <c r="F2" s="4" t="inlineStr">
        <is>
          <t>Moving any boundary changes the round-bidder tallies (9/6/3) and the round map; reclassifying the access rows changes the access narrative but no counts.</t>
        </is>
      </c>
      <c r="G2" t="inlineStr">
        <is>
          <t>Pending</t>
        </is>
      </c>
    </row>
    <row r="3">
      <c r="A3" s="11" t="inlineStr">
        <is>
          <t>Q2</t>
        </is>
      </c>
      <c r="B3" s="4" t="inlineStr">
        <is>
          <t>Deadline history and treatments</t>
        </is>
      </c>
      <c r="C3" s="4" t="inlineStr">
        <is>
          <t>Record three versions: 05/10/2016 set by the 04/27/2016 board report (R016; superseded before arrival, no milestone row); revised to 05/19/2016 (R017; Extended) for the stated reason; 05/19/2016 reached while operative and treated Enforced (R018). The 07/20/2016 LOI due date (R023; R027) is treated Late bids accepted because G&amp;W’s 07/21/2016 LOI and the other late-July LOIs were considered without a revision. G&amp;W’s 6:00 p.m. 08/13/2016 offer expiry is not a bid deadline and stays in Terms (R052).</t>
        </is>
      </c>
      <c r="D3" s="4" t="inlineStr">
        <is>
          <t>Section 8.3 rules. The IOI receipt window 05/19–06/01 straddles the due date, so no submission is late and Enforced (not Late bids accepted) applies (P-008). The revision reason is stated (P-007). The mid-June LOI instruction carries its due date on the R2 opening row, with the milestone row at 07/20/2016 (P-009; P-012; P-014).</t>
        </is>
      </c>
      <c r="E3" s="4" t="inlineStr">
        <is>
          <t>R016, R017, R018, R023 (Due date), R027, R052 (offer expiry in Terms); Deadline treatment, Due date, Date from/Date to of R017</t>
        </is>
      </c>
      <c r="F3" s="4" t="inlineStr">
        <is>
          <t>Changing treatments alters the Summary deadline map and the R2 narrative; treating the May IOIs as late would contradict the filing’s receipt window.</t>
        </is>
      </c>
      <c r="G3" t="inlineStr">
        <is>
          <t>Pending</t>
        </is>
      </c>
    </row>
    <row r="4">
      <c r="A4" s="11" t="inlineStr">
        <is>
          <t>Q3</t>
        </is>
      </c>
      <c r="B4" s="4" t="inlineStr">
        <is>
          <t>Confidentiality-agreement counts and auction screen</t>
        </is>
      </c>
      <c r="C4" s="4" t="inlineStr">
        <is>
          <t>Working total: 26 executed confidentiality agreements — the 25 of the week-of-03/28 wave (11 strategic + 14 financial) plus Party C’s early-July agreement (R009–R011, R024). Read the Board’s reasons’ “25 of whom entered into confidentiality agreements” (X-002) as the reasons’ summary figure, most likely omitting Party C; alternatively the wave could have produced 24 signatures (10 strategic + 14 financial) with the total reaching 25 including Party C. Auction screen: met either way.</t>
        </is>
      </c>
      <c r="D4" s="4" t="inlineStr">
        <is>
          <t>Background supplies both specific statements: “Each of the potential strategic buyers and 14 potential financial buyers subsequently executed confidentiality agreements” and Party C’s separate agreement after its early-July approach (P-004; P-011). The reasons cite 25 (X-002). Section 3.2 prefers the specific background passages; the conflict is preserved here rather than silently resolved.</t>
        </is>
      </c>
      <c r="E4" s="4" t="inlineStr">
        <is>
          <t>R009, R010, R011, R024; Count cells; Summary “NDA signers” and auction screen</t>
        </is>
      </c>
      <c r="F4" s="4" t="inlineStr">
        <is>
          <t>If the total is 25 including Party C, R009 drops to 9 strategic signers and, if the submitter base stays 9, the inferred residual (R020) becomes 15 and the inferred share changes.</t>
        </is>
      </c>
      <c r="G4" t="inlineStr">
        <is>
          <t>Pending</t>
        </is>
      </c>
    </row>
    <row r="5">
      <c r="A5" s="11" t="inlineStr">
        <is>
          <t>Q4</t>
        </is>
      </c>
      <c r="B5" s="4" t="inlineStr">
        <is>
          <t>Inferred closures and per-stage balance</t>
        </is>
      </c>
      <c r="C5" s="4" t="inlineStr">
        <is>
          <t>Keep two inferred rows: R020 (Did not submit, Inferred: residual — 25 signers − 9 IOI submitters = 16, at the 05/19/2016 deadline) and R035 (Party A, Count 0, Inferred: identity, at 07/20/2016). All other outcomes are stated: two low bidders dropped 06/01 (R022), two LOI non-submitters (R033–R034), four 07/27 drops (R039–R042), one withdrawal (R049), two signing outcomes (R055–R056). Balance: R1 7 continuing; R2 2; R3 1 (winner); 16 of 27 exit units inferred.</t>
        </is>
      </c>
      <c r="D5" s="4" t="inlineStr">
        <is>
          <t>Section 10.2 arithmetic; base from P-004 (25 signers) and P-008 (9 submitters). The base is a stated exact number, so no bounds are needed; if the Q3 count changes, the residual changes by the same amount (flagged). R035 records only that Party A was out by the first named continuing set (P-012; P-020).</t>
        </is>
      </c>
      <c r="E5" s="4" t="inlineStr">
        <is>
          <t>R020, R022, R033, R034, R035, R039–R042, R049, R055, R056; Count, Outcome basis, Decided by, Exit reason</t>
        </is>
      </c>
      <c r="F5" s="4" t="inlineStr">
        <is>
          <t>Reclassifying any stated exit as inferred (or vice versa) changes the inferred-share arithmetic and balance; moving R035 to 05/19/2016 shifts its transition but no counts.</t>
        </is>
      </c>
      <c r="G5" t="inlineStr">
        <is>
          <t>Pending</t>
        </is>
      </c>
    </row>
    <row r="6">
      <c r="A6" s="11" t="inlineStr">
        <is>
          <t>Q5</t>
        </is>
      </c>
      <c r="B6" s="4" t="inlineStr">
        <is>
          <t>Identity mappings, anonymous cohorts and non-participants</t>
        </is>
      </c>
      <c r="C6" s="4" t="inlineStr">
        <is>
          <t>Recommended identities: the nine IOI submitters are Party B, G&amp;W, Party D, Party E, Party F, the two unnamed low bidders and the two unnamed LOI non-submitters (one strategic, one financial). Party A is most likely the unnamed strategic LOI non-submitter (R033) and is placed at 07/20/2016 with Count 0; alternatives are the 16 residual non-submitters (R020, which would move it to 05/19) or a low bidder (R022). Party B’s 04/21 meeting and Party A’s 03/22–03/23 meetings are repeats within the 29-buyer wave (Count 0). GATX’s possible-buyer recusal is not a participation event; the two additional Class I railroads never entered.</t>
        </is>
      </c>
      <c r="D6" s="4" t="inlineStr">
        <is>
          <t>Identifications follow the stage arithmetic (seven advancing = nine minus two low bidders; five of the seven plus Party C submitted LOIs) and the named LOI list (P-008; P-012; P-020). Party A’s last appearance is the memorandum recipient list (P-007). GATX recusal: P-020. Class I contacts: P-006.</t>
        </is>
      </c>
      <c r="E6" s="4" t="inlineStr">
        <is>
          <t>R014, R015, R019, R022, R033, R034, R035; Who, Count, Related rows; Summary participant list</t>
        </is>
      </c>
      <c r="F6" s="4" t="inlineStr">
        <is>
          <t>Re-identifying Party A (e.g., as a low bidder) would move its Count-0 row to R022 and change the reading of the two anonymous cohorts; no counts are asserted on this basis either way.</t>
        </is>
      </c>
      <c r="G6" t="inlineStr">
        <is>
          <t>Pending</t>
        </is>
      </c>
    </row>
    <row r="7">
      <c r="A7" s="11" t="inlineStr">
        <is>
          <t>Q6</t>
        </is>
      </c>
      <c r="B7" s="4" t="inlineStr">
        <is>
          <t>Formality, conditions and late-reconfirmation calls</t>
        </is>
      </c>
      <c r="C7" s="4" t="inlineStr">
        <is>
          <t>Formality: Formal for Party B (R028), G&amp;W (R036–R037, R052) and Party D (R030, carried to R046) on returned agreement/voting-agreement mark-ups; Informal for the nine-IOI cohort (R019), Party C (R025, R031), Party E (R029, R047, R048) and Party F (R032) — Party E’s issues summary is the borderline call (section 9.2 working default), flagged. Conditions: Heavy for the nine IOIs (pre-substantive-diligence context), C, D, E, F and G&amp;W’s July LOIs (stated multi-week or exclusive diligence periods); Light for Party B (expedited review) and G&amp;W’s 08/12 final bid (diligence completed; final documentation only; financing silent). No Bid reaffirmed row is recorded: Party B’s latest priced row is Formal and sits in an Inferred-final round, so the section 9.1 test fails; its 08/04 revised draft gets no row (further draft in the definitive stage).</t>
        </is>
      </c>
      <c r="D7" s="4" t="inlineStr">
        <is>
          <t>Formality signals/default: P-013/P-016/P-014 mark-ups and P-015 (issues summary) via P-012. Conditions tests: P-008, P-014–P-018, P-021, P-024. Late-reconfirmation conditions (a)–(c) with failure of (b): P-023; P-028.</t>
        </is>
      </c>
      <c r="E7" s="4" t="inlineStr">
        <is>
          <t>R019, R025–R032, R036–R037, R046–R048, R052, R055 (Formality, Conditions level, Conditions detail, Terms or outcome)</t>
        </is>
      </c>
      <c r="F7" s="4" t="inlineStr">
        <is>
          <t>Downgrading Party B or G&amp;W to Informal changes the documentation profile but not prices or counts; upgrading Party E to Formal would make it a formal LOI, without changing selection.</t>
        </is>
      </c>
      <c r="G7" t="inlineStr">
        <is>
          <t>Pending</t>
        </is>
      </c>
    </row>
    <row r="8">
      <c r="A8" s="11" t="inlineStr">
        <is>
          <t>Q7</t>
        </is>
      </c>
      <c r="B8" s="4" t="inlineStr">
        <is>
          <t>Assigned Working dates that decide order</t>
        </is>
      </c>
      <c r="C8" s="4" t="inlineStr">
        <is>
          <t>Conventions used (all disclosed in Date method): R009–R010 03/28/2016 (signing-wave first day, Assigned: bound); R017 05/08/2016 (midpoint of the 04/27–05/19 revision window); R019 05/19/2016 and R028–R032 07/20/2016 (solicitation due dates, Assigned: deadline); R039–R042 07/27/2016 (notifications after the decision, Assigned: decision day); R044–R045 07/29/2016. Within 08/12/2016 the order is G&amp;W bid (morning) → Board decision (afternoon) → signing → signing outcomes, per the stated sequence; the announcement follows on 08/15. R008 shares 03/28/2016 with R007/R009–R010 as a display tie.</t>
        </is>
      </c>
      <c r="D8" s="4" t="inlineStr">
        <is>
          <t>Section 8.1 rules 2–6 and the order constraint; the May IOIs example (due date inside the receipt window) applies at R019. Same-day sequencing follows the filing’s own order (P-024; P-025; P-026; P-028).</t>
        </is>
      </c>
      <c r="E8" s="4" t="inlineStr">
        <is>
          <t>Date from, Date to, Working date, Date basis, Date method of R008–R010, R017, R019, R028–R032, R039–R042, R044–R045, R052–R056</t>
        </is>
      </c>
      <c r="F8" s="4" t="inlineStr">
        <is>
          <t>Changing an assigned date reorders rows (sorting is by Working date with # breaking ties) but not facts.</t>
        </is>
      </c>
      <c r="G8" t="inlineStr">
        <is>
          <t>Pending</t>
        </is>
      </c>
    </row>
    <row r="9">
      <c r="A9" s="11" t="inlineStr">
        <is>
          <t>Q8</t>
        </is>
      </c>
      <c r="B9" s="4" t="inlineStr">
        <is>
          <t>Comparability, consideration form and normalization</t>
        </is>
      </c>
      <c r="C9" s="4" t="inlineStr">
        <is>
          <t>Keep all per-share figures on the as-converted basis the filing used (P-008; P-009) and label the optional $123.26 million equity-value calculation as non-filing arithmetic. Classify G&amp;W’s July cash-plus-CVR bids as All cash = Yes (contingent cash, not securities) with the $1.13 South Quay CVR and payoff trigger in Terms. Record no Other-scope bids (all proposals were for 100% of the common on an as-converted basis). Keep BMO’s implied reference ranges in Summary only, as valuation statements, never in bid-price cells.</t>
        </is>
      </c>
      <c r="D9" s="4" t="inlineStr">
        <is>
          <t>Consideration rules (section 9.4): P-014 for the CVR split and South Quay basis; P-005; P-009; P-012 for the as-converted basis; X-017–X-019 for the BMO ranges; X-005/X-006 for share counts. The $12.5 million South Quay book value is BMO’s input (financial analysis pages 38–39).</t>
        </is>
      </c>
      <c r="E9" s="4" t="inlineStr">
        <is>
          <t>R019, R025–R032, R036–R037, R052, R054; Price kind/origin, Currency, All cash, Cash at closing; Summary comparability block</t>
        </is>
      </c>
      <c r="F9" s="4" t="inlineStr">
        <is>
          <t>Treating the CVR as non-cash would change All cash to No for the July G&amp;W bids; entering BMO’s ranges as prices would create false observations — both explicitly rejected above.</t>
        </is>
      </c>
      <c r="G9" t="inlineStr">
        <is>
          <t>Pending</t>
        </is>
      </c>
    </row>
  </sheetData>
  <autoFilter ref="A1:H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cols>
    <col width="11" customWidth="1" min="1" max="1"/>
    <col width="46" customWidth="1" min="2" max="2"/>
    <col width="8" customWidth="1" min="3" max="3"/>
    <col width="150" customWidth="1" min="4" max="4"/>
  </cols>
  <sheetData>
    <row r="1">
      <c r="A1" s="2" t="inlineStr">
        <is>
          <t>Paragraph</t>
        </is>
      </c>
      <c r="B1" s="2" t="inlineStr">
        <is>
          <t>Section</t>
        </is>
      </c>
      <c r="C1" s="2" t="inlineStr">
        <is>
          <t>Page</t>
        </is>
      </c>
      <c r="D1" s="2" t="inlineStr">
        <is>
          <t>Text</t>
        </is>
      </c>
    </row>
    <row r="2">
      <c r="A2" t="inlineStr">
        <is>
          <t>P-001</t>
        </is>
      </c>
      <c r="B2" s="4" t="inlineStr">
        <is>
          <t>Proposal No. 1—The Merger — Background of the Merger</t>
        </is>
      </c>
      <c r="C2" t="inlineStr">
        <is>
          <t>27</t>
        </is>
      </c>
      <c r="D2" s="4" t="inlineStr">
        <is>
          <t>In the fourth quarter of 2015, Robert H. Eder (the Company’s Chairman and Chief Executive Officer) and Frank K. Rogers (the Company’s Vice President and Chief Commercial Officer) met with one of the Company’s Class I rail partners (“Party A”) to discuss joint commercial opportunities. During the meeting, Party A suggested possible joint venture arrangements and expressed some interest in acquiring equity in the Company to further develop strategic opportunities and enhance regional connectivity. Upon receiving a report of this meeting, in recognition of its public company obligations, the Board appointed a subcommittee of two independent directors, Frank W. Barrett and Richard W. Anderson, to interview potential investment bankers to represent the Company in possible negotiations with Party A and to assist the Board in evaluating additional strategic options for the realization of shareholder value, including potential change in control transactions. The subcommittee interviewed several investment banking firms, including Greene Holcomb &amp; Fisher LLC (the business of which was subsequently acquired by BMO Capital Markets Corp. and which we refer to as “GHF” prior to such acquisition and “BMO” thereafter). During the executive session of the Board’s regular quarterly meeting held on January 27, 2016 (which Director Alfred P. Smith did not attend), the subcommittee recommended to the Board that the Company retain GHF as its investment banking firm. At that meeting, representatives of GHF discussed with the Board its qualifications and a proposed process should the directors ultimately decide to proceed with a change in control transaction. As part of the interview process, GHF represented to the Company that it would not represent any potential buyer of the Company in connection with an offer to purchase the Company or any person proposing to provide financing in connection with such an offer. Following this presentation, the Board approved the subcommittee’s recommendation and the Company engaged GHF. In selecting GHF, the Board considered, among other things, the fact that GHF was a reputable investment banking firm with substantial experience advising companies in the rail sector and in providing strategic advisory services in general, GHF had recent experience providing strategic advisory services in connection with the sale of a short-line railroad and, in the Board’s opinion, GHF would commit appropriate attention, resources and personnel to the process.</t>
        </is>
      </c>
    </row>
    <row r="3">
      <c r="A3" t="inlineStr">
        <is>
          <t>P-002</t>
        </is>
      </c>
      <c r="B3" s="4" t="inlineStr">
        <is>
          <t>Proposal No. 1—The Merger — Background of the Merger</t>
        </is>
      </c>
      <c r="C3" t="inlineStr">
        <is>
          <t>27</t>
        </is>
      </c>
      <c r="D3" s="4" t="inlineStr">
        <is>
          <t>At a special meeting of the Board held on March 14, 2016, representatives of GHF discussed their evaluation of the Company’s business operations and strategy for improving operational and financial performance, as well as railroad industry dynamics more generally and their impact on current railroad valuations. Representatives of GHF then proposed a process pursuant to which the Company would proceed with discussions with Party A and also solicit interest from other potential third parties regarding a change in control transaction. The Board considered various factors, including the marketplace, the risks attendant to engaging in the process discussed with representatives of GHF, the Company’s overall strategic position, and the challenges attendant to improving the Company’s financial performance in order to maximize shareholder value and concluded, based upon its examination of these and other factors, that it was in the best interest of the Company 27 Table of Contents and its shareholders to proceed with the transaction strategy discussed with representatives of GHF. In light of the potentially significant time and effort involved in pursuing such exploratory transaction strategy, as well as the possible need to provide guidance to GHF and management on short notice, at the conclusion of the meeting, the Board appointed a special committee of independent directors of the Board (which we refer to as the “Transaction Committee”), composed of Frank W. Barrett (Chair), Richard W. Anderson and James C. Garvey, for the purpose of assisting in the supervision and oversight of the process on the full Board’s behalf and making a recommendation to the full Board. The Transaction Committee did not have the authority to approve or enter into a change of control transaction, which, under Rhode Island law, is an authority that can only be exercised by the full Board. At the time of appointment, Messrs. Barrett and Garvey had been elected by the preferred shareholders and Mr. Anderson had been elected by the common shareholders at the 2015 annual shareholders meeting. At the Company’s 2016 annual shareholders meeting on April 27, 2016, Messrs. Barrett and Anderson were re-elected as directors by the common shareholders and Mr. Garvey was re-elected as a director by the preferred shareholders.</t>
        </is>
      </c>
    </row>
    <row r="4">
      <c r="A4" t="inlineStr">
        <is>
          <t>P-003</t>
        </is>
      </c>
      <c r="B4" s="4" t="inlineStr">
        <is>
          <t>Proposal No. 1—The Merger — Background of the Merger</t>
        </is>
      </c>
      <c r="C4" t="inlineStr">
        <is>
          <t>28</t>
        </is>
      </c>
      <c r="D4" s="4" t="inlineStr">
        <is>
          <t>On March 22, 2016 and March 23, 2016, Daniel T. Noreck (the Company’s Chief Financial Officer and Treasurer) and other members of the senior management team of the Company met with various representatives of Party A.</t>
        </is>
      </c>
    </row>
    <row r="5">
      <c r="A5" t="inlineStr">
        <is>
          <t>P-004</t>
        </is>
      </c>
      <c r="B5" s="4" t="inlineStr">
        <is>
          <t>Proposal No. 1—The Merger — Background of the Merger</t>
        </is>
      </c>
      <c r="C5" t="inlineStr">
        <is>
          <t>28</t>
        </is>
      </c>
      <c r="D5" s="4" t="inlineStr">
        <is>
          <t>On March 24, 2016, the Transaction Committee met by telephone conference to discuss the results of management’s meeting with Party A and to discuss next steps in the process. Members of management and representatives of each of GHF and the Company’s legal counsel, Hinckley, Allen &amp; Snyder LLP (which we refer to as “Hinckley Allen”), participated in all meetings of the Transaction Committee, except as otherwise indicated. At this meeting, Mr. Noreck reported that he and other members of the senior management team had met with various representatives of Party A on March 22 and 23, 2016 and had informed Party A of GHF’s engagement. The Transaction Committee authorized GHF to contact Party A as well as other potential buyers to determine their level of interest in a change in control transaction. During the week of March 28, 2016, in accordance with the Transaction Committee’s directives, representatives of GHF contacted 11 potential strategic buyers (including Party A) and 18 potential financial buyers. 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t>
        </is>
      </c>
    </row>
    <row r="6">
      <c r="A6" t="inlineStr">
        <is>
          <t>P-005</t>
        </is>
      </c>
      <c r="B6" s="4" t="inlineStr">
        <is>
          <t>Proposal No. 1—The Merger — Background of the Merger</t>
        </is>
      </c>
      <c r="C6" t="inlineStr">
        <is>
          <t>28</t>
        </is>
      </c>
      <c r="D6" s="4" t="inlineStr">
        <is>
          <t>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t>
        </is>
      </c>
    </row>
    <row r="7">
      <c r="A7" t="inlineStr">
        <is>
          <t>P-006</t>
        </is>
      </c>
      <c r="B7" s="4" t="inlineStr">
        <is>
          <t>Proposal No. 1—The Merger — Background of the Merger</t>
        </is>
      </c>
      <c r="C7" t="inlineStr">
        <is>
          <t>28</t>
        </is>
      </c>
      <c r="D7" s="4" t="inlineStr">
        <is>
          <t>On April 7, 2016, the Transaction Committee met by telephone conference and discussed the process to date with representatives of GHF. Representatives of GHF reported that they and Company management had held a series of introductory meetings with five potential strategic buyers (including G&amp;W) at the 2016 Connections Convention. Mr. Noreck reported that the Company had also approached two additional Class I railroads to determine their interest in a possible transaction. After discussion, 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 Subsequently, on April 21, 2016, the Company and representatives of GHF held an introductory meeting with another potential strategic buyer (“Party B”).</t>
        </is>
      </c>
    </row>
    <row r="8">
      <c r="A8" t="inlineStr">
        <is>
          <t>P-007</t>
        </is>
      </c>
      <c r="B8" s="4" t="inlineStr">
        <is>
          <t>Proposal No. 1—The Merger — Background of the Merger</t>
        </is>
      </c>
      <c r="C8" t="inlineStr">
        <is>
          <t>28</t>
        </is>
      </c>
      <c r="D8" s="4" t="inlineStr">
        <is>
          <t>With the assistance of GHF, the Company prepared a memorandum concerning the Company and its prospects, which was distributed to the potential buyers, including Party A, Party B and G&amp;W, that had executed confidentiality agreements. The Transaction Committee met with representatives of GHF by telephone conference on April 22, 2016 and discussed the status of discussions with potential buyers. On April 27, 2016, 28 Table of Contents the Board met in executive session (without Mr. Eder present) with representatives of GHF and discussed the status of the process, including that each potential buyer had been advised to submit a non-binding indication of interest by May 10, 2016 (which deadline was subsequently postponed to May 19, 2016 to ensure the potential buyers had sufficient time to formulate their most compelling offers).</t>
        </is>
      </c>
    </row>
    <row r="9">
      <c r="A9" t="inlineStr">
        <is>
          <t>P-008</t>
        </is>
      </c>
      <c r="B9" s="4" t="inlineStr">
        <is>
          <t>Proposal No. 1—The Merger — Background of the Merger</t>
        </is>
      </c>
      <c r="C9" t="inlineStr">
        <is>
          <t>29</t>
        </is>
      </c>
      <c r="D9" s="4"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The Transaction Committee met by telephone conference on May 23, 2016 and again on June 1, 2016 to consider the IOIs. 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t>
        </is>
      </c>
    </row>
    <row r="10">
      <c r="A10" t="inlineStr">
        <is>
          <t>P-009</t>
        </is>
      </c>
      <c r="B10" s="4" t="inlineStr">
        <is>
          <t>Proposal No. 1—The Merger — Background of the Merger</t>
        </is>
      </c>
      <c r="C10" t="inlineStr">
        <is>
          <t>29</t>
        </is>
      </c>
      <c r="D10" s="4" t="inlineStr">
        <is>
          <t>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Potential buyers were instructed to provide a valuation for the Company based on the purchase of 100% of the outstanding common stock on a dollar per share basis (assuming conversion of the preferred stock into common stock) or the financial terms of any non-cash proposal.</t>
        </is>
      </c>
    </row>
    <row r="11">
      <c r="A11" t="inlineStr">
        <is>
          <t>P-010</t>
        </is>
      </c>
      <c r="B11" s="4" t="inlineStr">
        <is>
          <t>Proposal No. 1—The Merger — Background of the Merger</t>
        </is>
      </c>
      <c r="C11" t="inlineStr">
        <is>
          <t>29</t>
        </is>
      </c>
      <c r="D11" s="4" t="inlineStr">
        <is>
          <t>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t>
        </is>
      </c>
    </row>
    <row r="12">
      <c r="A12" t="inlineStr">
        <is>
          <t>P-011</t>
        </is>
      </c>
      <c r="B12" s="4" t="inlineStr">
        <is>
          <t>Proposal No. 1—The Merger — Background of the Merger</t>
        </is>
      </c>
      <c r="C12" t="inlineStr">
        <is>
          <t>29</t>
        </is>
      </c>
      <c r="D12" s="4" t="inlineStr">
        <is>
          <t>Over the course of June and July 2016, each of the potential buyers and their respective advisors engaged in due diligence of the Company’s business and financial condition, including holding meetings with certain members of the Company’s management team. The Transaction Committee met on June 30, 2016 to receive a status update on the management presentations and due diligence efforts of the potential buyers. 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 On July 12, 2016, Party C submitted an IOI with an offer price per share of $21.00 (implying an equity value of $108 million). Subsequently, Party C was provided access to the internet data site and the Company’s management held a management presentation with Party C by telephone on July 14, 2016.</t>
        </is>
      </c>
    </row>
    <row r="13">
      <c r="A13" t="inlineStr">
        <is>
          <t>P-012</t>
        </is>
      </c>
      <c r="B13" s="4" t="inlineStr">
        <is>
          <t>Proposal No. 1—The Merger — Background of the Merger</t>
        </is>
      </c>
      <c r="C13" t="inlineStr">
        <is>
          <t>29</t>
        </is>
      </c>
      <c r="D13" s="4"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row>
    <row r="14">
      <c r="A14" t="inlineStr">
        <is>
          <t>P-013</t>
        </is>
      </c>
      <c r="B14" s="4" t="inlineStr">
        <is>
          <t>Proposal No. 1—The Merger — Background of the Merger</t>
        </is>
      </c>
      <c r="C14" t="inlineStr">
        <is>
          <t>29</t>
        </is>
      </c>
      <c r="D14" s="4" t="inlineStr">
        <is>
          <t>• Party B submitted an LOI to acquire the Company for a price of $24.00 per share (subject to an expedited diligence review).</t>
        </is>
      </c>
    </row>
    <row r="15">
      <c r="A15" t="inlineStr">
        <is>
          <t>P-014</t>
        </is>
      </c>
      <c r="B15" s="4" t="inlineStr">
        <is>
          <t>Proposal No. 1—The Merger — Background of the Merger</t>
        </is>
      </c>
      <c r="C15" t="inlineStr">
        <is>
          <t>29</t>
        </is>
      </c>
      <c r="D15" s="4" t="inlineStr">
        <is>
          <t>• 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 On July 26, 2016, in response to feedback from representatives of GHF indicating its price and CVR structure were not competitive, G&amp;W submitted a revised LOI, which increased its offer to $22.15 per share (including $21.02 in cash and $1.13 CVR).</t>
        </is>
      </c>
    </row>
    <row r="16">
      <c r="A16" t="inlineStr">
        <is>
          <t>P-015</t>
        </is>
      </c>
      <c r="B16" s="4" t="inlineStr">
        <is>
          <t>Proposal No. 1—The Merger — Background of the Merger</t>
        </is>
      </c>
      <c r="C16" t="inlineStr">
        <is>
          <t>30</t>
        </is>
      </c>
      <c r="D16" s="4" t="inlineStr">
        <is>
          <t>• Party E (a strategic buyer) submitted an LOI to acquire the Company for a price of $21.26 per share (subject to a 60-day exclusivity period for due diligence and negotiation of definitive documentation).</t>
        </is>
      </c>
    </row>
    <row r="17">
      <c r="A17" t="inlineStr">
        <is>
          <t>P-016</t>
        </is>
      </c>
      <c r="B17" s="4" t="inlineStr">
        <is>
          <t>Proposal No. 1—The Merger — Background of the Merger</t>
        </is>
      </c>
      <c r="C17" t="inlineStr">
        <is>
          <t>30</t>
        </is>
      </c>
      <c r="D17" s="4" t="inlineStr">
        <is>
          <t>• Party D (a financial buyer) submitted an LOI to acquire the Company for a price of $21.00 per share (subject to a four-week diligence period).</t>
        </is>
      </c>
    </row>
    <row r="18">
      <c r="A18" t="inlineStr">
        <is>
          <t>P-017</t>
        </is>
      </c>
      <c r="B18" s="4" t="inlineStr">
        <is>
          <t>Proposal No. 1—The Merger — Background of the Merger</t>
        </is>
      </c>
      <c r="C18" t="inlineStr">
        <is>
          <t>30</t>
        </is>
      </c>
      <c r="D18" s="4" t="inlineStr">
        <is>
          <t>• Party C submitted an LOI to acquire the Company for a price of $19.30 per share (subject to a 30-day diligence period).</t>
        </is>
      </c>
    </row>
    <row r="19">
      <c r="A19" t="inlineStr">
        <is>
          <t>P-018</t>
        </is>
      </c>
      <c r="B19" s="4" t="inlineStr">
        <is>
          <t>Proposal No. 1—The Merger — Background of the Merger</t>
        </is>
      </c>
      <c r="C19" t="inlineStr">
        <is>
          <t>30</t>
        </is>
      </c>
      <c r="D19" s="4" t="inlineStr">
        <is>
          <t>• Party F (a strategic buyer) submitted an LOI to acquire the Company for a price of $19.20 per share (subject to a 30-day due diligence period).</t>
        </is>
      </c>
    </row>
    <row r="20">
      <c r="A20" t="inlineStr">
        <is>
          <t>P-019</t>
        </is>
      </c>
      <c r="B20" s="4" t="inlineStr">
        <is>
          <t>Proposal No. 1—The Merger — Background of the Merger</t>
        </is>
      </c>
      <c r="C20" t="inlineStr">
        <is>
          <t>30</t>
        </is>
      </c>
      <c r="D20" s="4" t="inlineStr">
        <is>
          <t>In addition to various due diligence requirements, the LOI prices were based on different assumptions and requirements related to transaction expenses and change in control payments, which GHF and the Transaction Committee observed could affect the ultimate offer price. One strategic buyer and one financial buyer elected not to submit an LOI.</t>
        </is>
      </c>
    </row>
    <row r="21">
      <c r="A21" t="inlineStr">
        <is>
          <t>P-020</t>
        </is>
      </c>
      <c r="B21" s="4" t="inlineStr">
        <is>
          <t>Proposal No. 1—The Merger — Background of the Merger</t>
        </is>
      </c>
      <c r="C21" t="inlineStr">
        <is>
          <t>30</t>
        </is>
      </c>
      <c r="D21" s="4" t="inlineStr">
        <is>
          <t>The Transaction Committee met by telephone conference on July 22, 2016 and in person after the regular quarterly Board meeting on July 27, 2016, to review the LOIs with representatives of GHF. Representatives of GHF reviewed the material financial terms of each LOI, including the offer price, and additional due diligence requested. The Transaction Committee discussed the process for the on-site due diligence requested by the bidders, the delays inherent in managing on-site due diligence by multiple parties and the difficulties of maintaining the confidentiality of the discussions.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The Transaction Committee updated the independent directors (other than Director Smith) regarding the process at a meeting held immediately prior to the Board’s regular quarterly meeting on July 27, 2016. Director Smith is Vice President and Group Executive, Locomotive Group of GATX Corporation (“GATX”), which owns 4.92% of the Company’s common stock. In order to avoid any potential conflict, Mr. Smith elected to recuse himself from participating in this and other Board meetings at which the bidding process and any potential transaction were to be discussed because of the possibility that GATX might be a potential buyer of the Company.</t>
        </is>
      </c>
    </row>
    <row r="22">
      <c r="A22" t="inlineStr">
        <is>
          <t>P-021</t>
        </is>
      </c>
      <c r="B22" s="4" t="inlineStr">
        <is>
          <t>Proposal No. 1—The Merger — Background of the Merger</t>
        </is>
      </c>
      <c r="C22" t="inlineStr">
        <is>
          <t>30</t>
        </is>
      </c>
      <c r="D22" s="4" t="inlineStr">
        <is>
          <t>On July 29, 2016, representatives of GHF had calls with Party D and Party E. During those calls, Party D and Party E both expressed interest in reengaging and enhancing their offers. On August 1, 2016, Party D submitted a revised LOI at a price of $24.00 per share and Party E submitted a revised LOI, along with financing support, from Party F, at a price of $23.81 per share. Both revised proposals contained a 30-day due diligence period. The Transaction Committee convened by telephone conference on August 1, 2016, to consider the revised LOIs submitted by Party D and Party E and subsequently directed representatives of BMO (which acquired the business of GHF on August 1, 2016) to clarify certain elements of the revised proposals and the bidders’ respective due diligence requirements. 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t>
        </is>
      </c>
    </row>
    <row r="23">
      <c r="A23" t="inlineStr">
        <is>
          <t>P-022</t>
        </is>
      </c>
      <c r="B23" s="4" t="inlineStr">
        <is>
          <t>Proposal No. 1—The Merger — Background of the Merger</t>
        </is>
      </c>
      <c r="C23" t="inlineStr">
        <is>
          <t>30</t>
        </is>
      </c>
      <c r="D23" s="4" t="inlineStr">
        <is>
          <t>On August 1, 2016, Hinckley Allen provided Party B with a revised merger agreement and voting agreement, reflecting changes from the marked-up documents included with Party B’s LOI. On August 3, 2016, Hinckley Allen provided G&amp;W with a revised merger agreement and voting agreement, reflecting changes from the marked-up documents included with G&amp;W’s LOI. On August 3, 2016, the Company and Hinckley Allen also responded to additional due diligence questions submitted by Party B. On August 4, 2016, the Transaction Committee met by conference call to discuss the process with representatives of BMO and Hinckley Allen on the 30 Table of Contents status of negotiations and due diligence. During that discussion, 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 From July 27, 2016 through August 11, 2016, Party B and G&amp;W conducted on-site financial, legal and environmental due diligence, including hi-rail trips to inspect the Company’s track infrastructure.</t>
        </is>
      </c>
    </row>
    <row r="24">
      <c r="A24" t="inlineStr">
        <is>
          <t>P-023</t>
        </is>
      </c>
      <c r="B24" s="4" t="inlineStr">
        <is>
          <t>Proposal No. 1—The Merger — Background of the Merger</t>
        </is>
      </c>
      <c r="C24" t="inlineStr">
        <is>
          <t>31</t>
        </is>
      </c>
      <c r="D24" s="4" t="inlineStr">
        <is>
          <t>On August 4, 2016, legal counsel for Party B provided a revised draft of the merger agreement and, following negotiations between their respective legal counsels, the Company provided Party B with a revised draft of the merger agreement and disclosure letter on August 5, 2016. On August 9, 2016, the Transaction Committee met by telephone conference to review the status of the negotiations and due diligence.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 On August 10, 2016, representatives of Hinckley Allen and Simpson Thacher &amp; Bartlett LLP (which we refer to as “Simpson Thacher”), G&amp;W’s legal counsel, discussed various provisions of the draft merger agreement and voting agreement that had been provided to G&amp;W on August 3, 2016, and Hinckley Allen provided Simpson Thacher with a revised disclosure letter to accompany the August 3 draft merger agreement. On August 11, 2016, G&amp;W indicated its possible intention to submit a revised LOI on August 12, 2016, having just completed its physical diligence of the Company’s track infrastructure.</t>
        </is>
      </c>
    </row>
    <row r="25">
      <c r="A25" t="inlineStr">
        <is>
          <t>P-024</t>
        </is>
      </c>
      <c r="B25" s="4" t="inlineStr">
        <is>
          <t>Proposal No. 1—The Merger — Background of the Merger</t>
        </is>
      </c>
      <c r="C25" t="inlineStr">
        <is>
          <t>31</t>
        </is>
      </c>
      <c r="D25" s="4" t="inlineStr">
        <is>
          <t>Based upon progress made in due diligence and the negotiations with Party B during the week of August 8, 2016, meetings of the Transaction Committee and Board were scheduled for August 12, 2016 in anticipation of reviewing final agreements and approving a transaction with Party B. 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 Upon receipt of the revised LOI and related merger documents, Hinckley Allen and Simpson Thacher negotiated revisions to the merger agreement and disclosure letter. The Transaction Committee met at 10:30 a.m. on August 12, 2016, and reviewed the status of the negotiations and merger documents with both Party B and G&amp;W. Following that discussion, the Transaction Committee directed representatives of BMO to inform Party B that another party had submitted a revised LOI at a higher price.</t>
        </is>
      </c>
    </row>
    <row r="26">
      <c r="A26" t="inlineStr">
        <is>
          <t>P-025</t>
        </is>
      </c>
      <c r="B26" s="4" t="inlineStr">
        <is>
          <t>Proposal No. 1—The Merger — Background of the Merger</t>
        </is>
      </c>
      <c r="C26" t="inlineStr">
        <is>
          <t>31</t>
        </is>
      </c>
      <c r="D26" s="4" t="inlineStr">
        <is>
          <t>On the afternoon of August 12, 2016, following the meeting of the Transaction Committee, the Board held a special meeting to review and consider the recommendation of the Transaction Committee with respect to a potential sale transaction. All directors were present in person or by telephone other than Director Smith. The Transaction Committee reported on the process and the status of the negotiations with Party B and G&amp;W. Drafts of the Party B merger agreement, voting agreement and disclosure letter and drafts of the G&amp;W merger agreement, voting agreement and disclosure letter were provided to the directors at the meeting. Hinckley Allen reviewed the material terms of the draft merger agreements provided by Party B and G&amp;W, and the differences between the G&amp;W draft merger agreement and the Party B draft merger agreement. Hinckley Allen also reviewed the Board’s fiduciary obligations in connection with the proposed transaction and responded to questions from the directors. Hinckley Allen advised the Board that both Party B’s and G&amp;W’s draft merger agreements restricted the Company from soliciting a competing proposal, subject to a “fiduciary out” for an unsolicited superior proposal, which required the Company to pay a termination fee equal to 3% of the transaction value in the case of G&amp;W (which the Company had negotiated down from 3.85%) and 3% plus Party B’s transaction expenses (capped at 1% of transaction value) in the case of Party B, in the event the merger agreement was terminated as a result of the Board’s decision to pursue such a proposal.</t>
        </is>
      </c>
    </row>
    <row r="27">
      <c r="A27" t="inlineStr">
        <is>
          <t>P-026</t>
        </is>
      </c>
      <c r="B27" s="4" t="inlineStr">
        <is>
          <t>Proposal No. 1—The Merger — Background of the Merger</t>
        </is>
      </c>
      <c r="C27" t="inlineStr">
        <is>
          <t>31</t>
        </is>
      </c>
      <c r="D27" s="4" t="inlineStr">
        <is>
          <t>Hinckley Allen advised the Board that the draft merger agreement and disclosure letter for both Party B and G&amp;W had minor differences but were substantively the same, except for the following: (1) the price offered by 31 Table of Contents G&amp;W was $1.00 more per share; (2) the termination fee payable by the Company in the event the Board exercised its “fiduciary out” in order to accept a superior proposal was less under the G&amp;W draft agreement than the Party B draft agreement; and (3) the STB approval process for G&amp;W and Party B would be different since G&amp;W owned connecting railroads. The Board arranged a telephone call with the Company’s STB counsel to discuss the process for obtaining the required regulatory approval or exemption for the transaction, the risks associated with each process, the use of a voting trust to enable an earlier closing of the transaction (as contemplated by the G&amp;W merger agreement) and the likely timeframe for obtaining any regulatory clearance for a transaction with either Party B or G&amp;W. Based upon that discussion, the Board determined that the timeframe for, and the likelihood of, obtaining the required regulatory approval was not materially different for a transaction with G&amp;W versus a transaction with Party B. At the request of the Board, representatives of BMO then contacted Party B to determine if it would increase its offer price. Party B indicated that it would not increase its price.</t>
        </is>
      </c>
    </row>
    <row r="28">
      <c r="A28" t="inlineStr">
        <is>
          <t>P-027</t>
        </is>
      </c>
      <c r="B28" s="4" t="inlineStr">
        <is>
          <t>Proposal No. 1—The Merger — Background of the Merger</t>
        </is>
      </c>
      <c r="C28" t="inlineStr">
        <is>
          <t>32</t>
        </is>
      </c>
      <c r="D28" s="4" t="inlineStr">
        <is>
          <t>The Board determined that the G&amp;W offer represented the superior proposal. At the request of the Board, representatives of BMO reviewed BMO’s financial analyses supporting its opinion to the Board as to the fairness, from a financial point of view, to the holders of our common stock of the consideration to be received by those holders (other than the Eder Trusts) in the merger pursuant to the merger agreement as of August 12, 2016. At the request of the Board, BMO confirmed that it did not have any existing or contemplated material relationships with G&amp;W in connection with the provision of any financial advisory or financing services to G&amp;W. BMO then rendered an oral opinion to the Board, subsequently confirmed by delivery of a written opinion, dated August 12, 2016 to the effect that, as of that date, and based upon and subject to the various assumptions made, procedures followed, matters considered and qualifications and limitations on the scope of review undertaken by BMO as set forth in its written opinion, the merger consideration to be received by the holders of our common stock in the merger pursuant to the merger agreement was fair, from a financial point of view, to those holders (other than the Eder Trusts). Following a discussion of the terms of the merger agreement and related matters, the Board (other than Director Smith, who recused himself from the August 12, 2016 meeting) (i) determined that the merger agreement, the plan of merger and the merger and other transactions contemplated by the merger agreement are fair to, advisable and in the best interests of the Company and its shareholders, (ii) approved and declared advisable the merger agreement and the transactions contemplated thereby, including the merger and the plan of merger, (iii) directed that the merger agreement be submitted to the Company’s shareholders for approval and (iv) resolved to recommend that the Company’s shareholders approve the merger agreement and the transactions contemplated thereby, including the merger and the plan of merger.</t>
        </is>
      </c>
    </row>
    <row r="29">
      <c r="A29" t="inlineStr">
        <is>
          <t>P-028</t>
        </is>
      </c>
      <c r="B29" s="4" t="inlineStr">
        <is>
          <t>Proposal No. 1—The Merger — Background of the Merger</t>
        </is>
      </c>
      <c r="C29" t="inlineStr">
        <is>
          <t>32</t>
        </is>
      </c>
      <c r="D29" s="4" t="inlineStr">
        <is>
          <t>Shortly thereafter, Hinckley Allen and Simpson Thacher finalized the transaction documents and the Company and G&amp;W executed the merger agreement, and the Company, G&amp;W and the Eder Trusts executed the voting agreement. The Company issued a press release publicly announcing the transaction on Monday, August 15, 2016 prior to the opening of trading of the Company’s common stock on the NASDAQ.</t>
        </is>
      </c>
    </row>
    <row r="30">
      <c r="A30" t="inlineStr">
        <is>
          <t>P-029</t>
        </is>
      </c>
      <c r="B30" s="4" t="inlineStr">
        <is>
          <t>Proposal No. 1—The Merger — Background of the Merger</t>
        </is>
      </c>
      <c r="C30" t="inlineStr">
        <is>
          <t>32</t>
        </is>
      </c>
      <c r="D30" s="4" t="inlineStr">
        <is>
          <t>Subsequent to the delivery of BMO’s opinion and the Board’s approval of the merger agreement and voting agreement, representatives of BMO advised the Board that when checking to determine if there were any financial advisory or financing relationships with G&amp;W, it had inadvertently failed to identify that a BMO affiliate has a participation in G&amp;W’s existing secured syndicated debt facility as described under the section titled “Summary of Financial Analysis of BMO Capital Markets Corp.— Miscellaneous ” on page 41. On September 6, 2016, the Board considered this new information, determined this relationship was not material to BMO’s independence and confirmed that the Board remained comfortable with the engagement and opinion of BMO.</t>
        </is>
      </c>
    </row>
    <row r="31">
      <c r="A31" t="inlineStr">
        <is>
          <t>X-001</t>
        </is>
      </c>
      <c r="B31" s="4" t="inlineStr">
        <is>
          <t>Annex A — Merger Agreement, Art. 1 (Definitions: Confidentiality Agreement)</t>
        </is>
      </c>
      <c r="C31" t="inlineStr">
        <is>
          <t>A-48</t>
        </is>
      </c>
      <c r="D31" s="4" t="inlineStr">
        <is>
          <t>“ Confidentiality Agreement ” shall mean the Confidentiality Agreement between the Company and Parent dated April 3, 2016.</t>
        </is>
      </c>
    </row>
    <row r="32">
      <c r="A32" t="inlineStr">
        <is>
          <t>X-002</t>
        </is>
      </c>
      <c r="B32" s="4" t="inlineStr">
        <is>
          <t>Proposal No. 1—The Merger — Recommendation of the Board of Directors and Reasons for the Merger</t>
        </is>
      </c>
      <c r="C32" t="inlineStr">
        <is>
          <t>33</t>
        </is>
      </c>
      <c r="D32" s="4" t="inlineStr">
        <is>
          <t>the fact that the Company conducted a lengthy and thorough process, directed by the Board and the Transaction Committee, during which the Board sought offers to purchase from a broad group of potential bidders, including strategic and financial buyers, 25 of whom entered into confidentiality agreements with the Company and received information related to the Company and six of whom submitted non-binding letters of intent;</t>
        </is>
      </c>
    </row>
    <row r="33">
      <c r="A33" t="inlineStr">
        <is>
          <t>X-003</t>
        </is>
      </c>
      <c r="B33" s="4" t="inlineStr">
        <is>
          <t>Proposal No. 1—The Merger — Recommendation of the Board of Directors and Reasons for the Merger</t>
        </is>
      </c>
      <c r="C33" t="inlineStr">
        <is>
          <t>33</t>
        </is>
      </c>
      <c r="D33" s="4" t="inlineStr">
        <is>
          <t>based on the Board’s review of the process conducted by the Transaction Committee, the Board’s belief that $25.00 per share in cash and the terms of the merger agreement offer the best value reasonably attainable for the Company’s shareholders; • the fact that the value of the merger consideration of $25.00 per share in cash represents a 53% premium over the per share closing price of the Company’s common stock of $16.30 on August 12, 2016, the last trading day concluded prior to the Company and G&amp;W entering into the merger agreement;</t>
        </is>
      </c>
    </row>
    <row r="34">
      <c r="A34" t="inlineStr">
        <is>
          <t>X-004</t>
        </is>
      </c>
      <c r="B34" s="4" t="inlineStr">
        <is>
          <t>Summary — Market Price of Our Common Stock</t>
        </is>
      </c>
      <c r="C34" t="inlineStr">
        <is>
          <t>11</t>
        </is>
      </c>
      <c r="D34" s="4" t="inlineStr">
        <is>
          <t>Market Price of Our Common Stock (page 71) Our common stock is listed on the NASDAQ under the trading symbol “PWX”. The closing sale price of Company common stock on the NASDAQ on August 12, 2016, which was the last trading day before we announced the merger, was $16.30. On September 16, 2016, the last trading day before the date of this proxy statement, the closing price of Company common stock on the NASDAQ was $24.88.</t>
        </is>
      </c>
    </row>
    <row r="35">
      <c r="A35" t="inlineStr">
        <is>
          <t>X-005</t>
        </is>
      </c>
      <c r="B35" s="4" t="inlineStr">
        <is>
          <t>Market Price of Common Stock</t>
        </is>
      </c>
      <c r="C35" t="inlineStr">
        <is>
          <t>71</t>
        </is>
      </c>
      <c r="D35" s="4" t="inlineStr">
        <is>
          <t>2016 First Quarter $ 15.82 $ 12.50 $ 5.00 $ 0.04 Second Quarter 17.64 14.12 –0– 0.04 Third Quarter (through September 16, 2016) 25.00 15.60 –0– 0.04 As of September 16, 2016, there were 4,866,593 shares of common stock outstanding, held by approximately 540 holders of record of common stock and 640 shares of preferred stock outstanding, held by 8 holders of record of preferred stock.</t>
        </is>
      </c>
    </row>
    <row r="36">
      <c r="A36" t="inlineStr">
        <is>
          <t>X-006</t>
        </is>
      </c>
      <c r="B36" s="4" t="inlineStr">
        <is>
          <t>Summary — Record Date; Outstanding Shares; Shares Entitled to Vote</t>
        </is>
      </c>
      <c r="C36" t="inlineStr">
        <is>
          <t>2</t>
        </is>
      </c>
      <c r="D36" s="4" t="inlineStr">
        <is>
          <t>Record Date; Outstanding Shares; Shares Entitled to Vote (page 22) Only holders of record of common stock and preferred stock at the close of business on the record date of September 16, 2016 are entitled to notice of and to vote at the special meeting. As of the record date, there were 4,866,593 shares of common stock outstanding, held of record by approximately 540 shareholders, and there were 640 shares of preferred stock outstanding, held of record by 8 shareholders. Each holder of common stock is entitled to one vote for each share of common stock that he, she or it owned as of the record date. Each holder of preferred stock is entitled to one vote for each share of preferred stock that he, she or it owned as of the record date.</t>
        </is>
      </c>
    </row>
    <row r="37">
      <c r="A37" t="inlineStr">
        <is>
          <t>X-007</t>
        </is>
      </c>
      <c r="B37" s="4" t="inlineStr">
        <is>
          <t>Proposal No. 1—The Merger — General</t>
        </is>
      </c>
      <c r="C37" t="inlineStr">
        <is>
          <t>27</t>
        </is>
      </c>
      <c r="D37" s="4" t="inlineStr">
        <is>
          <t>Under the terms and conditions set forth in the merger agreement, Merger Sub will merge with and into the Company, with the Company being the surviving corporation and becoming a wholly-owned subsidiary of G&amp;W. At the effective time of the merger, each share of preferred stock outstanding immediately prior to the effective time of the merger, other than preferred stock held by a holder who is entitled to and makes a proper demand for dissenters’ rights, shall be deemed to be automatically converted, along with the aggregate accrued or accumulated and unpaid dividends thereon, into 100 shares of common stock (based on the existing conversion ratio of the preferred stock), without any further action by the holder of such preferred stock or the Company. At the effective time of the merger, each share of common stock issued and outstanding immediately prior to the effective time of the merger (including any preferred stock deemed to be converted into common stock, but excluding shares that are owned by G&amp;W or any of its direct or indirect subsidiaries, including Merger Sub) will be canceled and will be converted automatically into the right to receive $25.00 in cash, without interest.</t>
        </is>
      </c>
    </row>
    <row r="38">
      <c r="A38" t="inlineStr">
        <is>
          <t>X-008</t>
        </is>
      </c>
      <c r="B38" s="4" t="inlineStr">
        <is>
          <t>Summary — Treatment of Equity and Equity-Based Awards</t>
        </is>
      </c>
      <c r="C38" t="inlineStr">
        <is>
          <t>5</t>
        </is>
      </c>
      <c r="D38" s="4" t="inlineStr">
        <is>
          <t>At the effective time of the merger, subject to all required withholding taxes: • each option to purchase common stock that is outstanding immediately prior to the effective time of the merger, whether vested or unvested, will be canceled and converted into the right to receive a cash payment equal to the product of (x) the number of shares of common stock underlying such unexercised stock option; and (y) the excess, if any, of $25.00 over the exercise price per share provided in such option, without interest; and • each restricted stock unit, whether vested or unvested, that is outstanding immediately prior to the effective time of the merger will be canceled and will be converted automatically into the right to receive a cash payment equal to the product of (x) the number of shares of common stock subject to such restricted stock unit and (y) $25.00, without interest.</t>
        </is>
      </c>
    </row>
    <row r="39">
      <c r="A39" t="inlineStr">
        <is>
          <t>X-009</t>
        </is>
      </c>
      <c r="B39" s="4" t="inlineStr">
        <is>
          <t>The Merger Agreement — Regulatory Approvals Required for the Merger</t>
        </is>
      </c>
      <c r="C39" t="inlineStr">
        <is>
          <t>64</t>
        </is>
      </c>
      <c r="D39" s="4" t="inlineStr">
        <is>
          <t>Before G&amp;W may complete the merger and within fifteen business days of the date of the merger agreement, G&amp;W must file with the STB the appropriate documentation for the approval of, authorization of or 64 Table of Contents exemption by, the STB of the merger. On September 1, 2016, G&amp;W filed a petition for exemption with the STB requesting approval or exemption to complete the merger and control the Company. On September 14, 2016, G&amp;W also submitted a form of voting trust agreement to the STB seeking a written informal opinion that using a voting trust arrangement would insulate G&amp;W from having unauthorized control of the Company if (i) G&amp;W has not received from the STB the approval or exemption of the merger before the effective time of the merger and (ii) the stock of the surviving corporation is placed into the voting trust immediately following the merger.</t>
        </is>
      </c>
    </row>
    <row r="40">
      <c r="A40" t="inlineStr">
        <is>
          <t>X-010</t>
        </is>
      </c>
      <c r="B40" s="4" t="inlineStr">
        <is>
          <t>The Merger Agreement — Termination of the Merger Agreement (outside date)</t>
        </is>
      </c>
      <c r="C40" t="inlineStr">
        <is>
          <t>8</t>
        </is>
      </c>
      <c r="D40" s="4" t="inlineStr">
        <is>
          <t>• by G&amp;W or the Company, if the merger is not completed by December 31, 2016 (or, if the only unsatisfied condition is STB approval of the merger, by February 28, 2017) (such date, the “outside date”), provided that the right to terminate the merger agreement under this circumstance will not be available to a party whose failure to fulfill any material obligation under the merger agreement was the cause of or results in the failure of the merger to occur on or before such date; and</t>
        </is>
      </c>
    </row>
    <row r="41">
      <c r="A41" t="inlineStr">
        <is>
          <t>X-011</t>
        </is>
      </c>
      <c r="B41" s="4" t="inlineStr">
        <is>
          <t>The Merger Agreement — Transaction Litigation</t>
        </is>
      </c>
      <c r="C41" t="inlineStr">
        <is>
          <t>65</t>
        </is>
      </c>
      <c r="D41" s="4" t="inlineStr">
        <is>
          <t>Transaction Litigation The Company will promptly notify G&amp;W (and in any event within two business days), and keep G&amp;W reasonably informed of : • any communication from any person alleging that the consent of such person is or may be required in connection with the merger agreement, • any communication from any governmental entity in connection with the merger agreement, and • any actions, suits, claims, litigations, investigations or proceedings, including any shareholder litigation, commenced, threatened or, to its knowledge, contemplated against, relating to or involving or otherwise affecting the Company or any of its subsidiaries or any of its or their officers or the Board, that, if pending on the date of the merger agreement, would have been required to have been disclosed pursuant to the merger agreement, or that relate to the merger agreement, the merger or the other transactions contemplated by the merger agreement.</t>
        </is>
      </c>
    </row>
    <row r="42">
      <c r="A42" t="inlineStr">
        <is>
          <t>X-012</t>
        </is>
      </c>
      <c r="B42" s="4" t="inlineStr">
        <is>
          <t>The Voting Agreement</t>
        </is>
      </c>
      <c r="C42" t="inlineStr">
        <is>
          <t>72</t>
        </is>
      </c>
      <c r="D42" s="4" t="inlineStr">
        <is>
          <t>In connection with the execution of the merger agreement, G&amp;W and the Company entered into a voting agreement with the Robert H. Eder Trust and the Linda Eder Trust (which we refer to as the “Eder Trusts”), which, as of the date of the voting agreement, collectively owned 842,742 shares of common stock and 500 shares of preferred stock. Under the voting agreement, each Eder Trust must vote all of its shares of Company stock:</t>
        </is>
      </c>
    </row>
    <row r="43">
      <c r="A43" t="inlineStr">
        <is>
          <t>X-013</t>
        </is>
      </c>
      <c r="B43" s="4" t="inlineStr">
        <is>
          <t>Questions and Answers about the Merger and the Special Meeting</t>
        </is>
      </c>
      <c r="C43" t="inlineStr">
        <is>
          <t>15</t>
        </is>
      </c>
      <c r="D43" s="4" t="inlineStr">
        <is>
          <t>Are there any shareholders already committed to voting in favor of the merger agreement? A: Yes. The Eder Trusts have entered into a voting agreement with G&amp;W and the Company requiring them to vote all of their shares in favor of approval of the merger agreement. These shareholders collectively held approximately 78.1% of the outstanding shares of preferred stock and 17.3% of the outstanding shares of common stock on the record date.</t>
        </is>
      </c>
    </row>
    <row r="44">
      <c r="A44" t="inlineStr">
        <is>
          <t>X-014</t>
        </is>
      </c>
      <c r="B44" s="4" t="inlineStr">
        <is>
          <t>Proposal No. 1—The Merger — Opinion of the Company's Financial Advisor</t>
        </is>
      </c>
      <c r="C44" t="inlineStr">
        <is>
          <t>36</t>
        </is>
      </c>
      <c r="D44" s="4" t="inlineStr">
        <is>
          <t>We retained GHF, the business of which was subsequently acquired by BMO, an affiliate of Bank of Montreal, to act as our financial advisor in connection with the merger. In selecting GHF, we considered, among other things, the fact that GHF was a reputable investment banking firm with substantial experience advising companies in the rail sector and in providing strategic advisory services in general, GHF had recent experience providing strategic advisory services in connection with the sale of a short-line railroad and, in the Board’s opinion, GHF would commit appropriate attention, resources and personnel to the process. On August 12, 2016, BMO rendered an oral opinion to the Board, which was subsequently confirmed in a written opinion as of the same date, as to the fairness, from a financial point of view, to the holders of our common stock (other than the Eder Trusts) as of that date, and based upon and subject to the assumptions made, matters considered and limitations and qualifications upon the review undertaken by BMO, of the merger consideration per share of our common stock to be received by those shareholders in the merger pursuant to the merger agreement.</t>
        </is>
      </c>
    </row>
    <row r="45">
      <c r="A45" t="inlineStr">
        <is>
          <t>X-015</t>
        </is>
      </c>
      <c r="B45" s="4" t="inlineStr">
        <is>
          <t>Summary of Financial Analysis of BMO Capital Markets Corp. — Miscellaneous (fees)</t>
        </is>
      </c>
      <c r="C45" t="inlineStr">
        <is>
          <t>41</t>
        </is>
      </c>
      <c r="D45" s="4" t="inlineStr">
        <is>
          <t>connection with BMO’s services as the Company’s financial advisor and as successor to the business of GHF, the Company will pay BMO an aggregate fee of approximately $2.52 million, a portion of which was paid upon the signing of GHF’s engagement letter with the Company and in three monthly installments thereafter, a portion of which was paid upon delivery of BMO’s opinion, and the remainder and majority of which is payable upon consummation of the merger. In addition, the Company has agreed to reimburse BMO for certain of its expenses and to indemnify BMO and related persons against various potential liabilities arising out of or in connection with its engagement.</t>
        </is>
      </c>
    </row>
    <row r="46">
      <c r="A46" t="inlineStr">
        <is>
          <t>X-016</t>
        </is>
      </c>
      <c r="B46" s="4" t="inlineStr">
        <is>
          <t>Summary of Financial Analysis of BMO Capital Markets Corp. — Miscellaneous (relationships)</t>
        </is>
      </c>
      <c r="C46" t="inlineStr">
        <is>
          <t>42</t>
        </is>
      </c>
      <c r="D46" s="4" t="inlineStr">
        <is>
          <t>connection with the provision of any financial advisory or financing services by BMO to G&amp;W or any of its affiliates. G&amp;W has a Second Amended and Restated Senior Secured Syndicated Facility Agreement dated as of March 20, 2015 under which an affiliate of BMO is a lender with an approximately 5% participation in the syndicate and for which such affiliate has been paid revenue (fees and interest) between $1 million and $5 million, in the aggregate, since January 1, 2014. In the two years prior to the date of BMO’s opinion, BMO did not have any material relationships, nor were any material relationships mutually understood to be contemplated, in which any</t>
        </is>
      </c>
    </row>
    <row r="47">
      <c r="A47" t="inlineStr">
        <is>
          <t>X-017</t>
        </is>
      </c>
      <c r="B47" s="4" t="inlineStr">
        <is>
          <t>Summary of Financial Analysis of BMO Capital Markets Corp. — Selected Publicly Traded Companies Analysis</t>
        </is>
      </c>
      <c r="C47" t="inlineStr">
        <is>
          <t>39</t>
        </is>
      </c>
      <c r="D47" s="4" t="inlineStr">
        <is>
          <t>Selected Publicly Traded Companies Analysis BMO reviewed and compared certain publicly available financial information, ratios and market multiples relating to the Company with equivalent publicly available data for companies that share similar business characteristics with the Company to derive an implied equity value reference range for the Company. BMO reviewed seven publicly traded North American freight railroads companies. BMO analyzed the ratio of enterprise value (which we refer to as EV) to earnings before interest, taxes, depreciation and amortization (which we refer to as EBITDA) for each of the last twelve months as of June 30, 2016 (which we refer to as LTM) and for estimated calendar year 2016 based on consensus Wall Street analyst research (which we refer to as Street consensus) for each of these companies for comparison purposes. The multiples for each of the selected companies were calculated using their respective closing prices on August 11, 2016, and were based on the most recent publicly available information and Street consensus estimates. The selected companies were as follows: This analysis indicated the following implied per share equity value reference range for each share of the Company’s common stock, as compared to the consideration to be received by the Company’s common shareholders in the merger: Implied Per Share Equity Value Reference Range EV/LTM EBITDA EV/2016E EBITDA Merger Consideration $10.95 - $14.56 $11.42 - $15.09 $25.00</t>
        </is>
      </c>
    </row>
    <row r="48">
      <c r="A48" t="inlineStr">
        <is>
          <t>X-018</t>
        </is>
      </c>
      <c r="B48" s="4" t="inlineStr">
        <is>
          <t>Summary of Financial Analysis of BMO Capital Markets Corp. — Analysis of Selected Precedent Transactions</t>
        </is>
      </c>
      <c r="C48" t="inlineStr">
        <is>
          <t>40</t>
        </is>
      </c>
      <c r="D48" s="4" t="inlineStr">
        <is>
          <t>Analysis of Selected Precedent Transactions BMO also performed an analysis of selected precedent transactions involving publicly traded domestic freight railroad companies that shared certain characteristics with the merger. Based on publicly available information, BMO identified nine publicly announced and completed transactions involving domestic companies that owned and operated freight railroad companies occurring since January 1, 2005. BMO analyzed EV to LTM EBITDA (for the 12-month period prior to the public announcement of each respective transaction) for each of these transactions for comparison purposes. The selected transactions and corresponding data were as This analysis indicated the following implied per share equity value reference range for each share of the Company’s common stock, as compared to the consideration to be received by the Company’s common shareholders in the merger: Implied Per Share Equity Value Reference Range Merger Consideration $10.54 - $26.50 $25.00</t>
        </is>
      </c>
    </row>
    <row r="49">
      <c r="A49" t="inlineStr">
        <is>
          <t>X-019</t>
        </is>
      </c>
      <c r="B49" s="4" t="inlineStr">
        <is>
          <t>Summary of Financial Analysis of BMO Capital Markets Corp. — Discounted Cash Flow Analysis</t>
        </is>
      </c>
      <c r="C49" t="inlineStr">
        <is>
          <t>41</t>
        </is>
      </c>
      <c r="D49" s="4" t="inlineStr">
        <is>
          <t>Discounted Cash Flow Analysis BMO performed a discounted cash flow analysis to calculate the estimated present value of the unlevered free cash flows that the Company’s management forecasted the Company would generate for the fiscal years 2016 through fiscal year 2020 in the Projections. BMO calculated terminal values for the Company by applying terminal EBITDA multiples ranging from 9.5x to 10.5x and estimates of the Company’s weighted average cost of capital ranging from 11.5% to 13.5%. This analysis indicated the following implied per share equity value reference range for each share of the Company’s common stock, as compared to the consideration to be received by the Company’s common shareholders in the merger: Implied Per Share Equity Value Reference Range Merger Consideration $10.82 - $12.34</t>
        </is>
      </c>
    </row>
    <row r="50">
      <c r="A50" t="inlineStr">
        <is>
          <t>X-020</t>
        </is>
      </c>
      <c r="B50" s="4" t="inlineStr">
        <is>
          <t>The Parties to the Merger Agreement — Providence and Worcester Railroad Company</t>
        </is>
      </c>
      <c r="C50" t="inlineStr">
        <is>
          <t>21</t>
        </is>
      </c>
      <c r="D50" s="4" t="inlineStr">
        <is>
          <t>Providence and Worcester Railroad Company The Company, a Rhode Island corporation, is a regional freight railroad operating in Massachusetts, Rhode Island, Connecticut and New York. The Company is the only interstate freight carrier serving the State of Rhode Island and possesses the exclusive and perpetual right to conduct freight operations over the National Railroad Passenger Corporation’s (Amtrak) Northeast Corridor between New Haven, Connecticut and the Massachusetts/Rhode Island border. Since commencing independent operations in 1973, the Company, through a series of acquisitions of connecting lines and trackage rights agreements, has grown from 45 miles of track to its current system of approximately 516 miles. The Company services the largest international double-stack intermodal terminal facility in New England in Worcester, Massachusetts, a strategic location for regional transportation and distribution enterprises. The Company transports a wide variety of commodities for its customers, including automobiles, construction aggregates, iron and steel products, chemicals and plastics (including ethanol), lumber, scrap metals, plastic resins, cement, coal, construction and demolition debris, and processed foods and edible foodstuffs, such as corn syrup and vegetable oils. The Company’s connections to multiple Class I railroads, either directly or through connections with other regional and short-line carriers, provide the Company with a competitive advantage by allowing it to offer various pricing and routing alternatives to its customers. In addition, the Company’s commitment to maintaining its track and equipment to high standards enables the Company to provide fast, reliable and efficient service. The Company’s common stock is listed on the NASDAQ under the ticker symbol “PWX”. The Company’s principal executive offices are located at 75 Hammond Street, Worcester, Massachusetts 01610, its telephone number is (508) 755-4000, and its website is www.pwrr.com. You can find additional information about the Company in the Company’s filings with the SEC referenced in the section of this proxy</t>
        </is>
      </c>
    </row>
    <row r="51">
      <c r="A51" t="inlineStr">
        <is>
          <t>X-021</t>
        </is>
      </c>
      <c r="B51" s="4" t="inlineStr">
        <is>
          <t>The Parties to the Merger Agreement — Genesee &amp; Wyoming Inc.</t>
        </is>
      </c>
      <c r="C51" t="inlineStr">
        <is>
          <t>21</t>
        </is>
      </c>
      <c r="D51" s="4" t="inlineStr">
        <is>
          <t>Genesee &amp;Wyoming Inc. G&amp;W, a Delaware corporation, owns or leases 121 freight railroads worldwide that are organized in 10 operating regions with approximately 7,200 employees and more than 2,800 customers. G&amp;W’s eight North American regions serve 41 U.S. states and four Canadian provinces and include 114 short-line and regional freight railroads with more than 13,000 track-miles. G&amp;W’s Australia Region provides rail freight services in New South Wales, the Northern Territory and South Australia and operates the 1,400-mile Tarcoola-to-Darwin rail line. G&amp;W’s U.K./Europe Region is led by Freightliner, the U.K.’s largest rail maritime intermodal operator and second-largest rail freight company and whose operations also include heavy-haul in Poland and Germany and cross-border intermodal services connecting Northern European seaports with key industrial regions throughout the continent. G&amp;W subsidiaries provide rail service at more than 40 major ports in North America, Australia and Europe and perform contract coal loading and railcar switching for industrial customers. G&amp;W’s common stock is listed on the New York Stock Exchange under the ticker symbol “GWR”. G&amp;W’s principal executive offices are located at 20 West Avenue, Darien, Connecticut 06820, its telephone number is (203) 202-8900, and its website is www.gwrr.com.</t>
        </is>
      </c>
    </row>
    <row r="52">
      <c r="A52" t="inlineStr">
        <is>
          <t>X-022</t>
        </is>
      </c>
      <c r="B52" s="4" t="inlineStr">
        <is>
          <t>Proposal No. 1—The Merger — Recommendation of the Board of Directors and Reasons for the Merger (likelihood of completion)</t>
        </is>
      </c>
      <c r="C52" t="inlineStr">
        <is>
          <t>34</t>
        </is>
      </c>
      <c r="D52" s="4" t="inlineStr">
        <is>
          <t>the likelihood that the merger will be completed, based on, among other things: • the absence of a financing condition in the merger agreement and the representation of G&amp;W in the merger agreement as to its financial wherewithal; •</t>
        </is>
      </c>
    </row>
    <row r="53">
      <c r="A53" t="inlineStr">
        <is>
          <t>X-023</t>
        </is>
      </c>
      <c r="B53" s="4" t="inlineStr">
        <is>
          <t>Annex A — Merger Agreement, Art. 1 (Definitions: Company Termination Fee)</t>
        </is>
      </c>
      <c r="C53" t="inlineStr">
        <is>
          <t>A-48</t>
        </is>
      </c>
      <c r="D53" s="4" t="inlineStr">
        <is>
          <t>“ Company Termination Fee ” shall mean $3,785,000.</t>
        </is>
      </c>
    </row>
    <row r="54">
      <c r="A54" t="inlineStr">
        <is>
          <t>X-024</t>
        </is>
      </c>
      <c r="B54" s="4" t="inlineStr">
        <is>
          <t>Summary — Voting Agreement</t>
        </is>
      </c>
      <c r="C54" t="inlineStr">
        <is>
          <t>4</t>
        </is>
      </c>
      <c r="D54" s="4" t="inlineStr">
        <is>
          <t>Voting Agreement (page 26) The Robert H. Eder Trust and the Linda Eder Trust, which we refer to as the “Eder Trusts,” have executed a voting agreement with G&amp;W and the Company under which the Eder Trusts have agreed to vote their shares in favor of approving the merger agreement. As of the record date, the Eder Trusts held 842,742 shares of common stock, representing approximately 17.3% of the outstanding shares of common stock, and 500 shares of preferred stock, representing approximately 78.1% of the outstanding shares of preferred stock.</t>
        </is>
      </c>
    </row>
  </sheetData>
  <autoFilter ref="A1:D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s="12" t="inlineStr">
        <is>
          <t>What happened</t>
        </is>
      </c>
      <c r="B1" s="12" t="inlineStr">
        <is>
          <t>Type</t>
        </is>
      </c>
      <c r="C1" s="12" t="inlineStr">
        <is>
          <t>Formality</t>
        </is>
      </c>
      <c r="D1" s="12" t="inlineStr">
        <is>
          <t>Conditions level</t>
        </is>
      </c>
      <c r="E1" s="12" t="inlineStr">
        <is>
          <t>Include</t>
        </is>
      </c>
      <c r="F1" s="12" t="inlineStr">
        <is>
          <t>Date basis</t>
        </is>
      </c>
      <c r="G1" s="12" t="inlineStr">
        <is>
          <t>Date method</t>
        </is>
      </c>
      <c r="H1" s="12" t="inlineStr">
        <is>
          <t>Price kind</t>
        </is>
      </c>
      <c r="I1" s="12" t="inlineStr">
        <is>
          <t>Price origin</t>
        </is>
      </c>
      <c r="J1" s="12" t="inlineStr">
        <is>
          <t>All cash</t>
        </is>
      </c>
      <c r="K1" s="12" t="inlineStr">
        <is>
          <t>Deadline treatment</t>
        </is>
      </c>
      <c r="L1" s="12" t="inlineStr">
        <is>
          <t>Round finality</t>
        </is>
      </c>
      <c r="M1" s="12" t="inlineStr">
        <is>
          <t>Decided by</t>
        </is>
      </c>
      <c r="N1" s="12" t="inlineStr">
        <is>
          <t>Exit reason</t>
        </is>
      </c>
      <c r="O1" s="12" t="inlineStr">
        <is>
          <t>Outcome basis</t>
        </is>
      </c>
    </row>
    <row r="2">
      <c r="A2" t="inlineStr">
        <is>
          <t>Target interest</t>
        </is>
      </c>
      <c r="B2" t="inlineStr">
        <is>
          <t>Strategic</t>
        </is>
      </c>
      <c r="C2" t="inlineStr">
        <is>
          <t>Formal</t>
        </is>
      </c>
      <c r="D2" t="inlineStr">
        <is>
          <t>None</t>
        </is>
      </c>
      <c r="E2" t="inlineStr">
        <is>
          <t>Yes</t>
        </is>
      </c>
      <c r="F2" t="inlineStr">
        <is>
          <t>Reported day</t>
        </is>
      </c>
      <c r="G2" t="inlineStr">
        <is>
          <t>Reported</t>
        </is>
      </c>
      <c r="H2" t="inlineStr">
        <is>
          <t>Point</t>
        </is>
      </c>
      <c r="I2" t="inlineStr">
        <is>
          <t>Stated</t>
        </is>
      </c>
      <c r="J2" t="inlineStr">
        <is>
          <t>Yes</t>
        </is>
      </c>
      <c r="K2" t="inlineStr">
        <is>
          <t>Extended</t>
        </is>
      </c>
      <c r="L2" t="inlineStr">
        <is>
          <t>Announced as final</t>
        </is>
      </c>
      <c r="M2" t="inlineStr">
        <is>
          <t>Bidder</t>
        </is>
      </c>
      <c r="N2" t="inlineStr">
        <is>
          <t>Value below market price</t>
        </is>
      </c>
      <c r="O2" t="inlineStr">
        <is>
          <t>Stated</t>
        </is>
      </c>
    </row>
    <row r="3">
      <c r="A3" t="inlineStr">
        <is>
          <t>Bidder interest</t>
        </is>
      </c>
      <c r="B3" t="inlineStr">
        <is>
          <t>Financial</t>
        </is>
      </c>
      <c r="C3" t="inlineStr">
        <is>
          <t>Informal</t>
        </is>
      </c>
      <c r="D3" t="inlineStr">
        <is>
          <t>Light</t>
        </is>
      </c>
      <c r="E3" t="inlineStr">
        <is>
          <t>No</t>
        </is>
      </c>
      <c r="F3" t="inlineStr">
        <is>
          <t>Inferred day</t>
        </is>
      </c>
      <c r="G3" t="inlineStr">
        <is>
          <t>Inferred</t>
        </is>
      </c>
      <c r="H3" t="inlineStr">
        <is>
          <t>Bidder range</t>
        </is>
      </c>
      <c r="I3" t="inlineStr">
        <is>
          <t>Carried forward</t>
        </is>
      </c>
      <c r="J3" t="inlineStr">
        <is>
          <t>No</t>
        </is>
      </c>
      <c r="K3" t="inlineStr">
        <is>
          <t>Extended; Late bids accepted</t>
        </is>
      </c>
      <c r="L3" t="inlineStr">
        <is>
          <t>Inferred final</t>
        </is>
      </c>
      <c r="M3" t="inlineStr">
        <is>
          <t>Target</t>
        </is>
      </c>
      <c r="N3" t="inlineStr">
        <is>
          <t>Value at or below market price</t>
        </is>
      </c>
      <c r="O3" t="inlineStr">
        <is>
          <t>Inferred: residual</t>
        </is>
      </c>
    </row>
    <row r="4">
      <c r="A4" t="inlineStr">
        <is>
          <t>Target sale decision</t>
        </is>
      </c>
      <c r="B4" t="inlineStr">
        <is>
          <t>Mixed</t>
        </is>
      </c>
      <c r="C4" t="inlineStr">
        <is>
          <t>Insufficient evidence</t>
        </is>
      </c>
      <c r="D4" t="inlineStr">
        <is>
          <t>Heavy</t>
        </is>
      </c>
      <c r="F4" t="inlineStr">
        <is>
          <t>Reported interval</t>
        </is>
      </c>
      <c r="G4" t="inlineStr">
        <is>
          <t>Assigned: deadline</t>
        </is>
      </c>
      <c r="H4" t="inlineStr">
        <is>
          <t>Group envelope</t>
        </is>
      </c>
      <c r="I4" t="inlineStr">
        <is>
          <t>Inferred</t>
        </is>
      </c>
      <c r="J4" t="inlineStr">
        <is>
          <t>Not stated</t>
        </is>
      </c>
      <c r="K4" t="inlineStr">
        <is>
          <t>Late bids accepted</t>
        </is>
      </c>
      <c r="L4" t="inlineStr">
        <is>
          <t>Not final</t>
        </is>
      </c>
      <c r="M4" t="inlineStr">
        <is>
          <t>Both</t>
        </is>
      </c>
      <c r="N4" t="inlineStr">
        <is>
          <t>Value below earlier offer</t>
        </is>
      </c>
      <c r="O4" t="inlineStr">
        <is>
          <t>Inferred: exclusivity</t>
        </is>
      </c>
    </row>
    <row r="5">
      <c r="A5" t="inlineStr">
        <is>
          <t>Activist pressure</t>
        </is>
      </c>
      <c r="B5" t="inlineStr">
        <is>
          <t>Unknown</t>
        </is>
      </c>
      <c r="C5" t="inlineStr">
        <is>
          <t>Varies</t>
        </is>
      </c>
      <c r="D5" t="inlineStr">
        <is>
          <t>Insufficient evidence</t>
        </is>
      </c>
      <c r="F5" t="inlineStr">
        <is>
          <t>Approximate window</t>
        </is>
      </c>
      <c r="G5" t="inlineStr">
        <is>
          <t>Assigned: decision day</t>
        </is>
      </c>
      <c r="H5" t="inlineStr">
        <is>
          <t>Bound only</t>
        </is>
      </c>
      <c r="K5" t="inlineStr">
        <is>
          <t>Enforced</t>
        </is>
      </c>
      <c r="M5" t="inlineStr">
        <is>
          <t>Unknown</t>
        </is>
      </c>
      <c r="N5" t="inlineStr">
        <is>
          <t>Value at earlier offer</t>
        </is>
      </c>
      <c r="O5" t="inlineStr">
        <is>
          <t>Inferred: silent</t>
        </is>
      </c>
    </row>
    <row r="6">
      <c r="A6" t="inlineStr">
        <is>
          <t>Activist involvement</t>
        </is>
      </c>
      <c r="D6" t="inlineStr">
        <is>
          <t>Varies</t>
        </is>
      </c>
      <c r="F6" t="inlineStr">
        <is>
          <t>Relative only</t>
        </is>
      </c>
      <c r="G6" t="inlineStr">
        <is>
          <t>Assigned: midpoint</t>
        </is>
      </c>
      <c r="H6" t="inlineStr">
        <is>
          <t>Undisclosed</t>
        </is>
      </c>
      <c r="K6" t="inlineStr">
        <is>
          <t>Passed without action</t>
        </is>
      </c>
      <c r="N6" t="inlineStr">
        <is>
          <t>Would not improve earlier offer</t>
        </is>
      </c>
      <c r="O6" t="inlineStr">
        <is>
          <t>Inferred: identity</t>
        </is>
      </c>
    </row>
    <row r="7">
      <c r="A7" t="inlineStr">
        <is>
          <t>Adviser engaged</t>
        </is>
      </c>
      <c r="F7" t="inlineStr">
        <is>
          <t>Undated</t>
        </is>
      </c>
      <c r="G7" t="inlineStr">
        <is>
          <t>Assigned: bound</t>
        </is>
      </c>
      <c r="K7" t="inlineStr">
        <is>
          <t>Unclear</t>
        </is>
      </c>
      <c r="N7" t="inlineStr">
        <is>
          <t>Lower offer than rivals</t>
        </is>
      </c>
    </row>
    <row r="8">
      <c r="A8" t="inlineStr">
        <is>
          <t>Adviser service observed</t>
        </is>
      </c>
      <c r="G8" t="inlineStr">
        <is>
          <t>Assigned: sequence</t>
        </is>
      </c>
      <c r="K8" t="inlineStr">
        <is>
          <t>No deadline stated</t>
        </is>
      </c>
      <c r="N8" t="inlineStr">
        <is>
          <t>Terms or process</t>
        </is>
      </c>
    </row>
    <row r="9">
      <c r="A9" t="inlineStr">
        <is>
          <t>Adviser ended</t>
        </is>
      </c>
      <c r="N9" t="inlineStr">
        <is>
          <t>Other stated reason</t>
        </is>
      </c>
    </row>
    <row r="10">
      <c r="A10" t="inlineStr">
        <is>
          <t>Contact</t>
        </is>
      </c>
      <c r="N10" t="inlineStr">
        <is>
          <t>Not stated</t>
        </is>
      </c>
    </row>
    <row r="11">
      <c r="A11" t="inlineStr">
        <is>
          <t>NDA signed</t>
        </is>
      </c>
    </row>
    <row r="12">
      <c r="A12" t="inlineStr">
        <is>
          <t>Round opened</t>
        </is>
      </c>
    </row>
    <row r="13">
      <c r="A13" t="inlineStr">
        <is>
          <t>Deadline set</t>
        </is>
      </c>
    </row>
    <row r="14">
      <c r="A14" t="inlineStr">
        <is>
          <t>Deadline revised</t>
        </is>
      </c>
    </row>
    <row r="15">
      <c r="A15" t="inlineStr">
        <is>
          <t>Deadline</t>
        </is>
      </c>
    </row>
    <row r="16">
      <c r="A16" t="inlineStr">
        <is>
          <t>Target decision</t>
        </is>
      </c>
    </row>
    <row r="17">
      <c r="A17" t="inlineStr">
        <is>
          <t>Information access changed</t>
        </is>
      </c>
    </row>
    <row r="18">
      <c r="A18" t="inlineStr">
        <is>
          <t>Material process update</t>
        </is>
      </c>
    </row>
    <row r="19">
      <c r="A19" t="inlineStr">
        <is>
          <t>Exclusivity changed</t>
        </is>
      </c>
    </row>
    <row r="20">
      <c r="A20" t="inlineStr">
        <is>
          <t>Bid</t>
        </is>
      </c>
    </row>
    <row r="21">
      <c r="A21" t="inlineStr">
        <is>
          <t>Bid reaffirmed</t>
        </is>
      </c>
    </row>
    <row r="22">
      <c r="A22" t="inlineStr">
        <is>
          <t>Offer update</t>
        </is>
      </c>
    </row>
    <row r="23">
      <c r="A23" t="inlineStr">
        <is>
          <t>Other-scope bid</t>
        </is>
      </c>
    </row>
    <row r="24">
      <c r="A24" t="inlineStr">
        <is>
          <t>Valuation statement</t>
        </is>
      </c>
    </row>
    <row r="25">
      <c r="A25" t="inlineStr">
        <is>
          <t>Bidding group changed</t>
        </is>
      </c>
    </row>
    <row r="26">
      <c r="A26" t="inlineStr">
        <is>
          <t>Joined group</t>
        </is>
      </c>
    </row>
    <row r="27">
      <c r="A27" t="inlineStr">
        <is>
          <t>Dropped by target</t>
        </is>
      </c>
    </row>
    <row r="28">
      <c r="A28" t="inlineStr">
        <is>
          <t>Withdrew</t>
        </is>
      </c>
    </row>
    <row r="29">
      <c r="A29" t="inlineStr">
        <is>
          <t>Did not submit</t>
        </is>
      </c>
    </row>
    <row r="30">
      <c r="A30" t="inlineStr">
        <is>
          <t>Participation paused</t>
        </is>
      </c>
    </row>
    <row r="31">
      <c r="A31" t="inlineStr">
        <is>
          <t>Re-entered</t>
        </is>
      </c>
    </row>
    <row r="32">
      <c r="A32" t="inlineStr">
        <is>
          <t>Not selected at signing</t>
        </is>
      </c>
    </row>
    <row r="33">
      <c r="A33" t="inlineStr">
        <is>
          <t>Sale process announced</t>
        </is>
      </c>
    </row>
    <row r="34">
      <c r="A34" t="inlineStr">
        <is>
          <t>Bid announced</t>
        </is>
      </c>
    </row>
    <row r="35">
      <c r="A35" t="inlineStr">
        <is>
          <t>Merger announced</t>
        </is>
      </c>
    </row>
    <row r="36">
      <c r="A36" t="inlineStr">
        <is>
          <t>Merger agreement signed</t>
        </is>
      </c>
    </row>
    <row r="37">
      <c r="A37" t="inlineStr">
        <is>
          <t>Go-shop changed</t>
        </is>
      </c>
    </row>
    <row r="38">
      <c r="A38" t="inlineStr">
        <is>
          <t>Process terminated</t>
        </is>
      </c>
    </row>
    <row r="39">
      <c r="A39" t="inlineStr">
        <is>
          <t>Process restarted</t>
        </is>
      </c>
    </row>
    <row r="40">
      <c r="A40" t="inlineStr">
        <is>
          <t>Agreement terminated</t>
        </is>
      </c>
    </row>
    <row r="41">
      <c r="A41"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2026-09-19T13:43:52Z</dcterms:created>
  <dcterms:modified xmlns:dcterms="http://purl.org/dc/terms/" xmlns:xsi="http://www.w3.org/2001/XMLSchema-instance" xsi:type="dcterms:W3CDTF">2026-09-19T13:43:52Z</dcterms:modified>
</cp:coreProperties>
</file>